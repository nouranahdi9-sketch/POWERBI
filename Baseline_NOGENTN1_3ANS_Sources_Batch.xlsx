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bl\Documents\Invivo\Baseline\NOGENT1\"/>
    </mc:Choice>
  </mc:AlternateContent>
  <xr:revisionPtr revIDLastSave="0" documentId="13_ncr:1_{E9F4D81C-827C-4CED-8D82-6686FE79932D}" xr6:coauthVersionLast="47" xr6:coauthVersionMax="47" xr10:uidLastSave="{00000000-0000-0000-0000-000000000000}"/>
  <bookViews>
    <workbookView xWindow="-120" yWindow="-120" windowWidth="29040" windowHeight="15720" firstSheet="2" activeTab="4" xr2:uid="{75107836-221D-4796-955D-4A02084B07A4}"/>
  </bookViews>
  <sheets>
    <sheet name="Feuil1" sheetId="1" state="hidden" r:id="rId1"/>
    <sheet name="Pré-tab" sheetId="2" state="hidden" r:id="rId2"/>
    <sheet name="Source" sheetId="4" r:id="rId3"/>
    <sheet name="Data brutes" sheetId="5" r:id="rId4"/>
    <sheet name="Data filtrées" sheetId="6" r:id="rId5"/>
    <sheet name="Feuil4" sheetId="7" r:id="rId6"/>
  </sheets>
  <externalReferences>
    <externalReference r:id="rId7"/>
  </externalReferences>
  <definedNames>
    <definedName name="_xlnm._FilterDatabase" localSheetId="3" hidden="1">'Data brutes'!$A$1:$L$1</definedName>
    <definedName name="_xlnm._FilterDatabase" localSheetId="4" hidden="1">'Data filtrées'!$A$1:$J$138</definedName>
    <definedName name="_xlnm._FilterDatabase" localSheetId="0" hidden="1">Feuil1!$A$1:$O$1474</definedName>
    <definedName name="_xlnm._FilterDatabase" localSheetId="5" hidden="1">Feuil4!$D$1:$D$12</definedName>
    <definedName name="_xlnm._FilterDatabase" localSheetId="1" hidden="1">'Pré-tab'!$A$1:$Q$1476</definedName>
    <definedName name="_xlnm._FilterDatabase" localSheetId="2" hidden="1">Source!$A$1:$L$1562</definedName>
    <definedName name="_xlchart.v1.0" hidden="1">'[1]Data filtrées'!$B$2:$B$1086</definedName>
    <definedName name="_xlchart.v1.1" hidden="1">'[1]Data filtrées'!$G$1</definedName>
    <definedName name="_xlchart.v1.10" hidden="1">'[1]Data filtrées'!$I$1</definedName>
    <definedName name="_xlchart.v1.11" hidden="1">'[1]Data filtrées'!$I$2:$I$1086</definedName>
    <definedName name="_xlchart.v1.12" hidden="1">'[1]Data filtrées'!$B$2:$B$1086</definedName>
    <definedName name="_xlchart.v1.13" hidden="1">'[1]Data filtrées'!$J$1</definedName>
    <definedName name="_xlchart.v1.14" hidden="1">'[1]Data filtrées'!$J$2:$J$1086</definedName>
    <definedName name="_xlchart.v1.15" hidden="1">'[1]Data filtrées'!$B$2:$B$1086</definedName>
    <definedName name="_xlchart.v1.16" hidden="1">'[1]Data filtrées'!$H$1</definedName>
    <definedName name="_xlchart.v1.17" hidden="1">'[1]Data filtrées'!$H$2:$H$1086</definedName>
    <definedName name="_xlchart.v1.2" hidden="1">'[1]Data filtrées'!$G$2:$G$1086</definedName>
    <definedName name="_xlchart.v1.3" hidden="1">'[1]Data filtrées'!$B$2:$B$1086</definedName>
    <definedName name="_xlchart.v1.4" hidden="1">'[1]Data filtrées'!$E$1</definedName>
    <definedName name="_xlchart.v1.5" hidden="1">'[1]Data filtrées'!$E$2:$E$1086</definedName>
    <definedName name="_xlchart.v1.6" hidden="1">'[1]Data filtrées'!$B$2:$B$1086</definedName>
    <definedName name="_xlchart.v1.7" hidden="1">'[1]Data filtrées'!$F$1</definedName>
    <definedName name="_xlchart.v1.8" hidden="1">'[1]Data filtrées'!$F$2:$F$1086</definedName>
    <definedName name="_xlchart.v1.9" hidden="1">'[1]Data filtrées'!$B$2:$B$1086</definedName>
  </definedNames>
  <calcPr calcId="191029"/>
  <pivotCaches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6" l="1"/>
  <c r="O34" i="6"/>
  <c r="P34" i="6"/>
  <c r="Q34" i="6"/>
  <c r="R34" i="6"/>
  <c r="S34" i="6"/>
  <c r="T34" i="6"/>
  <c r="U34" i="6"/>
  <c r="V34" i="6"/>
  <c r="W34" i="6"/>
  <c r="X34" i="6"/>
  <c r="Y34" i="6"/>
  <c r="N35" i="6"/>
  <c r="O35" i="6"/>
  <c r="P35" i="6"/>
  <c r="Q35" i="6"/>
  <c r="R35" i="6"/>
  <c r="S35" i="6"/>
  <c r="T35" i="6"/>
  <c r="U35" i="6"/>
  <c r="V35" i="6"/>
  <c r="W35" i="6"/>
  <c r="X35" i="6"/>
  <c r="Y35" i="6"/>
  <c r="N36" i="6"/>
  <c r="O36" i="6"/>
  <c r="P36" i="6"/>
  <c r="Q36" i="6"/>
  <c r="R36" i="6"/>
  <c r="S36" i="6"/>
  <c r="T36" i="6"/>
  <c r="U36" i="6"/>
  <c r="V36" i="6"/>
  <c r="W36" i="6"/>
  <c r="X36" i="6"/>
  <c r="Y36" i="6"/>
  <c r="N37" i="6"/>
  <c r="O37" i="6"/>
  <c r="P37" i="6"/>
  <c r="Q37" i="6"/>
  <c r="R37" i="6"/>
  <c r="S37" i="6"/>
  <c r="T37" i="6"/>
  <c r="U37" i="6"/>
  <c r="V37" i="6"/>
  <c r="W37" i="6"/>
  <c r="X37" i="6"/>
  <c r="Y37" i="6"/>
  <c r="N38" i="6"/>
  <c r="O38" i="6"/>
  <c r="P38" i="6"/>
  <c r="Q38" i="6"/>
  <c r="R38" i="6"/>
  <c r="S38" i="6"/>
  <c r="T38" i="6"/>
  <c r="U38" i="6"/>
  <c r="V38" i="6"/>
  <c r="W38" i="6"/>
  <c r="X38" i="6"/>
  <c r="Y38" i="6"/>
  <c r="N39" i="6"/>
  <c r="O39" i="6"/>
  <c r="P39" i="6"/>
  <c r="Q39" i="6"/>
  <c r="R39" i="6"/>
  <c r="S39" i="6"/>
  <c r="T39" i="6"/>
  <c r="U39" i="6"/>
  <c r="V39" i="6"/>
  <c r="W39" i="6"/>
  <c r="X39" i="6"/>
  <c r="Y39" i="6"/>
  <c r="N40" i="6"/>
  <c r="O40" i="6"/>
  <c r="P40" i="6"/>
  <c r="Q40" i="6"/>
  <c r="R40" i="6"/>
  <c r="S40" i="6"/>
  <c r="T40" i="6"/>
  <c r="U40" i="6"/>
  <c r="V40" i="6"/>
  <c r="W40" i="6"/>
  <c r="X40" i="6"/>
  <c r="Y40" i="6"/>
  <c r="N41" i="6"/>
  <c r="O41" i="6"/>
  <c r="P41" i="6"/>
  <c r="Q41" i="6"/>
  <c r="R41" i="6"/>
  <c r="S41" i="6"/>
  <c r="T41" i="6"/>
  <c r="U41" i="6"/>
  <c r="V41" i="6"/>
  <c r="W41" i="6"/>
  <c r="X41" i="6"/>
  <c r="Y41" i="6"/>
  <c r="N42" i="6"/>
  <c r="O42" i="6"/>
  <c r="P42" i="6"/>
  <c r="Q42" i="6"/>
  <c r="R42" i="6"/>
  <c r="S42" i="6"/>
  <c r="T42" i="6"/>
  <c r="U42" i="6"/>
  <c r="V42" i="6"/>
  <c r="W42" i="6"/>
  <c r="X42" i="6"/>
  <c r="Y42" i="6"/>
  <c r="N43" i="6"/>
  <c r="O43" i="6"/>
  <c r="P43" i="6"/>
  <c r="Q43" i="6"/>
  <c r="R43" i="6"/>
  <c r="S43" i="6"/>
  <c r="T43" i="6"/>
  <c r="U43" i="6"/>
  <c r="V43" i="6"/>
  <c r="W43" i="6"/>
  <c r="X43" i="6"/>
  <c r="Y43" i="6"/>
  <c r="N44" i="6"/>
  <c r="O44" i="6"/>
  <c r="P44" i="6"/>
  <c r="Q44" i="6"/>
  <c r="R44" i="6"/>
  <c r="S44" i="6"/>
  <c r="T44" i="6"/>
  <c r="U44" i="6"/>
  <c r="V44" i="6"/>
  <c r="W44" i="6"/>
  <c r="X44" i="6"/>
  <c r="Y44" i="6"/>
  <c r="O7" i="6"/>
  <c r="P7" i="6"/>
  <c r="Q7" i="6"/>
  <c r="R7" i="6"/>
  <c r="S7" i="6"/>
  <c r="T7" i="6"/>
  <c r="U7" i="6"/>
  <c r="V7" i="6"/>
  <c r="W7" i="6"/>
  <c r="X7" i="6"/>
  <c r="Y7" i="6"/>
  <c r="N7" i="6"/>
  <c r="Y6" i="6"/>
  <c r="X6" i="6"/>
  <c r="W6" i="6"/>
  <c r="V6" i="6"/>
  <c r="U6" i="6"/>
  <c r="T6" i="6"/>
  <c r="S6" i="6"/>
  <c r="R6" i="6"/>
  <c r="Q6" i="6"/>
  <c r="P6" i="6"/>
  <c r="O6" i="6"/>
  <c r="N6" i="6"/>
  <c r="Y5" i="6"/>
  <c r="X5" i="6"/>
  <c r="W5" i="6"/>
  <c r="V5" i="6"/>
  <c r="U5" i="6"/>
  <c r="T5" i="6"/>
  <c r="S5" i="6"/>
  <c r="R5" i="6"/>
  <c r="Q5" i="6"/>
  <c r="P5" i="6"/>
  <c r="O5" i="6"/>
  <c r="N5" i="6"/>
  <c r="Y4" i="6"/>
  <c r="X4" i="6"/>
  <c r="W4" i="6"/>
  <c r="V4" i="6"/>
  <c r="U4" i="6"/>
  <c r="T4" i="6"/>
  <c r="S4" i="6"/>
  <c r="R4" i="6"/>
  <c r="Q4" i="6"/>
  <c r="P4" i="6"/>
  <c r="O4" i="6"/>
  <c r="N4" i="6"/>
  <c r="Y3" i="6"/>
  <c r="X3" i="6"/>
  <c r="W3" i="6"/>
  <c r="V3" i="6"/>
  <c r="U3" i="6"/>
  <c r="T3" i="6"/>
  <c r="S3" i="6"/>
  <c r="R3" i="6"/>
  <c r="Q3" i="6"/>
  <c r="P3" i="6"/>
  <c r="O3" i="6"/>
  <c r="N3" i="6"/>
  <c r="Y2" i="6"/>
  <c r="X2" i="6"/>
  <c r="W2" i="6"/>
  <c r="V2" i="6"/>
  <c r="U2" i="6"/>
  <c r="T2" i="6"/>
  <c r="S2" i="6"/>
  <c r="R2" i="6"/>
  <c r="Q2" i="6"/>
  <c r="P2" i="6"/>
  <c r="O2" i="6"/>
  <c r="N2" i="6"/>
  <c r="Y1" i="6"/>
  <c r="X1" i="6"/>
  <c r="W1" i="6"/>
  <c r="V1" i="6"/>
  <c r="U1" i="6"/>
  <c r="T1" i="6"/>
  <c r="S1" i="6"/>
  <c r="R1" i="6"/>
  <c r="Q1" i="6"/>
  <c r="P1" i="6"/>
  <c r="O1" i="6"/>
  <c r="N1" i="6"/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2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O16" i="6" l="1"/>
  <c r="Q16" i="6"/>
  <c r="S16" i="6"/>
  <c r="U16" i="6"/>
  <c r="V16" i="6"/>
  <c r="P16" i="6"/>
  <c r="R16" i="6"/>
  <c r="T16" i="6"/>
  <c r="W16" i="6"/>
  <c r="Y16" i="6"/>
  <c r="X16" i="6"/>
  <c r="N16" i="6"/>
  <c r="N14" i="6"/>
  <c r="N27" i="6" s="1"/>
  <c r="N13" i="6"/>
  <c r="N29" i="6" s="1"/>
  <c r="N12" i="6"/>
  <c r="N11" i="6"/>
  <c r="N15" i="6"/>
  <c r="N21" i="6" s="1"/>
  <c r="N10" i="6"/>
  <c r="W13" i="6"/>
  <c r="W29" i="6" s="1"/>
  <c r="W14" i="6"/>
  <c r="W27" i="6" s="1"/>
  <c r="W11" i="6"/>
  <c r="T12" i="6"/>
  <c r="O14" i="6"/>
  <c r="O27" i="6" s="1"/>
  <c r="O15" i="6"/>
  <c r="O21" i="6" s="1"/>
  <c r="R12" i="6"/>
  <c r="Q15" i="6"/>
  <c r="Q21" i="6" s="1"/>
  <c r="O13" i="6"/>
  <c r="O29" i="6" s="1"/>
  <c r="X13" i="6"/>
  <c r="X29" i="6" s="1"/>
  <c r="S15" i="6"/>
  <c r="S21" i="6" s="1"/>
  <c r="Y11" i="6"/>
  <c r="P12" i="6"/>
  <c r="U11" i="6"/>
  <c r="Q14" i="6"/>
  <c r="Q27" i="6" s="1"/>
  <c r="Q13" i="6"/>
  <c r="Q29" i="6" s="1"/>
  <c r="R15" i="6"/>
  <c r="R21" i="6" s="1"/>
  <c r="Y10" i="6"/>
  <c r="X15" i="6"/>
  <c r="X21" i="6" s="1"/>
  <c r="P15" i="6"/>
  <c r="P21" i="6" s="1"/>
  <c r="X12" i="6"/>
  <c r="U14" i="6"/>
  <c r="U27" i="6" s="1"/>
  <c r="Q12" i="6"/>
  <c r="P14" i="6"/>
  <c r="P27" i="6" s="1"/>
  <c r="P11" i="6"/>
  <c r="P13" i="6"/>
  <c r="P29" i="6" s="1"/>
  <c r="R11" i="6"/>
  <c r="O12" i="6"/>
  <c r="O10" i="6"/>
  <c r="Q10" i="6"/>
  <c r="Y14" i="6"/>
  <c r="Y27" i="6" s="1"/>
  <c r="S11" i="6"/>
  <c r="U10" i="6"/>
  <c r="U15" i="6"/>
  <c r="U21" i="6" s="1"/>
  <c r="Y15" i="6"/>
  <c r="Y21" i="6" s="1"/>
  <c r="P10" i="6"/>
  <c r="V10" i="6"/>
  <c r="T14" i="6"/>
  <c r="T27" i="6" s="1"/>
  <c r="U13" i="6"/>
  <c r="U29" i="6" s="1"/>
  <c r="W12" i="6"/>
  <c r="V14" i="6"/>
  <c r="V27" i="6" s="1"/>
  <c r="V13" i="6"/>
  <c r="V29" i="6" s="1"/>
  <c r="Y12" i="6"/>
  <c r="T15" i="6"/>
  <c r="T21" i="6" s="1"/>
  <c r="S12" i="6"/>
  <c r="R10" i="6"/>
  <c r="X14" i="6"/>
  <c r="X27" i="6" s="1"/>
  <c r="R13" i="6"/>
  <c r="R29" i="6" s="1"/>
  <c r="T10" i="6"/>
  <c r="Q11" i="6"/>
  <c r="U12" i="6"/>
  <c r="W10" i="6"/>
  <c r="Y13" i="6"/>
  <c r="Y29" i="6" s="1"/>
  <c r="S13" i="6"/>
  <c r="S29" i="6" s="1"/>
  <c r="X10" i="6"/>
  <c r="V12" i="6"/>
  <c r="R14" i="6"/>
  <c r="R27" i="6" s="1"/>
  <c r="T11" i="6"/>
  <c r="S10" i="6"/>
  <c r="W15" i="6"/>
  <c r="W21" i="6" s="1"/>
  <c r="X11" i="6"/>
  <c r="O11" i="6"/>
  <c r="V11" i="6"/>
  <c r="V15" i="6"/>
  <c r="V21" i="6" s="1"/>
  <c r="S14" i="6"/>
  <c r="S27" i="6" s="1"/>
  <c r="T13" i="6"/>
  <c r="T29" i="6" s="1"/>
  <c r="U30" i="6" l="1"/>
  <c r="U20" i="6"/>
  <c r="S30" i="6"/>
  <c r="S20" i="6"/>
  <c r="O23" i="6"/>
  <c r="O24" i="6"/>
  <c r="Q22" i="6"/>
  <c r="Q28" i="6"/>
  <c r="N24" i="6"/>
  <c r="N23" i="6"/>
  <c r="S25" i="6"/>
  <c r="S26" i="6"/>
  <c r="P26" i="6"/>
  <c r="P25" i="6"/>
  <c r="O26" i="6"/>
  <c r="O25" i="6"/>
  <c r="Y26" i="6"/>
  <c r="Y25" i="6"/>
  <c r="T23" i="6"/>
  <c r="T24" i="6"/>
  <c r="N20" i="6"/>
  <c r="N30" i="6"/>
  <c r="P23" i="6"/>
  <c r="P24" i="6"/>
  <c r="X20" i="6"/>
  <c r="X30" i="6"/>
  <c r="W25" i="6"/>
  <c r="W26" i="6"/>
  <c r="X22" i="6"/>
  <c r="X28" i="6"/>
  <c r="Q26" i="6"/>
  <c r="Q25" i="6"/>
  <c r="W20" i="6"/>
  <c r="W30" i="6"/>
  <c r="T30" i="6"/>
  <c r="T20" i="6"/>
  <c r="V28" i="6"/>
  <c r="V22" i="6"/>
  <c r="R30" i="6"/>
  <c r="R20" i="6"/>
  <c r="P22" i="6"/>
  <c r="P28" i="6"/>
  <c r="P30" i="6"/>
  <c r="P20" i="6"/>
  <c r="U25" i="6"/>
  <c r="U26" i="6"/>
  <c r="W24" i="6"/>
  <c r="W23" i="6"/>
  <c r="S24" i="6"/>
  <c r="S23" i="6"/>
  <c r="N22" i="6"/>
  <c r="N28" i="6"/>
  <c r="Q20" i="6"/>
  <c r="Q30" i="6"/>
  <c r="R22" i="6"/>
  <c r="R28" i="6"/>
  <c r="U23" i="6"/>
  <c r="U24" i="6"/>
  <c r="X24" i="6"/>
  <c r="X23" i="6"/>
  <c r="O22" i="6"/>
  <c r="O28" i="6"/>
  <c r="N26" i="6"/>
  <c r="N25" i="6"/>
  <c r="Y24" i="6"/>
  <c r="Y23" i="6"/>
  <c r="S22" i="6"/>
  <c r="S28" i="6"/>
  <c r="R24" i="6"/>
  <c r="R23" i="6"/>
  <c r="V25" i="6"/>
  <c r="V26" i="6"/>
  <c r="Y20" i="6"/>
  <c r="Y30" i="6"/>
  <c r="R26" i="6"/>
  <c r="R25" i="6"/>
  <c r="X25" i="6"/>
  <c r="X26" i="6"/>
  <c r="W28" i="6"/>
  <c r="W22" i="6"/>
  <c r="T25" i="6"/>
  <c r="T26" i="6"/>
  <c r="V30" i="6"/>
  <c r="V20" i="6"/>
  <c r="Q23" i="6"/>
  <c r="Q24" i="6"/>
  <c r="Y28" i="6"/>
  <c r="Y22" i="6"/>
  <c r="T22" i="6"/>
  <c r="T28" i="6"/>
  <c r="U22" i="6"/>
  <c r="U28" i="6"/>
  <c r="V23" i="6"/>
  <c r="V24" i="6"/>
  <c r="O30" i="6"/>
  <c r="O20" i="6"/>
  <c r="W92" i="6"/>
  <c r="W64" i="6"/>
  <c r="W78" i="6"/>
  <c r="W50" i="6"/>
  <c r="O72" i="6"/>
  <c r="O100" i="6"/>
  <c r="O86" i="6"/>
  <c r="O58" i="6"/>
  <c r="P62" i="6"/>
  <c r="P49" i="6"/>
  <c r="P91" i="6"/>
  <c r="P77" i="6"/>
  <c r="P76" i="6"/>
  <c r="P90" i="6"/>
  <c r="P63" i="6"/>
  <c r="P48" i="6"/>
  <c r="P79" i="6"/>
  <c r="P65" i="6"/>
  <c r="P93" i="6"/>
  <c r="P80" i="6"/>
  <c r="P94" i="6"/>
  <c r="P51" i="6"/>
  <c r="P66" i="6"/>
  <c r="P52" i="6"/>
  <c r="R98" i="6"/>
  <c r="R56" i="6"/>
  <c r="R70" i="6"/>
  <c r="R84" i="6"/>
  <c r="T57" i="6"/>
  <c r="T99" i="6"/>
  <c r="T71" i="6"/>
  <c r="T85" i="6"/>
  <c r="R100" i="6"/>
  <c r="R86" i="6"/>
  <c r="R58" i="6"/>
  <c r="R72" i="6"/>
  <c r="R94" i="6"/>
  <c r="R52" i="6"/>
  <c r="R93" i="6"/>
  <c r="R66" i="6"/>
  <c r="R80" i="6"/>
  <c r="R79" i="6"/>
  <c r="R51" i="6"/>
  <c r="R65" i="6"/>
  <c r="S100" i="6"/>
  <c r="S58" i="6"/>
  <c r="S72" i="6"/>
  <c r="S86" i="6"/>
  <c r="N86" i="6"/>
  <c r="N72" i="6"/>
  <c r="N58" i="6"/>
  <c r="N100" i="6"/>
  <c r="T81" i="6"/>
  <c r="T82" i="6"/>
  <c r="T96" i="6"/>
  <c r="T68" i="6"/>
  <c r="T97" i="6"/>
  <c r="T83" i="6"/>
  <c r="T53" i="6"/>
  <c r="T95" i="6"/>
  <c r="T54" i="6"/>
  <c r="T67" i="6"/>
  <c r="T69" i="6"/>
  <c r="T55" i="6"/>
  <c r="N93" i="6"/>
  <c r="N66" i="6"/>
  <c r="N94" i="6"/>
  <c r="N79" i="6"/>
  <c r="N51" i="6"/>
  <c r="N52" i="6"/>
  <c r="N80" i="6"/>
  <c r="N65" i="6"/>
  <c r="O78" i="6"/>
  <c r="O64" i="6"/>
  <c r="O50" i="6"/>
  <c r="O92" i="6"/>
  <c r="Q94" i="6"/>
  <c r="Q79" i="6"/>
  <c r="Q52" i="6"/>
  <c r="Q93" i="6"/>
  <c r="Q65" i="6"/>
  <c r="Q66" i="6"/>
  <c r="Q80" i="6"/>
  <c r="Q51" i="6"/>
  <c r="T86" i="6"/>
  <c r="T72" i="6"/>
  <c r="T58" i="6"/>
  <c r="T100" i="6"/>
  <c r="S91" i="6"/>
  <c r="S76" i="6"/>
  <c r="S90" i="6"/>
  <c r="S49" i="6"/>
  <c r="S63" i="6"/>
  <c r="S48" i="6"/>
  <c r="S62" i="6"/>
  <c r="S77" i="6"/>
  <c r="O71" i="6"/>
  <c r="O99" i="6"/>
  <c r="O85" i="6"/>
  <c r="O57" i="6"/>
  <c r="T48" i="6"/>
  <c r="T91" i="6"/>
  <c r="T62" i="6"/>
  <c r="T77" i="6"/>
  <c r="T63" i="6"/>
  <c r="T76" i="6"/>
  <c r="T90" i="6"/>
  <c r="T49" i="6"/>
  <c r="Y69" i="6"/>
  <c r="Y55" i="6"/>
  <c r="Y54" i="6"/>
  <c r="Y68" i="6"/>
  <c r="Y95" i="6"/>
  <c r="Y53" i="6"/>
  <c r="Y67" i="6"/>
  <c r="Y96" i="6"/>
  <c r="Y82" i="6"/>
  <c r="Y81" i="6"/>
  <c r="Y97" i="6"/>
  <c r="Y83" i="6"/>
  <c r="X79" i="6"/>
  <c r="X94" i="6"/>
  <c r="X52" i="6"/>
  <c r="X65" i="6"/>
  <c r="X93" i="6"/>
  <c r="X66" i="6"/>
  <c r="X80" i="6"/>
  <c r="X51" i="6"/>
  <c r="P57" i="6"/>
  <c r="P99" i="6"/>
  <c r="P85" i="6"/>
  <c r="P71" i="6"/>
  <c r="O79" i="6"/>
  <c r="O94" i="6"/>
  <c r="O66" i="6"/>
  <c r="O51" i="6"/>
  <c r="O65" i="6"/>
  <c r="O93" i="6"/>
  <c r="O80" i="6"/>
  <c r="O52" i="6"/>
  <c r="V65" i="6"/>
  <c r="V79" i="6"/>
  <c r="V51" i="6"/>
  <c r="V52" i="6"/>
  <c r="V66" i="6"/>
  <c r="V93" i="6"/>
  <c r="V94" i="6"/>
  <c r="V80" i="6"/>
  <c r="U95" i="6"/>
  <c r="U55" i="6"/>
  <c r="U53" i="6"/>
  <c r="U67" i="6"/>
  <c r="U68" i="6"/>
  <c r="U54" i="6"/>
  <c r="U83" i="6"/>
  <c r="U81" i="6"/>
  <c r="U96" i="6"/>
  <c r="U82" i="6"/>
  <c r="U69" i="6"/>
  <c r="U97" i="6"/>
  <c r="Q56" i="6"/>
  <c r="Q98" i="6"/>
  <c r="Q84" i="6"/>
  <c r="Q70" i="6"/>
  <c r="V82" i="6"/>
  <c r="V55" i="6"/>
  <c r="V81" i="6"/>
  <c r="V83" i="6"/>
  <c r="V68" i="6"/>
  <c r="V95" i="6"/>
  <c r="V53" i="6"/>
  <c r="V54" i="6"/>
  <c r="V96" i="6"/>
  <c r="V67" i="6"/>
  <c r="V97" i="6"/>
  <c r="V69" i="6"/>
  <c r="T94" i="6"/>
  <c r="T80" i="6"/>
  <c r="T93" i="6"/>
  <c r="T51" i="6"/>
  <c r="T52" i="6"/>
  <c r="T79" i="6"/>
  <c r="T65" i="6"/>
  <c r="T66" i="6"/>
  <c r="V71" i="6"/>
  <c r="V85" i="6"/>
  <c r="V99" i="6"/>
  <c r="V57" i="6"/>
  <c r="S82" i="6"/>
  <c r="S83" i="6"/>
  <c r="S69" i="6"/>
  <c r="S97" i="6"/>
  <c r="S96" i="6"/>
  <c r="S54" i="6"/>
  <c r="S53" i="6"/>
  <c r="S68" i="6"/>
  <c r="S67" i="6"/>
  <c r="S55" i="6"/>
  <c r="S95" i="6"/>
  <c r="S81" i="6"/>
  <c r="O70" i="6"/>
  <c r="O98" i="6"/>
  <c r="O56" i="6"/>
  <c r="O84" i="6"/>
  <c r="S66" i="6"/>
  <c r="S65" i="6"/>
  <c r="S93" i="6"/>
  <c r="S80" i="6"/>
  <c r="S94" i="6"/>
  <c r="S52" i="6"/>
  <c r="S51" i="6"/>
  <c r="S79" i="6"/>
  <c r="Y94" i="6"/>
  <c r="Y52" i="6"/>
  <c r="Y93" i="6"/>
  <c r="Y79" i="6"/>
  <c r="Y65" i="6"/>
  <c r="Y66" i="6"/>
  <c r="Y80" i="6"/>
  <c r="Y51" i="6"/>
  <c r="R64" i="6"/>
  <c r="R78" i="6"/>
  <c r="R50" i="6"/>
  <c r="R92" i="6"/>
  <c r="V78" i="6"/>
  <c r="V50" i="6"/>
  <c r="V64" i="6"/>
  <c r="V92" i="6"/>
  <c r="R71" i="6"/>
  <c r="R57" i="6"/>
  <c r="R99" i="6"/>
  <c r="R85" i="6"/>
  <c r="V91" i="6"/>
  <c r="V77" i="6"/>
  <c r="V76" i="6"/>
  <c r="V90" i="6"/>
  <c r="V49" i="6"/>
  <c r="V63" i="6"/>
  <c r="V48" i="6"/>
  <c r="V62" i="6"/>
  <c r="Q100" i="6"/>
  <c r="Q72" i="6"/>
  <c r="Q86" i="6"/>
  <c r="Q58" i="6"/>
  <c r="Y56" i="6"/>
  <c r="Y98" i="6"/>
  <c r="Y70" i="6"/>
  <c r="Y84" i="6"/>
  <c r="W85" i="6"/>
  <c r="W71" i="6"/>
  <c r="W57" i="6"/>
  <c r="W99" i="6"/>
  <c r="Q54" i="6"/>
  <c r="Q97" i="6"/>
  <c r="Q95" i="6"/>
  <c r="Q83" i="6"/>
  <c r="Q53" i="6"/>
  <c r="Q67" i="6"/>
  <c r="Q69" i="6"/>
  <c r="Q82" i="6"/>
  <c r="Q68" i="6"/>
  <c r="Q55" i="6"/>
  <c r="Q96" i="6"/>
  <c r="Q81" i="6"/>
  <c r="W84" i="6"/>
  <c r="W70" i="6"/>
  <c r="W98" i="6"/>
  <c r="W56" i="6"/>
  <c r="Q99" i="6"/>
  <c r="Q57" i="6"/>
  <c r="Q85" i="6"/>
  <c r="Q71" i="6"/>
  <c r="W79" i="6"/>
  <c r="W80" i="6"/>
  <c r="W94" i="6"/>
  <c r="W51" i="6"/>
  <c r="W52" i="6"/>
  <c r="W66" i="6"/>
  <c r="W93" i="6"/>
  <c r="W65" i="6"/>
  <c r="Q64" i="6"/>
  <c r="Q50" i="6"/>
  <c r="Q78" i="6"/>
  <c r="Q92" i="6"/>
  <c r="N84" i="6"/>
  <c r="N56" i="6"/>
  <c r="N70" i="6"/>
  <c r="N98" i="6"/>
  <c r="U98" i="6"/>
  <c r="U70" i="6"/>
  <c r="U84" i="6"/>
  <c r="U56" i="6"/>
  <c r="T92" i="6"/>
  <c r="T78" i="6"/>
  <c r="T64" i="6"/>
  <c r="T50" i="6"/>
  <c r="V86" i="6"/>
  <c r="V72" i="6"/>
  <c r="V58" i="6"/>
  <c r="V100" i="6"/>
  <c r="N71" i="6"/>
  <c r="N99" i="6"/>
  <c r="N85" i="6"/>
  <c r="N57" i="6"/>
  <c r="U49" i="6"/>
  <c r="U63" i="6"/>
  <c r="U90" i="6"/>
  <c r="U91" i="6"/>
  <c r="U77" i="6"/>
  <c r="U48" i="6"/>
  <c r="U76" i="6"/>
  <c r="U62" i="6"/>
  <c r="P82" i="6"/>
  <c r="P68" i="6"/>
  <c r="P53" i="6"/>
  <c r="P55" i="6"/>
  <c r="P96" i="6"/>
  <c r="P69" i="6"/>
  <c r="P97" i="6"/>
  <c r="P67" i="6"/>
  <c r="P54" i="6"/>
  <c r="P95" i="6"/>
  <c r="P81" i="6"/>
  <c r="P83" i="6"/>
  <c r="Y64" i="6"/>
  <c r="Y50" i="6"/>
  <c r="Y92" i="6"/>
  <c r="Y78" i="6"/>
  <c r="W100" i="6"/>
  <c r="W72" i="6"/>
  <c r="W58" i="6"/>
  <c r="W86" i="6"/>
  <c r="N76" i="6"/>
  <c r="N90" i="6"/>
  <c r="N62" i="6"/>
  <c r="N63" i="6"/>
  <c r="N77" i="6"/>
  <c r="N48" i="6"/>
  <c r="N49" i="6"/>
  <c r="N91" i="6"/>
  <c r="Q62" i="6"/>
  <c r="Q91" i="6"/>
  <c r="Q77" i="6"/>
  <c r="Q63" i="6"/>
  <c r="Q49" i="6"/>
  <c r="Q76" i="6"/>
  <c r="Q48" i="6"/>
  <c r="Q90" i="6"/>
  <c r="X62" i="6"/>
  <c r="X48" i="6"/>
  <c r="X76" i="6"/>
  <c r="X77" i="6"/>
  <c r="X90" i="6"/>
  <c r="X63" i="6"/>
  <c r="X49" i="6"/>
  <c r="X91" i="6"/>
  <c r="O76" i="6"/>
  <c r="O91" i="6"/>
  <c r="O90" i="6"/>
  <c r="O49" i="6"/>
  <c r="O77" i="6"/>
  <c r="O48" i="6"/>
  <c r="O62" i="6"/>
  <c r="O63" i="6"/>
  <c r="Y58" i="6"/>
  <c r="Y100" i="6"/>
  <c r="Y86" i="6"/>
  <c r="Y72" i="6"/>
  <c r="P100" i="6"/>
  <c r="P86" i="6"/>
  <c r="P72" i="6"/>
  <c r="P58" i="6"/>
  <c r="X97" i="6"/>
  <c r="X96" i="6"/>
  <c r="X68" i="6"/>
  <c r="X95" i="6"/>
  <c r="X81" i="6"/>
  <c r="X67" i="6"/>
  <c r="X83" i="6"/>
  <c r="X53" i="6"/>
  <c r="X69" i="6"/>
  <c r="X82" i="6"/>
  <c r="X54" i="6"/>
  <c r="X55" i="6"/>
  <c r="P70" i="6"/>
  <c r="P84" i="6"/>
  <c r="P56" i="6"/>
  <c r="P98" i="6"/>
  <c r="U71" i="6"/>
  <c r="U85" i="6"/>
  <c r="U99" i="6"/>
  <c r="U57" i="6"/>
  <c r="U51" i="6"/>
  <c r="U52" i="6"/>
  <c r="U94" i="6"/>
  <c r="U65" i="6"/>
  <c r="U66" i="6"/>
  <c r="U79" i="6"/>
  <c r="U93" i="6"/>
  <c r="U80" i="6"/>
  <c r="V70" i="6"/>
  <c r="V84" i="6"/>
  <c r="V98" i="6"/>
  <c r="V56" i="6"/>
  <c r="S71" i="6"/>
  <c r="S57" i="6"/>
  <c r="S99" i="6"/>
  <c r="S85" i="6"/>
  <c r="X56" i="6"/>
  <c r="X98" i="6"/>
  <c r="X70" i="6"/>
  <c r="X84" i="6"/>
  <c r="O53" i="6"/>
  <c r="O68" i="6"/>
  <c r="O54" i="6"/>
  <c r="O95" i="6"/>
  <c r="O83" i="6"/>
  <c r="O82" i="6"/>
  <c r="O97" i="6"/>
  <c r="O69" i="6"/>
  <c r="O96" i="6"/>
  <c r="O81" i="6"/>
  <c r="O55" i="6"/>
  <c r="O67" i="6"/>
  <c r="R76" i="6"/>
  <c r="R62" i="6"/>
  <c r="R91" i="6"/>
  <c r="R48" i="6"/>
  <c r="R77" i="6"/>
  <c r="R63" i="6"/>
  <c r="R90" i="6"/>
  <c r="R49" i="6"/>
  <c r="Y90" i="6"/>
  <c r="Y62" i="6"/>
  <c r="Y48" i="6"/>
  <c r="Y77" i="6"/>
  <c r="Y63" i="6"/>
  <c r="Y76" i="6"/>
  <c r="Y91" i="6"/>
  <c r="Y49" i="6"/>
  <c r="W63" i="6"/>
  <c r="W76" i="6"/>
  <c r="W48" i="6"/>
  <c r="W77" i="6"/>
  <c r="W91" i="6"/>
  <c r="W62" i="6"/>
  <c r="W90" i="6"/>
  <c r="W49" i="6"/>
  <c r="N55" i="6"/>
  <c r="N53" i="6"/>
  <c r="N83" i="6"/>
  <c r="N69" i="6"/>
  <c r="N68" i="6"/>
  <c r="N95" i="6"/>
  <c r="N81" i="6"/>
  <c r="N67" i="6"/>
  <c r="N82" i="6"/>
  <c r="N54" i="6"/>
  <c r="N96" i="6"/>
  <c r="N97" i="6"/>
  <c r="X57" i="6"/>
  <c r="X71" i="6"/>
  <c r="X99" i="6"/>
  <c r="X85" i="6"/>
  <c r="P92" i="6"/>
  <c r="P78" i="6"/>
  <c r="P50" i="6"/>
  <c r="P64" i="6"/>
  <c r="X50" i="6"/>
  <c r="X92" i="6"/>
  <c r="X64" i="6"/>
  <c r="X78" i="6"/>
  <c r="W53" i="6"/>
  <c r="W95" i="6"/>
  <c r="W55" i="6"/>
  <c r="W81" i="6"/>
  <c r="W82" i="6"/>
  <c r="W96" i="6"/>
  <c r="W97" i="6"/>
  <c r="W83" i="6"/>
  <c r="W68" i="6"/>
  <c r="W69" i="6"/>
  <c r="W54" i="6"/>
  <c r="W67" i="6"/>
  <c r="Y57" i="6"/>
  <c r="Y71" i="6"/>
  <c r="Y99" i="6"/>
  <c r="Y85" i="6"/>
  <c r="U92" i="6"/>
  <c r="U78" i="6"/>
  <c r="U64" i="6"/>
  <c r="U50" i="6"/>
  <c r="R81" i="6"/>
  <c r="R67" i="6"/>
  <c r="R83" i="6"/>
  <c r="R69" i="6"/>
  <c r="R82" i="6"/>
  <c r="R68" i="6"/>
  <c r="R96" i="6"/>
  <c r="R53" i="6"/>
  <c r="R55" i="6"/>
  <c r="R54" i="6"/>
  <c r="R97" i="6"/>
  <c r="R95" i="6"/>
  <c r="U100" i="6"/>
  <c r="U86" i="6"/>
  <c r="U72" i="6"/>
  <c r="U58" i="6"/>
  <c r="T84" i="6"/>
  <c r="T70" i="6"/>
  <c r="T98" i="6"/>
  <c r="T56" i="6"/>
  <c r="S50" i="6"/>
  <c r="S64" i="6"/>
  <c r="S92" i="6"/>
  <c r="S78" i="6"/>
  <c r="X58" i="6"/>
  <c r="X86" i="6"/>
  <c r="X72" i="6"/>
  <c r="X100" i="6"/>
  <c r="S84" i="6"/>
  <c r="S98" i="6"/>
  <c r="S56" i="6"/>
  <c r="S70" i="6"/>
  <c r="N78" i="6"/>
  <c r="N64" i="6"/>
  <c r="N92" i="6"/>
  <c r="N50" i="6"/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2" i="5"/>
  <c r="A4" i="2"/>
  <c r="A3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2" i="2"/>
  <c r="Q1430" i="2" l="1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619" i="2" l="1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H1332" i="2" l="1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4" i="2"/>
  <c r="H1403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8" i="2"/>
  <c r="H1209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177" i="2"/>
  <c r="H1178" i="2"/>
  <c r="H1179" i="2"/>
  <c r="H1180" i="2"/>
  <c r="H1181" i="2"/>
  <c r="H1182" i="2"/>
  <c r="H1183" i="2"/>
  <c r="H1166" i="2"/>
  <c r="H1167" i="2"/>
  <c r="H1168" i="2"/>
  <c r="H1169" i="2"/>
  <c r="H1170" i="2"/>
  <c r="H1171" i="2"/>
  <c r="H1172" i="2"/>
  <c r="H1173" i="2"/>
  <c r="H1174" i="2"/>
  <c r="H1175" i="2"/>
  <c r="H11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971" i="2"/>
  <c r="H972" i="2"/>
  <c r="H973" i="2"/>
  <c r="H974" i="2"/>
  <c r="H975" i="2"/>
  <c r="H976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47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28" i="2"/>
  <c r="H929" i="2"/>
  <c r="H930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09" i="2"/>
  <c r="H910" i="2"/>
  <c r="H911" i="2"/>
  <c r="H781" i="2" l="1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770" i="2"/>
  <c r="H771" i="2"/>
  <c r="H772" i="2"/>
  <c r="H773" i="2"/>
  <c r="H774" i="2"/>
  <c r="H775" i="2"/>
  <c r="H776" i="2"/>
  <c r="H777" i="2"/>
  <c r="H778" i="2"/>
  <c r="H779" i="2"/>
  <c r="H780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680" i="2"/>
  <c r="H681" i="2"/>
  <c r="H682" i="2"/>
  <c r="H683" i="2"/>
  <c r="H679" i="2"/>
  <c r="H670" i="2"/>
  <c r="H671" i="2"/>
  <c r="H672" i="2"/>
  <c r="H673" i="2"/>
  <c r="H674" i="2"/>
  <c r="H675" i="2"/>
  <c r="H676" i="2"/>
  <c r="H677" i="2"/>
  <c r="H678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499" i="2"/>
  <c r="H500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45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6" i="2"/>
  <c r="H447" i="2"/>
  <c r="H448" i="2"/>
  <c r="H449" i="2"/>
  <c r="H450" i="2"/>
  <c r="H451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762" i="1" l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O1221" i="1" l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21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 RATSIMBAZAFY</author>
  </authors>
  <commentList>
    <comment ref="C1" authorId="0" shapeId="0" xr:uid="{15791D01-E642-4C02-A8EE-34C2354C696B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N° couche</t>
        </r>
      </text>
    </comment>
    <comment ref="C731" authorId="0" shapeId="0" xr:uid="{76A6BE15-F3FC-4EAE-AA2C-728A30495B61}">
      <text>
        <r>
          <rPr>
            <b/>
            <sz val="9"/>
            <color indexed="81"/>
            <rFont val="Tahoma"/>
            <family val="2"/>
          </rPr>
          <t xml:space="preserve">Johanne RATSIMBAZAFY:
fin Nogent 08/22
</t>
        </r>
      </text>
    </comment>
    <comment ref="C1097" authorId="0" shapeId="0" xr:uid="{4BD527B6-7087-4162-9895-A2DEBC1EDE31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début 2023</t>
        </r>
      </text>
    </comment>
    <comment ref="C1220" authorId="0" shapeId="0" xr:uid="{BE6515FB-7181-4D7C-ACEC-78C3628DA125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fin année 2023</t>
        </r>
      </text>
    </comment>
    <comment ref="K1439" authorId="0" shapeId="0" xr:uid="{964F1B20-027F-406B-A03D-DD85B74238A6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à vérifier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 RATSIMBAZAFY</author>
  </authors>
  <commentList>
    <comment ref="C1" authorId="0" shapeId="0" xr:uid="{9EA1160A-94CD-4DCC-BB0B-88A9DB269066}">
      <text>
        <r>
          <rPr>
            <b/>
            <sz val="9"/>
            <color indexed="81"/>
            <rFont val="Tahoma"/>
            <family val="2"/>
          </rPr>
          <t>Johanne :RATSIMBAZAFY:</t>
        </r>
        <r>
          <rPr>
            <sz val="9"/>
            <color indexed="81"/>
            <rFont val="Tahoma"/>
            <family val="2"/>
          </rPr>
          <t xml:space="preserve">
N° couche</t>
        </r>
      </text>
    </comment>
    <comment ref="S4" authorId="0" shapeId="0" xr:uid="{17B9086C-EA2B-4423-A04B-CA05452ECCA4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donc lien avec paramètre recherché impossible</t>
        </r>
      </text>
    </comment>
    <comment ref="D452" authorId="0" shapeId="0" xr:uid="{F4B146A4-C12D-4AD2-A787-7F9D0A6D97E7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531" authorId="0" shapeId="0" xr:uid="{0148F96F-6340-4067-BE5A-C88A07FC819F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589" authorId="0" shapeId="0" xr:uid="{04893151-B4DA-430A-8768-43FCE3118B38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
</t>
        </r>
      </text>
    </comment>
    <comment ref="D590" authorId="0" shapeId="0" xr:uid="{E07F385D-67D8-48CD-B25F-6C37A6249E7D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18" authorId="0" shapeId="0" xr:uid="{4B2AAD05-C01E-4FCA-BC37-7E0140857FB1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19" authorId="0" shapeId="0" xr:uid="{8AC9E2B5-C492-419D-8A33-D8156D6348A3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54" authorId="0" shapeId="0" xr:uid="{5C115C60-40CD-462D-A9FC-2B7274617159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55" authorId="0" shapeId="0" xr:uid="{C62DC127-8DA7-4CEE-A6CD-57F839A0539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70" authorId="0" shapeId="0" xr:uid="{7B6EA5F5-4BA1-4EA1-81B8-8F51A2AE4A3C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71" authorId="0" shapeId="0" xr:uid="{9C0BAB51-0B31-4E93-A17E-5278A7A2C3FD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72" authorId="0" shapeId="0" xr:uid="{B1544DC6-49D1-48B4-B900-6AF1BE1F19C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673" authorId="0" shapeId="0" xr:uid="{CE5D6DEF-D38D-4442-A76D-3F25F1CFE1D7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C731" authorId="0" shapeId="0" xr:uid="{497CC4C7-786E-458F-8906-39CF6C458242}">
      <text>
        <r>
          <rPr>
            <b/>
            <sz val="9"/>
            <color indexed="81"/>
            <rFont val="Tahoma"/>
            <family val="2"/>
          </rPr>
          <t xml:space="preserve">Johanne RATSIMBAZAFY:
fin Nogent 08/22
</t>
        </r>
      </text>
    </comment>
    <comment ref="D909" authorId="0" shapeId="0" xr:uid="{18017B18-551A-479F-8CBB-E5F64F107333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912" authorId="0" shapeId="0" xr:uid="{A70081C4-8B08-4F93-9063-94CBF46684EB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913" authorId="0" shapeId="0" xr:uid="{E965E05A-C24B-43F9-A579-5E6CAA502A4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948" authorId="0" shapeId="0" xr:uid="{0557481A-EEC9-44F5-91E2-DC2A392C779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971" authorId="0" shapeId="0" xr:uid="{4BF6615F-EEFF-4BFD-A2AC-CB541355BB2E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1031" authorId="0" shapeId="0" xr:uid="{2B6F8E53-107A-47F8-827B-6530667E3D7E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Existe mais pas d'hum orge
</t>
        </r>
      </text>
    </comment>
    <comment ref="C1097" authorId="0" shapeId="0" xr:uid="{7B39801D-229F-468A-B471-14BB4D2690C4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début 2023</t>
        </r>
      </text>
    </comment>
    <comment ref="D1178" authorId="0" shapeId="0" xr:uid="{6CB602DE-486A-4A53-B11F-46C017A6D268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1184" authorId="0" shapeId="0" xr:uid="{76F73506-2F2F-45A7-BFF9-637FB3BE1CC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C1220" authorId="0" shapeId="0" xr:uid="{CA6C6BE4-5084-482D-8CEF-9DDD548C9729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fin année 2023</t>
        </r>
      </text>
    </comment>
    <comment ref="D1316" authorId="0" shapeId="0" xr:uid="{4157A5C4-078C-4A3D-B3C7-2BF726DA4561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1333" authorId="0" shapeId="0" xr:uid="{F7094250-90A2-4C31-AC4F-F1600E24C6DF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D1334" authorId="0" shapeId="0" xr:uid="{41C4863D-E8C0-419E-A792-B0062D3478C8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M1437" authorId="0" shapeId="0" xr:uid="{A3EE0C3F-DD40-4BCD-B77B-5A1B41F81F4A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à vérifier</t>
        </r>
      </text>
    </comment>
    <comment ref="P1454" authorId="0" shapeId="0" xr:uid="{186E2CEC-FC7B-40C0-A086-CD8349873863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non rempli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 RATSIMBAZAFY</author>
  </authors>
  <commentList>
    <comment ref="A1" authorId="0" shapeId="0" xr:uid="{D0A82C32-1BAF-4084-BBE9-0BD6170A3898}">
      <text>
        <r>
          <rPr>
            <b/>
            <sz val="9"/>
            <color indexed="81"/>
            <rFont val="Tahoma"/>
            <family val="2"/>
          </rPr>
          <t>Johanne :RATSIMBAZAFY:</t>
        </r>
        <r>
          <rPr>
            <sz val="9"/>
            <color indexed="81"/>
            <rFont val="Tahoma"/>
            <family val="2"/>
          </rPr>
          <t xml:space="preserve">
N° couche</t>
        </r>
      </text>
    </comment>
    <comment ref="N4" authorId="0" shapeId="0" xr:uid="{5DBB1423-46A2-4093-91D3-6A497A71B4BB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donc lien avec paramètre recherché impossible</t>
        </r>
      </text>
    </comment>
    <comment ref="B452" authorId="0" shapeId="0" xr:uid="{87334772-B615-4C82-9315-9176CC2B4F23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531" authorId="0" shapeId="0" xr:uid="{93326AA2-D5BE-48E5-87CB-28388A99CBF1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589" authorId="0" shapeId="0" xr:uid="{4DA2D003-D2A3-44E1-9CE0-FBD889DFCBBC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
</t>
        </r>
      </text>
    </comment>
    <comment ref="B590" authorId="0" shapeId="0" xr:uid="{D3B68C16-56D5-494E-A033-EEF136E5367C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18" authorId="0" shapeId="0" xr:uid="{B150667E-8FFD-433D-A5C0-CA29ABF35BDE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19" authorId="0" shapeId="0" xr:uid="{E31EA39C-64BA-43E9-AB03-DBF2A8064081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54" authorId="0" shapeId="0" xr:uid="{A271B669-CC53-4872-8B05-4D395FBDB425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55" authorId="0" shapeId="0" xr:uid="{4FEE236B-D19D-464E-AF7A-0772356D3E9C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70" authorId="0" shapeId="0" xr:uid="{9D0FAEA2-383A-46CB-A3AB-89D481CD255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71" authorId="0" shapeId="0" xr:uid="{05627A79-2913-4403-BADE-F3463DC0BE24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72" authorId="0" shapeId="0" xr:uid="{6BFEBB0E-11AD-489A-A9E6-DDE24A3A7624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673" authorId="0" shapeId="0" xr:uid="{0A9AF908-0C9A-4221-AA4E-5DFCD169E8A1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A731" authorId="0" shapeId="0" xr:uid="{5068A1E7-37CF-41D3-B7BF-9E51B18B31A6}">
      <text>
        <r>
          <rPr>
            <b/>
            <sz val="9"/>
            <color indexed="81"/>
            <rFont val="Tahoma"/>
            <family val="2"/>
          </rPr>
          <t xml:space="preserve">Johanne RATSIMBAZAFY:
fin Nogent 08/22
</t>
        </r>
      </text>
    </comment>
    <comment ref="B909" authorId="0" shapeId="0" xr:uid="{72E970BC-30FF-48D7-8E15-6EC2945DBFBC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912" authorId="0" shapeId="0" xr:uid="{21E1120C-C13F-450C-B124-1E5C68F58ECF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913" authorId="0" shapeId="0" xr:uid="{8216EACA-C0BE-43FC-A45A-118BF629E413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948" authorId="0" shapeId="0" xr:uid="{0F57C354-7B22-41A3-BC5F-FFDF60D3363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971" authorId="0" shapeId="0" xr:uid="{D17F7FC4-46BE-4C99-9C3D-5AD7A86926CA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1031" authorId="0" shapeId="0" xr:uid="{D5C7F4A1-A49C-4445-BB59-C944E3F70AC7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Existe mais pas d'hum orge
</t>
        </r>
      </text>
    </comment>
    <comment ref="A1097" authorId="0" shapeId="0" xr:uid="{81CD4C7A-25CC-4657-A9B7-828D5F8166B3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début 2023</t>
        </r>
      </text>
    </comment>
    <comment ref="B1178" authorId="0" shapeId="0" xr:uid="{76BB0E43-CFC8-4DCF-AB4C-FD55CC6A978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1184" authorId="0" shapeId="0" xr:uid="{2AE5245C-A0FE-4C93-A394-0D3027AEC3C4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A1220" authorId="0" shapeId="0" xr:uid="{E7248636-EE56-445C-B8F2-8C24A2289D4F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fin année 2023</t>
        </r>
      </text>
    </comment>
    <comment ref="B1316" authorId="0" shapeId="0" xr:uid="{56EEEEEB-080D-4054-8266-D039ACBE75F9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1333" authorId="0" shapeId="0" xr:uid="{CE764620-1E40-4D0D-8DF2-46DEB876FCD1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B1334" authorId="0" shapeId="0" xr:uid="{129EFA98-C288-4C5A-B7FC-7A23E5855472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Introuvable</t>
        </r>
      </text>
    </comment>
    <comment ref="I1437" authorId="0" shapeId="0" xr:uid="{DA6864EE-39E9-4664-8101-AE73EFD1FFB8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à vérifier</t>
        </r>
      </text>
    </comment>
    <comment ref="L1454" authorId="0" shapeId="0" xr:uid="{5739FEBD-EC17-4BDE-A275-CBB69098A4B6}">
      <text>
        <r>
          <rPr>
            <b/>
            <sz val="9"/>
            <color indexed="81"/>
            <rFont val="Tahoma"/>
            <family val="2"/>
          </rPr>
          <t>Johanne RATSIMBAZAFY:</t>
        </r>
        <r>
          <rPr>
            <sz val="9"/>
            <color indexed="81"/>
            <rFont val="Tahoma"/>
            <family val="2"/>
          </rPr>
          <t xml:space="preserve">
non rempli</t>
        </r>
      </text>
    </comment>
  </commentList>
</comments>
</file>

<file path=xl/sharedStrings.xml><?xml version="1.0" encoding="utf-8"?>
<sst xmlns="http://schemas.openxmlformats.org/spreadsheetml/2006/main" count="23356" uniqueCount="162">
  <si>
    <t>Qté Orge</t>
  </si>
  <si>
    <t>Qté Malt</t>
  </si>
  <si>
    <t>Date de fin de production</t>
  </si>
  <si>
    <t>Cahier des charges</t>
  </si>
  <si>
    <t>Humidité malt</t>
  </si>
  <si>
    <t>Humidité Orge</t>
  </si>
  <si>
    <t>ID_Batch</t>
  </si>
  <si>
    <t>Type d'orge</t>
  </si>
  <si>
    <t>Variété</t>
  </si>
  <si>
    <t>Mandatory</t>
  </si>
  <si>
    <t>Nice to have</t>
  </si>
  <si>
    <t>Site</t>
  </si>
  <si>
    <t>Ligne de production</t>
  </si>
  <si>
    <t>Nogent</t>
  </si>
  <si>
    <t>N1</t>
  </si>
  <si>
    <t>Année</t>
  </si>
  <si>
    <t>Mois</t>
  </si>
  <si>
    <t>HEINEKEN</t>
  </si>
  <si>
    <t>GLOBE</t>
  </si>
  <si>
    <t>6RH</t>
  </si>
  <si>
    <t>2RP</t>
  </si>
  <si>
    <t>Isocel 19</t>
  </si>
  <si>
    <t>Isocel 20</t>
  </si>
  <si>
    <t>Irina 19</t>
  </si>
  <si>
    <t>Fantex 19</t>
  </si>
  <si>
    <t>Visuel 20</t>
  </si>
  <si>
    <t>Etincel 20</t>
  </si>
  <si>
    <t>Faro 20</t>
  </si>
  <si>
    <t>R2 sec</t>
  </si>
  <si>
    <t>Planet 20</t>
  </si>
  <si>
    <t>Fantex 20</t>
  </si>
  <si>
    <t xml:space="preserve">FOCUS </t>
  </si>
  <si>
    <t>CARLBERG</t>
  </si>
  <si>
    <t>CARLSBERG</t>
  </si>
  <si>
    <t>Ambev Louvain</t>
  </si>
  <si>
    <t>Hirondella</t>
  </si>
  <si>
    <t>S,Algérie</t>
  </si>
  <si>
    <t>Kronenbourg</t>
  </si>
  <si>
    <t>SAB</t>
  </si>
  <si>
    <t>Isocel 21</t>
  </si>
  <si>
    <t>Faro 21</t>
  </si>
  <si>
    <t>Visuel 21</t>
  </si>
  <si>
    <t>Fantex 21</t>
  </si>
  <si>
    <t>Etincel 21</t>
  </si>
  <si>
    <t>Planet 21</t>
  </si>
  <si>
    <t>FOCUS 21</t>
  </si>
  <si>
    <t>Standard</t>
  </si>
  <si>
    <t xml:space="preserve">Joyau 21 </t>
  </si>
  <si>
    <t>Thalis</t>
  </si>
  <si>
    <t xml:space="preserve">Démentiel </t>
  </si>
  <si>
    <t xml:space="preserve">YODA </t>
  </si>
  <si>
    <t xml:space="preserve">Champigneulles </t>
  </si>
  <si>
    <t>Ambev Diékirch</t>
  </si>
  <si>
    <t>Planet 22</t>
  </si>
  <si>
    <t>Visuel 22</t>
  </si>
  <si>
    <t>FARO 22</t>
  </si>
  <si>
    <t>FANTEX 22</t>
  </si>
  <si>
    <t>FARO 23</t>
  </si>
  <si>
    <t>Démentiel 22</t>
  </si>
  <si>
    <t>Visuel 23</t>
  </si>
  <si>
    <t>Hirondella 23</t>
  </si>
  <si>
    <t>Thalis 23</t>
  </si>
  <si>
    <t>Fantex 23</t>
  </si>
  <si>
    <t>PLANET 23</t>
  </si>
  <si>
    <t>EFES</t>
  </si>
  <si>
    <t xml:space="preserve">EFES </t>
  </si>
  <si>
    <t>TOSCA 23</t>
  </si>
  <si>
    <t>Démentiel 23</t>
  </si>
  <si>
    <t>Caroussel 23</t>
  </si>
  <si>
    <t>Constel 23</t>
  </si>
  <si>
    <t>2RH</t>
  </si>
  <si>
    <t>Comtesse 23</t>
  </si>
  <si>
    <t>Carrousel 23</t>
  </si>
  <si>
    <t>POLAR</t>
  </si>
  <si>
    <t>Planet 24</t>
  </si>
  <si>
    <t>FARO 24</t>
  </si>
  <si>
    <t>Thalis 24</t>
  </si>
  <si>
    <t>N°OF</t>
  </si>
  <si>
    <t>Hirondella 22</t>
  </si>
  <si>
    <t>FOCUS 22</t>
  </si>
  <si>
    <t>TOSCA</t>
  </si>
  <si>
    <t>Coccinel</t>
  </si>
  <si>
    <t>Humidité Malt</t>
  </si>
  <si>
    <t>N° OF introuvable</t>
  </si>
  <si>
    <t>Données manquantes</t>
  </si>
  <si>
    <t>N° OF inconnu</t>
  </si>
  <si>
    <t>Démentiel 24</t>
  </si>
  <si>
    <t>Carrousel 24</t>
  </si>
  <si>
    <t>PLANET 24</t>
  </si>
  <si>
    <t>TOSCA 24</t>
  </si>
  <si>
    <t>13.6</t>
  </si>
  <si>
    <t>12.6</t>
  </si>
  <si>
    <t>12.5</t>
  </si>
  <si>
    <t>11.8</t>
  </si>
  <si>
    <t>12.3</t>
  </si>
  <si>
    <t>12.4</t>
  </si>
  <si>
    <t>12.7</t>
  </si>
  <si>
    <t>12.9</t>
  </si>
  <si>
    <t>13.3</t>
  </si>
  <si>
    <t>12.2</t>
  </si>
  <si>
    <t>12.1</t>
  </si>
  <si>
    <t>13.1</t>
  </si>
  <si>
    <t>12.8</t>
  </si>
  <si>
    <t>13.8</t>
  </si>
  <si>
    <t>13.5</t>
  </si>
  <si>
    <t>11.1</t>
  </si>
  <si>
    <t>4.2</t>
  </si>
  <si>
    <t>3.8</t>
  </si>
  <si>
    <t>4.1</t>
  </si>
  <si>
    <t>4.5</t>
  </si>
  <si>
    <t>4.3</t>
  </si>
  <si>
    <t>4.4</t>
  </si>
  <si>
    <t>4.6</t>
  </si>
  <si>
    <t>5.1</t>
  </si>
  <si>
    <t>5.8</t>
  </si>
  <si>
    <t>4.8</t>
  </si>
  <si>
    <t>4.7</t>
  </si>
  <si>
    <t>R2</t>
  </si>
  <si>
    <t>Étiquettes de lignes</t>
  </si>
  <si>
    <t>Total général</t>
  </si>
  <si>
    <t>Étiquettes de colonnes</t>
  </si>
  <si>
    <t>Nombre de Cahier des charges</t>
  </si>
  <si>
    <t>(Tous)</t>
  </si>
  <si>
    <t>&gt;10% et &lt;15%</t>
  </si>
  <si>
    <t>&gt;3% et &lt;6%</t>
  </si>
  <si>
    <t>&gt;80% et &lt;88%</t>
  </si>
  <si>
    <t>&gt;89% et &lt;98%</t>
  </si>
  <si>
    <t>&gt;220 et &lt;240</t>
  </si>
  <si>
    <t>&gt;160 et &lt;220</t>
  </si>
  <si>
    <t>(Plusieurs éléments)</t>
  </si>
  <si>
    <t>Clé</t>
  </si>
  <si>
    <t>Heineken C</t>
  </si>
  <si>
    <t>Sacofrina / Globe</t>
  </si>
  <si>
    <t>EFES 2RP</t>
  </si>
  <si>
    <t>Kronenbourg 6RH</t>
  </si>
  <si>
    <t>SAB   6RH</t>
  </si>
  <si>
    <t>Champigneulles 6 RH</t>
  </si>
  <si>
    <t>STANDARD</t>
  </si>
  <si>
    <t>Heineken A</t>
  </si>
  <si>
    <t>Diekirch 2RP</t>
  </si>
  <si>
    <t>Kronenbourg 2RP</t>
  </si>
  <si>
    <t>cdc postgré</t>
  </si>
  <si>
    <t>cdc baseline</t>
  </si>
  <si>
    <t>Diekirch /Louvain 6RH</t>
  </si>
  <si>
    <t>ABI4 PILSEN</t>
  </si>
  <si>
    <t>Asahi</t>
  </si>
  <si>
    <t>ASAHI 2RP PILSEN</t>
  </si>
  <si>
    <t>CARLBERG 6RH PILSEN</t>
  </si>
  <si>
    <t>Star Algérie 6RH</t>
  </si>
  <si>
    <t>GLOBE PILSEN</t>
  </si>
  <si>
    <t>SFBT 2RP</t>
  </si>
  <si>
    <t>HEINEKEN A 2RP PILSEN</t>
  </si>
  <si>
    <t>HEINEKEN C 6RH PILSEN</t>
  </si>
  <si>
    <t>NOGENT2</t>
  </si>
  <si>
    <t>NB</t>
  </si>
  <si>
    <t>MOYENNE</t>
  </si>
  <si>
    <t>R2_sec</t>
  </si>
  <si>
    <t>Qte Orge</t>
  </si>
  <si>
    <t>Qte Malt</t>
  </si>
  <si>
    <t>Hum Orge</t>
  </si>
  <si>
    <t>Hum Malt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</si>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</sst>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C]d\-mmm;@"/>
    <numFmt numFmtId="166" formatCode="0.000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color theme="1"/>
      <name val="Arial"/>
      <family val="2"/>
    </font>
    <font>
      <sz val="8"/>
      <color rgb="FF00153E"/>
      <name val="Roboto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70C0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/>
        <bgColor theme="4"/>
      </patternFill>
    </fill>
    <fill>
      <patternFill patternType="solid">
        <fgColor rgb="FF92D05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7" fillId="0" borderId="0" xfId="0" applyFont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0" fontId="1" fillId="4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0" fontId="1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1" xfId="0" applyBorder="1"/>
    <xf numFmtId="165" fontId="10" fillId="0" borderId="0" xfId="0" applyNumberFormat="1" applyFont="1" applyAlignment="1" applyProtection="1">
      <alignment horizontal="center" vertical="center"/>
      <protection locked="0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66" fontId="6" fillId="14" borderId="0" xfId="0" applyNumberFormat="1" applyFont="1" applyFill="1" applyAlignment="1" applyProtection="1">
      <alignment horizontal="center" vertical="center"/>
      <protection locked="0"/>
    </xf>
    <xf numFmtId="166" fontId="0" fillId="14" borderId="0" xfId="0" applyNumberFormat="1" applyFill="1" applyAlignment="1" applyProtection="1">
      <alignment horizontal="center" vertical="center"/>
      <protection locked="0"/>
    </xf>
    <xf numFmtId="166" fontId="11" fillId="14" borderId="0" xfId="0" applyNumberFormat="1" applyFont="1" applyFill="1" applyAlignment="1" applyProtection="1">
      <alignment horizontal="center" vertical="center"/>
      <protection locked="0"/>
    </xf>
    <xf numFmtId="0" fontId="0" fillId="15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2" fontId="15" fillId="0" borderId="0" xfId="0" applyNumberFormat="1" applyFont="1"/>
    <xf numFmtId="0" fontId="3" fillId="0" borderId="0" xfId="0" applyFont="1"/>
    <xf numFmtId="0" fontId="16" fillId="0" borderId="0" xfId="0" applyFont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3" fillId="0" borderId="0" xfId="0" applyFont="1" applyAlignment="1">
      <alignment horizontal="right"/>
    </xf>
  </cellXfs>
  <cellStyles count="2">
    <cellStyle name="Normal" xfId="0" builtinId="0"/>
    <cellStyle name="Pourcentage" xfId="1" builtinId="5"/>
  </cellStyles>
  <dxfs count="17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R2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strRef>
              <c:f>'[1]Data filtrées'!$M$24</c:f>
              <c:strCache>
                <c:ptCount val="1"/>
                <c:pt idx="0">
                  <c:v>Diekirch /Louvain 6RH</c:v>
                </c:pt>
              </c:strCache>
            </c:strRef>
          </c:tx>
          <c:marker>
            <c:symbol val="none"/>
          </c:marker>
          <c:val>
            <c:numRef>
              <c:f>'[1]Data filtrées'!$N$24:$Y$24</c:f>
              <c:numCache>
                <c:formatCode>0.00</c:formatCode>
                <c:ptCount val="12"/>
                <c:pt idx="0">
                  <c:v>83.609429703940165</c:v>
                </c:pt>
                <c:pt idx="1">
                  <c:v>84.36812600851583</c:v>
                </c:pt>
                <c:pt idx="2">
                  <c:v>84.380656279366931</c:v>
                </c:pt>
                <c:pt idx="3">
                  <c:v>84.448067181420356</c:v>
                </c:pt>
                <c:pt idx="4">
                  <c:v>83.0897163107132</c:v>
                </c:pt>
                <c:pt idx="5">
                  <c:v>82.936330874183113</c:v>
                </c:pt>
                <c:pt idx="6">
                  <c:v>83.367099735940826</c:v>
                </c:pt>
                <c:pt idx="7">
                  <c:v>83.464904210982539</c:v>
                </c:pt>
                <c:pt idx="8">
                  <c:v>83.756908272618716</c:v>
                </c:pt>
                <c:pt idx="9">
                  <c:v>83.694217267426112</c:v>
                </c:pt>
                <c:pt idx="10">
                  <c:v>83.684369800093847</c:v>
                </c:pt>
                <c:pt idx="11">
                  <c:v>84.65997442160041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5-493A-8763-0FB25F90D9E8}"/>
            </c:ext>
          </c:extLst>
        </c:ser>
        <c:ser>
          <c:idx val="2"/>
          <c:order val="2"/>
          <c:tx>
            <c:strRef>
              <c:f>'[1]Data filtrées'!$M$25</c:f>
              <c:strCache>
                <c:ptCount val="1"/>
                <c:pt idx="0">
                  <c:v>SAB   6RH</c:v>
                </c:pt>
              </c:strCache>
            </c:strRef>
          </c:tx>
          <c:marker>
            <c:symbol val="none"/>
          </c:marker>
          <c:val>
            <c:numRef>
              <c:f>'[1]Data filtrées'!$N$25:$Y$25</c:f>
              <c:numCache>
                <c:formatCode>0.00</c:formatCode>
                <c:ptCount val="12"/>
                <c:pt idx="0">
                  <c:v>83.609429703940165</c:v>
                </c:pt>
                <c:pt idx="1">
                  <c:v>84.36812600851583</c:v>
                </c:pt>
                <c:pt idx="2">
                  <c:v>84.380656279366931</c:v>
                </c:pt>
                <c:pt idx="3">
                  <c:v>84.448067181420356</c:v>
                </c:pt>
                <c:pt idx="4">
                  <c:v>83.0897163107132</c:v>
                </c:pt>
                <c:pt idx="5">
                  <c:v>82.936330874183113</c:v>
                </c:pt>
                <c:pt idx="6">
                  <c:v>83.367099735940826</c:v>
                </c:pt>
                <c:pt idx="7">
                  <c:v>83.464904210982539</c:v>
                </c:pt>
                <c:pt idx="8">
                  <c:v>83.756908272618716</c:v>
                </c:pt>
                <c:pt idx="9">
                  <c:v>83.694217267426112</c:v>
                </c:pt>
                <c:pt idx="10">
                  <c:v>83.684369800093847</c:v>
                </c:pt>
                <c:pt idx="11">
                  <c:v>84.65997442160041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5-493A-8763-0FB25F90D9E8}"/>
            </c:ext>
          </c:extLst>
        </c:ser>
        <c:ser>
          <c:idx val="3"/>
          <c:order val="3"/>
          <c:tx>
            <c:strRef>
              <c:f>'[1]Data filtrées'!$M$26</c:f>
              <c:strCache>
                <c:ptCount val="1"/>
                <c:pt idx="0">
                  <c:v>Asahi</c:v>
                </c:pt>
              </c:strCache>
            </c:strRef>
          </c:tx>
          <c:marker>
            <c:symbol val="none"/>
          </c:marker>
          <c:val>
            <c:numRef>
              <c:f>'[1]Data filtrées'!$N$26:$Y$26</c:f>
              <c:numCache>
                <c:formatCode>0.00</c:formatCode>
                <c:ptCount val="12"/>
                <c:pt idx="0">
                  <c:v>84.708363568347821</c:v>
                </c:pt>
                <c:pt idx="1">
                  <c:v>85.487320300691934</c:v>
                </c:pt>
                <c:pt idx="2">
                  <c:v>84.921419866919237</c:v>
                </c:pt>
                <c:pt idx="3">
                  <c:v>84.417145853293704</c:v>
                </c:pt>
                <c:pt idx="4">
                  <c:v>85.015266950826302</c:v>
                </c:pt>
                <c:pt idx="5">
                  <c:v>84.581251999597924</c:v>
                </c:pt>
                <c:pt idx="6">
                  <c:v>83.764481895829206</c:v>
                </c:pt>
                <c:pt idx="7">
                  <c:v>83.692555317722238</c:v>
                </c:pt>
                <c:pt idx="8">
                  <c:v>84.364521067531413</c:v>
                </c:pt>
                <c:pt idx="9">
                  <c:v>84.639474077434556</c:v>
                </c:pt>
                <c:pt idx="10">
                  <c:v>84.230227086478706</c:v>
                </c:pt>
                <c:pt idx="11">
                  <c:v>84.916563195021212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5-493A-8763-0FB25F90D9E8}"/>
            </c:ext>
          </c:extLst>
        </c:ser>
        <c:ser>
          <c:idx val="4"/>
          <c:order val="4"/>
          <c:tx>
            <c:strRef>
              <c:f>'[1]Data filtrées'!$M$27</c:f>
              <c:strCache>
                <c:ptCount val="1"/>
                <c:pt idx="0">
                  <c:v>Champigneulles 6 RH</c:v>
                </c:pt>
              </c:strCache>
            </c:strRef>
          </c:tx>
          <c:marker>
            <c:symbol val="none"/>
          </c:marker>
          <c:val>
            <c:numRef>
              <c:f>'[1]Data filtrées'!$N$27:$Y$27</c:f>
              <c:numCache>
                <c:formatCode>0.00</c:formatCode>
                <c:ptCount val="12"/>
                <c:pt idx="0">
                  <c:v>84.454128168451263</c:v>
                </c:pt>
                <c:pt idx="1">
                  <c:v>84.36812600851583</c:v>
                </c:pt>
                <c:pt idx="2">
                  <c:v>84.484044888860041</c:v>
                </c:pt>
                <c:pt idx="3">
                  <c:v>84.551430192159259</c:v>
                </c:pt>
                <c:pt idx="4">
                  <c:v>84.74548091052192</c:v>
                </c:pt>
                <c:pt idx="5">
                  <c:v>83.823057771700164</c:v>
                </c:pt>
                <c:pt idx="6">
                  <c:v>83.255344435354502</c:v>
                </c:pt>
                <c:pt idx="7">
                  <c:v>83.464904210982539</c:v>
                </c:pt>
                <c:pt idx="8">
                  <c:v>83.801362068812821</c:v>
                </c:pt>
                <c:pt idx="9">
                  <c:v>84.035587689548763</c:v>
                </c:pt>
                <c:pt idx="10">
                  <c:v>84.121376006515035</c:v>
                </c:pt>
                <c:pt idx="11">
                  <c:v>84.65997442160041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5-493A-8763-0FB25F90D9E8}"/>
            </c:ext>
          </c:extLst>
        </c:ser>
        <c:ser>
          <c:idx val="5"/>
          <c:order val="5"/>
          <c:tx>
            <c:strRef>
              <c:f>'[1]Data filtrées'!$M$28</c:f>
              <c:strCache>
                <c:ptCount val="1"/>
                <c:pt idx="0">
                  <c:v>Star Algérie 6RH</c:v>
                </c:pt>
              </c:strCache>
            </c:strRef>
          </c:tx>
          <c:marker>
            <c:symbol val="none"/>
          </c:marker>
          <c:val>
            <c:numRef>
              <c:f>'[1]Data filtrées'!$N$28:$Y$28</c:f>
              <c:numCache>
                <c:formatCode>0.00</c:formatCode>
                <c:ptCount val="12"/>
                <c:pt idx="0">
                  <c:v>84.454128168451263</c:v>
                </c:pt>
                <c:pt idx="1">
                  <c:v>84.36812600851583</c:v>
                </c:pt>
                <c:pt idx="2">
                  <c:v>84.484044888860041</c:v>
                </c:pt>
                <c:pt idx="3">
                  <c:v>84.551430192159259</c:v>
                </c:pt>
                <c:pt idx="4">
                  <c:v>84.74548091052192</c:v>
                </c:pt>
                <c:pt idx="5">
                  <c:v>83.823057771700164</c:v>
                </c:pt>
                <c:pt idx="6">
                  <c:v>83.255344435354502</c:v>
                </c:pt>
                <c:pt idx="7">
                  <c:v>83.464904210982539</c:v>
                </c:pt>
                <c:pt idx="8">
                  <c:v>83.801362068812821</c:v>
                </c:pt>
                <c:pt idx="9">
                  <c:v>84.035587689548763</c:v>
                </c:pt>
                <c:pt idx="10">
                  <c:v>84.121376006515035</c:v>
                </c:pt>
                <c:pt idx="11">
                  <c:v>84.65997442160041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75-493A-8763-0FB25F90D9E8}"/>
            </c:ext>
          </c:extLst>
        </c:ser>
        <c:ser>
          <c:idx val="6"/>
          <c:order val="6"/>
          <c:tx>
            <c:strRef>
              <c:f>'[1]Data filtrées'!$M$29</c:f>
              <c:strCache>
                <c:ptCount val="1"/>
                <c:pt idx="0">
                  <c:v>Sacofrina / Globe</c:v>
                </c:pt>
              </c:strCache>
            </c:strRef>
          </c:tx>
          <c:marker>
            <c:symbol val="none"/>
          </c:marker>
          <c:val>
            <c:numRef>
              <c:f>'[1]Data filtrées'!$N$29:$Y$29</c:f>
              <c:numCache>
                <c:formatCode>0.00</c:formatCode>
                <c:ptCount val="12"/>
                <c:pt idx="0">
                  <c:v>83.883367604857526</c:v>
                </c:pt>
                <c:pt idx="1">
                  <c:v>83.187453739294355</c:v>
                </c:pt>
                <c:pt idx="2">
                  <c:v>84.380656279366931</c:v>
                </c:pt>
                <c:pt idx="3">
                  <c:v>84.448067181420356</c:v>
                </c:pt>
                <c:pt idx="4">
                  <c:v>84.468007901400355</c:v>
                </c:pt>
                <c:pt idx="5">
                  <c:v>83.360954991532608</c:v>
                </c:pt>
                <c:pt idx="6">
                  <c:v>83.834173956488996</c:v>
                </c:pt>
                <c:pt idx="7">
                  <c:v>83.44533291096748</c:v>
                </c:pt>
                <c:pt idx="8">
                  <c:v>83.80354174970725</c:v>
                </c:pt>
                <c:pt idx="9">
                  <c:v>83.938385576473223</c:v>
                </c:pt>
                <c:pt idx="10">
                  <c:v>84.165047506070195</c:v>
                </c:pt>
                <c:pt idx="11">
                  <c:v>84.824674253368471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75-493A-8763-0FB25F90D9E8}"/>
            </c:ext>
          </c:extLst>
        </c:ser>
        <c:ser>
          <c:idx val="7"/>
          <c:order val="7"/>
          <c:tx>
            <c:strRef>
              <c:f>'[1]Data filtrées'!$M$30</c:f>
              <c:strCache>
                <c:ptCount val="1"/>
                <c:pt idx="0">
                  <c:v>EFES 2RP</c:v>
                </c:pt>
              </c:strCache>
            </c:strRef>
          </c:tx>
          <c:marker>
            <c:symbol val="none"/>
          </c:marker>
          <c:val>
            <c:numRef>
              <c:f>'[1]Data filtrées'!$N$30:$Y$30</c:f>
              <c:numCache>
                <c:formatCode>0.00</c:formatCode>
                <c:ptCount val="12"/>
                <c:pt idx="0">
                  <c:v>83.883367604857526</c:v>
                </c:pt>
                <c:pt idx="1">
                  <c:v>83.187453739294355</c:v>
                </c:pt>
                <c:pt idx="2">
                  <c:v>84.380656279366931</c:v>
                </c:pt>
                <c:pt idx="3">
                  <c:v>84.448067181420356</c:v>
                </c:pt>
                <c:pt idx="4">
                  <c:v>84.468007901400355</c:v>
                </c:pt>
                <c:pt idx="5">
                  <c:v>83.360954991532608</c:v>
                </c:pt>
                <c:pt idx="6">
                  <c:v>83.834173956488996</c:v>
                </c:pt>
                <c:pt idx="7">
                  <c:v>83.44533291096748</c:v>
                </c:pt>
                <c:pt idx="8">
                  <c:v>83.80354174970725</c:v>
                </c:pt>
                <c:pt idx="9">
                  <c:v>83.938385576473223</c:v>
                </c:pt>
                <c:pt idx="10">
                  <c:v>84.165047506070195</c:v>
                </c:pt>
                <c:pt idx="11">
                  <c:v>84.824674253368471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75-493A-8763-0FB25F90D9E8}"/>
            </c:ext>
          </c:extLst>
        </c:ser>
        <c:ser>
          <c:idx val="8"/>
          <c:order val="8"/>
          <c:tx>
            <c:strRef>
              <c:f>'[1]Data filtrées'!$M$31</c:f>
              <c:strCache>
                <c:ptCount val="1"/>
                <c:pt idx="0">
                  <c:v>SFBT 2RP</c:v>
                </c:pt>
              </c:strCache>
            </c:strRef>
          </c:tx>
          <c:marker>
            <c:symbol val="none"/>
          </c:marker>
          <c:val>
            <c:numRef>
              <c:f>'[1]Data filtrées'!$N$31:$Y$31</c:f>
              <c:numCache>
                <c:formatCode>0.00</c:formatCode>
                <c:ptCount val="12"/>
                <c:pt idx="0">
                  <c:v>83.883367604857526</c:v>
                </c:pt>
                <c:pt idx="1">
                  <c:v>83.187453739294355</c:v>
                </c:pt>
                <c:pt idx="2">
                  <c:v>84.380656279366931</c:v>
                </c:pt>
                <c:pt idx="3">
                  <c:v>84.448067181420356</c:v>
                </c:pt>
                <c:pt idx="4">
                  <c:v>84.468007901400355</c:v>
                </c:pt>
                <c:pt idx="5">
                  <c:v>83.360954991532608</c:v>
                </c:pt>
                <c:pt idx="6">
                  <c:v>83.834173956488996</c:v>
                </c:pt>
                <c:pt idx="7">
                  <c:v>83.44533291096748</c:v>
                </c:pt>
                <c:pt idx="8">
                  <c:v>83.80354174970725</c:v>
                </c:pt>
                <c:pt idx="9">
                  <c:v>83.938385576473223</c:v>
                </c:pt>
                <c:pt idx="10">
                  <c:v>84.165047506070195</c:v>
                </c:pt>
                <c:pt idx="11">
                  <c:v>84.824674253368471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75-493A-8763-0FB25F90D9E8}"/>
            </c:ext>
          </c:extLst>
        </c:ser>
        <c:ser>
          <c:idx val="9"/>
          <c:order val="9"/>
          <c:tx>
            <c:strRef>
              <c:f>'[1]Data filtrées'!$M$32</c:f>
              <c:strCache>
                <c:ptCount val="1"/>
                <c:pt idx="0">
                  <c:v>Heineken A</c:v>
                </c:pt>
              </c:strCache>
            </c:strRef>
          </c:tx>
          <c:marker>
            <c:symbol val="none"/>
          </c:marker>
          <c:val>
            <c:numRef>
              <c:f>'[1]Data filtrées'!$N$32:$Y$32</c:f>
              <c:numCache>
                <c:formatCode>0.00</c:formatCode>
                <c:ptCount val="12"/>
                <c:pt idx="0">
                  <c:v>84.821548830223207</c:v>
                </c:pt>
                <c:pt idx="1">
                  <c:v>84.36812600851583</c:v>
                </c:pt>
                <c:pt idx="2">
                  <c:v>84.615060653966239</c:v>
                </c:pt>
                <c:pt idx="3">
                  <c:v>83.86987153970766</c:v>
                </c:pt>
                <c:pt idx="4">
                  <c:v>84.241097968446439</c:v>
                </c:pt>
                <c:pt idx="5">
                  <c:v>84.833573489835175</c:v>
                </c:pt>
                <c:pt idx="6">
                  <c:v>83.830782323340259</c:v>
                </c:pt>
                <c:pt idx="7">
                  <c:v>83.491150684065758</c:v>
                </c:pt>
                <c:pt idx="8">
                  <c:v>84.514129100176149</c:v>
                </c:pt>
                <c:pt idx="9">
                  <c:v>84.889516591971031</c:v>
                </c:pt>
                <c:pt idx="10">
                  <c:v>84.832240553082698</c:v>
                </c:pt>
                <c:pt idx="11">
                  <c:v>84.377112303387833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75-493A-8763-0FB25F90D9E8}"/>
            </c:ext>
          </c:extLst>
        </c:ser>
        <c:ser>
          <c:idx val="10"/>
          <c:order val="10"/>
          <c:tx>
            <c:strRef>
              <c:f>'[1]Data filtrées'!$M$33</c:f>
              <c:strCache>
                <c:ptCount val="1"/>
                <c:pt idx="0">
                  <c:v>Heineken C</c:v>
                </c:pt>
              </c:strCache>
            </c:strRef>
          </c:tx>
          <c:marker>
            <c:symbol val="none"/>
          </c:marker>
          <c:val>
            <c:numRef>
              <c:f>'[1]Data filtrées'!$N$33:$Y$33</c:f>
              <c:numCache>
                <c:formatCode>0.00</c:formatCode>
                <c:ptCount val="12"/>
                <c:pt idx="0">
                  <c:v>84.330198072257915</c:v>
                </c:pt>
                <c:pt idx="1">
                  <c:v>84.33494639207855</c:v>
                </c:pt>
                <c:pt idx="2">
                  <c:v>84.180562462431482</c:v>
                </c:pt>
                <c:pt idx="3">
                  <c:v>84.501576581583748</c:v>
                </c:pt>
                <c:pt idx="4">
                  <c:v>84.516959275684997</c:v>
                </c:pt>
                <c:pt idx="5">
                  <c:v>83.597038252114075</c:v>
                </c:pt>
                <c:pt idx="6">
                  <c:v>83.199682119341816</c:v>
                </c:pt>
                <c:pt idx="7">
                  <c:v>83.27750496432688</c:v>
                </c:pt>
                <c:pt idx="8">
                  <c:v>83.532990244890755</c:v>
                </c:pt>
                <c:pt idx="9">
                  <c:v>83.789128002344427</c:v>
                </c:pt>
                <c:pt idx="10">
                  <c:v>83.998344644534299</c:v>
                </c:pt>
                <c:pt idx="11">
                  <c:v>84.595136821577057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75-493A-8763-0FB25F90D9E8}"/>
            </c:ext>
          </c:extLst>
        </c:ser>
        <c:ser>
          <c:idx val="11"/>
          <c:order val="11"/>
          <c:tx>
            <c:strRef>
              <c:f>'[1]Data filtrées'!$M$34</c:f>
              <c:strCache>
                <c:ptCount val="1"/>
                <c:pt idx="0">
                  <c:v>Diekirch 2RP</c:v>
                </c:pt>
              </c:strCache>
            </c:strRef>
          </c:tx>
          <c:marker>
            <c:symbol val="none"/>
          </c:marker>
          <c:val>
            <c:numRef>
              <c:f>'[1]Data filtrées'!$N$34:$Y$34</c:f>
              <c:numCache>
                <c:formatCode>0.00</c:formatCode>
                <c:ptCount val="12"/>
                <c:pt idx="0">
                  <c:v>84.454128168451263</c:v>
                </c:pt>
                <c:pt idx="1">
                  <c:v>84.36812600851583</c:v>
                </c:pt>
                <c:pt idx="2">
                  <c:v>84.380656279366931</c:v>
                </c:pt>
                <c:pt idx="3">
                  <c:v>84.448067181420356</c:v>
                </c:pt>
                <c:pt idx="4">
                  <c:v>84.468007901400355</c:v>
                </c:pt>
                <c:pt idx="5">
                  <c:v>83.823057771700164</c:v>
                </c:pt>
                <c:pt idx="6">
                  <c:v>83.367099735940826</c:v>
                </c:pt>
                <c:pt idx="7">
                  <c:v>83.464904210982539</c:v>
                </c:pt>
                <c:pt idx="8">
                  <c:v>83.801362068812821</c:v>
                </c:pt>
                <c:pt idx="9">
                  <c:v>84.035587689548763</c:v>
                </c:pt>
                <c:pt idx="10">
                  <c:v>84.121376006515035</c:v>
                </c:pt>
                <c:pt idx="11">
                  <c:v>84.65997442160041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75-493A-8763-0FB25F90D9E8}"/>
            </c:ext>
          </c:extLst>
        </c:ser>
        <c:ser>
          <c:idx val="12"/>
          <c:order val="12"/>
          <c:tx>
            <c:strRef>
              <c:f>'[1]Data filtrées'!$M$35</c:f>
              <c:strCache>
                <c:ptCount val="1"/>
                <c:pt idx="0">
                  <c:v>STANDARD</c:v>
                </c:pt>
              </c:strCache>
            </c:strRef>
          </c:tx>
          <c:marker>
            <c:symbol val="none"/>
          </c:marker>
          <c:val>
            <c:numRef>
              <c:f>'[1]Data filtrées'!$N$35:$Y$35</c:f>
              <c:numCache>
                <c:formatCode>0.00</c:formatCode>
                <c:ptCount val="12"/>
                <c:pt idx="0">
                  <c:v>84.454128168451263</c:v>
                </c:pt>
                <c:pt idx="1">
                  <c:v>84.36812600851583</c:v>
                </c:pt>
                <c:pt idx="2">
                  <c:v>84.380656279366931</c:v>
                </c:pt>
                <c:pt idx="3">
                  <c:v>84.448067181420356</c:v>
                </c:pt>
                <c:pt idx="4">
                  <c:v>84.468007901400355</c:v>
                </c:pt>
                <c:pt idx="5">
                  <c:v>83.823057771700164</c:v>
                </c:pt>
                <c:pt idx="6">
                  <c:v>83.367099735940826</c:v>
                </c:pt>
                <c:pt idx="7">
                  <c:v>83.464904210982539</c:v>
                </c:pt>
                <c:pt idx="8">
                  <c:v>83.801362068812821</c:v>
                </c:pt>
                <c:pt idx="9">
                  <c:v>84.035587689548763</c:v>
                </c:pt>
                <c:pt idx="10">
                  <c:v>84.121376006515035</c:v>
                </c:pt>
                <c:pt idx="11">
                  <c:v>84.65997442160041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75-493A-8763-0FB25F90D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66522"/>
        <c:axId val="14226420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'[1]Data filtrées'!$M$23</c15:sqref>
                        </c15:formulaRef>
                      </c:ext>
                    </c:extLst>
                    <c:strCache>
                      <c:ptCount val="1"/>
                      <c:pt idx="0">
                        <c:v>MOYENNE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'[1]Data filtrées'!$N$23:$Y$23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F875-493A-8763-0FB25F90D9E8}"/>
                  </c:ext>
                </c:extLst>
              </c15:ser>
            </c15:filteredLineSeries>
          </c:ext>
        </c:extLst>
      </c:lineChart>
      <c:catAx>
        <c:axId val="8266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22642063"/>
        <c:crosses val="autoZero"/>
        <c:auto val="1"/>
        <c:lblAlgn val="ctr"/>
        <c:lblOffset val="100"/>
        <c:noMultiLvlLbl val="1"/>
      </c:catAx>
      <c:valAx>
        <c:axId val="1422642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2665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R2_sec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strRef>
              <c:f>'[1]Data filtrées'!$M$39</c:f>
              <c:strCache>
                <c:ptCount val="1"/>
                <c:pt idx="0">
                  <c:v>Diekirch /Louvain 6RH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'[1]Data filtrées'!$N$39:$Y$39</c:f>
              <c:numCache>
                <c:formatCode>0.00</c:formatCode>
                <c:ptCount val="12"/>
                <c:pt idx="0">
                  <c:v>92.880098916043124</c:v>
                </c:pt>
                <c:pt idx="1">
                  <c:v>91.644235901000442</c:v>
                </c:pt>
                <c:pt idx="2">
                  <c:v>92.76565271341353</c:v>
                </c:pt>
                <c:pt idx="3">
                  <c:v>92.513632411110294</c:v>
                </c:pt>
                <c:pt idx="4">
                  <c:v>91.541260248404896</c:v>
                </c:pt>
                <c:pt idx="5">
                  <c:v>91.511528370098389</c:v>
                </c:pt>
                <c:pt idx="6">
                  <c:v>91.339705178233629</c:v>
                </c:pt>
                <c:pt idx="7">
                  <c:v>91.749728588609813</c:v>
                </c:pt>
                <c:pt idx="8">
                  <c:v>91.613959328692474</c:v>
                </c:pt>
                <c:pt idx="9">
                  <c:v>91.688447501173741</c:v>
                </c:pt>
                <c:pt idx="10">
                  <c:v>91.789981361978249</c:v>
                </c:pt>
                <c:pt idx="11">
                  <c:v>92.728987876413711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0-4F59-A4F4-268A8CB4046C}"/>
            </c:ext>
          </c:extLst>
        </c:ser>
        <c:ser>
          <c:idx val="2"/>
          <c:order val="2"/>
          <c:tx>
            <c:strRef>
              <c:f>'[1]Data filtrées'!$M$40</c:f>
              <c:strCache>
                <c:ptCount val="1"/>
                <c:pt idx="0">
                  <c:v>SAB   6RH</c:v>
                </c:pt>
              </c:strCache>
            </c:strRef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'[1]Data filtrées'!$N$40:$Y$40</c:f>
              <c:numCache>
                <c:formatCode>0.00</c:formatCode>
                <c:ptCount val="12"/>
                <c:pt idx="0">
                  <c:v>92.880098916043124</c:v>
                </c:pt>
                <c:pt idx="1">
                  <c:v>91.644235901000442</c:v>
                </c:pt>
                <c:pt idx="2">
                  <c:v>92.76565271341353</c:v>
                </c:pt>
                <c:pt idx="3">
                  <c:v>92.513632411110294</c:v>
                </c:pt>
                <c:pt idx="4">
                  <c:v>91.541260248404896</c:v>
                </c:pt>
                <c:pt idx="5">
                  <c:v>91.511528370098389</c:v>
                </c:pt>
                <c:pt idx="6">
                  <c:v>91.339705178233629</c:v>
                </c:pt>
                <c:pt idx="7">
                  <c:v>91.749728588609813</c:v>
                </c:pt>
                <c:pt idx="8">
                  <c:v>91.613959328692474</c:v>
                </c:pt>
                <c:pt idx="9">
                  <c:v>91.688447501173741</c:v>
                </c:pt>
                <c:pt idx="10">
                  <c:v>91.789981361978249</c:v>
                </c:pt>
                <c:pt idx="11">
                  <c:v>92.728987876413711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0-4F59-A4F4-268A8CB4046C}"/>
            </c:ext>
          </c:extLst>
        </c:ser>
        <c:ser>
          <c:idx val="3"/>
          <c:order val="3"/>
          <c:tx>
            <c:strRef>
              <c:f>'[1]Data filtrées'!$M$41</c:f>
              <c:strCache>
                <c:ptCount val="1"/>
                <c:pt idx="0">
                  <c:v>Asahi</c:v>
                </c:pt>
              </c:strCache>
            </c:strRef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'[1]Data filtrées'!$N$41:$Y$41</c:f>
              <c:numCache>
                <c:formatCode>0.00</c:formatCode>
                <c:ptCount val="12"/>
                <c:pt idx="0">
                  <c:v>92.91568227808979</c:v>
                </c:pt>
                <c:pt idx="1">
                  <c:v>92.494874454676378</c:v>
                </c:pt>
                <c:pt idx="2">
                  <c:v>92.798896203851015</c:v>
                </c:pt>
                <c:pt idx="3">
                  <c:v>92.243703066670633</c:v>
                </c:pt>
                <c:pt idx="4">
                  <c:v>93.121706553683836</c:v>
                </c:pt>
                <c:pt idx="5">
                  <c:v>92.127582706739432</c:v>
                </c:pt>
                <c:pt idx="6">
                  <c:v>91.549137197070692</c:v>
                </c:pt>
                <c:pt idx="7">
                  <c:v>91.453734893445173</c:v>
                </c:pt>
                <c:pt idx="8">
                  <c:v>91.702987869886556</c:v>
                </c:pt>
                <c:pt idx="9">
                  <c:v>92.331160902240228</c:v>
                </c:pt>
                <c:pt idx="10">
                  <c:v>92.293443827472188</c:v>
                </c:pt>
                <c:pt idx="11">
                  <c:v>92.494726238271156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0-4F59-A4F4-268A8CB4046C}"/>
            </c:ext>
          </c:extLst>
        </c:ser>
        <c:ser>
          <c:idx val="4"/>
          <c:order val="4"/>
          <c:tx>
            <c:strRef>
              <c:f>'[1]Data filtrées'!$M$42</c:f>
              <c:strCache>
                <c:ptCount val="1"/>
                <c:pt idx="0">
                  <c:v>Champigneulles 6 RH</c:v>
                </c:pt>
              </c:strCache>
            </c:strRef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'[1]Data filtrées'!$N$42:$Y$42</c:f>
              <c:numCache>
                <c:formatCode>0.00</c:formatCode>
                <c:ptCount val="12"/>
                <c:pt idx="0">
                  <c:v>92.711616481428621</c:v>
                </c:pt>
                <c:pt idx="1">
                  <c:v>91.644235901000442</c:v>
                </c:pt>
                <c:pt idx="2">
                  <c:v>93.511775009481511</c:v>
                </c:pt>
                <c:pt idx="3">
                  <c:v>93.579615674130764</c:v>
                </c:pt>
                <c:pt idx="4">
                  <c:v>93.87016370461248</c:v>
                </c:pt>
                <c:pt idx="5">
                  <c:v>91.727816875920809</c:v>
                </c:pt>
                <c:pt idx="6">
                  <c:v>91.890512211437198</c:v>
                </c:pt>
                <c:pt idx="7">
                  <c:v>91.749728588609813</c:v>
                </c:pt>
                <c:pt idx="8">
                  <c:v>91.750914537054896</c:v>
                </c:pt>
                <c:pt idx="9">
                  <c:v>92.388739987441667</c:v>
                </c:pt>
                <c:pt idx="10">
                  <c:v>92.301601321378556</c:v>
                </c:pt>
                <c:pt idx="11">
                  <c:v>92.728987876413711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0-4F59-A4F4-268A8CB4046C}"/>
            </c:ext>
          </c:extLst>
        </c:ser>
        <c:ser>
          <c:idx val="5"/>
          <c:order val="5"/>
          <c:tx>
            <c:strRef>
              <c:f>'[1]Data filtrées'!$M$43</c:f>
              <c:strCache>
                <c:ptCount val="1"/>
                <c:pt idx="0">
                  <c:v>Star Algérie 6RH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'[1]Data filtrées'!$N$43:$Y$43</c:f>
              <c:numCache>
                <c:formatCode>0.00</c:formatCode>
                <c:ptCount val="12"/>
                <c:pt idx="0">
                  <c:v>92.711616481428621</c:v>
                </c:pt>
                <c:pt idx="1">
                  <c:v>91.644235901000442</c:v>
                </c:pt>
                <c:pt idx="2">
                  <c:v>93.511775009481511</c:v>
                </c:pt>
                <c:pt idx="3">
                  <c:v>93.579615674130764</c:v>
                </c:pt>
                <c:pt idx="4">
                  <c:v>93.87016370461248</c:v>
                </c:pt>
                <c:pt idx="5">
                  <c:v>91.727816875920809</c:v>
                </c:pt>
                <c:pt idx="6">
                  <c:v>91.890512211437198</c:v>
                </c:pt>
                <c:pt idx="7">
                  <c:v>91.749728588609813</c:v>
                </c:pt>
                <c:pt idx="8">
                  <c:v>91.750914537054896</c:v>
                </c:pt>
                <c:pt idx="9">
                  <c:v>92.388739987441667</c:v>
                </c:pt>
                <c:pt idx="10">
                  <c:v>92.301601321378556</c:v>
                </c:pt>
                <c:pt idx="11">
                  <c:v>92.728987876413711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D0-4F59-A4F4-268A8CB4046C}"/>
            </c:ext>
          </c:extLst>
        </c:ser>
        <c:ser>
          <c:idx val="6"/>
          <c:order val="6"/>
          <c:tx>
            <c:strRef>
              <c:f>'[1]Data filtrées'!$M$44</c:f>
              <c:strCache>
                <c:ptCount val="1"/>
                <c:pt idx="0">
                  <c:v>Sacofrina / Globe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'[1]Data filtrées'!$N$44:$Y$44</c:f>
              <c:numCache>
                <c:formatCode>0.00</c:formatCode>
                <c:ptCount val="12"/>
                <c:pt idx="0">
                  <c:v>91.549153678439708</c:v>
                </c:pt>
                <c:pt idx="1">
                  <c:v>90.043724289927084</c:v>
                </c:pt>
                <c:pt idx="2">
                  <c:v>92.76565271341353</c:v>
                </c:pt>
                <c:pt idx="3">
                  <c:v>92.513632411110294</c:v>
                </c:pt>
                <c:pt idx="4">
                  <c:v>92.539455953244939</c:v>
                </c:pt>
                <c:pt idx="5">
                  <c:v>91.248613776546605</c:v>
                </c:pt>
                <c:pt idx="6">
                  <c:v>91.09408327793254</c:v>
                </c:pt>
                <c:pt idx="7">
                  <c:v>91.512904025231919</c:v>
                </c:pt>
                <c:pt idx="8">
                  <c:v>91.586927506523807</c:v>
                </c:pt>
                <c:pt idx="9">
                  <c:v>92.972771542475442</c:v>
                </c:pt>
                <c:pt idx="10">
                  <c:v>92.234180569644977</c:v>
                </c:pt>
                <c:pt idx="11">
                  <c:v>92.796488232732699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D0-4F59-A4F4-268A8CB4046C}"/>
            </c:ext>
          </c:extLst>
        </c:ser>
        <c:ser>
          <c:idx val="7"/>
          <c:order val="7"/>
          <c:tx>
            <c:strRef>
              <c:f>'[1]Data filtrées'!$M$45</c:f>
              <c:strCache>
                <c:ptCount val="1"/>
                <c:pt idx="0">
                  <c:v>EFES 2RP</c:v>
                </c:pt>
              </c:strCache>
            </c:strRef>
          </c:tx>
          <c:marker>
            <c:symbol val="none"/>
          </c:marker>
          <c:val>
            <c:numRef>
              <c:f>'[1]Data filtrées'!$N$45:$Y$45</c:f>
              <c:numCache>
                <c:formatCode>0.00</c:formatCode>
                <c:ptCount val="12"/>
                <c:pt idx="0">
                  <c:v>91.549153678439708</c:v>
                </c:pt>
                <c:pt idx="1">
                  <c:v>90.043724289927084</c:v>
                </c:pt>
                <c:pt idx="2">
                  <c:v>92.76565271341353</c:v>
                </c:pt>
                <c:pt idx="3">
                  <c:v>92.513632411110294</c:v>
                </c:pt>
                <c:pt idx="4">
                  <c:v>92.539455953244939</c:v>
                </c:pt>
                <c:pt idx="5">
                  <c:v>91.248613776546605</c:v>
                </c:pt>
                <c:pt idx="6">
                  <c:v>91.09408327793254</c:v>
                </c:pt>
                <c:pt idx="7">
                  <c:v>91.512904025231919</c:v>
                </c:pt>
                <c:pt idx="8">
                  <c:v>91.586927506523807</c:v>
                </c:pt>
                <c:pt idx="9">
                  <c:v>92.972771542475442</c:v>
                </c:pt>
                <c:pt idx="10">
                  <c:v>92.234180569644977</c:v>
                </c:pt>
                <c:pt idx="11">
                  <c:v>92.796488232732699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D0-4F59-A4F4-268A8CB4046C}"/>
            </c:ext>
          </c:extLst>
        </c:ser>
        <c:ser>
          <c:idx val="8"/>
          <c:order val="8"/>
          <c:tx>
            <c:strRef>
              <c:f>'[1]Data filtrées'!$M$46</c:f>
              <c:strCache>
                <c:ptCount val="1"/>
                <c:pt idx="0">
                  <c:v>SFBT 2RP</c:v>
                </c:pt>
              </c:strCache>
            </c:strRef>
          </c:tx>
          <c:marker>
            <c:symbol val="none"/>
          </c:marker>
          <c:val>
            <c:numRef>
              <c:f>'[1]Data filtrées'!$N$46:$Y$46</c:f>
              <c:numCache>
                <c:formatCode>0.00</c:formatCode>
                <c:ptCount val="12"/>
                <c:pt idx="0">
                  <c:v>91.549153678439708</c:v>
                </c:pt>
                <c:pt idx="1">
                  <c:v>90.043724289927084</c:v>
                </c:pt>
                <c:pt idx="2">
                  <c:v>92.76565271341353</c:v>
                </c:pt>
                <c:pt idx="3">
                  <c:v>92.513632411110294</c:v>
                </c:pt>
                <c:pt idx="4">
                  <c:v>92.539455953244939</c:v>
                </c:pt>
                <c:pt idx="5">
                  <c:v>91.248613776546605</c:v>
                </c:pt>
                <c:pt idx="6">
                  <c:v>91.09408327793254</c:v>
                </c:pt>
                <c:pt idx="7">
                  <c:v>91.512904025231919</c:v>
                </c:pt>
                <c:pt idx="8">
                  <c:v>91.586927506523807</c:v>
                </c:pt>
                <c:pt idx="9">
                  <c:v>92.972771542475442</c:v>
                </c:pt>
                <c:pt idx="10">
                  <c:v>92.234180569644977</c:v>
                </c:pt>
                <c:pt idx="11">
                  <c:v>92.796488232732699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D0-4F59-A4F4-268A8CB4046C}"/>
            </c:ext>
          </c:extLst>
        </c:ser>
        <c:ser>
          <c:idx val="9"/>
          <c:order val="9"/>
          <c:tx>
            <c:strRef>
              <c:f>'[1]Data filtrées'!$M$47</c:f>
              <c:strCache>
                <c:ptCount val="1"/>
                <c:pt idx="0">
                  <c:v>Heineken A</c:v>
                </c:pt>
              </c:strCache>
            </c:strRef>
          </c:tx>
          <c:marker>
            <c:symbol val="none"/>
          </c:marker>
          <c:val>
            <c:numRef>
              <c:f>'[1]Data filtrées'!$N$47:$Y$47</c:f>
              <c:numCache>
                <c:formatCode>0.00</c:formatCode>
                <c:ptCount val="12"/>
                <c:pt idx="0">
                  <c:v>92.921846813594385</c:v>
                </c:pt>
                <c:pt idx="1">
                  <c:v>91.644235901000442</c:v>
                </c:pt>
                <c:pt idx="2">
                  <c:v>92.687645719829689</c:v>
                </c:pt>
                <c:pt idx="3">
                  <c:v>91.208002470423153</c:v>
                </c:pt>
                <c:pt idx="4">
                  <c:v>91.502962568207167</c:v>
                </c:pt>
                <c:pt idx="5">
                  <c:v>92.36120219087087</c:v>
                </c:pt>
                <c:pt idx="6">
                  <c:v>91.343752176348161</c:v>
                </c:pt>
                <c:pt idx="7">
                  <c:v>91.233691930642919</c:v>
                </c:pt>
                <c:pt idx="8">
                  <c:v>91.427659552892209</c:v>
                </c:pt>
                <c:pt idx="9">
                  <c:v>92.067848032018176</c:v>
                </c:pt>
                <c:pt idx="10">
                  <c:v>92.389857019362069</c:v>
                </c:pt>
                <c:pt idx="11">
                  <c:v>91.463306412485508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D0-4F59-A4F4-268A8CB4046C}"/>
            </c:ext>
          </c:extLst>
        </c:ser>
        <c:ser>
          <c:idx val="10"/>
          <c:order val="10"/>
          <c:tx>
            <c:strRef>
              <c:f>'[1]Data filtrées'!$M$48</c:f>
              <c:strCache>
                <c:ptCount val="1"/>
                <c:pt idx="0">
                  <c:v>Heineken C</c:v>
                </c:pt>
              </c:strCache>
            </c:strRef>
          </c:tx>
          <c:marker>
            <c:symbol val="none"/>
          </c:marker>
          <c:val>
            <c:numRef>
              <c:f>'[1]Data filtrées'!$N$48:$Y$48</c:f>
              <c:numCache>
                <c:formatCode>0.00</c:formatCode>
                <c:ptCount val="12"/>
                <c:pt idx="0">
                  <c:v>92.713790429702826</c:v>
                </c:pt>
                <c:pt idx="1">
                  <c:v>91.752009058128735</c:v>
                </c:pt>
                <c:pt idx="2">
                  <c:v>92.762202975767963</c:v>
                </c:pt>
                <c:pt idx="3">
                  <c:v>92.733011064867895</c:v>
                </c:pt>
                <c:pt idx="4">
                  <c:v>92.514097447089753</c:v>
                </c:pt>
                <c:pt idx="5">
                  <c:v>91.532802271483334</c:v>
                </c:pt>
                <c:pt idx="6">
                  <c:v>91.373858057574012</c:v>
                </c:pt>
                <c:pt idx="7">
                  <c:v>91.922534037881832</c:v>
                </c:pt>
                <c:pt idx="8">
                  <c:v>91.913931563286297</c:v>
                </c:pt>
                <c:pt idx="9">
                  <c:v>92.402990143947306</c:v>
                </c:pt>
                <c:pt idx="10">
                  <c:v>92.400657422258405</c:v>
                </c:pt>
                <c:pt idx="11">
                  <c:v>92.922877047346006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D0-4F59-A4F4-268A8CB4046C}"/>
            </c:ext>
          </c:extLst>
        </c:ser>
        <c:ser>
          <c:idx val="11"/>
          <c:order val="11"/>
          <c:tx>
            <c:strRef>
              <c:f>'[1]Data filtrées'!$M$49</c:f>
              <c:strCache>
                <c:ptCount val="1"/>
                <c:pt idx="0">
                  <c:v>Diekirch 2RP</c:v>
                </c:pt>
              </c:strCache>
            </c:strRef>
          </c:tx>
          <c:marker>
            <c:symbol val="none"/>
          </c:marker>
          <c:val>
            <c:numRef>
              <c:f>'[1]Data filtrées'!$N$49:$Y$49</c:f>
              <c:numCache>
                <c:formatCode>0.00</c:formatCode>
                <c:ptCount val="12"/>
                <c:pt idx="0">
                  <c:v>92.711616481428621</c:v>
                </c:pt>
                <c:pt idx="1">
                  <c:v>91.644235901000442</c:v>
                </c:pt>
                <c:pt idx="2">
                  <c:v>92.76565271341353</c:v>
                </c:pt>
                <c:pt idx="3">
                  <c:v>92.513632411110294</c:v>
                </c:pt>
                <c:pt idx="4">
                  <c:v>92.539455953244939</c:v>
                </c:pt>
                <c:pt idx="5">
                  <c:v>91.727816875920809</c:v>
                </c:pt>
                <c:pt idx="6">
                  <c:v>91.339705178233629</c:v>
                </c:pt>
                <c:pt idx="7">
                  <c:v>91.749728588609813</c:v>
                </c:pt>
                <c:pt idx="8">
                  <c:v>91.750914537054896</c:v>
                </c:pt>
                <c:pt idx="9">
                  <c:v>92.388739987441667</c:v>
                </c:pt>
                <c:pt idx="10">
                  <c:v>92.301601321378556</c:v>
                </c:pt>
                <c:pt idx="11">
                  <c:v>92.728987876413711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D0-4F59-A4F4-268A8CB4046C}"/>
            </c:ext>
          </c:extLst>
        </c:ser>
        <c:ser>
          <c:idx val="12"/>
          <c:order val="12"/>
          <c:tx>
            <c:strRef>
              <c:f>'[1]Data filtrées'!$M$50</c:f>
              <c:strCache>
                <c:ptCount val="1"/>
                <c:pt idx="0">
                  <c:v>STANDARD</c:v>
                </c:pt>
              </c:strCache>
            </c:strRef>
          </c:tx>
          <c:marker>
            <c:symbol val="none"/>
          </c:marker>
          <c:val>
            <c:numRef>
              <c:f>'[1]Data filtrées'!$N$50:$Y$50</c:f>
              <c:numCache>
                <c:formatCode>0.00</c:formatCode>
                <c:ptCount val="12"/>
                <c:pt idx="0">
                  <c:v>92.711616481428621</c:v>
                </c:pt>
                <c:pt idx="1">
                  <c:v>91.644235901000442</c:v>
                </c:pt>
                <c:pt idx="2">
                  <c:v>92.76565271341353</c:v>
                </c:pt>
                <c:pt idx="3">
                  <c:v>92.513632411110294</c:v>
                </c:pt>
                <c:pt idx="4">
                  <c:v>92.539455953244939</c:v>
                </c:pt>
                <c:pt idx="5">
                  <c:v>91.727816875920809</c:v>
                </c:pt>
                <c:pt idx="6">
                  <c:v>91.339705178233629</c:v>
                </c:pt>
                <c:pt idx="7">
                  <c:v>91.749728588609813</c:v>
                </c:pt>
                <c:pt idx="8">
                  <c:v>91.750914537054896</c:v>
                </c:pt>
                <c:pt idx="9">
                  <c:v>92.388739987441667</c:v>
                </c:pt>
                <c:pt idx="10">
                  <c:v>92.301601321378556</c:v>
                </c:pt>
                <c:pt idx="11">
                  <c:v>92.728987876413711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D0-4F59-A4F4-268A8CB4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672757"/>
        <c:axId val="23658400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'[1]Data filtrées'!$M$38</c15:sqref>
                        </c15:formulaRef>
                      </c:ext>
                    </c:extLst>
                    <c:strCache>
                      <c:ptCount val="1"/>
                      <c:pt idx="0">
                        <c:v>MOYENNE</c:v>
                      </c:pt>
                    </c:strCache>
                  </c:strRef>
                </c:tx>
                <c:spPr>
                  <a:ln w="28575" cmpd="sng">
                    <a:solidFill>
                      <a:schemeClr val="accent2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'[1]Data filtrées'!$N$38:$Y$38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13D0-4F59-A4F4-268A8CB4046C}"/>
                  </c:ext>
                </c:extLst>
              </c15:ser>
            </c15:filteredLineSeries>
          </c:ext>
        </c:extLst>
      </c:lineChart>
      <c:catAx>
        <c:axId val="1148672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36584009"/>
        <c:crosses val="autoZero"/>
        <c:auto val="1"/>
        <c:lblAlgn val="ctr"/>
        <c:lblOffset val="100"/>
        <c:noMultiLvlLbl val="1"/>
      </c:catAx>
      <c:valAx>
        <c:axId val="236584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4867275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Qte Orge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strRef>
              <c:f>'[1]Data filtrées'!$M$54</c:f>
              <c:strCache>
                <c:ptCount val="1"/>
                <c:pt idx="0">
                  <c:v>Diekirch /Louvain 6RH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'[1]Data filtrées'!$N$54:$Y$54</c:f>
              <c:numCache>
                <c:formatCode>0.00</c:formatCode>
                <c:ptCount val="12"/>
                <c:pt idx="0">
                  <c:v>580.01699999999994</c:v>
                </c:pt>
                <c:pt idx="1">
                  <c:v>589.10721311475413</c:v>
                </c:pt>
                <c:pt idx="2">
                  <c:v>585.24247191011227</c:v>
                </c:pt>
                <c:pt idx="3">
                  <c:v>585.62953124999979</c:v>
                </c:pt>
                <c:pt idx="4">
                  <c:v>579.99487499999998</c:v>
                </c:pt>
                <c:pt idx="5">
                  <c:v>580.01109090909085</c:v>
                </c:pt>
                <c:pt idx="6">
                  <c:v>585.05311340206219</c:v>
                </c:pt>
                <c:pt idx="7">
                  <c:v>582.34453124999993</c:v>
                </c:pt>
                <c:pt idx="8">
                  <c:v>581.4307142857142</c:v>
                </c:pt>
                <c:pt idx="9">
                  <c:v>582.21540000000005</c:v>
                </c:pt>
                <c:pt idx="10">
                  <c:v>584.27357142857136</c:v>
                </c:pt>
                <c:pt idx="11">
                  <c:v>584.96207692307701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9-4957-B151-9363A8EC0697}"/>
            </c:ext>
          </c:extLst>
        </c:ser>
        <c:ser>
          <c:idx val="2"/>
          <c:order val="2"/>
          <c:tx>
            <c:strRef>
              <c:f>'[1]Data filtrées'!$M$55</c:f>
              <c:strCache>
                <c:ptCount val="1"/>
                <c:pt idx="0">
                  <c:v>SAB   6RH</c:v>
                </c:pt>
              </c:strCache>
            </c:strRef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'[1]Data filtrées'!$N$55:$Y$55</c:f>
              <c:numCache>
                <c:formatCode>0.00</c:formatCode>
                <c:ptCount val="12"/>
                <c:pt idx="0">
                  <c:v>580.01699999999994</c:v>
                </c:pt>
                <c:pt idx="1">
                  <c:v>589.10721311475413</c:v>
                </c:pt>
                <c:pt idx="2">
                  <c:v>585.24247191011227</c:v>
                </c:pt>
                <c:pt idx="3">
                  <c:v>585.62953124999979</c:v>
                </c:pt>
                <c:pt idx="4">
                  <c:v>579.99487499999998</c:v>
                </c:pt>
                <c:pt idx="5">
                  <c:v>580.01109090909085</c:v>
                </c:pt>
                <c:pt idx="6">
                  <c:v>585.05311340206219</c:v>
                </c:pt>
                <c:pt idx="7">
                  <c:v>582.34453124999993</c:v>
                </c:pt>
                <c:pt idx="8">
                  <c:v>581.4307142857142</c:v>
                </c:pt>
                <c:pt idx="9">
                  <c:v>582.21540000000005</c:v>
                </c:pt>
                <c:pt idx="10">
                  <c:v>584.27357142857136</c:v>
                </c:pt>
                <c:pt idx="11">
                  <c:v>584.96207692307701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9-4957-B151-9363A8EC0697}"/>
            </c:ext>
          </c:extLst>
        </c:ser>
        <c:ser>
          <c:idx val="3"/>
          <c:order val="3"/>
          <c:tx>
            <c:strRef>
              <c:f>'[1]Data filtrées'!$M$56</c:f>
              <c:strCache>
                <c:ptCount val="1"/>
                <c:pt idx="0">
                  <c:v>Asahi</c:v>
                </c:pt>
              </c:strCache>
            </c:strRef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'[1]Data filtrées'!$N$56:$Y$56</c:f>
              <c:numCache>
                <c:formatCode>0.00</c:formatCode>
                <c:ptCount val="12"/>
                <c:pt idx="0">
                  <c:v>587.51666666666665</c:v>
                </c:pt>
                <c:pt idx="1">
                  <c:v>593.49479999999994</c:v>
                </c:pt>
                <c:pt idx="2">
                  <c:v>588.64263636363626</c:v>
                </c:pt>
                <c:pt idx="3">
                  <c:v>587.14161904761909</c:v>
                </c:pt>
                <c:pt idx="4">
                  <c:v>585.3071176470587</c:v>
                </c:pt>
                <c:pt idx="5">
                  <c:v>586.08985714285711</c:v>
                </c:pt>
                <c:pt idx="6">
                  <c:v>585.72092857142866</c:v>
                </c:pt>
                <c:pt idx="7">
                  <c:v>585.00750000000016</c:v>
                </c:pt>
                <c:pt idx="8">
                  <c:v>586.54530769230769</c:v>
                </c:pt>
                <c:pt idx="9">
                  <c:v>586.5120999999998</c:v>
                </c:pt>
                <c:pt idx="10">
                  <c:v>587.15376923076917</c:v>
                </c:pt>
                <c:pt idx="11">
                  <c:v>590.1869999999999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89-4957-B151-9363A8EC0697}"/>
            </c:ext>
          </c:extLst>
        </c:ser>
        <c:ser>
          <c:idx val="4"/>
          <c:order val="4"/>
          <c:tx>
            <c:strRef>
              <c:f>'[1]Data filtrées'!$M$57</c:f>
              <c:strCache>
                <c:ptCount val="1"/>
                <c:pt idx="0">
                  <c:v>Champigneulles 6 RH</c:v>
                </c:pt>
              </c:strCache>
            </c:strRef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'[1]Data filtrées'!$N$57:$Y$57</c:f>
              <c:numCache>
                <c:formatCode>0.00</c:formatCode>
                <c:ptCount val="12"/>
                <c:pt idx="0">
                  <c:v>585.11070408163278</c:v>
                </c:pt>
                <c:pt idx="1">
                  <c:v>589.10721311475413</c:v>
                </c:pt>
                <c:pt idx="2">
                  <c:v>585.00500000000011</c:v>
                </c:pt>
                <c:pt idx="3">
                  <c:v>583.36283333333336</c:v>
                </c:pt>
                <c:pt idx="4">
                  <c:v>583.34299999999996</c:v>
                </c:pt>
                <c:pt idx="5">
                  <c:v>584.88974117647069</c:v>
                </c:pt>
                <c:pt idx="6">
                  <c:v>585.99469999999997</c:v>
                </c:pt>
                <c:pt idx="7">
                  <c:v>582.34453124999993</c:v>
                </c:pt>
                <c:pt idx="8">
                  <c:v>583.04503092783489</c:v>
                </c:pt>
                <c:pt idx="9">
                  <c:v>583.29660606060611</c:v>
                </c:pt>
                <c:pt idx="10">
                  <c:v>584.01943749999987</c:v>
                </c:pt>
                <c:pt idx="11">
                  <c:v>584.96207692307701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89-4957-B151-9363A8EC0697}"/>
            </c:ext>
          </c:extLst>
        </c:ser>
        <c:ser>
          <c:idx val="5"/>
          <c:order val="5"/>
          <c:tx>
            <c:strRef>
              <c:f>'[1]Data filtrées'!$M$58</c:f>
              <c:strCache>
                <c:ptCount val="1"/>
                <c:pt idx="0">
                  <c:v>Star Algérie 6RH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'[1]Data filtrées'!$N$58:$Y$58</c:f>
              <c:numCache>
                <c:formatCode>0.00</c:formatCode>
                <c:ptCount val="12"/>
                <c:pt idx="0">
                  <c:v>585.11070408163278</c:v>
                </c:pt>
                <c:pt idx="1">
                  <c:v>589.10721311475413</c:v>
                </c:pt>
                <c:pt idx="2">
                  <c:v>585.00500000000011</c:v>
                </c:pt>
                <c:pt idx="3">
                  <c:v>583.36283333333336</c:v>
                </c:pt>
                <c:pt idx="4">
                  <c:v>583.34299999999996</c:v>
                </c:pt>
                <c:pt idx="5">
                  <c:v>584.88974117647069</c:v>
                </c:pt>
                <c:pt idx="6">
                  <c:v>585.99469999999997</c:v>
                </c:pt>
                <c:pt idx="7">
                  <c:v>582.34453124999993</c:v>
                </c:pt>
                <c:pt idx="8">
                  <c:v>583.04503092783489</c:v>
                </c:pt>
                <c:pt idx="9">
                  <c:v>583.29660606060611</c:v>
                </c:pt>
                <c:pt idx="10">
                  <c:v>584.01943749999987</c:v>
                </c:pt>
                <c:pt idx="11">
                  <c:v>584.96207692307701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89-4957-B151-9363A8EC0697}"/>
            </c:ext>
          </c:extLst>
        </c:ser>
        <c:ser>
          <c:idx val="6"/>
          <c:order val="6"/>
          <c:tx>
            <c:strRef>
              <c:f>'[1]Data filtrées'!$M$59</c:f>
              <c:strCache>
                <c:ptCount val="1"/>
                <c:pt idx="0">
                  <c:v>Sacofrina / Globe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'[1]Data filtrées'!$N$59:$Y$59</c:f>
              <c:numCache>
                <c:formatCode>0.00</c:formatCode>
                <c:ptCount val="12"/>
                <c:pt idx="0">
                  <c:v>590.83366666666666</c:v>
                </c:pt>
                <c:pt idx="1">
                  <c:v>594.99250000000006</c:v>
                </c:pt>
                <c:pt idx="2">
                  <c:v>585.24247191011227</c:v>
                </c:pt>
                <c:pt idx="3">
                  <c:v>585.62953124999979</c:v>
                </c:pt>
                <c:pt idx="4">
                  <c:v>585.10818181818195</c:v>
                </c:pt>
                <c:pt idx="5">
                  <c:v>586.66800000000001</c:v>
                </c:pt>
                <c:pt idx="6">
                  <c:v>589.16700000000003</c:v>
                </c:pt>
                <c:pt idx="7">
                  <c:v>585.00400000000002</c:v>
                </c:pt>
                <c:pt idx="8">
                  <c:v>585.48923809523819</c:v>
                </c:pt>
                <c:pt idx="9">
                  <c:v>584.47544444444452</c:v>
                </c:pt>
                <c:pt idx="10">
                  <c:v>587.43793333333326</c:v>
                </c:pt>
                <c:pt idx="11">
                  <c:v>588.06876470588236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89-4957-B151-9363A8EC0697}"/>
            </c:ext>
          </c:extLst>
        </c:ser>
        <c:ser>
          <c:idx val="7"/>
          <c:order val="7"/>
          <c:tx>
            <c:strRef>
              <c:f>'[1]Data filtrées'!$M$60</c:f>
              <c:strCache>
                <c:ptCount val="1"/>
                <c:pt idx="0">
                  <c:v>EFES 2RP</c:v>
                </c:pt>
              </c:strCache>
            </c:strRef>
          </c:tx>
          <c:marker>
            <c:symbol val="none"/>
          </c:marker>
          <c:val>
            <c:numRef>
              <c:f>'[1]Data filtrées'!$N$60:$Y$60</c:f>
              <c:numCache>
                <c:formatCode>0.00</c:formatCode>
                <c:ptCount val="12"/>
                <c:pt idx="0">
                  <c:v>590.83366666666666</c:v>
                </c:pt>
                <c:pt idx="1">
                  <c:v>594.99250000000006</c:v>
                </c:pt>
                <c:pt idx="2">
                  <c:v>585.24247191011227</c:v>
                </c:pt>
                <c:pt idx="3">
                  <c:v>585.62953124999979</c:v>
                </c:pt>
                <c:pt idx="4">
                  <c:v>585.10818181818195</c:v>
                </c:pt>
                <c:pt idx="5">
                  <c:v>586.66800000000001</c:v>
                </c:pt>
                <c:pt idx="6">
                  <c:v>589.16700000000003</c:v>
                </c:pt>
                <c:pt idx="7">
                  <c:v>585.00400000000002</c:v>
                </c:pt>
                <c:pt idx="8">
                  <c:v>585.48923809523819</c:v>
                </c:pt>
                <c:pt idx="9">
                  <c:v>584.47544444444452</c:v>
                </c:pt>
                <c:pt idx="10">
                  <c:v>587.43793333333326</c:v>
                </c:pt>
                <c:pt idx="11">
                  <c:v>588.06876470588236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89-4957-B151-9363A8EC0697}"/>
            </c:ext>
          </c:extLst>
        </c:ser>
        <c:ser>
          <c:idx val="8"/>
          <c:order val="8"/>
          <c:tx>
            <c:strRef>
              <c:f>'[1]Data filtrées'!$M$61</c:f>
              <c:strCache>
                <c:ptCount val="1"/>
                <c:pt idx="0">
                  <c:v>SFBT 2RP</c:v>
                </c:pt>
              </c:strCache>
            </c:strRef>
          </c:tx>
          <c:marker>
            <c:symbol val="none"/>
          </c:marker>
          <c:val>
            <c:numRef>
              <c:f>'[1]Data filtrées'!$N$61:$Y$61</c:f>
              <c:numCache>
                <c:formatCode>0.00</c:formatCode>
                <c:ptCount val="12"/>
                <c:pt idx="0">
                  <c:v>590.83366666666666</c:v>
                </c:pt>
                <c:pt idx="1">
                  <c:v>594.99250000000006</c:v>
                </c:pt>
                <c:pt idx="2">
                  <c:v>585.24247191011227</c:v>
                </c:pt>
                <c:pt idx="3">
                  <c:v>585.62953124999979</c:v>
                </c:pt>
                <c:pt idx="4">
                  <c:v>585.10818181818195</c:v>
                </c:pt>
                <c:pt idx="5">
                  <c:v>586.66800000000001</c:v>
                </c:pt>
                <c:pt idx="6">
                  <c:v>589.16700000000003</c:v>
                </c:pt>
                <c:pt idx="7">
                  <c:v>585.00400000000002</c:v>
                </c:pt>
                <c:pt idx="8">
                  <c:v>585.48923809523819</c:v>
                </c:pt>
                <c:pt idx="9">
                  <c:v>584.47544444444452</c:v>
                </c:pt>
                <c:pt idx="10">
                  <c:v>587.43793333333326</c:v>
                </c:pt>
                <c:pt idx="11">
                  <c:v>588.06876470588236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89-4957-B151-9363A8EC0697}"/>
            </c:ext>
          </c:extLst>
        </c:ser>
        <c:ser>
          <c:idx val="9"/>
          <c:order val="9"/>
          <c:tx>
            <c:strRef>
              <c:f>'[1]Data filtrées'!$M$62</c:f>
              <c:strCache>
                <c:ptCount val="1"/>
                <c:pt idx="0">
                  <c:v>Heineken A</c:v>
                </c:pt>
              </c:strCache>
            </c:strRef>
          </c:tx>
          <c:marker>
            <c:symbol val="none"/>
          </c:marker>
          <c:val>
            <c:numRef>
              <c:f>'[1]Data filtrées'!$N$62:$Y$62</c:f>
              <c:numCache>
                <c:formatCode>0.00</c:formatCode>
                <c:ptCount val="12"/>
                <c:pt idx="0">
                  <c:v>591.88475000000005</c:v>
                </c:pt>
                <c:pt idx="1">
                  <c:v>589.10721311475413</c:v>
                </c:pt>
                <c:pt idx="2">
                  <c:v>590.01628571428569</c:v>
                </c:pt>
                <c:pt idx="3">
                  <c:v>590.01777777777784</c:v>
                </c:pt>
                <c:pt idx="4">
                  <c:v>590.3499333333333</c:v>
                </c:pt>
                <c:pt idx="5">
                  <c:v>588.91055555555556</c:v>
                </c:pt>
                <c:pt idx="6">
                  <c:v>588.57685714285719</c:v>
                </c:pt>
                <c:pt idx="7">
                  <c:v>584.99037499999997</c:v>
                </c:pt>
                <c:pt idx="8">
                  <c:v>588.33355555555545</c:v>
                </c:pt>
                <c:pt idx="9">
                  <c:v>591.25508333333335</c:v>
                </c:pt>
                <c:pt idx="10">
                  <c:v>591.14499999999998</c:v>
                </c:pt>
                <c:pt idx="11">
                  <c:v>594.56981818181805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89-4957-B151-9363A8EC0697}"/>
            </c:ext>
          </c:extLst>
        </c:ser>
        <c:ser>
          <c:idx val="10"/>
          <c:order val="10"/>
          <c:tx>
            <c:strRef>
              <c:f>'[1]Data filtrées'!$M$63</c:f>
              <c:strCache>
                <c:ptCount val="1"/>
                <c:pt idx="0">
                  <c:v>Heineken C</c:v>
                </c:pt>
              </c:strCache>
            </c:strRef>
          </c:tx>
          <c:marker>
            <c:symbol val="none"/>
          </c:marker>
          <c:val>
            <c:numRef>
              <c:f>'[1]Data filtrées'!$N$63:$Y$63</c:f>
              <c:numCache>
                <c:formatCode>0.00</c:formatCode>
                <c:ptCount val="12"/>
                <c:pt idx="0">
                  <c:v>582.07973584905676</c:v>
                </c:pt>
                <c:pt idx="1">
                  <c:v>585.61554545454544</c:v>
                </c:pt>
                <c:pt idx="2">
                  <c:v>582.31686538461543</c:v>
                </c:pt>
                <c:pt idx="3">
                  <c:v>584.03801923076912</c:v>
                </c:pt>
                <c:pt idx="4">
                  <c:v>584.54984090909079</c:v>
                </c:pt>
                <c:pt idx="5">
                  <c:v>584.47257894736867</c:v>
                </c:pt>
                <c:pt idx="6">
                  <c:v>583.47024489795933</c:v>
                </c:pt>
                <c:pt idx="7">
                  <c:v>580.00049999999999</c:v>
                </c:pt>
                <c:pt idx="8">
                  <c:v>580.22148888888898</c:v>
                </c:pt>
                <c:pt idx="9">
                  <c:v>580.38472916666672</c:v>
                </c:pt>
                <c:pt idx="10">
                  <c:v>580.90218000000004</c:v>
                </c:pt>
                <c:pt idx="11">
                  <c:v>581.23134482758644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89-4957-B151-9363A8EC0697}"/>
            </c:ext>
          </c:extLst>
        </c:ser>
        <c:ser>
          <c:idx val="11"/>
          <c:order val="11"/>
          <c:tx>
            <c:strRef>
              <c:f>'[1]Data filtrées'!$M$64</c:f>
              <c:strCache>
                <c:ptCount val="1"/>
                <c:pt idx="0">
                  <c:v>Diekirch 2RP</c:v>
                </c:pt>
              </c:strCache>
            </c:strRef>
          </c:tx>
          <c:marker>
            <c:symbol val="none"/>
          </c:marker>
          <c:val>
            <c:numRef>
              <c:f>'[1]Data filtrées'!$N$64:$Y$64</c:f>
              <c:numCache>
                <c:formatCode>0.00</c:formatCode>
                <c:ptCount val="12"/>
                <c:pt idx="0">
                  <c:v>585.11070408163278</c:v>
                </c:pt>
                <c:pt idx="1">
                  <c:v>589.10721311475413</c:v>
                </c:pt>
                <c:pt idx="2">
                  <c:v>585.24247191011227</c:v>
                </c:pt>
                <c:pt idx="3">
                  <c:v>585.62953124999979</c:v>
                </c:pt>
                <c:pt idx="4">
                  <c:v>585.10818181818195</c:v>
                </c:pt>
                <c:pt idx="5">
                  <c:v>584.88974117647069</c:v>
                </c:pt>
                <c:pt idx="6">
                  <c:v>585.05311340206219</c:v>
                </c:pt>
                <c:pt idx="7">
                  <c:v>582.34453124999993</c:v>
                </c:pt>
                <c:pt idx="8">
                  <c:v>583.04503092783489</c:v>
                </c:pt>
                <c:pt idx="9">
                  <c:v>583.29660606060611</c:v>
                </c:pt>
                <c:pt idx="10">
                  <c:v>584.01943749999987</c:v>
                </c:pt>
                <c:pt idx="11">
                  <c:v>584.96207692307701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89-4957-B151-9363A8EC0697}"/>
            </c:ext>
          </c:extLst>
        </c:ser>
        <c:ser>
          <c:idx val="12"/>
          <c:order val="12"/>
          <c:tx>
            <c:strRef>
              <c:f>'[1]Data filtrées'!$M$65</c:f>
              <c:strCache>
                <c:ptCount val="1"/>
                <c:pt idx="0">
                  <c:v>STANDARD</c:v>
                </c:pt>
              </c:strCache>
            </c:strRef>
          </c:tx>
          <c:marker>
            <c:symbol val="none"/>
          </c:marker>
          <c:val>
            <c:numRef>
              <c:f>'[1]Data filtrées'!$N$65:$Y$65</c:f>
              <c:numCache>
                <c:formatCode>0.00</c:formatCode>
                <c:ptCount val="12"/>
                <c:pt idx="0">
                  <c:v>585.11070408163278</c:v>
                </c:pt>
                <c:pt idx="1">
                  <c:v>589.10721311475413</c:v>
                </c:pt>
                <c:pt idx="2">
                  <c:v>585.24247191011227</c:v>
                </c:pt>
                <c:pt idx="3">
                  <c:v>585.62953124999979</c:v>
                </c:pt>
                <c:pt idx="4">
                  <c:v>585.10818181818195</c:v>
                </c:pt>
                <c:pt idx="5">
                  <c:v>584.88974117647069</c:v>
                </c:pt>
                <c:pt idx="6">
                  <c:v>585.05311340206219</c:v>
                </c:pt>
                <c:pt idx="7">
                  <c:v>582.34453124999993</c:v>
                </c:pt>
                <c:pt idx="8">
                  <c:v>583.04503092783489</c:v>
                </c:pt>
                <c:pt idx="9">
                  <c:v>583.29660606060611</c:v>
                </c:pt>
                <c:pt idx="10">
                  <c:v>584.01943749999987</c:v>
                </c:pt>
                <c:pt idx="11">
                  <c:v>584.96207692307701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89-4957-B151-9363A8EC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793756"/>
        <c:axId val="8235584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'[1]Data filtrées'!$M$53</c15:sqref>
                        </c15:formulaRef>
                      </c:ext>
                    </c:extLst>
                    <c:strCache>
                      <c:ptCount val="1"/>
                      <c:pt idx="0">
                        <c:v>MOYENNE</c:v>
                      </c:pt>
                    </c:strCache>
                  </c:strRef>
                </c:tx>
                <c:spPr>
                  <a:ln w="28575" cmpd="sng">
                    <a:solidFill>
                      <a:schemeClr val="accent2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'[1]Data filtrées'!$N$53:$Y$53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8189-4957-B151-9363A8EC0697}"/>
                  </c:ext>
                </c:extLst>
              </c15:ser>
            </c15:filteredLineSeries>
          </c:ext>
        </c:extLst>
      </c:lineChart>
      <c:catAx>
        <c:axId val="1346793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23558455"/>
        <c:crosses val="autoZero"/>
        <c:auto val="1"/>
        <c:lblAlgn val="ctr"/>
        <c:lblOffset val="100"/>
        <c:noMultiLvlLbl val="1"/>
      </c:catAx>
      <c:valAx>
        <c:axId val="823558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4679375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Qte Malt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strRef>
              <c:f>'[1]Data filtrées'!$M$69</c:f>
              <c:strCache>
                <c:ptCount val="1"/>
                <c:pt idx="0">
                  <c:v>Diekirch /Louvain 6RH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'[1]Data filtrées'!$N$69:$Y$69</c:f>
              <c:numCache>
                <c:formatCode>0.00</c:formatCode>
                <c:ptCount val="12"/>
                <c:pt idx="0">
                  <c:v>484.94885714285709</c:v>
                </c:pt>
                <c:pt idx="1">
                  <c:v>497.05244262295082</c:v>
                </c:pt>
                <c:pt idx="2">
                  <c:v>493.84995505617985</c:v>
                </c:pt>
                <c:pt idx="3">
                  <c:v>494.57088541666673</c:v>
                </c:pt>
                <c:pt idx="4">
                  <c:v>481.91612500000002</c:v>
                </c:pt>
                <c:pt idx="5">
                  <c:v>481.04</c:v>
                </c:pt>
                <c:pt idx="6">
                  <c:v>487.77480412371136</c:v>
                </c:pt>
                <c:pt idx="7">
                  <c:v>486.07151562500013</c:v>
                </c:pt>
                <c:pt idx="8">
                  <c:v>486.98985714285715</c:v>
                </c:pt>
                <c:pt idx="9">
                  <c:v>487.28680000000003</c:v>
                </c:pt>
                <c:pt idx="10">
                  <c:v>488.95485714285718</c:v>
                </c:pt>
                <c:pt idx="11">
                  <c:v>495.23062499999986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4-40ED-85D4-D2D682EAFB61}"/>
            </c:ext>
          </c:extLst>
        </c:ser>
        <c:ser>
          <c:idx val="2"/>
          <c:order val="2"/>
          <c:tx>
            <c:strRef>
              <c:f>'[1]Data filtrées'!$M$70</c:f>
              <c:strCache>
                <c:ptCount val="1"/>
                <c:pt idx="0">
                  <c:v>SAB   6RH</c:v>
                </c:pt>
              </c:strCache>
            </c:strRef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'[1]Data filtrées'!$N$70:$Y$70</c:f>
              <c:numCache>
                <c:formatCode>0.00</c:formatCode>
                <c:ptCount val="12"/>
                <c:pt idx="0">
                  <c:v>484.94885714285709</c:v>
                </c:pt>
                <c:pt idx="1">
                  <c:v>497.05244262295082</c:v>
                </c:pt>
                <c:pt idx="2">
                  <c:v>493.84995505617985</c:v>
                </c:pt>
                <c:pt idx="3">
                  <c:v>494.57088541666673</c:v>
                </c:pt>
                <c:pt idx="4">
                  <c:v>481.91612500000002</c:v>
                </c:pt>
                <c:pt idx="5">
                  <c:v>481.04</c:v>
                </c:pt>
                <c:pt idx="6">
                  <c:v>487.77480412371136</c:v>
                </c:pt>
                <c:pt idx="7">
                  <c:v>486.07151562500013</c:v>
                </c:pt>
                <c:pt idx="8">
                  <c:v>486.98985714285715</c:v>
                </c:pt>
                <c:pt idx="9">
                  <c:v>487.28680000000003</c:v>
                </c:pt>
                <c:pt idx="10">
                  <c:v>488.95485714285718</c:v>
                </c:pt>
                <c:pt idx="11">
                  <c:v>495.23062499999986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84-40ED-85D4-D2D682EAFB61}"/>
            </c:ext>
          </c:extLst>
        </c:ser>
        <c:ser>
          <c:idx val="3"/>
          <c:order val="3"/>
          <c:tx>
            <c:strRef>
              <c:f>'[1]Data filtrées'!$M$71</c:f>
              <c:strCache>
                <c:ptCount val="1"/>
                <c:pt idx="0">
                  <c:v>Asahi</c:v>
                </c:pt>
              </c:strCache>
            </c:strRef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'[1]Data filtrées'!$N$71:$Y$71</c:f>
              <c:numCache>
                <c:formatCode>0.00</c:formatCode>
                <c:ptCount val="12"/>
                <c:pt idx="0">
                  <c:v>497.68033333333341</c:v>
                </c:pt>
                <c:pt idx="1">
                  <c:v>507.3995000000001</c:v>
                </c:pt>
                <c:pt idx="2">
                  <c:v>499.89427272727278</c:v>
                </c:pt>
                <c:pt idx="3">
                  <c:v>495.65361904761909</c:v>
                </c:pt>
                <c:pt idx="4">
                  <c:v>497.62111764705878</c:v>
                </c:pt>
                <c:pt idx="5">
                  <c:v>495.73957142857137</c:v>
                </c:pt>
                <c:pt idx="6">
                  <c:v>490.67092857142859</c:v>
                </c:pt>
                <c:pt idx="7">
                  <c:v>489.61950000000002</c:v>
                </c:pt>
                <c:pt idx="8">
                  <c:v>494.78407692307701</c:v>
                </c:pt>
                <c:pt idx="9">
                  <c:v>496.4171</c:v>
                </c:pt>
                <c:pt idx="10">
                  <c:v>494.55861538461545</c:v>
                </c:pt>
                <c:pt idx="11">
                  <c:v>501.1605454545454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84-40ED-85D4-D2D682EAFB61}"/>
            </c:ext>
          </c:extLst>
        </c:ser>
        <c:ser>
          <c:idx val="4"/>
          <c:order val="4"/>
          <c:tx>
            <c:strRef>
              <c:f>'[1]Data filtrées'!$M$72</c:f>
              <c:strCache>
                <c:ptCount val="1"/>
                <c:pt idx="0">
                  <c:v>Champigneulles 6 RH</c:v>
                </c:pt>
              </c:strCache>
            </c:strRef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'[1]Data filtrées'!$N$72:$Y$72</c:f>
              <c:numCache>
                <c:formatCode>0.00</c:formatCode>
                <c:ptCount val="12"/>
                <c:pt idx="0">
                  <c:v>494.17053061224487</c:v>
                </c:pt>
                <c:pt idx="1">
                  <c:v>497.05244262295082</c:v>
                </c:pt>
                <c:pt idx="2">
                  <c:v>494.26049999999998</c:v>
                </c:pt>
                <c:pt idx="3">
                  <c:v>493.24866666666668</c:v>
                </c:pt>
                <c:pt idx="4">
                  <c:v>494.37566666666663</c:v>
                </c:pt>
                <c:pt idx="5">
                  <c:v>490.30569411764719</c:v>
                </c:pt>
                <c:pt idx="6">
                  <c:v>487.89839999999992</c:v>
                </c:pt>
                <c:pt idx="7">
                  <c:v>486.07151562500013</c:v>
                </c:pt>
                <c:pt idx="8">
                  <c:v>488.60744329896903</c:v>
                </c:pt>
                <c:pt idx="9">
                  <c:v>490.19652525252536</c:v>
                </c:pt>
                <c:pt idx="10">
                  <c:v>491.29519791666644</c:v>
                </c:pt>
                <c:pt idx="11">
                  <c:v>495.23062499999986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84-40ED-85D4-D2D682EAFB61}"/>
            </c:ext>
          </c:extLst>
        </c:ser>
        <c:ser>
          <c:idx val="5"/>
          <c:order val="5"/>
          <c:tx>
            <c:strRef>
              <c:f>'[1]Data filtrées'!$M$73</c:f>
              <c:strCache>
                <c:ptCount val="1"/>
                <c:pt idx="0">
                  <c:v>Star Algérie 6RH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'[1]Data filtrées'!$N$73:$Y$73</c:f>
              <c:numCache>
                <c:formatCode>0.00</c:formatCode>
                <c:ptCount val="12"/>
                <c:pt idx="0">
                  <c:v>494.17053061224487</c:v>
                </c:pt>
                <c:pt idx="1">
                  <c:v>497.05244262295082</c:v>
                </c:pt>
                <c:pt idx="2">
                  <c:v>494.26049999999998</c:v>
                </c:pt>
                <c:pt idx="3">
                  <c:v>493.24866666666668</c:v>
                </c:pt>
                <c:pt idx="4">
                  <c:v>494.37566666666663</c:v>
                </c:pt>
                <c:pt idx="5">
                  <c:v>490.30569411764719</c:v>
                </c:pt>
                <c:pt idx="6">
                  <c:v>487.89839999999992</c:v>
                </c:pt>
                <c:pt idx="7">
                  <c:v>486.07151562500013</c:v>
                </c:pt>
                <c:pt idx="8">
                  <c:v>488.60744329896903</c:v>
                </c:pt>
                <c:pt idx="9">
                  <c:v>490.19652525252536</c:v>
                </c:pt>
                <c:pt idx="10">
                  <c:v>491.29519791666644</c:v>
                </c:pt>
                <c:pt idx="11">
                  <c:v>495.23062499999986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84-40ED-85D4-D2D682EAFB61}"/>
            </c:ext>
          </c:extLst>
        </c:ser>
        <c:ser>
          <c:idx val="6"/>
          <c:order val="6"/>
          <c:tx>
            <c:strRef>
              <c:f>'[1]Data filtrées'!$M$74</c:f>
              <c:strCache>
                <c:ptCount val="1"/>
                <c:pt idx="0">
                  <c:v>Sacofrina / Globe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'[1]Data filtrées'!$N$74:$Y$74</c:f>
              <c:numCache>
                <c:formatCode>0.00</c:formatCode>
                <c:ptCount val="12"/>
                <c:pt idx="0">
                  <c:v>495.58816666666672</c:v>
                </c:pt>
                <c:pt idx="1">
                  <c:v>494.97037499999999</c:v>
                </c:pt>
                <c:pt idx="2">
                  <c:v>493.84995505617985</c:v>
                </c:pt>
                <c:pt idx="3">
                  <c:v>494.57088541666673</c:v>
                </c:pt>
                <c:pt idx="4">
                  <c:v>494.26860606060603</c:v>
                </c:pt>
                <c:pt idx="5">
                  <c:v>489.06816666666668</c:v>
                </c:pt>
                <c:pt idx="6">
                  <c:v>493.91583333333341</c:v>
                </c:pt>
                <c:pt idx="7">
                  <c:v>488.21233333333333</c:v>
                </c:pt>
                <c:pt idx="8">
                  <c:v>490.67576190476194</c:v>
                </c:pt>
                <c:pt idx="9">
                  <c:v>490.60366666666664</c:v>
                </c:pt>
                <c:pt idx="10">
                  <c:v>494.40686666666659</c:v>
                </c:pt>
                <c:pt idx="11">
                  <c:v>498.80941176470577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84-40ED-85D4-D2D682EAFB61}"/>
            </c:ext>
          </c:extLst>
        </c:ser>
        <c:ser>
          <c:idx val="7"/>
          <c:order val="7"/>
          <c:tx>
            <c:strRef>
              <c:f>'[1]Data filtrées'!$M$75</c:f>
              <c:strCache>
                <c:ptCount val="1"/>
                <c:pt idx="0">
                  <c:v>EFES 2RP</c:v>
                </c:pt>
              </c:strCache>
            </c:strRef>
          </c:tx>
          <c:marker>
            <c:symbol val="none"/>
          </c:marker>
          <c:val>
            <c:numRef>
              <c:f>'[1]Data filtrées'!$N$75:$Y$75</c:f>
              <c:numCache>
                <c:formatCode>0.00</c:formatCode>
                <c:ptCount val="12"/>
                <c:pt idx="0">
                  <c:v>495.58816666666672</c:v>
                </c:pt>
                <c:pt idx="1">
                  <c:v>494.97037499999999</c:v>
                </c:pt>
                <c:pt idx="2">
                  <c:v>493.84995505617985</c:v>
                </c:pt>
                <c:pt idx="3">
                  <c:v>494.57088541666673</c:v>
                </c:pt>
                <c:pt idx="4">
                  <c:v>494.26860606060603</c:v>
                </c:pt>
                <c:pt idx="5">
                  <c:v>489.06816666666668</c:v>
                </c:pt>
                <c:pt idx="6">
                  <c:v>493.91583333333341</c:v>
                </c:pt>
                <c:pt idx="7">
                  <c:v>488.21233333333333</c:v>
                </c:pt>
                <c:pt idx="8">
                  <c:v>490.67576190476194</c:v>
                </c:pt>
                <c:pt idx="9">
                  <c:v>490.60366666666664</c:v>
                </c:pt>
                <c:pt idx="10">
                  <c:v>494.40686666666659</c:v>
                </c:pt>
                <c:pt idx="11">
                  <c:v>498.80941176470577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84-40ED-85D4-D2D682EAFB61}"/>
            </c:ext>
          </c:extLst>
        </c:ser>
        <c:ser>
          <c:idx val="8"/>
          <c:order val="8"/>
          <c:tx>
            <c:strRef>
              <c:f>'[1]Data filtrées'!$M$76</c:f>
              <c:strCache>
                <c:ptCount val="1"/>
                <c:pt idx="0">
                  <c:v>SFBT 2RP</c:v>
                </c:pt>
              </c:strCache>
            </c:strRef>
          </c:tx>
          <c:marker>
            <c:symbol val="none"/>
          </c:marker>
          <c:val>
            <c:numRef>
              <c:f>'[1]Data filtrées'!$N$76:$Y$76</c:f>
              <c:numCache>
                <c:formatCode>0.00</c:formatCode>
                <c:ptCount val="12"/>
                <c:pt idx="0">
                  <c:v>495.58816666666672</c:v>
                </c:pt>
                <c:pt idx="1">
                  <c:v>494.97037499999999</c:v>
                </c:pt>
                <c:pt idx="2">
                  <c:v>493.84995505617985</c:v>
                </c:pt>
                <c:pt idx="3">
                  <c:v>494.57088541666673</c:v>
                </c:pt>
                <c:pt idx="4">
                  <c:v>494.26860606060603</c:v>
                </c:pt>
                <c:pt idx="5">
                  <c:v>489.06816666666668</c:v>
                </c:pt>
                <c:pt idx="6">
                  <c:v>493.91583333333341</c:v>
                </c:pt>
                <c:pt idx="7">
                  <c:v>488.21233333333333</c:v>
                </c:pt>
                <c:pt idx="8">
                  <c:v>490.67576190476194</c:v>
                </c:pt>
                <c:pt idx="9">
                  <c:v>490.60366666666664</c:v>
                </c:pt>
                <c:pt idx="10">
                  <c:v>494.40686666666659</c:v>
                </c:pt>
                <c:pt idx="11">
                  <c:v>498.80941176470577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84-40ED-85D4-D2D682EAFB61}"/>
            </c:ext>
          </c:extLst>
        </c:ser>
        <c:ser>
          <c:idx val="9"/>
          <c:order val="9"/>
          <c:tx>
            <c:strRef>
              <c:f>'[1]Data filtrées'!$M$77</c:f>
              <c:strCache>
                <c:ptCount val="1"/>
                <c:pt idx="0">
                  <c:v>Heineken A</c:v>
                </c:pt>
              </c:strCache>
            </c:strRef>
          </c:tx>
          <c:marker>
            <c:symbol val="none"/>
          </c:marker>
          <c:val>
            <c:numRef>
              <c:f>'[1]Data filtrées'!$N$77:$Y$77</c:f>
              <c:numCache>
                <c:formatCode>0.00</c:formatCode>
                <c:ptCount val="12"/>
                <c:pt idx="0">
                  <c:v>502.0546250000001</c:v>
                </c:pt>
                <c:pt idx="1">
                  <c:v>497.05244262295082</c:v>
                </c:pt>
                <c:pt idx="2">
                  <c:v>499.26571428571435</c:v>
                </c:pt>
                <c:pt idx="3">
                  <c:v>494.87788888888889</c:v>
                </c:pt>
                <c:pt idx="4">
                  <c:v>497.33839999999998</c:v>
                </c:pt>
                <c:pt idx="5">
                  <c:v>499.6422222222223</c:v>
                </c:pt>
                <c:pt idx="6">
                  <c:v>493.45114285714288</c:v>
                </c:pt>
                <c:pt idx="7">
                  <c:v>488.46112500000004</c:v>
                </c:pt>
                <c:pt idx="8">
                  <c:v>497.23155555555553</c:v>
                </c:pt>
                <c:pt idx="9">
                  <c:v>501.94633333333331</c:v>
                </c:pt>
                <c:pt idx="10">
                  <c:v>501.50722222222225</c:v>
                </c:pt>
                <c:pt idx="11">
                  <c:v>501.68572727272726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84-40ED-85D4-D2D682EAFB61}"/>
            </c:ext>
          </c:extLst>
        </c:ser>
        <c:ser>
          <c:idx val="10"/>
          <c:order val="10"/>
          <c:tx>
            <c:strRef>
              <c:f>'[1]Data filtrées'!$M$78</c:f>
              <c:strCache>
                <c:ptCount val="1"/>
                <c:pt idx="0">
                  <c:v>Heineken C</c:v>
                </c:pt>
              </c:strCache>
            </c:strRef>
          </c:tx>
          <c:marker>
            <c:symbol val="none"/>
          </c:marker>
          <c:val>
            <c:numRef>
              <c:f>'[1]Data filtrées'!$N$78:$Y$78</c:f>
              <c:numCache>
                <c:formatCode>0.00</c:formatCode>
                <c:ptCount val="12"/>
                <c:pt idx="0">
                  <c:v>490.87907547169806</c:v>
                </c:pt>
                <c:pt idx="1">
                  <c:v>493.90524242424254</c:v>
                </c:pt>
                <c:pt idx="2">
                  <c:v>490.2072500000001</c:v>
                </c:pt>
                <c:pt idx="3">
                  <c:v>493.5439807692307</c:v>
                </c:pt>
                <c:pt idx="4">
                  <c:v>494.09327272727262</c:v>
                </c:pt>
                <c:pt idx="5">
                  <c:v>488.62371052631579</c:v>
                </c:pt>
                <c:pt idx="6">
                  <c:v>485.47414285714279</c:v>
                </c:pt>
                <c:pt idx="7">
                  <c:v>483.00560000000002</c:v>
                </c:pt>
                <c:pt idx="8">
                  <c:v>484.67768888888889</c:v>
                </c:pt>
                <c:pt idx="9">
                  <c:v>486.30095833333343</c:v>
                </c:pt>
                <c:pt idx="10">
                  <c:v>487.95131999999995</c:v>
                </c:pt>
                <c:pt idx="11">
                  <c:v>491.69406896551726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84-40ED-85D4-D2D682EAFB61}"/>
            </c:ext>
          </c:extLst>
        </c:ser>
        <c:ser>
          <c:idx val="11"/>
          <c:order val="11"/>
          <c:tx>
            <c:strRef>
              <c:f>'[1]Data filtrées'!$M$79</c:f>
              <c:strCache>
                <c:ptCount val="1"/>
                <c:pt idx="0">
                  <c:v>Diekirch 2RP</c:v>
                </c:pt>
              </c:strCache>
            </c:strRef>
          </c:tx>
          <c:marker>
            <c:symbol val="none"/>
          </c:marker>
          <c:val>
            <c:numRef>
              <c:f>'[1]Data filtrées'!$N$79:$Y$79</c:f>
              <c:numCache>
                <c:formatCode>0.00</c:formatCode>
                <c:ptCount val="12"/>
                <c:pt idx="0">
                  <c:v>494.17053061224487</c:v>
                </c:pt>
                <c:pt idx="1">
                  <c:v>497.05244262295082</c:v>
                </c:pt>
                <c:pt idx="2">
                  <c:v>493.84995505617985</c:v>
                </c:pt>
                <c:pt idx="3">
                  <c:v>494.57088541666673</c:v>
                </c:pt>
                <c:pt idx="4">
                  <c:v>494.26860606060603</c:v>
                </c:pt>
                <c:pt idx="5">
                  <c:v>490.30569411764719</c:v>
                </c:pt>
                <c:pt idx="6">
                  <c:v>487.77480412371136</c:v>
                </c:pt>
                <c:pt idx="7">
                  <c:v>486.07151562500013</c:v>
                </c:pt>
                <c:pt idx="8">
                  <c:v>488.60744329896903</c:v>
                </c:pt>
                <c:pt idx="9">
                  <c:v>490.19652525252536</c:v>
                </c:pt>
                <c:pt idx="10">
                  <c:v>491.29519791666644</c:v>
                </c:pt>
                <c:pt idx="11">
                  <c:v>495.23062499999986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84-40ED-85D4-D2D682EAFB61}"/>
            </c:ext>
          </c:extLst>
        </c:ser>
        <c:ser>
          <c:idx val="12"/>
          <c:order val="12"/>
          <c:tx>
            <c:strRef>
              <c:f>'[1]Data filtrées'!$M$80</c:f>
              <c:strCache>
                <c:ptCount val="1"/>
                <c:pt idx="0">
                  <c:v>STANDARD</c:v>
                </c:pt>
              </c:strCache>
            </c:strRef>
          </c:tx>
          <c:marker>
            <c:symbol val="none"/>
          </c:marker>
          <c:val>
            <c:numRef>
              <c:f>'[1]Data filtrées'!$N$80:$Y$80</c:f>
              <c:numCache>
                <c:formatCode>0.00</c:formatCode>
                <c:ptCount val="12"/>
                <c:pt idx="0">
                  <c:v>494.17053061224487</c:v>
                </c:pt>
                <c:pt idx="1">
                  <c:v>497.05244262295082</c:v>
                </c:pt>
                <c:pt idx="2">
                  <c:v>493.84995505617985</c:v>
                </c:pt>
                <c:pt idx="3">
                  <c:v>494.57088541666673</c:v>
                </c:pt>
                <c:pt idx="4">
                  <c:v>494.26860606060603</c:v>
                </c:pt>
                <c:pt idx="5">
                  <c:v>490.30569411764719</c:v>
                </c:pt>
                <c:pt idx="6">
                  <c:v>487.77480412371136</c:v>
                </c:pt>
                <c:pt idx="7">
                  <c:v>486.07151562500013</c:v>
                </c:pt>
                <c:pt idx="8">
                  <c:v>488.60744329896903</c:v>
                </c:pt>
                <c:pt idx="9">
                  <c:v>490.19652525252536</c:v>
                </c:pt>
                <c:pt idx="10">
                  <c:v>491.29519791666644</c:v>
                </c:pt>
                <c:pt idx="11">
                  <c:v>495.23062499999986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84-40ED-85D4-D2D682EAF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865187"/>
        <c:axId val="11584259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'[1]Data filtrées'!$M$68</c15:sqref>
                        </c15:formulaRef>
                      </c:ext>
                    </c:extLst>
                    <c:strCache>
                      <c:ptCount val="1"/>
                      <c:pt idx="0">
                        <c:v>MOYENNE</c:v>
                      </c:pt>
                    </c:strCache>
                  </c:strRef>
                </c:tx>
                <c:spPr>
                  <a:ln w="28575" cmpd="sng">
                    <a:solidFill>
                      <a:schemeClr val="accent2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'[1]Data filtrées'!$N$68:$Y$68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B584-40ED-85D4-D2D682EAFB61}"/>
                  </c:ext>
                </c:extLst>
              </c15:ser>
            </c15:filteredLineSeries>
          </c:ext>
        </c:extLst>
      </c:lineChart>
      <c:catAx>
        <c:axId val="935865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58425924"/>
        <c:crosses val="autoZero"/>
        <c:auto val="1"/>
        <c:lblAlgn val="ctr"/>
        <c:lblOffset val="100"/>
        <c:noMultiLvlLbl val="1"/>
      </c:catAx>
      <c:valAx>
        <c:axId val="1158425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358651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Hum Orge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strRef>
              <c:f>'[1]Data filtrées'!$M$84</c:f>
              <c:strCache>
                <c:ptCount val="1"/>
                <c:pt idx="0">
                  <c:v>Diekirch /Louvain 6RH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'[1]Data filtrées'!$N$84:$Y$84</c:f>
              <c:numCache>
                <c:formatCode>0.00</c:formatCode>
                <c:ptCount val="12"/>
                <c:pt idx="0">
                  <c:v>13.37142857142857</c:v>
                </c:pt>
                <c:pt idx="1">
                  <c:v>11.613114754098362</c:v>
                </c:pt>
                <c:pt idx="2">
                  <c:v>12.607865168539325</c:v>
                </c:pt>
                <c:pt idx="3">
                  <c:v>12.303125000000001</c:v>
                </c:pt>
                <c:pt idx="4">
                  <c:v>12.824999999999999</c:v>
                </c:pt>
                <c:pt idx="5">
                  <c:v>13.209090909090911</c:v>
                </c:pt>
                <c:pt idx="6">
                  <c:v>12.512371134020615</c:v>
                </c:pt>
                <c:pt idx="7">
                  <c:v>12.701562500000001</c:v>
                </c:pt>
                <c:pt idx="8">
                  <c:v>12.342857142857142</c:v>
                </c:pt>
                <c:pt idx="9">
                  <c:v>12.58</c:v>
                </c:pt>
                <c:pt idx="10">
                  <c:v>12.442857142857141</c:v>
                </c:pt>
                <c:pt idx="11">
                  <c:v>12.378846153846151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A-485E-82FC-587AD04C3E5A}"/>
            </c:ext>
          </c:extLst>
        </c:ser>
        <c:ser>
          <c:idx val="2"/>
          <c:order val="2"/>
          <c:tx>
            <c:strRef>
              <c:f>'[1]Data filtrées'!$M$85</c:f>
              <c:strCache>
                <c:ptCount val="1"/>
                <c:pt idx="0">
                  <c:v>SAB   6RH</c:v>
                </c:pt>
              </c:strCache>
            </c:strRef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'[1]Data filtrées'!$N$85:$Y$85</c:f>
              <c:numCache>
                <c:formatCode>0.00</c:formatCode>
                <c:ptCount val="12"/>
                <c:pt idx="0">
                  <c:v>13.37142857142857</c:v>
                </c:pt>
                <c:pt idx="1">
                  <c:v>11.613114754098362</c:v>
                </c:pt>
                <c:pt idx="2">
                  <c:v>12.607865168539325</c:v>
                </c:pt>
                <c:pt idx="3">
                  <c:v>12.303125000000001</c:v>
                </c:pt>
                <c:pt idx="4">
                  <c:v>12.824999999999999</c:v>
                </c:pt>
                <c:pt idx="5">
                  <c:v>13.209090909090911</c:v>
                </c:pt>
                <c:pt idx="6">
                  <c:v>12.512371134020615</c:v>
                </c:pt>
                <c:pt idx="7">
                  <c:v>12.701562500000001</c:v>
                </c:pt>
                <c:pt idx="8">
                  <c:v>12.342857142857142</c:v>
                </c:pt>
                <c:pt idx="9">
                  <c:v>12.58</c:v>
                </c:pt>
                <c:pt idx="10">
                  <c:v>12.442857142857141</c:v>
                </c:pt>
                <c:pt idx="11">
                  <c:v>12.378846153846151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A-485E-82FC-587AD04C3E5A}"/>
            </c:ext>
          </c:extLst>
        </c:ser>
        <c:ser>
          <c:idx val="3"/>
          <c:order val="3"/>
          <c:tx>
            <c:strRef>
              <c:f>'[1]Data filtrées'!$M$86</c:f>
              <c:strCache>
                <c:ptCount val="1"/>
                <c:pt idx="0">
                  <c:v>Asahi</c:v>
                </c:pt>
              </c:strCache>
            </c:strRef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'[1]Data filtrées'!$N$86:$Y$86</c:f>
              <c:numCache>
                <c:formatCode>0.00</c:formatCode>
                <c:ptCount val="12"/>
                <c:pt idx="0">
                  <c:v>12.522222222222222</c:v>
                </c:pt>
                <c:pt idx="1">
                  <c:v>11.47</c:v>
                </c:pt>
                <c:pt idx="2">
                  <c:v>12.181818181818182</c:v>
                </c:pt>
                <c:pt idx="3">
                  <c:v>12.057142857142859</c:v>
                </c:pt>
                <c:pt idx="4">
                  <c:v>12.476470588235294</c:v>
                </c:pt>
                <c:pt idx="5">
                  <c:v>12.185714285714287</c:v>
                </c:pt>
                <c:pt idx="6">
                  <c:v>12.285714285714286</c:v>
                </c:pt>
                <c:pt idx="7">
                  <c:v>12.158333333333333</c:v>
                </c:pt>
                <c:pt idx="8">
                  <c:v>11.784615384615385</c:v>
                </c:pt>
                <c:pt idx="9">
                  <c:v>12.27</c:v>
                </c:pt>
                <c:pt idx="10">
                  <c:v>12.453846153846152</c:v>
                </c:pt>
                <c:pt idx="11">
                  <c:v>11.909090909090908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A-485E-82FC-587AD04C3E5A}"/>
            </c:ext>
          </c:extLst>
        </c:ser>
        <c:ser>
          <c:idx val="4"/>
          <c:order val="4"/>
          <c:tx>
            <c:strRef>
              <c:f>'[1]Data filtrées'!$M$87</c:f>
              <c:strCache>
                <c:ptCount val="1"/>
                <c:pt idx="0">
                  <c:v>Champigneulles 6 RH</c:v>
                </c:pt>
              </c:strCache>
            </c:strRef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'[1]Data filtrées'!$N$87:$Y$87</c:f>
              <c:numCache>
                <c:formatCode>0.00</c:formatCode>
                <c:ptCount val="12"/>
                <c:pt idx="0">
                  <c:v>12.532653061224488</c:v>
                </c:pt>
                <c:pt idx="1">
                  <c:v>11.613114754098362</c:v>
                </c:pt>
                <c:pt idx="2">
                  <c:v>13.224999999999998</c:v>
                </c:pt>
                <c:pt idx="3">
                  <c:v>13.166666666666666</c:v>
                </c:pt>
                <c:pt idx="4">
                  <c:v>13.299999999999999</c:v>
                </c:pt>
                <c:pt idx="5">
                  <c:v>12.477882352941172</c:v>
                </c:pt>
                <c:pt idx="6">
                  <c:v>13</c:v>
                </c:pt>
                <c:pt idx="7">
                  <c:v>12.701562500000001</c:v>
                </c:pt>
                <c:pt idx="8">
                  <c:v>12.495876288659799</c:v>
                </c:pt>
                <c:pt idx="9">
                  <c:v>12.846464646464653</c:v>
                </c:pt>
                <c:pt idx="10">
                  <c:v>12.551979166666667</c:v>
                </c:pt>
                <c:pt idx="11">
                  <c:v>12.378846153846151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0A-485E-82FC-587AD04C3E5A}"/>
            </c:ext>
          </c:extLst>
        </c:ser>
        <c:ser>
          <c:idx val="5"/>
          <c:order val="5"/>
          <c:tx>
            <c:strRef>
              <c:f>'[1]Data filtrées'!$M$88</c:f>
              <c:strCache>
                <c:ptCount val="1"/>
                <c:pt idx="0">
                  <c:v>Star Algérie 6RH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'[1]Data filtrées'!$N$88:$Y$88</c:f>
              <c:numCache>
                <c:formatCode>0.00</c:formatCode>
                <c:ptCount val="12"/>
                <c:pt idx="0">
                  <c:v>12.532653061224488</c:v>
                </c:pt>
                <c:pt idx="1">
                  <c:v>11.613114754098362</c:v>
                </c:pt>
                <c:pt idx="2">
                  <c:v>13.224999999999998</c:v>
                </c:pt>
                <c:pt idx="3">
                  <c:v>13.166666666666666</c:v>
                </c:pt>
                <c:pt idx="4">
                  <c:v>13.299999999999999</c:v>
                </c:pt>
                <c:pt idx="5">
                  <c:v>12.477882352941172</c:v>
                </c:pt>
                <c:pt idx="6">
                  <c:v>13</c:v>
                </c:pt>
                <c:pt idx="7">
                  <c:v>12.701562500000001</c:v>
                </c:pt>
                <c:pt idx="8">
                  <c:v>12.495876288659799</c:v>
                </c:pt>
                <c:pt idx="9">
                  <c:v>12.846464646464653</c:v>
                </c:pt>
                <c:pt idx="10">
                  <c:v>12.551979166666667</c:v>
                </c:pt>
                <c:pt idx="11">
                  <c:v>12.378846153846151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0A-485E-82FC-587AD04C3E5A}"/>
            </c:ext>
          </c:extLst>
        </c:ser>
        <c:ser>
          <c:idx val="6"/>
          <c:order val="6"/>
          <c:tx>
            <c:strRef>
              <c:f>'[1]Data filtrées'!$M$89</c:f>
              <c:strCache>
                <c:ptCount val="1"/>
                <c:pt idx="0">
                  <c:v>Sacofrina / Globe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'[1]Data filtrées'!$N$89:$Y$89</c:f>
              <c:numCache>
                <c:formatCode>0.00</c:formatCode>
                <c:ptCount val="12"/>
                <c:pt idx="0">
                  <c:v>11.916666666666664</c:v>
                </c:pt>
                <c:pt idx="1">
                  <c:v>11.287500000000001</c:v>
                </c:pt>
                <c:pt idx="2">
                  <c:v>12.607865168539325</c:v>
                </c:pt>
                <c:pt idx="3">
                  <c:v>12.303125000000001</c:v>
                </c:pt>
                <c:pt idx="4">
                  <c:v>12.415656565656562</c:v>
                </c:pt>
                <c:pt idx="5">
                  <c:v>12.533333333333333</c:v>
                </c:pt>
                <c:pt idx="6">
                  <c:v>11.733333333333334</c:v>
                </c:pt>
                <c:pt idx="7">
                  <c:v>12.583333333333334</c:v>
                </c:pt>
                <c:pt idx="8">
                  <c:v>12.395238095238096</c:v>
                </c:pt>
                <c:pt idx="9">
                  <c:v>13.327777777777778</c:v>
                </c:pt>
                <c:pt idx="10">
                  <c:v>12.386000000000001</c:v>
                </c:pt>
                <c:pt idx="11">
                  <c:v>12.270588235294115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0A-485E-82FC-587AD04C3E5A}"/>
            </c:ext>
          </c:extLst>
        </c:ser>
        <c:ser>
          <c:idx val="7"/>
          <c:order val="7"/>
          <c:tx>
            <c:strRef>
              <c:f>'[1]Data filtrées'!$M$90</c:f>
              <c:strCache>
                <c:ptCount val="1"/>
                <c:pt idx="0">
                  <c:v>EFES 2RP</c:v>
                </c:pt>
              </c:strCache>
            </c:strRef>
          </c:tx>
          <c:marker>
            <c:symbol val="none"/>
          </c:marker>
          <c:val>
            <c:numRef>
              <c:f>'[1]Data filtrées'!$N$90:$Y$90</c:f>
              <c:numCache>
                <c:formatCode>0.00</c:formatCode>
                <c:ptCount val="12"/>
                <c:pt idx="0">
                  <c:v>11.916666666666664</c:v>
                </c:pt>
                <c:pt idx="1">
                  <c:v>11.287500000000001</c:v>
                </c:pt>
                <c:pt idx="2">
                  <c:v>12.607865168539325</c:v>
                </c:pt>
                <c:pt idx="3">
                  <c:v>12.303125000000001</c:v>
                </c:pt>
                <c:pt idx="4">
                  <c:v>12.415656565656562</c:v>
                </c:pt>
                <c:pt idx="5">
                  <c:v>12.533333333333333</c:v>
                </c:pt>
                <c:pt idx="6">
                  <c:v>11.733333333333334</c:v>
                </c:pt>
                <c:pt idx="7">
                  <c:v>12.583333333333334</c:v>
                </c:pt>
                <c:pt idx="8">
                  <c:v>12.395238095238096</c:v>
                </c:pt>
                <c:pt idx="9">
                  <c:v>13.327777777777778</c:v>
                </c:pt>
                <c:pt idx="10">
                  <c:v>12.386000000000001</c:v>
                </c:pt>
                <c:pt idx="11">
                  <c:v>12.270588235294115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0A-485E-82FC-587AD04C3E5A}"/>
            </c:ext>
          </c:extLst>
        </c:ser>
        <c:ser>
          <c:idx val="8"/>
          <c:order val="8"/>
          <c:tx>
            <c:strRef>
              <c:f>'[1]Data filtrées'!$M$91</c:f>
              <c:strCache>
                <c:ptCount val="1"/>
                <c:pt idx="0">
                  <c:v>SFBT 2RP</c:v>
                </c:pt>
              </c:strCache>
            </c:strRef>
          </c:tx>
          <c:marker>
            <c:symbol val="none"/>
          </c:marker>
          <c:val>
            <c:numRef>
              <c:f>'[1]Data filtrées'!$N$91:$Y$91</c:f>
              <c:numCache>
                <c:formatCode>0.00</c:formatCode>
                <c:ptCount val="12"/>
                <c:pt idx="0">
                  <c:v>11.916666666666664</c:v>
                </c:pt>
                <c:pt idx="1">
                  <c:v>11.287500000000001</c:v>
                </c:pt>
                <c:pt idx="2">
                  <c:v>12.607865168539325</c:v>
                </c:pt>
                <c:pt idx="3">
                  <c:v>12.303125000000001</c:v>
                </c:pt>
                <c:pt idx="4">
                  <c:v>12.415656565656562</c:v>
                </c:pt>
                <c:pt idx="5">
                  <c:v>12.533333333333333</c:v>
                </c:pt>
                <c:pt idx="6">
                  <c:v>11.733333333333334</c:v>
                </c:pt>
                <c:pt idx="7">
                  <c:v>12.583333333333334</c:v>
                </c:pt>
                <c:pt idx="8">
                  <c:v>12.395238095238096</c:v>
                </c:pt>
                <c:pt idx="9">
                  <c:v>13.327777777777778</c:v>
                </c:pt>
                <c:pt idx="10">
                  <c:v>12.386000000000001</c:v>
                </c:pt>
                <c:pt idx="11">
                  <c:v>12.270588235294115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0A-485E-82FC-587AD04C3E5A}"/>
            </c:ext>
          </c:extLst>
        </c:ser>
        <c:ser>
          <c:idx val="9"/>
          <c:order val="9"/>
          <c:tx>
            <c:strRef>
              <c:f>'[1]Data filtrées'!$M$92</c:f>
              <c:strCache>
                <c:ptCount val="1"/>
                <c:pt idx="0">
                  <c:v>Heineken A</c:v>
                </c:pt>
              </c:strCache>
            </c:strRef>
          </c:tx>
          <c:marker>
            <c:symbol val="none"/>
          </c:marker>
          <c:val>
            <c:numRef>
              <c:f>'[1]Data filtrées'!$N$92:$Y$92</c:f>
              <c:numCache>
                <c:formatCode>0.00</c:formatCode>
                <c:ptCount val="12"/>
                <c:pt idx="0">
                  <c:v>12.325000000000001</c:v>
                </c:pt>
                <c:pt idx="1">
                  <c:v>11.613114754098362</c:v>
                </c:pt>
                <c:pt idx="2">
                  <c:v>12.2</c:v>
                </c:pt>
                <c:pt idx="3">
                  <c:v>11.766666666666667</c:v>
                </c:pt>
                <c:pt idx="4">
                  <c:v>11.673333333333336</c:v>
                </c:pt>
                <c:pt idx="5">
                  <c:v>12.155555555555555</c:v>
                </c:pt>
                <c:pt idx="6">
                  <c:v>12.142857142857142</c:v>
                </c:pt>
                <c:pt idx="7">
                  <c:v>12.2125</c:v>
                </c:pt>
                <c:pt idx="8">
                  <c:v>11.600000000000001</c:v>
                </c:pt>
                <c:pt idx="9">
                  <c:v>11.691666666666665</c:v>
                </c:pt>
                <c:pt idx="10">
                  <c:v>11.922222222222222</c:v>
                </c:pt>
                <c:pt idx="11">
                  <c:v>11.490909090909092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0A-485E-82FC-587AD04C3E5A}"/>
            </c:ext>
          </c:extLst>
        </c:ser>
        <c:ser>
          <c:idx val="10"/>
          <c:order val="10"/>
          <c:tx>
            <c:strRef>
              <c:f>'[1]Data filtrées'!$M$93</c:f>
              <c:strCache>
                <c:ptCount val="1"/>
                <c:pt idx="0">
                  <c:v>Heineken C</c:v>
                </c:pt>
              </c:strCache>
            </c:strRef>
          </c:tx>
          <c:marker>
            <c:symbol val="none"/>
          </c:marker>
          <c:val>
            <c:numRef>
              <c:f>'[1]Data filtrées'!$N$93:$Y$93</c:f>
              <c:numCache>
                <c:formatCode>0.00</c:formatCode>
                <c:ptCount val="12"/>
                <c:pt idx="0">
                  <c:v>12.677358490566039</c:v>
                </c:pt>
                <c:pt idx="1">
                  <c:v>11.715151515151517</c:v>
                </c:pt>
                <c:pt idx="2">
                  <c:v>12.769230769230772</c:v>
                </c:pt>
                <c:pt idx="3">
                  <c:v>12.450000000000001</c:v>
                </c:pt>
                <c:pt idx="4">
                  <c:v>12.338636363636361</c:v>
                </c:pt>
                <c:pt idx="5">
                  <c:v>12.44263157894737</c:v>
                </c:pt>
                <c:pt idx="6">
                  <c:v>12.732653061224488</c:v>
                </c:pt>
                <c:pt idx="7">
                  <c:v>13.030000000000003</c:v>
                </c:pt>
                <c:pt idx="8">
                  <c:v>12.902222222222219</c:v>
                </c:pt>
                <c:pt idx="9">
                  <c:v>13.15208333333333</c:v>
                </c:pt>
                <c:pt idx="10">
                  <c:v>12.783999999999999</c:v>
                </c:pt>
                <c:pt idx="11">
                  <c:v>12.632758620689662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0A-485E-82FC-587AD04C3E5A}"/>
            </c:ext>
          </c:extLst>
        </c:ser>
        <c:ser>
          <c:idx val="11"/>
          <c:order val="11"/>
          <c:tx>
            <c:strRef>
              <c:f>'[1]Data filtrées'!$M$94</c:f>
              <c:strCache>
                <c:ptCount val="1"/>
                <c:pt idx="0">
                  <c:v>Diekirch 2RP</c:v>
                </c:pt>
              </c:strCache>
            </c:strRef>
          </c:tx>
          <c:marker>
            <c:symbol val="none"/>
          </c:marker>
          <c:val>
            <c:numRef>
              <c:f>'[1]Data filtrées'!$N$94:$Y$94</c:f>
              <c:numCache>
                <c:formatCode>0.00</c:formatCode>
                <c:ptCount val="12"/>
                <c:pt idx="0">
                  <c:v>12.532653061224488</c:v>
                </c:pt>
                <c:pt idx="1">
                  <c:v>11.613114754098362</c:v>
                </c:pt>
                <c:pt idx="2">
                  <c:v>12.607865168539325</c:v>
                </c:pt>
                <c:pt idx="3">
                  <c:v>12.303125000000001</c:v>
                </c:pt>
                <c:pt idx="4">
                  <c:v>12.415656565656562</c:v>
                </c:pt>
                <c:pt idx="5">
                  <c:v>12.477882352941172</c:v>
                </c:pt>
                <c:pt idx="6">
                  <c:v>12.512371134020615</c:v>
                </c:pt>
                <c:pt idx="7">
                  <c:v>12.701562500000001</c:v>
                </c:pt>
                <c:pt idx="8">
                  <c:v>12.495876288659799</c:v>
                </c:pt>
                <c:pt idx="9">
                  <c:v>12.846464646464653</c:v>
                </c:pt>
                <c:pt idx="10">
                  <c:v>12.551979166666667</c:v>
                </c:pt>
                <c:pt idx="11">
                  <c:v>12.378846153846151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0A-485E-82FC-587AD04C3E5A}"/>
            </c:ext>
          </c:extLst>
        </c:ser>
        <c:ser>
          <c:idx val="12"/>
          <c:order val="12"/>
          <c:tx>
            <c:strRef>
              <c:f>'[1]Data filtrées'!$M$95</c:f>
              <c:strCache>
                <c:ptCount val="1"/>
                <c:pt idx="0">
                  <c:v>STANDARD</c:v>
                </c:pt>
              </c:strCache>
            </c:strRef>
          </c:tx>
          <c:marker>
            <c:symbol val="none"/>
          </c:marker>
          <c:val>
            <c:numRef>
              <c:f>'[1]Data filtrées'!$N$95:$Y$95</c:f>
              <c:numCache>
                <c:formatCode>0.00</c:formatCode>
                <c:ptCount val="12"/>
                <c:pt idx="0">
                  <c:v>12.532653061224488</c:v>
                </c:pt>
                <c:pt idx="1">
                  <c:v>11.613114754098362</c:v>
                </c:pt>
                <c:pt idx="2">
                  <c:v>12.607865168539325</c:v>
                </c:pt>
                <c:pt idx="3">
                  <c:v>12.303125000000001</c:v>
                </c:pt>
                <c:pt idx="4">
                  <c:v>12.415656565656562</c:v>
                </c:pt>
                <c:pt idx="5">
                  <c:v>12.477882352941172</c:v>
                </c:pt>
                <c:pt idx="6">
                  <c:v>12.512371134020615</c:v>
                </c:pt>
                <c:pt idx="7">
                  <c:v>12.701562500000001</c:v>
                </c:pt>
                <c:pt idx="8">
                  <c:v>12.495876288659799</c:v>
                </c:pt>
                <c:pt idx="9">
                  <c:v>12.846464646464653</c:v>
                </c:pt>
                <c:pt idx="10">
                  <c:v>12.551979166666667</c:v>
                </c:pt>
                <c:pt idx="11">
                  <c:v>12.378846153846151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0A-485E-82FC-587AD04C3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900431"/>
        <c:axId val="17902333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'[1]Data filtrées'!$M$83</c15:sqref>
                        </c15:formulaRef>
                      </c:ext>
                    </c:extLst>
                    <c:strCache>
                      <c:ptCount val="1"/>
                      <c:pt idx="0">
                        <c:v>MOYENNE</c:v>
                      </c:pt>
                    </c:strCache>
                  </c:strRef>
                </c:tx>
                <c:spPr>
                  <a:ln w="28575" cmpd="sng">
                    <a:solidFill>
                      <a:schemeClr val="accent2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'[1]Data filtrées'!$N$83:$Y$83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0A-485E-82FC-587AD04C3E5A}"/>
                  </c:ext>
                </c:extLst>
              </c15:ser>
            </c15:filteredLineSeries>
          </c:ext>
        </c:extLst>
      </c:lineChart>
      <c:catAx>
        <c:axId val="1107900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90233355"/>
        <c:crosses val="autoZero"/>
        <c:auto val="1"/>
        <c:lblAlgn val="ctr"/>
        <c:lblOffset val="100"/>
        <c:noMultiLvlLbl val="1"/>
      </c:catAx>
      <c:valAx>
        <c:axId val="1790233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0790043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Hum Malt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1"/>
          <c:tx>
            <c:strRef>
              <c:f>'[1]Data filtrées'!$M$99</c:f>
              <c:strCache>
                <c:ptCount val="1"/>
                <c:pt idx="0">
                  <c:v>Diekirch /Louvain 6RH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'[1]Data filtrées'!$N$99:$Y$99</c:f>
              <c:numCache>
                <c:formatCode>0.00</c:formatCode>
                <c:ptCount val="12"/>
                <c:pt idx="0">
                  <c:v>3.7714285714285718</c:v>
                </c:pt>
                <c:pt idx="1">
                  <c:v>3.990163934426231</c:v>
                </c:pt>
                <c:pt idx="2">
                  <c:v>3.9415730337078689</c:v>
                </c:pt>
                <c:pt idx="3">
                  <c:v>3.9395833333333354</c:v>
                </c:pt>
                <c:pt idx="4">
                  <c:v>3.9750000000000001</c:v>
                </c:pt>
                <c:pt idx="5">
                  <c:v>4.2545454545454549</c:v>
                </c:pt>
                <c:pt idx="6">
                  <c:v>4.1494845360824693</c:v>
                </c:pt>
                <c:pt idx="7">
                  <c:v>4.0375000000000014</c:v>
                </c:pt>
                <c:pt idx="8">
                  <c:v>4.1285714285714281</c:v>
                </c:pt>
                <c:pt idx="9">
                  <c:v>4.24</c:v>
                </c:pt>
                <c:pt idx="10">
                  <c:v>3.9714285714285715</c:v>
                </c:pt>
                <c:pt idx="11">
                  <c:v>4.040384615384613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3-441E-97D4-7F7F3FA1D312}"/>
            </c:ext>
          </c:extLst>
        </c:ser>
        <c:ser>
          <c:idx val="2"/>
          <c:order val="2"/>
          <c:tx>
            <c:strRef>
              <c:f>'[1]Data filtrées'!$M$100</c:f>
              <c:strCache>
                <c:ptCount val="1"/>
                <c:pt idx="0">
                  <c:v>SAB   6RH</c:v>
                </c:pt>
              </c:strCache>
            </c:strRef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'[1]Data filtrées'!$N$100:$Y$100</c:f>
              <c:numCache>
                <c:formatCode>0.00</c:formatCode>
                <c:ptCount val="12"/>
                <c:pt idx="0">
                  <c:v>3.7714285714285718</c:v>
                </c:pt>
                <c:pt idx="1">
                  <c:v>3.990163934426231</c:v>
                </c:pt>
                <c:pt idx="2">
                  <c:v>3.9415730337078689</c:v>
                </c:pt>
                <c:pt idx="3">
                  <c:v>3.9395833333333354</c:v>
                </c:pt>
                <c:pt idx="4">
                  <c:v>3.9750000000000001</c:v>
                </c:pt>
                <c:pt idx="5">
                  <c:v>4.2545454545454549</c:v>
                </c:pt>
                <c:pt idx="6">
                  <c:v>4.1494845360824693</c:v>
                </c:pt>
                <c:pt idx="7">
                  <c:v>4.0375000000000014</c:v>
                </c:pt>
                <c:pt idx="8">
                  <c:v>4.1285714285714281</c:v>
                </c:pt>
                <c:pt idx="9">
                  <c:v>4.24</c:v>
                </c:pt>
                <c:pt idx="10">
                  <c:v>3.9714285714285715</c:v>
                </c:pt>
                <c:pt idx="11">
                  <c:v>4.040384615384613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3-441E-97D4-7F7F3FA1D312}"/>
            </c:ext>
          </c:extLst>
        </c:ser>
        <c:ser>
          <c:idx val="3"/>
          <c:order val="3"/>
          <c:tx>
            <c:strRef>
              <c:f>'[1]Data filtrées'!$M$101</c:f>
              <c:strCache>
                <c:ptCount val="1"/>
                <c:pt idx="0">
                  <c:v>Asahi</c:v>
                </c:pt>
              </c:strCache>
            </c:strRef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'[1]Data filtrées'!$N$101:$Y$101</c:f>
              <c:numCache>
                <c:formatCode>0.00</c:formatCode>
                <c:ptCount val="12"/>
                <c:pt idx="0">
                  <c:v>4.0666666666666664</c:v>
                </c:pt>
                <c:pt idx="1">
                  <c:v>4.2099999999999991</c:v>
                </c:pt>
                <c:pt idx="2">
                  <c:v>4.0545454545454547</c:v>
                </c:pt>
                <c:pt idx="3">
                  <c:v>3.9190476190476184</c:v>
                </c:pt>
                <c:pt idx="4">
                  <c:v>4.1411764705882357</c:v>
                </c:pt>
                <c:pt idx="5">
                  <c:v>4.3571428571428577</c:v>
                </c:pt>
                <c:pt idx="6">
                  <c:v>4.1357142857142852</c:v>
                </c:pt>
                <c:pt idx="7">
                  <c:v>4.0166666666666666</c:v>
                </c:pt>
                <c:pt idx="8">
                  <c:v>4.115384615384615</c:v>
                </c:pt>
                <c:pt idx="9">
                  <c:v>4.3</c:v>
                </c:pt>
                <c:pt idx="10">
                  <c:v>4.0846153846153843</c:v>
                </c:pt>
                <c:pt idx="11">
                  <c:v>4.0545454545454547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C3-441E-97D4-7F7F3FA1D312}"/>
            </c:ext>
          </c:extLst>
        </c:ser>
        <c:ser>
          <c:idx val="4"/>
          <c:order val="4"/>
          <c:tx>
            <c:strRef>
              <c:f>'[1]Data filtrées'!$M$102</c:f>
              <c:strCache>
                <c:ptCount val="1"/>
                <c:pt idx="0">
                  <c:v>Champigneulles 6 RH</c:v>
                </c:pt>
              </c:strCache>
            </c:strRef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'[1]Data filtrées'!$N$102:$Y$102</c:f>
              <c:numCache>
                <c:formatCode>0.00</c:formatCode>
                <c:ptCount val="12"/>
                <c:pt idx="0">
                  <c:v>3.9928571428571429</c:v>
                </c:pt>
                <c:pt idx="1">
                  <c:v>3.990163934426231</c:v>
                </c:pt>
                <c:pt idx="2">
                  <c:v>3.9625000000000004</c:v>
                </c:pt>
                <c:pt idx="3">
                  <c:v>3.9</c:v>
                </c:pt>
                <c:pt idx="4">
                  <c:v>3.9666666666666668</c:v>
                </c:pt>
                <c:pt idx="5">
                  <c:v>4.2305882352941149</c:v>
                </c:pt>
                <c:pt idx="6">
                  <c:v>3.9799999999999995</c:v>
                </c:pt>
                <c:pt idx="7">
                  <c:v>4.0375000000000014</c:v>
                </c:pt>
                <c:pt idx="8">
                  <c:v>4.2010309278350517</c:v>
                </c:pt>
                <c:pt idx="9">
                  <c:v>4.1919191919191929</c:v>
                </c:pt>
                <c:pt idx="10">
                  <c:v>4.0583333333333291</c:v>
                </c:pt>
                <c:pt idx="11">
                  <c:v>4.040384615384613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C3-441E-97D4-7F7F3FA1D312}"/>
            </c:ext>
          </c:extLst>
        </c:ser>
        <c:ser>
          <c:idx val="5"/>
          <c:order val="5"/>
          <c:tx>
            <c:strRef>
              <c:f>'[1]Data filtrées'!$M$103</c:f>
              <c:strCache>
                <c:ptCount val="1"/>
                <c:pt idx="0">
                  <c:v>Star Algérie 6RH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'[1]Data filtrées'!$N$103:$Y$103</c:f>
              <c:numCache>
                <c:formatCode>0.00</c:formatCode>
                <c:ptCount val="12"/>
                <c:pt idx="0">
                  <c:v>3.9928571428571429</c:v>
                </c:pt>
                <c:pt idx="1">
                  <c:v>3.990163934426231</c:v>
                </c:pt>
                <c:pt idx="2">
                  <c:v>3.9625000000000004</c:v>
                </c:pt>
                <c:pt idx="3">
                  <c:v>3.9</c:v>
                </c:pt>
                <c:pt idx="4">
                  <c:v>3.9666666666666668</c:v>
                </c:pt>
                <c:pt idx="5">
                  <c:v>4.2305882352941149</c:v>
                </c:pt>
                <c:pt idx="6">
                  <c:v>3.9799999999999995</c:v>
                </c:pt>
                <c:pt idx="7">
                  <c:v>4.0375000000000014</c:v>
                </c:pt>
                <c:pt idx="8">
                  <c:v>4.2010309278350517</c:v>
                </c:pt>
                <c:pt idx="9">
                  <c:v>4.1919191919191929</c:v>
                </c:pt>
                <c:pt idx="10">
                  <c:v>4.0583333333333291</c:v>
                </c:pt>
                <c:pt idx="11">
                  <c:v>4.040384615384613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C3-441E-97D4-7F7F3FA1D312}"/>
            </c:ext>
          </c:extLst>
        </c:ser>
        <c:ser>
          <c:idx val="6"/>
          <c:order val="6"/>
          <c:tx>
            <c:strRef>
              <c:f>'[1]Data filtrées'!$M$104</c:f>
              <c:strCache>
                <c:ptCount val="1"/>
                <c:pt idx="0">
                  <c:v>Sacofrina / Globe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'[1]Data filtrées'!$N$104:$Y$104</c:f>
              <c:numCache>
                <c:formatCode>0.00</c:formatCode>
                <c:ptCount val="12"/>
                <c:pt idx="0">
                  <c:v>3.8833333333333333</c:v>
                </c:pt>
                <c:pt idx="1">
                  <c:v>3.9749999999999996</c:v>
                </c:pt>
                <c:pt idx="2">
                  <c:v>3.9415730337078689</c:v>
                </c:pt>
                <c:pt idx="3">
                  <c:v>3.9395833333333354</c:v>
                </c:pt>
                <c:pt idx="4">
                  <c:v>4.0565656565656525</c:v>
                </c:pt>
                <c:pt idx="5">
                  <c:v>4.2833333333333332</c:v>
                </c:pt>
                <c:pt idx="6">
                  <c:v>4.0999999999999996</c:v>
                </c:pt>
                <c:pt idx="7">
                  <c:v>4.1333333333333329</c:v>
                </c:pt>
                <c:pt idx="8">
                  <c:v>4.261904761904761</c:v>
                </c:pt>
                <c:pt idx="9">
                  <c:v>4</c:v>
                </c:pt>
                <c:pt idx="10">
                  <c:v>3.9999999999999996</c:v>
                </c:pt>
                <c:pt idx="11">
                  <c:v>4.0411764705882343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C3-441E-97D4-7F7F3FA1D312}"/>
            </c:ext>
          </c:extLst>
        </c:ser>
        <c:ser>
          <c:idx val="7"/>
          <c:order val="7"/>
          <c:tx>
            <c:strRef>
              <c:f>'[1]Data filtrées'!$M$105</c:f>
              <c:strCache>
                <c:ptCount val="1"/>
                <c:pt idx="0">
                  <c:v>EFES 2RP</c:v>
                </c:pt>
              </c:strCache>
            </c:strRef>
          </c:tx>
          <c:marker>
            <c:symbol val="none"/>
          </c:marker>
          <c:val>
            <c:numRef>
              <c:f>'[1]Data filtrées'!$N$105:$Y$105</c:f>
              <c:numCache>
                <c:formatCode>0.00</c:formatCode>
                <c:ptCount val="12"/>
                <c:pt idx="0">
                  <c:v>3.8833333333333333</c:v>
                </c:pt>
                <c:pt idx="1">
                  <c:v>3.9749999999999996</c:v>
                </c:pt>
                <c:pt idx="2">
                  <c:v>3.9415730337078689</c:v>
                </c:pt>
                <c:pt idx="3">
                  <c:v>3.9395833333333354</c:v>
                </c:pt>
                <c:pt idx="4">
                  <c:v>4.0565656565656525</c:v>
                </c:pt>
                <c:pt idx="5">
                  <c:v>4.2833333333333332</c:v>
                </c:pt>
                <c:pt idx="6">
                  <c:v>4.0999999999999996</c:v>
                </c:pt>
                <c:pt idx="7">
                  <c:v>4.1333333333333329</c:v>
                </c:pt>
                <c:pt idx="8">
                  <c:v>4.261904761904761</c:v>
                </c:pt>
                <c:pt idx="9">
                  <c:v>4</c:v>
                </c:pt>
                <c:pt idx="10">
                  <c:v>3.9999999999999996</c:v>
                </c:pt>
                <c:pt idx="11">
                  <c:v>4.0411764705882343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C3-441E-97D4-7F7F3FA1D312}"/>
            </c:ext>
          </c:extLst>
        </c:ser>
        <c:ser>
          <c:idx val="8"/>
          <c:order val="8"/>
          <c:tx>
            <c:strRef>
              <c:f>'[1]Data filtrées'!$M$106</c:f>
              <c:strCache>
                <c:ptCount val="1"/>
                <c:pt idx="0">
                  <c:v>SFBT 2RP</c:v>
                </c:pt>
              </c:strCache>
            </c:strRef>
          </c:tx>
          <c:marker>
            <c:symbol val="none"/>
          </c:marker>
          <c:val>
            <c:numRef>
              <c:f>'[1]Data filtrées'!$N$106:$Y$106</c:f>
              <c:numCache>
                <c:formatCode>0.00</c:formatCode>
                <c:ptCount val="12"/>
                <c:pt idx="0">
                  <c:v>3.8833333333333333</c:v>
                </c:pt>
                <c:pt idx="1">
                  <c:v>3.9749999999999996</c:v>
                </c:pt>
                <c:pt idx="2">
                  <c:v>3.9415730337078689</c:v>
                </c:pt>
                <c:pt idx="3">
                  <c:v>3.9395833333333354</c:v>
                </c:pt>
                <c:pt idx="4">
                  <c:v>4.0565656565656525</c:v>
                </c:pt>
                <c:pt idx="5">
                  <c:v>4.2833333333333332</c:v>
                </c:pt>
                <c:pt idx="6">
                  <c:v>4.0999999999999996</c:v>
                </c:pt>
                <c:pt idx="7">
                  <c:v>4.1333333333333329</c:v>
                </c:pt>
                <c:pt idx="8">
                  <c:v>4.261904761904761</c:v>
                </c:pt>
                <c:pt idx="9">
                  <c:v>4</c:v>
                </c:pt>
                <c:pt idx="10">
                  <c:v>3.9999999999999996</c:v>
                </c:pt>
                <c:pt idx="11">
                  <c:v>4.0411764705882343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C3-441E-97D4-7F7F3FA1D312}"/>
            </c:ext>
          </c:extLst>
        </c:ser>
        <c:ser>
          <c:idx val="9"/>
          <c:order val="9"/>
          <c:tx>
            <c:strRef>
              <c:f>'[1]Data filtrées'!$M$107</c:f>
              <c:strCache>
                <c:ptCount val="1"/>
                <c:pt idx="0">
                  <c:v>Heineken A</c:v>
                </c:pt>
              </c:strCache>
            </c:strRef>
          </c:tx>
          <c:marker>
            <c:symbol val="none"/>
          </c:marker>
          <c:val>
            <c:numRef>
              <c:f>'[1]Data filtrées'!$N$107:$Y$107</c:f>
              <c:numCache>
                <c:formatCode>0.00</c:formatCode>
                <c:ptCount val="12"/>
                <c:pt idx="0">
                  <c:v>3.9624999999999995</c:v>
                </c:pt>
                <c:pt idx="1">
                  <c:v>3.990163934426231</c:v>
                </c:pt>
                <c:pt idx="2">
                  <c:v>3.842857142857143</c:v>
                </c:pt>
                <c:pt idx="3">
                  <c:v>4.0555555555555545</c:v>
                </c:pt>
                <c:pt idx="4">
                  <c:v>4.0733333333333333</c:v>
                </c:pt>
                <c:pt idx="5">
                  <c:v>4.3666666666666671</c:v>
                </c:pt>
                <c:pt idx="6">
                  <c:v>4.2714285714285714</c:v>
                </c:pt>
                <c:pt idx="7">
                  <c:v>4.0750000000000002</c:v>
                </c:pt>
                <c:pt idx="8">
                  <c:v>4.3666666666666671</c:v>
                </c:pt>
                <c:pt idx="9">
                  <c:v>4.2333333333333334</c:v>
                </c:pt>
                <c:pt idx="10">
                  <c:v>4.0777777777777775</c:v>
                </c:pt>
                <c:pt idx="11">
                  <c:v>4.0636363636363635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C3-441E-97D4-7F7F3FA1D312}"/>
            </c:ext>
          </c:extLst>
        </c:ser>
        <c:ser>
          <c:idx val="10"/>
          <c:order val="10"/>
          <c:tx>
            <c:strRef>
              <c:f>'[1]Data filtrées'!$M$108</c:f>
              <c:strCache>
                <c:ptCount val="1"/>
                <c:pt idx="0">
                  <c:v>Heineken C</c:v>
                </c:pt>
              </c:strCache>
            </c:strRef>
          </c:tx>
          <c:marker>
            <c:symbol val="none"/>
          </c:marker>
          <c:val>
            <c:numRef>
              <c:f>'[1]Data filtrées'!$N$108:$Y$108</c:f>
              <c:numCache>
                <c:formatCode>0.00</c:formatCode>
                <c:ptCount val="12"/>
                <c:pt idx="0">
                  <c:v>4.0075471698113212</c:v>
                </c:pt>
                <c:pt idx="1">
                  <c:v>3.9515151515151516</c:v>
                </c:pt>
                <c:pt idx="2">
                  <c:v>3.8961538461538483</c:v>
                </c:pt>
                <c:pt idx="3">
                  <c:v>3.9307692307692323</c:v>
                </c:pt>
                <c:pt idx="4">
                  <c:v>4.0500000000000016</c:v>
                </c:pt>
                <c:pt idx="5">
                  <c:v>4.1342105263157896</c:v>
                </c:pt>
                <c:pt idx="6">
                  <c:v>4.1591836734693866</c:v>
                </c:pt>
                <c:pt idx="7">
                  <c:v>4</c:v>
                </c:pt>
                <c:pt idx="8">
                  <c:v>4.1711111111111112</c:v>
                </c:pt>
                <c:pt idx="9">
                  <c:v>4.2333333333333334</c:v>
                </c:pt>
                <c:pt idx="10">
                  <c:v>4.07</c:v>
                </c:pt>
                <c:pt idx="11">
                  <c:v>4.043103448275863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C3-441E-97D4-7F7F3FA1D312}"/>
            </c:ext>
          </c:extLst>
        </c:ser>
        <c:ser>
          <c:idx val="11"/>
          <c:order val="11"/>
          <c:tx>
            <c:strRef>
              <c:f>'[1]Data filtrées'!$M$109</c:f>
              <c:strCache>
                <c:ptCount val="1"/>
                <c:pt idx="0">
                  <c:v>Diekirch 2RP</c:v>
                </c:pt>
              </c:strCache>
            </c:strRef>
          </c:tx>
          <c:marker>
            <c:symbol val="none"/>
          </c:marker>
          <c:val>
            <c:numRef>
              <c:f>'[1]Data filtrées'!$N$109:$Y$109</c:f>
              <c:numCache>
                <c:formatCode>0.00</c:formatCode>
                <c:ptCount val="12"/>
                <c:pt idx="0">
                  <c:v>3.9928571428571429</c:v>
                </c:pt>
                <c:pt idx="1">
                  <c:v>3.990163934426231</c:v>
                </c:pt>
                <c:pt idx="2">
                  <c:v>3.9415730337078689</c:v>
                </c:pt>
                <c:pt idx="3">
                  <c:v>3.9395833333333354</c:v>
                </c:pt>
                <c:pt idx="4">
                  <c:v>4.0565656565656525</c:v>
                </c:pt>
                <c:pt idx="5">
                  <c:v>4.2305882352941149</c:v>
                </c:pt>
                <c:pt idx="6">
                  <c:v>4.1494845360824693</c:v>
                </c:pt>
                <c:pt idx="7">
                  <c:v>4.0375000000000014</c:v>
                </c:pt>
                <c:pt idx="8">
                  <c:v>4.2010309278350517</c:v>
                </c:pt>
                <c:pt idx="9">
                  <c:v>4.1919191919191929</c:v>
                </c:pt>
                <c:pt idx="10">
                  <c:v>4.0583333333333291</c:v>
                </c:pt>
                <c:pt idx="11">
                  <c:v>4.040384615384613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C3-441E-97D4-7F7F3FA1D312}"/>
            </c:ext>
          </c:extLst>
        </c:ser>
        <c:ser>
          <c:idx val="12"/>
          <c:order val="12"/>
          <c:tx>
            <c:strRef>
              <c:f>'[1]Data filtrées'!$M$110</c:f>
              <c:strCache>
                <c:ptCount val="1"/>
                <c:pt idx="0">
                  <c:v>STANDARD</c:v>
                </c:pt>
              </c:strCache>
            </c:strRef>
          </c:tx>
          <c:marker>
            <c:symbol val="none"/>
          </c:marker>
          <c:val>
            <c:numRef>
              <c:f>'[1]Data filtrées'!$N$110:$Y$110</c:f>
              <c:numCache>
                <c:formatCode>0.00</c:formatCode>
                <c:ptCount val="12"/>
                <c:pt idx="0">
                  <c:v>3.9928571428571429</c:v>
                </c:pt>
                <c:pt idx="1">
                  <c:v>3.990163934426231</c:v>
                </c:pt>
                <c:pt idx="2">
                  <c:v>3.9415730337078689</c:v>
                </c:pt>
                <c:pt idx="3">
                  <c:v>3.9395833333333354</c:v>
                </c:pt>
                <c:pt idx="4">
                  <c:v>4.0565656565656525</c:v>
                </c:pt>
                <c:pt idx="5">
                  <c:v>4.2305882352941149</c:v>
                </c:pt>
                <c:pt idx="6">
                  <c:v>4.1494845360824693</c:v>
                </c:pt>
                <c:pt idx="7">
                  <c:v>4.0375000000000014</c:v>
                </c:pt>
                <c:pt idx="8">
                  <c:v>4.2010309278350517</c:v>
                </c:pt>
                <c:pt idx="9">
                  <c:v>4.1919191919191929</c:v>
                </c:pt>
                <c:pt idx="10">
                  <c:v>4.0583333333333291</c:v>
                </c:pt>
                <c:pt idx="11">
                  <c:v>4.040384615384613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C3-441E-97D4-7F7F3FA1D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380809"/>
        <c:axId val="64532254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'[1]Data filtrées'!$M$98</c15:sqref>
                        </c15:formulaRef>
                      </c:ext>
                    </c:extLst>
                    <c:strCache>
                      <c:ptCount val="1"/>
                      <c:pt idx="0">
                        <c:v>MOYENNE</c:v>
                      </c:pt>
                    </c:strCache>
                  </c:strRef>
                </c:tx>
                <c:spPr>
                  <a:ln w="28575" cmpd="sng">
                    <a:solidFill>
                      <a:schemeClr val="accent2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'[1]Data filtrées'!$N$98:$Y$98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A9C3-441E-97D4-7F7F3FA1D312}"/>
                  </c:ext>
                </c:extLst>
              </c15:ser>
            </c15:filteredLineSeries>
          </c:ext>
        </c:extLst>
      </c:lineChart>
      <c:catAx>
        <c:axId val="2052380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45322549"/>
        <c:crosses val="autoZero"/>
        <c:auto val="1"/>
        <c:lblAlgn val="ctr"/>
        <c:lblOffset val="100"/>
        <c:noMultiLvlLbl val="1"/>
      </c:catAx>
      <c:valAx>
        <c:axId val="645322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5238080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R2</a:t>
          </a:r>
        </a:p>
      </cx:txPr>
    </cx:title>
    <cx:plotArea>
      <cx:plotAreaRegion>
        <cx:series layoutId="boxWhisker" uniqueId="{EA826B61-A744-4686-8A51-D95470597150}">
          <cx:tx>
            <cx:txData>
              <cx:f>_xlchart.v1.4</cx:f>
              <cx:v>R2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R2_sec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R2_sec</a:t>
          </a:r>
        </a:p>
      </cx:txPr>
    </cx:title>
    <cx:plotArea>
      <cx:plotAreaRegion>
        <cx:series layoutId="boxWhisker" uniqueId="{DFCDAAF7-A286-4C0B-9D2F-C97FCAF0635E}">
          <cx:tx>
            <cx:txData>
              <cx:f>_xlchart.v1.7</cx:f>
              <cx:v>R2_sec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Qte Orge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Qte Orge</a:t>
          </a:r>
        </a:p>
      </cx:txPr>
    </cx:title>
    <cx:plotArea>
      <cx:plotAreaRegion>
        <cx:series layoutId="boxWhisker" uniqueId="{045D32E9-1C2F-4944-99A8-ADD8442680A6}">
          <cx:tx>
            <cx:txData>
              <cx:f>_xlchart.v1.1</cx:f>
              <cx:v>Qte Orge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txData>
          <cx:v>Qte Malt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Qte Malt</a:t>
          </a:r>
        </a:p>
      </cx:txPr>
    </cx:title>
    <cx:plotArea>
      <cx:plotAreaRegion>
        <cx:series layoutId="boxWhisker" uniqueId="{F57D9E30-3B03-45F6-A444-E4AAD960EC49}">
          <cx:tx>
            <cx:txData>
              <cx:f>_xlchart.v1.16</cx:f>
              <cx:v>Qte Malt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Hum Orge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Hum Orge</a:t>
          </a:r>
        </a:p>
      </cx:txPr>
    </cx:title>
    <cx:plotArea>
      <cx:plotAreaRegion>
        <cx:series layoutId="boxWhisker" uniqueId="{5FF6767C-CB18-4E8F-AE50-469BE0735702}">
          <cx:tx>
            <cx:txData>
              <cx:f>_xlchart.v1.10</cx:f>
              <cx:v>Hum Orge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Hum Malt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Hum Malt</a:t>
          </a:r>
        </a:p>
      </cx:txPr>
    </cx:title>
    <cx:plotArea>
      <cx:plotAreaRegion>
        <cx:series layoutId="boxWhisker" uniqueId="{7B7C13B5-9A47-4D01-927A-444F06EB6FF2}">
          <cx:tx>
            <cx:txData>
              <cx:f>_xlchart.v1.13</cx:f>
              <cx:v>Hum Malt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12" Type="http://schemas.microsoft.com/office/2014/relationships/chartEx" Target="../charts/chartEx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5.xml"/><Relationship Id="rId5" Type="http://schemas.openxmlformats.org/officeDocument/2006/relationships/chart" Target="../charts/chart5.xml"/><Relationship Id="rId10" Type="http://schemas.microsoft.com/office/2014/relationships/chartEx" Target="../charts/chartEx4.xml"/><Relationship Id="rId4" Type="http://schemas.openxmlformats.org/officeDocument/2006/relationships/chart" Target="../charts/chart4.xml"/><Relationship Id="rId9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171450</xdr:colOff>
      <xdr:row>8</xdr:row>
      <xdr:rowOff>123825</xdr:rowOff>
    </xdr:from>
    <xdr:ext cx="6667500" cy="3228975"/>
    <xdr:graphicFrame macro="">
      <xdr:nvGraphicFramePr>
        <xdr:cNvPr id="2" name="Chart 13">
          <a:extLst>
            <a:ext uri="{FF2B5EF4-FFF2-40B4-BE49-F238E27FC236}">
              <a16:creationId xmlns:a16="http://schemas.microsoft.com/office/drawing/2014/main" id="{ACABCAC5-1813-4521-9DC7-3752E4E75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209550</xdr:colOff>
      <xdr:row>27</xdr:row>
      <xdr:rowOff>76200</xdr:rowOff>
    </xdr:from>
    <xdr:ext cx="6648450" cy="2600325"/>
    <xdr:graphicFrame macro="">
      <xdr:nvGraphicFramePr>
        <xdr:cNvPr id="3" name="Chart 14">
          <a:extLst>
            <a:ext uri="{FF2B5EF4-FFF2-40B4-BE49-F238E27FC236}">
              <a16:creationId xmlns:a16="http://schemas.microsoft.com/office/drawing/2014/main" id="{AB7BC333-C95E-4D20-89D5-0188E5BFE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25</xdr:col>
      <xdr:colOff>209550</xdr:colOff>
      <xdr:row>42</xdr:row>
      <xdr:rowOff>123825</xdr:rowOff>
    </xdr:from>
    <xdr:ext cx="6629400" cy="2600325"/>
    <xdr:graphicFrame macro="">
      <xdr:nvGraphicFramePr>
        <xdr:cNvPr id="4" name="Chart 15">
          <a:extLst>
            <a:ext uri="{FF2B5EF4-FFF2-40B4-BE49-F238E27FC236}">
              <a16:creationId xmlns:a16="http://schemas.microsoft.com/office/drawing/2014/main" id="{48D476C9-72D4-426A-A0F7-091FF9BA8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25</xdr:col>
      <xdr:colOff>238125</xdr:colOff>
      <xdr:row>58</xdr:row>
      <xdr:rowOff>0</xdr:rowOff>
    </xdr:from>
    <xdr:ext cx="6629400" cy="3028950"/>
    <xdr:graphicFrame macro="">
      <xdr:nvGraphicFramePr>
        <xdr:cNvPr id="5" name="Chart 16">
          <a:extLst>
            <a:ext uri="{FF2B5EF4-FFF2-40B4-BE49-F238E27FC236}">
              <a16:creationId xmlns:a16="http://schemas.microsoft.com/office/drawing/2014/main" id="{77C96799-6409-476A-9686-F44FA70B0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25</xdr:col>
      <xdr:colOff>228600</xdr:colOff>
      <xdr:row>76</xdr:row>
      <xdr:rowOff>0</xdr:rowOff>
    </xdr:from>
    <xdr:ext cx="6629400" cy="3638550"/>
    <xdr:graphicFrame macro="">
      <xdr:nvGraphicFramePr>
        <xdr:cNvPr id="6" name="Chart 17">
          <a:extLst>
            <a:ext uri="{FF2B5EF4-FFF2-40B4-BE49-F238E27FC236}">
              <a16:creationId xmlns:a16="http://schemas.microsoft.com/office/drawing/2014/main" id="{CB731B5E-2091-47D4-AF5C-5560BEBDD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25</xdr:col>
      <xdr:colOff>219075</xdr:colOff>
      <xdr:row>97</xdr:row>
      <xdr:rowOff>9525</xdr:rowOff>
    </xdr:from>
    <xdr:ext cx="6629400" cy="3638550"/>
    <xdr:graphicFrame macro="">
      <xdr:nvGraphicFramePr>
        <xdr:cNvPr id="7" name="Chart 18">
          <a:extLst>
            <a:ext uri="{FF2B5EF4-FFF2-40B4-BE49-F238E27FC236}">
              <a16:creationId xmlns:a16="http://schemas.microsoft.com/office/drawing/2014/main" id="{892BD237-ED84-4AF5-ADA4-74899E23A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twoCellAnchor>
    <xdr:from>
      <xdr:col>10</xdr:col>
      <xdr:colOff>218514</xdr:colOff>
      <xdr:row>101</xdr:row>
      <xdr:rowOff>45943</xdr:rowOff>
    </xdr:from>
    <xdr:to>
      <xdr:col>24</xdr:col>
      <xdr:colOff>661147</xdr:colOff>
      <xdr:row>116</xdr:row>
      <xdr:rowOff>99731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phique 7">
              <a:extLst>
                <a:ext uri="{FF2B5EF4-FFF2-40B4-BE49-F238E27FC236}">
                  <a16:creationId xmlns:a16="http://schemas.microsoft.com/office/drawing/2014/main" id="{115B46BE-CE6F-4B0C-9B39-DA27A0016F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43239" y="20134168"/>
              <a:ext cx="10301008" cy="2768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207308</xdr:colOff>
      <xdr:row>117</xdr:row>
      <xdr:rowOff>101973</xdr:rowOff>
    </xdr:from>
    <xdr:to>
      <xdr:col>24</xdr:col>
      <xdr:colOff>649941</xdr:colOff>
      <xdr:row>132</xdr:row>
      <xdr:rowOff>155761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phique 8">
              <a:extLst>
                <a:ext uri="{FF2B5EF4-FFF2-40B4-BE49-F238E27FC236}">
                  <a16:creationId xmlns:a16="http://schemas.microsoft.com/office/drawing/2014/main" id="{36E0D1E7-C183-4DBE-AAFA-07155931F1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2033" y="23085798"/>
              <a:ext cx="10301008" cy="2768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196102</xdr:colOff>
      <xdr:row>133</xdr:row>
      <xdr:rowOff>68355</xdr:rowOff>
    </xdr:from>
    <xdr:to>
      <xdr:col>24</xdr:col>
      <xdr:colOff>616322</xdr:colOff>
      <xdr:row>148</xdr:row>
      <xdr:rowOff>122143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aphique 9">
              <a:extLst>
                <a:ext uri="{FF2B5EF4-FFF2-40B4-BE49-F238E27FC236}">
                  <a16:creationId xmlns:a16="http://schemas.microsoft.com/office/drawing/2014/main" id="{FCA487F8-C869-411C-9E79-CC4BF145F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0827" y="25947780"/>
              <a:ext cx="10278595" cy="2768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173689</xdr:colOff>
      <xdr:row>149</xdr:row>
      <xdr:rowOff>90768</xdr:rowOff>
    </xdr:from>
    <xdr:to>
      <xdr:col>24</xdr:col>
      <xdr:colOff>593911</xdr:colOff>
      <xdr:row>164</xdr:row>
      <xdr:rowOff>144557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aphique 10">
              <a:extLst>
                <a:ext uri="{FF2B5EF4-FFF2-40B4-BE49-F238E27FC236}">
                  <a16:creationId xmlns:a16="http://schemas.microsoft.com/office/drawing/2014/main" id="{F1DFF156-420A-4DAF-B27F-A6E1391392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8414" y="28865793"/>
              <a:ext cx="10278597" cy="27684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140071</xdr:colOff>
      <xdr:row>165</xdr:row>
      <xdr:rowOff>90766</xdr:rowOff>
    </xdr:from>
    <xdr:to>
      <xdr:col>24</xdr:col>
      <xdr:colOff>560294</xdr:colOff>
      <xdr:row>180</xdr:row>
      <xdr:rowOff>144555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aphique 11">
              <a:extLst>
                <a:ext uri="{FF2B5EF4-FFF2-40B4-BE49-F238E27FC236}">
                  <a16:creationId xmlns:a16="http://schemas.microsoft.com/office/drawing/2014/main" id="{3E9AEB69-80B4-4878-922A-5EB5DAD5C6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64796" y="31761391"/>
              <a:ext cx="10278598" cy="27684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128867</xdr:colOff>
      <xdr:row>181</xdr:row>
      <xdr:rowOff>124384</xdr:rowOff>
    </xdr:from>
    <xdr:to>
      <xdr:col>24</xdr:col>
      <xdr:colOff>537882</xdr:colOff>
      <xdr:row>196</xdr:row>
      <xdr:rowOff>178172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aphique 12">
              <a:extLst>
                <a:ext uri="{FF2B5EF4-FFF2-40B4-BE49-F238E27FC236}">
                  <a16:creationId xmlns:a16="http://schemas.microsoft.com/office/drawing/2014/main" id="{A39403D5-0625-43E1-BB45-D210D20CF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3592" y="34690609"/>
              <a:ext cx="10267390" cy="2768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bl\Documents\Invivo\Dashboard%20gains\2%20-%20NOGENT2\Baseline_NOGENT2_3ANS_Sources_Batch_20240712.xlsx" TargetMode="External"/><Relationship Id="rId1" Type="http://schemas.openxmlformats.org/officeDocument/2006/relationships/externalLinkPath" Target="/Users/probl/Documents/Invivo/Dashboard%20gains/2%20-%20NOGENT2/Baseline_NOGENT2_3ANS_Sources_Batch_202407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 filtrées_old"/>
      <sheetName val="Data filtrées ABI4"/>
      <sheetName val="Data filtrées"/>
    </sheetNames>
    <sheetDataSet>
      <sheetData sheetId="0"/>
      <sheetData sheetId="1"/>
      <sheetData sheetId="2"/>
      <sheetData sheetId="3">
        <row r="1">
          <cell r="E1" t="str">
            <v>R2</v>
          </cell>
          <cell r="F1" t="str">
            <v>R2_sec</v>
          </cell>
          <cell r="G1" t="str">
            <v>Qte Orge</v>
          </cell>
          <cell r="H1" t="str">
            <v>Qte Malt</v>
          </cell>
          <cell r="I1" t="str">
            <v>Hum Orge</v>
          </cell>
          <cell r="J1" t="str">
            <v>Hum Malt</v>
          </cell>
        </row>
        <row r="2">
          <cell r="B2" t="str">
            <v>HEINEKEN C 6RH PILSEN</v>
          </cell>
          <cell r="E2">
            <v>82.683322126243553</v>
          </cell>
          <cell r="F2">
            <v>89.947983954676516</v>
          </cell>
          <cell r="G2">
            <v>579.99</v>
          </cell>
          <cell r="H2">
            <v>479.55500000000001</v>
          </cell>
          <cell r="I2">
            <v>13.5</v>
          </cell>
          <cell r="J2">
            <v>5.9</v>
          </cell>
        </row>
        <row r="3">
          <cell r="B3" t="str">
            <v>HEINEKEN C 6RH PILSEN</v>
          </cell>
          <cell r="E3">
            <v>85.240040068246614</v>
          </cell>
          <cell r="F3">
            <v>90.621598404009646</v>
          </cell>
          <cell r="G3">
            <v>582.00699999999995</v>
          </cell>
          <cell r="H3">
            <v>496.10300000000001</v>
          </cell>
          <cell r="I3">
            <v>11.3</v>
          </cell>
          <cell r="J3">
            <v>5.7</v>
          </cell>
        </row>
        <row r="4">
          <cell r="B4" t="str">
            <v>ABI4 PILSEN</v>
          </cell>
          <cell r="E4">
            <v>84.165281075794795</v>
          </cell>
          <cell r="F4">
            <v>91.737244079153498</v>
          </cell>
          <cell r="G4">
            <v>590.00099999999998</v>
          </cell>
          <cell r="H4">
            <v>496.57600000000002</v>
          </cell>
          <cell r="I4">
            <v>13.3</v>
          </cell>
          <cell r="J4">
            <v>5.5</v>
          </cell>
        </row>
        <row r="5">
          <cell r="B5" t="str">
            <v>ABI4 PILSEN</v>
          </cell>
          <cell r="E5">
            <v>82.327018434355622</v>
          </cell>
          <cell r="F5">
            <v>89.211179196907693</v>
          </cell>
          <cell r="G5">
            <v>580.00400000000002</v>
          </cell>
          <cell r="H5">
            <v>477.5</v>
          </cell>
          <cell r="I5">
            <v>12.7</v>
          </cell>
          <cell r="J5">
            <v>5.4</v>
          </cell>
        </row>
        <row r="6">
          <cell r="B6" t="str">
            <v>HEINEKEN C 6RH PILSEN</v>
          </cell>
          <cell r="E6">
            <v>83.866462759675372</v>
          </cell>
          <cell r="F6">
            <v>91.82601130862605</v>
          </cell>
          <cell r="G6">
            <v>580.00300000000004</v>
          </cell>
          <cell r="H6">
            <v>486.428</v>
          </cell>
          <cell r="I6">
            <v>13.6</v>
          </cell>
          <cell r="J6">
            <v>5.4</v>
          </cell>
        </row>
        <row r="7">
          <cell r="B7" t="str">
            <v>HEINEKEN C 6RH PILSEN</v>
          </cell>
          <cell r="E7">
            <v>85.207775268683022</v>
          </cell>
          <cell r="F7">
            <v>92.001105870969852</v>
          </cell>
          <cell r="G7">
            <v>584.98299999999995</v>
          </cell>
          <cell r="H7">
            <v>498.45100000000002</v>
          </cell>
          <cell r="I7">
            <v>12.2</v>
          </cell>
          <cell r="J7">
            <v>5.2</v>
          </cell>
        </row>
        <row r="8">
          <cell r="B8" t="str">
            <v>HEINEKEN C 6RH PILSEN</v>
          </cell>
          <cell r="E8">
            <v>83.841711962278794</v>
          </cell>
          <cell r="F8">
            <v>90.613909401780262</v>
          </cell>
          <cell r="G8">
            <v>590.01300000000003</v>
          </cell>
          <cell r="H8">
            <v>494.67700000000002</v>
          </cell>
          <cell r="I8">
            <v>12.1</v>
          </cell>
          <cell r="J8">
            <v>5</v>
          </cell>
        </row>
        <row r="9">
          <cell r="B9" t="str">
            <v>HEINEKEN C 6RH PILSEN</v>
          </cell>
          <cell r="E9">
            <v>85.255199457106073</v>
          </cell>
          <cell r="F9">
            <v>92.774844770046698</v>
          </cell>
          <cell r="G9">
            <v>585.01300000000003</v>
          </cell>
          <cell r="H9">
            <v>498.75400000000002</v>
          </cell>
          <cell r="I9">
            <v>12.7</v>
          </cell>
          <cell r="J9">
            <v>5</v>
          </cell>
        </row>
        <row r="10">
          <cell r="B10" t="str">
            <v>HEINEKEN C 6RH PILSEN</v>
          </cell>
          <cell r="E10">
            <v>82.471965903918559</v>
          </cell>
          <cell r="F10">
            <v>90.680981028614156</v>
          </cell>
          <cell r="G10">
            <v>580.00800000000004</v>
          </cell>
          <cell r="H10">
            <v>478.34399999999999</v>
          </cell>
          <cell r="I10">
            <v>13.6</v>
          </cell>
          <cell r="J10">
            <v>5</v>
          </cell>
        </row>
        <row r="11">
          <cell r="B11" t="str">
            <v>HEINEKEN A 2RP PILSEN</v>
          </cell>
          <cell r="E11">
            <v>82.19916139666077</v>
          </cell>
          <cell r="F11">
            <v>89.338745700827857</v>
          </cell>
          <cell r="G11">
            <v>580.01199999999994</v>
          </cell>
          <cell r="H11">
            <v>476.76499999999999</v>
          </cell>
          <cell r="I11">
            <v>12.5</v>
          </cell>
          <cell r="J11">
            <v>4.9000000000000004</v>
          </cell>
        </row>
        <row r="12">
          <cell r="B12" t="str">
            <v>ABI4 PILSEN</v>
          </cell>
          <cell r="E12">
            <v>85.0037841369668</v>
          </cell>
          <cell r="F12">
            <v>93.780276930690746</v>
          </cell>
          <cell r="G12">
            <v>580.053</v>
          </cell>
          <cell r="H12">
            <v>493.06700000000001</v>
          </cell>
          <cell r="I12">
            <v>13.8</v>
          </cell>
          <cell r="J12">
            <v>4.9000000000000004</v>
          </cell>
        </row>
        <row r="13">
          <cell r="B13" t="str">
            <v>HEINEKEN C 6RH PILSEN</v>
          </cell>
          <cell r="E13">
            <v>83.572125613359958</v>
          </cell>
          <cell r="F13">
            <v>92.307887872596197</v>
          </cell>
          <cell r="G13">
            <v>580.00199999999995</v>
          </cell>
          <cell r="H13">
            <v>484.72</v>
          </cell>
          <cell r="I13">
            <v>13.9</v>
          </cell>
          <cell r="J13">
            <v>4.9000000000000004</v>
          </cell>
        </row>
        <row r="14">
          <cell r="B14" t="str">
            <v>GLOBE PILSEN</v>
          </cell>
          <cell r="E14">
            <v>83.187343355210643</v>
          </cell>
          <cell r="F14">
            <v>89.182827560991598</v>
          </cell>
          <cell r="G14">
            <v>590.10900000000004</v>
          </cell>
          <cell r="H14">
            <v>490.89600000000002</v>
          </cell>
          <cell r="I14">
            <v>11.2</v>
          </cell>
          <cell r="J14">
            <v>4.8</v>
          </cell>
        </row>
        <row r="15">
          <cell r="B15" t="str">
            <v>ASAHI 2RP PILSEN</v>
          </cell>
          <cell r="E15">
            <v>85.84724206359293</v>
          </cell>
          <cell r="F15">
            <v>92.660515243243154</v>
          </cell>
          <cell r="G15">
            <v>590.09699999999998</v>
          </cell>
          <cell r="H15">
            <v>506.58199999999999</v>
          </cell>
          <cell r="I15">
            <v>11.8</v>
          </cell>
          <cell r="J15">
            <v>4.8</v>
          </cell>
        </row>
        <row r="16">
          <cell r="B16" t="str">
            <v>ASAHI 2RP PILSEN</v>
          </cell>
          <cell r="E16">
            <v>84.035585286587406</v>
          </cell>
          <cell r="F16">
            <v>92.917395113625105</v>
          </cell>
          <cell r="G16">
            <v>580.01499999999999</v>
          </cell>
          <cell r="H16">
            <v>487.41899999999998</v>
          </cell>
          <cell r="I16">
            <v>13.9</v>
          </cell>
          <cell r="J16">
            <v>4.8</v>
          </cell>
        </row>
        <row r="17">
          <cell r="B17" t="str">
            <v>HEINEKEN C 6RH PILSEN</v>
          </cell>
          <cell r="E17">
            <v>81.420268515852499</v>
          </cell>
          <cell r="F17">
            <v>90.025662749235281</v>
          </cell>
          <cell r="G17">
            <v>580.00300000000004</v>
          </cell>
          <cell r="H17">
            <v>472.24</v>
          </cell>
          <cell r="I17">
            <v>13.9</v>
          </cell>
          <cell r="J17">
            <v>4.8</v>
          </cell>
        </row>
        <row r="18">
          <cell r="B18" t="str">
            <v>ASAHI 2RP PILSEN</v>
          </cell>
          <cell r="E18">
            <v>87.275322433141596</v>
          </cell>
          <cell r="F18">
            <v>93.348352725907901</v>
          </cell>
          <cell r="G18">
            <v>585.005</v>
          </cell>
          <cell r="H18">
            <v>510.565</v>
          </cell>
          <cell r="I18">
            <v>10.9</v>
          </cell>
          <cell r="J18">
            <v>4.7</v>
          </cell>
        </row>
        <row r="19">
          <cell r="B19" t="str">
            <v>HEINEKEN C 6RH PILSEN</v>
          </cell>
          <cell r="E19">
            <v>84.010282687705597</v>
          </cell>
          <cell r="F19">
            <v>90.159684010566934</v>
          </cell>
          <cell r="G19">
            <v>580.00400000000002</v>
          </cell>
          <cell r="H19">
            <v>487.26299999999998</v>
          </cell>
          <cell r="I19">
            <v>11.2</v>
          </cell>
          <cell r="J19">
            <v>4.7</v>
          </cell>
        </row>
        <row r="20">
          <cell r="B20" t="str">
            <v>ASAHI 2RP PILSEN</v>
          </cell>
          <cell r="E20">
            <v>84.951867487697967</v>
          </cell>
          <cell r="F20">
            <v>91.375992907196562</v>
          </cell>
          <cell r="G20">
            <v>595.024</v>
          </cell>
          <cell r="H20">
            <v>505.48399999999998</v>
          </cell>
          <cell r="I20">
            <v>11.4</v>
          </cell>
          <cell r="J20">
            <v>4.7</v>
          </cell>
        </row>
        <row r="21">
          <cell r="B21" t="str">
            <v>GLOBE PILSEN</v>
          </cell>
          <cell r="E21">
            <v>84.899197478030217</v>
          </cell>
          <cell r="F21">
            <v>91.422525645833673</v>
          </cell>
          <cell r="G21">
            <v>590.01499999999999</v>
          </cell>
          <cell r="H21">
            <v>500.91800000000001</v>
          </cell>
          <cell r="I21">
            <v>11.5</v>
          </cell>
          <cell r="J21">
            <v>4.7</v>
          </cell>
        </row>
        <row r="22">
          <cell r="B22" t="str">
            <v>ASAHI 2RP PILSEN</v>
          </cell>
          <cell r="E22">
            <v>83.567778980063153</v>
          </cell>
          <cell r="F22">
            <v>90.090603357466264</v>
          </cell>
          <cell r="G22">
            <v>584.99699999999996</v>
          </cell>
          <cell r="H22">
            <v>488.86900000000003</v>
          </cell>
          <cell r="I22">
            <v>11.6</v>
          </cell>
          <cell r="J22">
            <v>4.7</v>
          </cell>
        </row>
        <row r="23">
          <cell r="B23" t="str">
            <v>ABI4 PILSEN</v>
          </cell>
          <cell r="E23">
            <v>82.912082038833262</v>
          </cell>
          <cell r="F23">
            <v>89.383726451366641</v>
          </cell>
          <cell r="G23">
            <v>580.01800000000003</v>
          </cell>
          <cell r="H23">
            <v>480.90499999999997</v>
          </cell>
          <cell r="I23">
            <v>11.6</v>
          </cell>
          <cell r="J23">
            <v>4.7</v>
          </cell>
          <cell r="M23" t="str">
            <v>MOYENNE</v>
          </cell>
          <cell r="N23">
            <v>1</v>
          </cell>
          <cell r="O23">
            <v>2</v>
          </cell>
          <cell r="P23">
            <v>3</v>
          </cell>
          <cell r="Q23">
            <v>4</v>
          </cell>
          <cell r="R23">
            <v>5</v>
          </cell>
          <cell r="S23">
            <v>6</v>
          </cell>
          <cell r="T23">
            <v>7</v>
          </cell>
          <cell r="U23">
            <v>8</v>
          </cell>
          <cell r="V23">
            <v>9</v>
          </cell>
          <cell r="W23">
            <v>10</v>
          </cell>
          <cell r="X23">
            <v>11</v>
          </cell>
          <cell r="Y23">
            <v>12</v>
          </cell>
        </row>
        <row r="24">
          <cell r="B24" t="str">
            <v>HEINEKEN A 2RP PILSEN</v>
          </cell>
          <cell r="E24">
            <v>86.80861465667698</v>
          </cell>
          <cell r="F24">
            <v>93.796609714073867</v>
          </cell>
          <cell r="G24">
            <v>585.00300000000004</v>
          </cell>
          <cell r="H24">
            <v>507.83300000000003</v>
          </cell>
          <cell r="I24">
            <v>11.8</v>
          </cell>
          <cell r="J24">
            <v>4.7</v>
          </cell>
          <cell r="M24" t="str">
            <v>Diekirch /Louvain 6RH</v>
          </cell>
          <cell r="N24">
            <v>83.609429703940165</v>
          </cell>
          <cell r="O24">
            <v>84.36812600851583</v>
          </cell>
          <cell r="P24">
            <v>84.380656279366931</v>
          </cell>
          <cell r="Q24">
            <v>84.448067181420356</v>
          </cell>
          <cell r="R24">
            <v>83.0897163107132</v>
          </cell>
          <cell r="S24">
            <v>82.936330874183113</v>
          </cell>
          <cell r="T24">
            <v>83.367099735940826</v>
          </cell>
          <cell r="U24">
            <v>83.464904210982539</v>
          </cell>
          <cell r="V24">
            <v>83.756908272618716</v>
          </cell>
          <cell r="W24">
            <v>83.694217267426112</v>
          </cell>
          <cell r="X24">
            <v>83.684369800093847</v>
          </cell>
          <cell r="Y24">
            <v>84.65997442160041</v>
          </cell>
        </row>
        <row r="25">
          <cell r="B25" t="str">
            <v>ASAHI 2RP PILSEN</v>
          </cell>
          <cell r="E25">
            <v>85.013270691601321</v>
          </cell>
          <cell r="F25">
            <v>92.170246836286751</v>
          </cell>
          <cell r="G25">
            <v>590.02200000000005</v>
          </cell>
          <cell r="H25">
            <v>501.59699999999998</v>
          </cell>
          <cell r="I25">
            <v>12.1</v>
          </cell>
          <cell r="J25">
            <v>4.7</v>
          </cell>
          <cell r="M25" t="str">
            <v>SAB   6RH</v>
          </cell>
          <cell r="N25">
            <v>83.609429703940165</v>
          </cell>
          <cell r="O25">
            <v>84.36812600851583</v>
          </cell>
          <cell r="P25">
            <v>84.380656279366931</v>
          </cell>
          <cell r="Q25">
            <v>84.448067181420356</v>
          </cell>
          <cell r="R25">
            <v>83.0897163107132</v>
          </cell>
          <cell r="S25">
            <v>82.936330874183113</v>
          </cell>
          <cell r="T25">
            <v>83.367099735940826</v>
          </cell>
          <cell r="U25">
            <v>83.464904210982539</v>
          </cell>
          <cell r="V25">
            <v>83.756908272618716</v>
          </cell>
          <cell r="W25">
            <v>83.694217267426112</v>
          </cell>
          <cell r="X25">
            <v>83.684369800093847</v>
          </cell>
          <cell r="Y25">
            <v>84.65997442160041</v>
          </cell>
        </row>
        <row r="26">
          <cell r="B26" t="str">
            <v>HEINEKEN C 6RH PILSEN</v>
          </cell>
          <cell r="E26">
            <v>83.854855422663064</v>
          </cell>
          <cell r="F26">
            <v>91.329916820340458</v>
          </cell>
          <cell r="G26">
            <v>580.00099999999998</v>
          </cell>
          <cell r="H26">
            <v>486.35899999999998</v>
          </cell>
          <cell r="I26">
            <v>12.5</v>
          </cell>
          <cell r="J26">
            <v>4.7</v>
          </cell>
          <cell r="M26" t="str">
            <v>Asahi</v>
          </cell>
          <cell r="N26">
            <v>84.708363568347821</v>
          </cell>
          <cell r="O26">
            <v>85.487320300691934</v>
          </cell>
          <cell r="P26">
            <v>84.921419866919237</v>
          </cell>
          <cell r="Q26">
            <v>84.417145853293704</v>
          </cell>
          <cell r="R26">
            <v>85.015266950826302</v>
          </cell>
          <cell r="S26">
            <v>84.581251999597924</v>
          </cell>
          <cell r="T26">
            <v>83.764481895829206</v>
          </cell>
          <cell r="U26">
            <v>83.692555317722238</v>
          </cell>
          <cell r="V26">
            <v>84.364521067531413</v>
          </cell>
          <cell r="W26">
            <v>84.639474077434556</v>
          </cell>
          <cell r="X26">
            <v>84.230227086478706</v>
          </cell>
          <cell r="Y26">
            <v>84.916563195021212</v>
          </cell>
        </row>
        <row r="27">
          <cell r="B27" t="str">
            <v>HEINEKEN C 6RH PILSEN</v>
          </cell>
          <cell r="E27">
            <v>84.364110972605118</v>
          </cell>
          <cell r="F27">
            <v>92.095071886474997</v>
          </cell>
          <cell r="G27">
            <v>579.99900000000002</v>
          </cell>
          <cell r="H27">
            <v>489.31099999999998</v>
          </cell>
          <cell r="I27">
            <v>12.7</v>
          </cell>
          <cell r="J27">
            <v>4.7</v>
          </cell>
          <cell r="M27" t="str">
            <v>Champigneulles 6 RH</v>
          </cell>
          <cell r="N27">
            <v>84.454128168451263</v>
          </cell>
          <cell r="O27">
            <v>84.36812600851583</v>
          </cell>
          <cell r="P27">
            <v>84.484044888860041</v>
          </cell>
          <cell r="Q27">
            <v>84.551430192159259</v>
          </cell>
          <cell r="R27">
            <v>84.74548091052192</v>
          </cell>
          <cell r="S27">
            <v>83.823057771700164</v>
          </cell>
          <cell r="T27">
            <v>83.255344435354502</v>
          </cell>
          <cell r="U27">
            <v>83.464904210982539</v>
          </cell>
          <cell r="V27">
            <v>83.801362068812821</v>
          </cell>
          <cell r="W27">
            <v>84.035587689548763</v>
          </cell>
          <cell r="X27">
            <v>84.121376006515035</v>
          </cell>
          <cell r="Y27">
            <v>84.65997442160041</v>
          </cell>
        </row>
        <row r="28">
          <cell r="B28" t="str">
            <v>HEINEKEN C 6RH PILSEN</v>
          </cell>
          <cell r="E28">
            <v>85.141665991368839</v>
          </cell>
          <cell r="F28">
            <v>93.912045937239014</v>
          </cell>
          <cell r="G28">
            <v>579.99099999999999</v>
          </cell>
          <cell r="H28">
            <v>493.81400000000002</v>
          </cell>
          <cell r="I28">
            <v>13.6</v>
          </cell>
          <cell r="J28">
            <v>4.7</v>
          </cell>
          <cell r="M28" t="str">
            <v>Star Algérie 6RH</v>
          </cell>
          <cell r="N28">
            <v>84.454128168451263</v>
          </cell>
          <cell r="O28">
            <v>84.36812600851583</v>
          </cell>
          <cell r="P28">
            <v>84.484044888860041</v>
          </cell>
          <cell r="Q28">
            <v>84.551430192159259</v>
          </cell>
          <cell r="R28">
            <v>84.74548091052192</v>
          </cell>
          <cell r="S28">
            <v>83.823057771700164</v>
          </cell>
          <cell r="T28">
            <v>83.255344435354502</v>
          </cell>
          <cell r="U28">
            <v>83.464904210982539</v>
          </cell>
          <cell r="V28">
            <v>83.801362068812821</v>
          </cell>
          <cell r="W28">
            <v>84.035587689548763</v>
          </cell>
          <cell r="X28">
            <v>84.121376006515035</v>
          </cell>
          <cell r="Y28">
            <v>84.65997442160041</v>
          </cell>
        </row>
        <row r="29">
          <cell r="B29" t="str">
            <v>HEINEKEN A 2RP PILSEN</v>
          </cell>
          <cell r="E29">
            <v>85.232289917070176</v>
          </cell>
          <cell r="F29">
            <v>91.054428422043614</v>
          </cell>
          <cell r="G29">
            <v>590.01700000000005</v>
          </cell>
          <cell r="H29">
            <v>502.88499999999999</v>
          </cell>
          <cell r="I29">
            <v>10.7</v>
          </cell>
          <cell r="J29">
            <v>4.5999999999999996</v>
          </cell>
          <cell r="M29" t="str">
            <v>Sacofrina / Globe</v>
          </cell>
          <cell r="N29">
            <v>83.883367604857526</v>
          </cell>
          <cell r="O29">
            <v>83.187453739294355</v>
          </cell>
          <cell r="P29">
            <v>84.380656279366931</v>
          </cell>
          <cell r="Q29">
            <v>84.448067181420356</v>
          </cell>
          <cell r="R29">
            <v>84.468007901400355</v>
          </cell>
          <cell r="S29">
            <v>83.360954991532608</v>
          </cell>
          <cell r="T29">
            <v>83.834173956488996</v>
          </cell>
          <cell r="U29">
            <v>83.44533291096748</v>
          </cell>
          <cell r="V29">
            <v>83.80354174970725</v>
          </cell>
          <cell r="W29">
            <v>83.938385576473223</v>
          </cell>
          <cell r="X29">
            <v>84.165047506070195</v>
          </cell>
          <cell r="Y29">
            <v>84.824674253368471</v>
          </cell>
        </row>
        <row r="30">
          <cell r="B30" t="str">
            <v>HEINEKEN A 2RP PILSEN</v>
          </cell>
          <cell r="E30">
            <v>85.479338216024587</v>
          </cell>
          <cell r="F30">
            <v>92.03982918520029</v>
          </cell>
          <cell r="G30">
            <v>580.00800000000004</v>
          </cell>
          <cell r="H30">
            <v>495.78699999999998</v>
          </cell>
          <cell r="I30">
            <v>11.4</v>
          </cell>
          <cell r="J30">
            <v>4.5999999999999996</v>
          </cell>
          <cell r="M30" t="str">
            <v>EFES 2RP</v>
          </cell>
          <cell r="N30">
            <v>83.883367604857526</v>
          </cell>
          <cell r="O30">
            <v>83.187453739294355</v>
          </cell>
          <cell r="P30">
            <v>84.380656279366931</v>
          </cell>
          <cell r="Q30">
            <v>84.448067181420356</v>
          </cell>
          <cell r="R30">
            <v>84.468007901400355</v>
          </cell>
          <cell r="S30">
            <v>83.360954991532608</v>
          </cell>
          <cell r="T30">
            <v>83.834173956488996</v>
          </cell>
          <cell r="U30">
            <v>83.44533291096748</v>
          </cell>
          <cell r="V30">
            <v>83.80354174970725</v>
          </cell>
          <cell r="W30">
            <v>83.938385576473223</v>
          </cell>
          <cell r="X30">
            <v>84.165047506070195</v>
          </cell>
          <cell r="Y30">
            <v>84.824674253368471</v>
          </cell>
        </row>
        <row r="31">
          <cell r="B31" t="str">
            <v>ASAHI 2RP PILSEN</v>
          </cell>
          <cell r="E31">
            <v>84.410799120694364</v>
          </cell>
          <cell r="F31">
            <v>91.198077419187356</v>
          </cell>
          <cell r="G31">
            <v>590.01099999999997</v>
          </cell>
          <cell r="H31">
            <v>498.03300000000002</v>
          </cell>
          <cell r="I31">
            <v>11.7</v>
          </cell>
          <cell r="J31">
            <v>4.5999999999999996</v>
          </cell>
          <cell r="M31" t="str">
            <v>SFBT 2RP</v>
          </cell>
          <cell r="N31">
            <v>83.883367604857526</v>
          </cell>
          <cell r="O31">
            <v>83.187453739294355</v>
          </cell>
          <cell r="P31">
            <v>84.380656279366931</v>
          </cell>
          <cell r="Q31">
            <v>84.448067181420356</v>
          </cell>
          <cell r="R31">
            <v>84.468007901400355</v>
          </cell>
          <cell r="S31">
            <v>83.360954991532608</v>
          </cell>
          <cell r="T31">
            <v>83.834173956488996</v>
          </cell>
          <cell r="U31">
            <v>83.44533291096748</v>
          </cell>
          <cell r="V31">
            <v>83.80354174970725</v>
          </cell>
          <cell r="W31">
            <v>83.938385576473223</v>
          </cell>
          <cell r="X31">
            <v>84.165047506070195</v>
          </cell>
          <cell r="Y31">
            <v>84.824674253368471</v>
          </cell>
        </row>
        <row r="32">
          <cell r="B32" t="str">
            <v>HEINEKEN C 6RH PILSEN</v>
          </cell>
          <cell r="E32">
            <v>85.147656190732363</v>
          </cell>
          <cell r="F32">
            <v>92.098485267526826</v>
          </cell>
          <cell r="G32">
            <v>579.99599999999998</v>
          </cell>
          <cell r="H32">
            <v>493.85300000000001</v>
          </cell>
          <cell r="I32">
            <v>11.8</v>
          </cell>
          <cell r="J32">
            <v>4.5999999999999996</v>
          </cell>
          <cell r="M32" t="str">
            <v>Heineken A</v>
          </cell>
          <cell r="N32">
            <v>84.821548830223207</v>
          </cell>
          <cell r="O32">
            <v>84.36812600851583</v>
          </cell>
          <cell r="P32">
            <v>84.615060653966239</v>
          </cell>
          <cell r="Q32">
            <v>83.86987153970766</v>
          </cell>
          <cell r="R32">
            <v>84.241097968446439</v>
          </cell>
          <cell r="S32">
            <v>84.833573489835175</v>
          </cell>
          <cell r="T32">
            <v>83.830782323340259</v>
          </cell>
          <cell r="U32">
            <v>83.491150684065758</v>
          </cell>
          <cell r="V32">
            <v>84.514129100176149</v>
          </cell>
          <cell r="W32">
            <v>84.889516591971031</v>
          </cell>
          <cell r="X32">
            <v>84.832240553082698</v>
          </cell>
          <cell r="Y32">
            <v>84.377112303387833</v>
          </cell>
        </row>
        <row r="33">
          <cell r="B33" t="str">
            <v>ASAHI 2RP PILSEN</v>
          </cell>
          <cell r="E33">
            <v>85.632266423270337</v>
          </cell>
          <cell r="F33">
            <v>92.833161554318053</v>
          </cell>
          <cell r="G33">
            <v>585.05399999999997</v>
          </cell>
          <cell r="H33">
            <v>500.995</v>
          </cell>
          <cell r="I33">
            <v>12</v>
          </cell>
          <cell r="J33">
            <v>4.5999999999999996</v>
          </cell>
          <cell r="M33" t="str">
            <v>Heineken C</v>
          </cell>
          <cell r="N33">
            <v>84.330198072257915</v>
          </cell>
          <cell r="O33">
            <v>84.33494639207855</v>
          </cell>
          <cell r="P33">
            <v>84.180562462431482</v>
          </cell>
          <cell r="Q33">
            <v>84.501576581583748</v>
          </cell>
          <cell r="R33">
            <v>84.516959275684997</v>
          </cell>
          <cell r="S33">
            <v>83.597038252114075</v>
          </cell>
          <cell r="T33">
            <v>83.199682119341816</v>
          </cell>
          <cell r="U33">
            <v>83.27750496432688</v>
          </cell>
          <cell r="V33">
            <v>83.532990244890755</v>
          </cell>
          <cell r="W33">
            <v>83.789128002344427</v>
          </cell>
          <cell r="X33">
            <v>83.998344644534299</v>
          </cell>
          <cell r="Y33">
            <v>84.595136821577057</v>
          </cell>
        </row>
        <row r="34">
          <cell r="B34" t="str">
            <v>HEINEKEN A 2RP PILSEN</v>
          </cell>
          <cell r="E34">
            <v>85.284542870924213</v>
          </cell>
          <cell r="F34">
            <v>92.666803985036111</v>
          </cell>
          <cell r="G34">
            <v>595.00699999999995</v>
          </cell>
          <cell r="H34">
            <v>507.44900000000001</v>
          </cell>
          <cell r="I34">
            <v>12.2</v>
          </cell>
          <cell r="J34">
            <v>4.5999999999999996</v>
          </cell>
          <cell r="M34" t="str">
            <v>Diekirch 2RP</v>
          </cell>
          <cell r="N34">
            <v>84.454128168451263</v>
          </cell>
          <cell r="O34">
            <v>84.36812600851583</v>
          </cell>
          <cell r="P34">
            <v>84.380656279366931</v>
          </cell>
          <cell r="Q34">
            <v>84.448067181420356</v>
          </cell>
          <cell r="R34">
            <v>84.468007901400355</v>
          </cell>
          <cell r="S34">
            <v>83.823057771700164</v>
          </cell>
          <cell r="T34">
            <v>83.367099735940826</v>
          </cell>
          <cell r="U34">
            <v>83.464904210982539</v>
          </cell>
          <cell r="V34">
            <v>83.801362068812821</v>
          </cell>
          <cell r="W34">
            <v>84.035587689548763</v>
          </cell>
          <cell r="X34">
            <v>84.121376006515035</v>
          </cell>
          <cell r="Y34">
            <v>84.65997442160041</v>
          </cell>
        </row>
        <row r="35">
          <cell r="B35" t="str">
            <v>HEINEKEN C 6RH PILSEN</v>
          </cell>
          <cell r="E35">
            <v>82.990795914936825</v>
          </cell>
          <cell r="F35">
            <v>90.380387332020248</v>
          </cell>
          <cell r="G35">
            <v>583.00199999999995</v>
          </cell>
          <cell r="H35">
            <v>483.83800000000002</v>
          </cell>
          <cell r="I35">
            <v>12.4</v>
          </cell>
          <cell r="J35">
            <v>4.5999999999999996</v>
          </cell>
          <cell r="M35" t="str">
            <v>STANDARD</v>
          </cell>
          <cell r="N35">
            <v>84.454128168451263</v>
          </cell>
          <cell r="O35">
            <v>84.36812600851583</v>
          </cell>
          <cell r="P35">
            <v>84.380656279366931</v>
          </cell>
          <cell r="Q35">
            <v>84.448067181420356</v>
          </cell>
          <cell r="R35">
            <v>84.468007901400355</v>
          </cell>
          <cell r="S35">
            <v>83.823057771700164</v>
          </cell>
          <cell r="T35">
            <v>83.367099735940826</v>
          </cell>
          <cell r="U35">
            <v>83.464904210982539</v>
          </cell>
          <cell r="V35">
            <v>83.801362068812821</v>
          </cell>
          <cell r="W35">
            <v>84.035587689548763</v>
          </cell>
          <cell r="X35">
            <v>84.121376006515035</v>
          </cell>
          <cell r="Y35">
            <v>84.65997442160041</v>
          </cell>
        </row>
        <row r="36">
          <cell r="B36" t="str">
            <v>HEINEKEN A 2RP PILSEN</v>
          </cell>
          <cell r="E36">
            <v>83.401395255029655</v>
          </cell>
          <cell r="F36">
            <v>91.453943762411825</v>
          </cell>
          <cell r="G36">
            <v>580.10900000000004</v>
          </cell>
          <cell r="H36">
            <v>483.81900000000002</v>
          </cell>
          <cell r="I36">
            <v>13</v>
          </cell>
          <cell r="J36">
            <v>4.5999999999999996</v>
          </cell>
        </row>
        <row r="37">
          <cell r="B37" t="str">
            <v>HEINEKEN C 6RH PILSEN</v>
          </cell>
          <cell r="E37">
            <v>83.52873206401766</v>
          </cell>
          <cell r="F37">
            <v>92.229641654019503</v>
          </cell>
          <cell r="G37">
            <v>579.84</v>
          </cell>
          <cell r="H37">
            <v>484.33300000000003</v>
          </cell>
          <cell r="I37">
            <v>13.6</v>
          </cell>
          <cell r="J37">
            <v>4.5999999999999996</v>
          </cell>
        </row>
        <row r="38">
          <cell r="B38" t="str">
            <v>HEINEKEN C 6RH PILSEN</v>
          </cell>
          <cell r="E38">
            <v>82.443375878650144</v>
          </cell>
          <cell r="F38">
            <v>91.031227532676212</v>
          </cell>
          <cell r="G38">
            <v>580.00900000000001</v>
          </cell>
          <cell r="H38">
            <v>478.17899999999997</v>
          </cell>
          <cell r="I38">
            <v>13.6</v>
          </cell>
          <cell r="J38">
            <v>4.5999999999999996</v>
          </cell>
          <cell r="M38" t="str">
            <v>MOYENNE</v>
          </cell>
          <cell r="N38">
            <v>1</v>
          </cell>
          <cell r="O38">
            <v>2</v>
          </cell>
          <cell r="P38">
            <v>3</v>
          </cell>
          <cell r="Q38">
            <v>4</v>
          </cell>
          <cell r="R38">
            <v>5</v>
          </cell>
          <cell r="S38">
            <v>6</v>
          </cell>
          <cell r="T38">
            <v>7</v>
          </cell>
          <cell r="U38">
            <v>8</v>
          </cell>
          <cell r="V38">
            <v>9</v>
          </cell>
          <cell r="W38">
            <v>10</v>
          </cell>
          <cell r="X38">
            <v>11</v>
          </cell>
          <cell r="Y38">
            <v>12</v>
          </cell>
        </row>
        <row r="39">
          <cell r="B39" t="str">
            <v>HEINEKEN A 2RP PILSEN</v>
          </cell>
          <cell r="E39">
            <v>81.436558961812793</v>
          </cell>
          <cell r="F39">
            <v>89.919533853668298</v>
          </cell>
          <cell r="G39">
            <v>580.01099999999997</v>
          </cell>
          <cell r="H39">
            <v>472.34100000000001</v>
          </cell>
          <cell r="I39">
            <v>13.6</v>
          </cell>
          <cell r="J39">
            <v>4.5999999999999996</v>
          </cell>
          <cell r="M39" t="str">
            <v>Diekirch /Louvain 6RH</v>
          </cell>
          <cell r="N39">
            <v>92.880098916043124</v>
          </cell>
          <cell r="O39">
            <v>91.644235901000442</v>
          </cell>
          <cell r="P39">
            <v>92.76565271341353</v>
          </cell>
          <cell r="Q39">
            <v>92.513632411110294</v>
          </cell>
          <cell r="R39">
            <v>91.541260248404896</v>
          </cell>
          <cell r="S39">
            <v>91.511528370098389</v>
          </cell>
          <cell r="T39">
            <v>91.339705178233629</v>
          </cell>
          <cell r="U39">
            <v>91.749728588609813</v>
          </cell>
          <cell r="V39">
            <v>91.613959328692474</v>
          </cell>
          <cell r="W39">
            <v>91.688447501173741</v>
          </cell>
          <cell r="X39">
            <v>91.789981361978249</v>
          </cell>
          <cell r="Y39">
            <v>92.728987876413711</v>
          </cell>
        </row>
        <row r="40">
          <cell r="B40" t="str">
            <v>HEINEKEN C 6RH PILSEN</v>
          </cell>
          <cell r="E40">
            <v>83.937684477669578</v>
          </cell>
          <cell r="F40">
            <v>92.788587475894289</v>
          </cell>
          <cell r="G40">
            <v>580.01599999999996</v>
          </cell>
          <cell r="H40">
            <v>486.85199999999998</v>
          </cell>
          <cell r="I40">
            <v>13.7</v>
          </cell>
          <cell r="J40">
            <v>4.5999999999999996</v>
          </cell>
          <cell r="M40" t="str">
            <v>SAB   6RH</v>
          </cell>
          <cell r="N40">
            <v>92.880098916043124</v>
          </cell>
          <cell r="O40">
            <v>91.644235901000442</v>
          </cell>
          <cell r="P40">
            <v>92.76565271341353</v>
          </cell>
          <cell r="Q40">
            <v>92.513632411110294</v>
          </cell>
          <cell r="R40">
            <v>91.541260248404896</v>
          </cell>
          <cell r="S40">
            <v>91.511528370098389</v>
          </cell>
          <cell r="T40">
            <v>91.339705178233629</v>
          </cell>
          <cell r="U40">
            <v>91.749728588609813</v>
          </cell>
          <cell r="V40">
            <v>91.613959328692474</v>
          </cell>
          <cell r="W40">
            <v>91.688447501173741</v>
          </cell>
          <cell r="X40">
            <v>91.789981361978249</v>
          </cell>
          <cell r="Y40">
            <v>92.728987876413711</v>
          </cell>
        </row>
        <row r="41">
          <cell r="B41" t="str">
            <v>HEINEKEN C 6RH PILSEN</v>
          </cell>
          <cell r="E41">
            <v>82.850083707329532</v>
          </cell>
          <cell r="F41">
            <v>91.586303426178887</v>
          </cell>
          <cell r="G41">
            <v>579.99699999999996</v>
          </cell>
          <cell r="H41">
            <v>480.52800000000002</v>
          </cell>
          <cell r="I41">
            <v>13.7</v>
          </cell>
          <cell r="J41">
            <v>4.5999999999999996</v>
          </cell>
          <cell r="M41" t="str">
            <v>Asahi</v>
          </cell>
          <cell r="N41">
            <v>92.91568227808979</v>
          </cell>
          <cell r="O41">
            <v>92.494874454676378</v>
          </cell>
          <cell r="P41">
            <v>92.798896203851015</v>
          </cell>
          <cell r="Q41">
            <v>92.243703066670633</v>
          </cell>
          <cell r="R41">
            <v>93.121706553683836</v>
          </cell>
          <cell r="S41">
            <v>92.127582706739432</v>
          </cell>
          <cell r="T41">
            <v>91.549137197070692</v>
          </cell>
          <cell r="U41">
            <v>91.453734893445173</v>
          </cell>
          <cell r="V41">
            <v>91.702987869886556</v>
          </cell>
          <cell r="W41">
            <v>92.331160902240228</v>
          </cell>
          <cell r="X41">
            <v>92.293443827472188</v>
          </cell>
          <cell r="Y41">
            <v>92.494726238271156</v>
          </cell>
        </row>
        <row r="42">
          <cell r="B42" t="str">
            <v>GLOBE PILSEN</v>
          </cell>
          <cell r="E42">
            <v>82.440902320868489</v>
          </cell>
          <cell r="F42">
            <v>91.13397545087895</v>
          </cell>
          <cell r="G42">
            <v>590.16700000000003</v>
          </cell>
          <cell r="H42">
            <v>486.53899999999999</v>
          </cell>
          <cell r="I42">
            <v>13.7</v>
          </cell>
          <cell r="J42">
            <v>4.5999999999999996</v>
          </cell>
          <cell r="M42" t="str">
            <v>Champigneulles 6 RH</v>
          </cell>
          <cell r="N42">
            <v>92.711616481428621</v>
          </cell>
          <cell r="O42">
            <v>91.644235901000442</v>
          </cell>
          <cell r="P42">
            <v>93.511775009481511</v>
          </cell>
          <cell r="Q42">
            <v>93.579615674130764</v>
          </cell>
          <cell r="R42">
            <v>93.87016370461248</v>
          </cell>
          <cell r="S42">
            <v>91.727816875920809</v>
          </cell>
          <cell r="T42">
            <v>91.890512211437198</v>
          </cell>
          <cell r="U42">
            <v>91.749728588609813</v>
          </cell>
          <cell r="V42">
            <v>91.750914537054896</v>
          </cell>
          <cell r="W42">
            <v>92.388739987441667</v>
          </cell>
          <cell r="X42">
            <v>92.301601321378556</v>
          </cell>
          <cell r="Y42">
            <v>92.728987876413711</v>
          </cell>
        </row>
        <row r="43">
          <cell r="B43" t="str">
            <v>HEINEKEN C 6RH PILSEN</v>
          </cell>
          <cell r="E43">
            <v>84.575928994205256</v>
          </cell>
          <cell r="F43">
            <v>93.820274721478853</v>
          </cell>
          <cell r="G43">
            <v>580.00900000000001</v>
          </cell>
          <cell r="H43">
            <v>490.548</v>
          </cell>
          <cell r="I43">
            <v>14</v>
          </cell>
          <cell r="J43">
            <v>4.5999999999999996</v>
          </cell>
          <cell r="M43" t="str">
            <v>Star Algérie 6RH</v>
          </cell>
          <cell r="N43">
            <v>92.711616481428621</v>
          </cell>
          <cell r="O43">
            <v>91.644235901000442</v>
          </cell>
          <cell r="P43">
            <v>93.511775009481511</v>
          </cell>
          <cell r="Q43">
            <v>93.579615674130764</v>
          </cell>
          <cell r="R43">
            <v>93.87016370461248</v>
          </cell>
          <cell r="S43">
            <v>91.727816875920809</v>
          </cell>
          <cell r="T43">
            <v>91.890512211437198</v>
          </cell>
          <cell r="U43">
            <v>91.749728588609813</v>
          </cell>
          <cell r="V43">
            <v>91.750914537054896</v>
          </cell>
          <cell r="W43">
            <v>92.388739987441667</v>
          </cell>
          <cell r="X43">
            <v>92.301601321378556</v>
          </cell>
          <cell r="Y43">
            <v>92.728987876413711</v>
          </cell>
        </row>
        <row r="44">
          <cell r="B44" t="str">
            <v>GLOBE PILSEN</v>
          </cell>
          <cell r="E44">
            <v>83.498681528116478</v>
          </cell>
          <cell r="F44">
            <v>89.295902418086499</v>
          </cell>
          <cell r="G44">
            <v>595.00699999999995</v>
          </cell>
          <cell r="H44">
            <v>496.82299999999998</v>
          </cell>
          <cell r="I44">
            <v>10.7</v>
          </cell>
          <cell r="J44">
            <v>4.5</v>
          </cell>
          <cell r="M44" t="str">
            <v>Sacofrina / Globe</v>
          </cell>
          <cell r="N44">
            <v>91.549153678439708</v>
          </cell>
          <cell r="O44">
            <v>90.043724289927084</v>
          </cell>
          <cell r="P44">
            <v>92.76565271341353</v>
          </cell>
          <cell r="Q44">
            <v>92.513632411110294</v>
          </cell>
          <cell r="R44">
            <v>92.539455953244939</v>
          </cell>
          <cell r="S44">
            <v>91.248613776546605</v>
          </cell>
          <cell r="T44">
            <v>91.09408327793254</v>
          </cell>
          <cell r="U44">
            <v>91.512904025231919</v>
          </cell>
          <cell r="V44">
            <v>91.586927506523807</v>
          </cell>
          <cell r="W44">
            <v>92.972771542475442</v>
          </cell>
          <cell r="X44">
            <v>92.234180569644977</v>
          </cell>
          <cell r="Y44">
            <v>92.796488232732699</v>
          </cell>
        </row>
        <row r="45">
          <cell r="B45" t="str">
            <v>HEINEKEN A 2RP PILSEN</v>
          </cell>
          <cell r="E45">
            <v>87.230323737561321</v>
          </cell>
          <cell r="F45">
            <v>93.496026003783456</v>
          </cell>
          <cell r="G45">
            <v>595.01900000000001</v>
          </cell>
          <cell r="H45">
            <v>519.03700000000003</v>
          </cell>
          <cell r="I45">
            <v>10.9</v>
          </cell>
          <cell r="J45">
            <v>4.5</v>
          </cell>
          <cell r="M45" t="str">
            <v>EFES 2RP</v>
          </cell>
          <cell r="N45">
            <v>91.549153678439708</v>
          </cell>
          <cell r="O45">
            <v>90.043724289927084</v>
          </cell>
          <cell r="P45">
            <v>92.76565271341353</v>
          </cell>
          <cell r="Q45">
            <v>92.513632411110294</v>
          </cell>
          <cell r="R45">
            <v>92.539455953244939</v>
          </cell>
          <cell r="S45">
            <v>91.248613776546605</v>
          </cell>
          <cell r="T45">
            <v>91.09408327793254</v>
          </cell>
          <cell r="U45">
            <v>91.512904025231919</v>
          </cell>
          <cell r="V45">
            <v>91.586927506523807</v>
          </cell>
          <cell r="W45">
            <v>92.972771542475442</v>
          </cell>
          <cell r="X45">
            <v>92.234180569644977</v>
          </cell>
          <cell r="Y45">
            <v>92.796488232732699</v>
          </cell>
        </row>
        <row r="46">
          <cell r="B46" t="str">
            <v>HEINEKEN A 2RP PILSEN</v>
          </cell>
          <cell r="E46">
            <v>85.804303468120651</v>
          </cell>
          <cell r="F46">
            <v>91.967575546638855</v>
          </cell>
          <cell r="G46">
            <v>594.96199999999999</v>
          </cell>
          <cell r="H46">
            <v>510.50299999999999</v>
          </cell>
          <cell r="I46">
            <v>10.9</v>
          </cell>
          <cell r="J46">
            <v>4.5</v>
          </cell>
          <cell r="M46" t="str">
            <v>SFBT 2RP</v>
          </cell>
          <cell r="N46">
            <v>91.549153678439708</v>
          </cell>
          <cell r="O46">
            <v>90.043724289927084</v>
          </cell>
          <cell r="P46">
            <v>92.76565271341353</v>
          </cell>
          <cell r="Q46">
            <v>92.513632411110294</v>
          </cell>
          <cell r="R46">
            <v>92.539455953244939</v>
          </cell>
          <cell r="S46">
            <v>91.248613776546605</v>
          </cell>
          <cell r="T46">
            <v>91.09408327793254</v>
          </cell>
          <cell r="U46">
            <v>91.512904025231919</v>
          </cell>
          <cell r="V46">
            <v>91.586927506523807</v>
          </cell>
          <cell r="W46">
            <v>92.972771542475442</v>
          </cell>
          <cell r="X46">
            <v>92.234180569644977</v>
          </cell>
          <cell r="Y46">
            <v>92.796488232732699</v>
          </cell>
        </row>
        <row r="47">
          <cell r="B47" t="str">
            <v>HEINEKEN A 2RP PILSEN</v>
          </cell>
          <cell r="E47">
            <v>83.467655139567569</v>
          </cell>
          <cell r="F47">
            <v>89.463087158571284</v>
          </cell>
          <cell r="G47">
            <v>590.00099999999998</v>
          </cell>
          <cell r="H47">
            <v>492.46</v>
          </cell>
          <cell r="I47">
            <v>10.9</v>
          </cell>
          <cell r="J47">
            <v>4.5</v>
          </cell>
          <cell r="M47" t="str">
            <v>Heineken A</v>
          </cell>
          <cell r="N47">
            <v>92.921846813594385</v>
          </cell>
          <cell r="O47">
            <v>91.644235901000442</v>
          </cell>
          <cell r="P47">
            <v>92.687645719829689</v>
          </cell>
          <cell r="Q47">
            <v>91.208002470423153</v>
          </cell>
          <cell r="R47">
            <v>91.502962568207167</v>
          </cell>
          <cell r="S47">
            <v>92.36120219087087</v>
          </cell>
          <cell r="T47">
            <v>91.343752176348161</v>
          </cell>
          <cell r="U47">
            <v>91.233691930642919</v>
          </cell>
          <cell r="V47">
            <v>91.427659552892209</v>
          </cell>
          <cell r="W47">
            <v>92.067848032018176</v>
          </cell>
          <cell r="X47">
            <v>92.389857019362069</v>
          </cell>
          <cell r="Y47">
            <v>91.463306412485508</v>
          </cell>
        </row>
        <row r="48">
          <cell r="B48" t="str">
            <v>HEINEKEN C 6RH PILSEN</v>
          </cell>
          <cell r="E48">
            <v>84.865079244016655</v>
          </cell>
          <cell r="F48">
            <v>91.063090649478539</v>
          </cell>
          <cell r="G48">
            <v>590.01300000000003</v>
          </cell>
          <cell r="H48">
            <v>500.71499999999997</v>
          </cell>
          <cell r="I48">
            <v>11</v>
          </cell>
          <cell r="J48">
            <v>4.5</v>
          </cell>
          <cell r="M48" t="str">
            <v>Heineken C</v>
          </cell>
          <cell r="N48">
            <v>92.713790429702826</v>
          </cell>
          <cell r="O48">
            <v>91.752009058128735</v>
          </cell>
          <cell r="P48">
            <v>92.762202975767963</v>
          </cell>
          <cell r="Q48">
            <v>92.733011064867895</v>
          </cell>
          <cell r="R48">
            <v>92.514097447089753</v>
          </cell>
          <cell r="S48">
            <v>91.532802271483334</v>
          </cell>
          <cell r="T48">
            <v>91.373858057574012</v>
          </cell>
          <cell r="U48">
            <v>91.922534037881832</v>
          </cell>
          <cell r="V48">
            <v>91.913931563286297</v>
          </cell>
          <cell r="W48">
            <v>92.402990143947306</v>
          </cell>
          <cell r="X48">
            <v>92.400657422258405</v>
          </cell>
          <cell r="Y48">
            <v>92.922877047346006</v>
          </cell>
        </row>
        <row r="49">
          <cell r="B49" t="str">
            <v>HEINEKEN A 2RP PILSEN</v>
          </cell>
          <cell r="E49">
            <v>84.646696201085021</v>
          </cell>
          <cell r="F49">
            <v>90.828758283186744</v>
          </cell>
          <cell r="G49">
            <v>595.01199999999994</v>
          </cell>
          <cell r="H49">
            <v>503.65800000000002</v>
          </cell>
          <cell r="I49">
            <v>11</v>
          </cell>
          <cell r="J49">
            <v>4.5</v>
          </cell>
          <cell r="M49" t="str">
            <v>Diekirch 2RP</v>
          </cell>
          <cell r="N49">
            <v>92.711616481428621</v>
          </cell>
          <cell r="O49">
            <v>91.644235901000442</v>
          </cell>
          <cell r="P49">
            <v>92.76565271341353</v>
          </cell>
          <cell r="Q49">
            <v>92.513632411110294</v>
          </cell>
          <cell r="R49">
            <v>92.539455953244939</v>
          </cell>
          <cell r="S49">
            <v>91.727816875920809</v>
          </cell>
          <cell r="T49">
            <v>91.339705178233629</v>
          </cell>
          <cell r="U49">
            <v>91.749728588609813</v>
          </cell>
          <cell r="V49">
            <v>91.750914537054896</v>
          </cell>
          <cell r="W49">
            <v>92.388739987441667</v>
          </cell>
          <cell r="X49">
            <v>92.301601321378556</v>
          </cell>
          <cell r="Y49">
            <v>92.728987876413711</v>
          </cell>
        </row>
        <row r="50">
          <cell r="B50" t="str">
            <v>GLOBE PILSEN</v>
          </cell>
          <cell r="E50">
            <v>85.018338734390042</v>
          </cell>
          <cell r="F50">
            <v>91.433010688448732</v>
          </cell>
          <cell r="G50">
            <v>590.00800000000004</v>
          </cell>
          <cell r="H50">
            <v>501.61500000000001</v>
          </cell>
          <cell r="I50">
            <v>11.2</v>
          </cell>
          <cell r="J50">
            <v>4.5</v>
          </cell>
          <cell r="M50" t="str">
            <v>STANDARD</v>
          </cell>
          <cell r="N50">
            <v>92.711616481428621</v>
          </cell>
          <cell r="O50">
            <v>91.644235901000442</v>
          </cell>
          <cell r="P50">
            <v>92.76565271341353</v>
          </cell>
          <cell r="Q50">
            <v>92.513632411110294</v>
          </cell>
          <cell r="R50">
            <v>92.539455953244939</v>
          </cell>
          <cell r="S50">
            <v>91.727816875920809</v>
          </cell>
          <cell r="T50">
            <v>91.339705178233629</v>
          </cell>
          <cell r="U50">
            <v>91.749728588609813</v>
          </cell>
          <cell r="V50">
            <v>91.750914537054896</v>
          </cell>
          <cell r="W50">
            <v>92.388739987441667</v>
          </cell>
          <cell r="X50">
            <v>92.301601321378556</v>
          </cell>
          <cell r="Y50">
            <v>92.728987876413711</v>
          </cell>
        </row>
        <row r="51">
          <cell r="B51" t="str">
            <v>ASAHI 2RP PILSEN</v>
          </cell>
          <cell r="E51">
            <v>86.13954686589021</v>
          </cell>
          <cell r="F51">
            <v>92.847931441224773</v>
          </cell>
          <cell r="G51">
            <v>590.024</v>
          </cell>
          <cell r="H51">
            <v>508.24400000000003</v>
          </cell>
          <cell r="I51">
            <v>11.4</v>
          </cell>
          <cell r="J51">
            <v>4.5</v>
          </cell>
        </row>
        <row r="52">
          <cell r="B52" t="str">
            <v>GLOBE PILSEN</v>
          </cell>
          <cell r="E52">
            <v>84.84154076143146</v>
          </cell>
          <cell r="F52">
            <v>91.552171104143554</v>
          </cell>
          <cell r="G52">
            <v>589.99400000000003</v>
          </cell>
          <cell r="H52">
            <v>500.56</v>
          </cell>
          <cell r="I52">
            <v>11.5</v>
          </cell>
          <cell r="J52">
            <v>4.5</v>
          </cell>
        </row>
        <row r="53">
          <cell r="B53" t="str">
            <v>ASAHI 2RP PILSEN</v>
          </cell>
          <cell r="E53">
            <v>85.76493232548043</v>
          </cell>
          <cell r="F53">
            <v>92.65329227469887</v>
          </cell>
          <cell r="G53">
            <v>585.00599999999997</v>
          </cell>
          <cell r="H53">
            <v>501.73</v>
          </cell>
          <cell r="I53">
            <v>11.6</v>
          </cell>
          <cell r="J53">
            <v>4.5</v>
          </cell>
          <cell r="M53" t="str">
            <v>MOYENNE</v>
          </cell>
          <cell r="N53">
            <v>1</v>
          </cell>
          <cell r="O53">
            <v>2</v>
          </cell>
          <cell r="P53">
            <v>3</v>
          </cell>
          <cell r="Q53">
            <v>4</v>
          </cell>
          <cell r="R53">
            <v>5</v>
          </cell>
          <cell r="S53">
            <v>6</v>
          </cell>
          <cell r="T53">
            <v>7</v>
          </cell>
          <cell r="U53">
            <v>8</v>
          </cell>
          <cell r="V53">
            <v>9</v>
          </cell>
          <cell r="W53">
            <v>10</v>
          </cell>
          <cell r="X53">
            <v>11</v>
          </cell>
          <cell r="Y53">
            <v>12</v>
          </cell>
        </row>
        <row r="54">
          <cell r="B54" t="str">
            <v>ASAHI 2RP PILSEN</v>
          </cell>
          <cell r="E54">
            <v>85.696828560581423</v>
          </cell>
          <cell r="F54">
            <v>92.579718637279697</v>
          </cell>
          <cell r="G54">
            <v>590.01599999999996</v>
          </cell>
          <cell r="H54">
            <v>505.625</v>
          </cell>
          <cell r="I54">
            <v>11.6</v>
          </cell>
          <cell r="J54">
            <v>4.5</v>
          </cell>
          <cell r="M54" t="str">
            <v>Diekirch /Louvain 6RH</v>
          </cell>
          <cell r="N54">
            <v>580.01699999999994</v>
          </cell>
          <cell r="O54">
            <v>589.10721311475413</v>
          </cell>
          <cell r="P54">
            <v>585.24247191011227</v>
          </cell>
          <cell r="Q54">
            <v>585.62953124999979</v>
          </cell>
          <cell r="R54">
            <v>579.99487499999998</v>
          </cell>
          <cell r="S54">
            <v>580.01109090909085</v>
          </cell>
          <cell r="T54">
            <v>585.05311340206219</v>
          </cell>
          <cell r="U54">
            <v>582.34453124999993</v>
          </cell>
          <cell r="V54">
            <v>581.4307142857142</v>
          </cell>
          <cell r="W54">
            <v>582.21540000000005</v>
          </cell>
          <cell r="X54">
            <v>584.27357142857136</v>
          </cell>
          <cell r="Y54">
            <v>584.96207692307701</v>
          </cell>
        </row>
        <row r="55">
          <cell r="B55" t="str">
            <v>HEINEKEN C 6RH PILSEN</v>
          </cell>
          <cell r="E55">
            <v>85.166418109876474</v>
          </cell>
          <cell r="F55">
            <v>92.110905203773527</v>
          </cell>
          <cell r="G55">
            <v>580.01499999999999</v>
          </cell>
          <cell r="H55">
            <v>493.97800000000001</v>
          </cell>
          <cell r="I55">
            <v>11.7</v>
          </cell>
          <cell r="J55">
            <v>4.5</v>
          </cell>
          <cell r="M55" t="str">
            <v>SAB   6RH</v>
          </cell>
          <cell r="N55">
            <v>580.01699999999994</v>
          </cell>
          <cell r="O55">
            <v>589.10721311475413</v>
          </cell>
          <cell r="P55">
            <v>585.24247191011227</v>
          </cell>
          <cell r="Q55">
            <v>585.62953124999979</v>
          </cell>
          <cell r="R55">
            <v>579.99487499999998</v>
          </cell>
          <cell r="S55">
            <v>580.01109090909085</v>
          </cell>
          <cell r="T55">
            <v>585.05311340206219</v>
          </cell>
          <cell r="U55">
            <v>582.34453124999993</v>
          </cell>
          <cell r="V55">
            <v>581.4307142857142</v>
          </cell>
          <cell r="W55">
            <v>582.21540000000005</v>
          </cell>
          <cell r="X55">
            <v>584.27357142857136</v>
          </cell>
          <cell r="Y55">
            <v>584.96207692307701</v>
          </cell>
        </row>
        <row r="56">
          <cell r="B56" t="str">
            <v>HEINEKEN C 6RH PILSEN</v>
          </cell>
          <cell r="E56">
            <v>83.364837698203047</v>
          </cell>
          <cell r="F56">
            <v>90.162423558079169</v>
          </cell>
          <cell r="G56">
            <v>582.98800000000006</v>
          </cell>
          <cell r="H56">
            <v>486.00700000000001</v>
          </cell>
          <cell r="I56">
            <v>11.7</v>
          </cell>
          <cell r="J56">
            <v>4.5</v>
          </cell>
          <cell r="M56" t="str">
            <v>Asahi</v>
          </cell>
          <cell r="N56">
            <v>587.51666666666665</v>
          </cell>
          <cell r="O56">
            <v>593.49479999999994</v>
          </cell>
          <cell r="P56">
            <v>588.64263636363626</v>
          </cell>
          <cell r="Q56">
            <v>587.14161904761909</v>
          </cell>
          <cell r="R56">
            <v>585.3071176470587</v>
          </cell>
          <cell r="S56">
            <v>586.08985714285711</v>
          </cell>
          <cell r="T56">
            <v>585.72092857142866</v>
          </cell>
          <cell r="U56">
            <v>585.00750000000016</v>
          </cell>
          <cell r="V56">
            <v>586.54530769230769</v>
          </cell>
          <cell r="W56">
            <v>586.5120999999998</v>
          </cell>
          <cell r="X56">
            <v>587.15376923076917</v>
          </cell>
          <cell r="Y56">
            <v>590.1869999999999</v>
          </cell>
        </row>
        <row r="57">
          <cell r="B57" t="str">
            <v>ASAHI 2RP PILSEN</v>
          </cell>
          <cell r="E57">
            <v>86.102825027287594</v>
          </cell>
          <cell r="F57">
            <v>93.229249320929299</v>
          </cell>
          <cell r="G57">
            <v>590.01199999999994</v>
          </cell>
          <cell r="H57">
            <v>508.017</v>
          </cell>
          <cell r="I57">
            <v>11.8</v>
          </cell>
          <cell r="J57">
            <v>4.5</v>
          </cell>
          <cell r="M57" t="str">
            <v>Champigneulles 6 RH</v>
          </cell>
          <cell r="N57">
            <v>585.11070408163278</v>
          </cell>
          <cell r="O57">
            <v>589.10721311475413</v>
          </cell>
          <cell r="P57">
            <v>585.00500000000011</v>
          </cell>
          <cell r="Q57">
            <v>583.36283333333336</v>
          </cell>
          <cell r="R57">
            <v>583.34299999999996</v>
          </cell>
          <cell r="S57">
            <v>584.88974117647069</v>
          </cell>
          <cell r="T57">
            <v>585.99469999999997</v>
          </cell>
          <cell r="U57">
            <v>582.34453124999993</v>
          </cell>
          <cell r="V57">
            <v>583.04503092783489</v>
          </cell>
          <cell r="W57">
            <v>583.29660606060611</v>
          </cell>
          <cell r="X57">
            <v>584.01943749999987</v>
          </cell>
          <cell r="Y57">
            <v>584.96207692307701</v>
          </cell>
        </row>
        <row r="58">
          <cell r="B58" t="str">
            <v>CARLBERG 6RH PILSEN</v>
          </cell>
          <cell r="E58">
            <v>85.55961819134167</v>
          </cell>
          <cell r="F58">
            <v>92.641083189037758</v>
          </cell>
          <cell r="G58">
            <v>589.92899999999997</v>
          </cell>
          <cell r="H58">
            <v>504.74099999999999</v>
          </cell>
          <cell r="I58">
            <v>11.8</v>
          </cell>
          <cell r="J58">
            <v>4.5</v>
          </cell>
          <cell r="M58" t="str">
            <v>Star Algérie 6RH</v>
          </cell>
          <cell r="N58">
            <v>585.11070408163278</v>
          </cell>
          <cell r="O58">
            <v>589.10721311475413</v>
          </cell>
          <cell r="P58">
            <v>585.00500000000011</v>
          </cell>
          <cell r="Q58">
            <v>583.36283333333336</v>
          </cell>
          <cell r="R58">
            <v>583.34299999999996</v>
          </cell>
          <cell r="S58">
            <v>584.88974117647069</v>
          </cell>
          <cell r="T58">
            <v>585.99469999999997</v>
          </cell>
          <cell r="U58">
            <v>582.34453124999993</v>
          </cell>
          <cell r="V58">
            <v>583.04503092783489</v>
          </cell>
          <cell r="W58">
            <v>583.29660606060611</v>
          </cell>
          <cell r="X58">
            <v>584.01943749999987</v>
          </cell>
          <cell r="Y58">
            <v>584.96207692307701</v>
          </cell>
        </row>
        <row r="59">
          <cell r="B59" t="str">
            <v>HEINEKEN C 6RH PILSEN</v>
          </cell>
          <cell r="E59">
            <v>85.480560466026787</v>
          </cell>
          <cell r="F59">
            <v>92.555482137251246</v>
          </cell>
          <cell r="G59">
            <v>590.00900000000001</v>
          </cell>
          <cell r="H59">
            <v>504.34300000000002</v>
          </cell>
          <cell r="I59">
            <v>11.8</v>
          </cell>
          <cell r="J59">
            <v>4.5</v>
          </cell>
          <cell r="M59" t="str">
            <v>Sacofrina / Globe</v>
          </cell>
          <cell r="N59">
            <v>590.83366666666666</v>
          </cell>
          <cell r="O59">
            <v>594.99250000000006</v>
          </cell>
          <cell r="P59">
            <v>585.24247191011227</v>
          </cell>
          <cell r="Q59">
            <v>585.62953124999979</v>
          </cell>
          <cell r="R59">
            <v>585.10818181818195</v>
          </cell>
          <cell r="S59">
            <v>586.66800000000001</v>
          </cell>
          <cell r="T59">
            <v>589.16700000000003</v>
          </cell>
          <cell r="U59">
            <v>585.00400000000002</v>
          </cell>
          <cell r="V59">
            <v>585.48923809523819</v>
          </cell>
          <cell r="W59">
            <v>584.47544444444452</v>
          </cell>
          <cell r="X59">
            <v>587.43793333333326</v>
          </cell>
          <cell r="Y59">
            <v>588.06876470588236</v>
          </cell>
        </row>
        <row r="60">
          <cell r="B60" t="str">
            <v>ASAHI 2RP PILSEN</v>
          </cell>
          <cell r="E60">
            <v>86.242442835036428</v>
          </cell>
          <cell r="F60">
            <v>93.48641646703723</v>
          </cell>
          <cell r="G60">
            <v>590.00300000000004</v>
          </cell>
          <cell r="H60">
            <v>508.83300000000003</v>
          </cell>
          <cell r="I60">
            <v>11.9</v>
          </cell>
          <cell r="J60">
            <v>4.5</v>
          </cell>
          <cell r="M60" t="str">
            <v>EFES 2RP</v>
          </cell>
          <cell r="N60">
            <v>590.83366666666666</v>
          </cell>
          <cell r="O60">
            <v>594.99250000000006</v>
          </cell>
          <cell r="P60">
            <v>585.24247191011227</v>
          </cell>
          <cell r="Q60">
            <v>585.62953124999979</v>
          </cell>
          <cell r="R60">
            <v>585.10818181818195</v>
          </cell>
          <cell r="S60">
            <v>586.66800000000001</v>
          </cell>
          <cell r="T60">
            <v>589.16700000000003</v>
          </cell>
          <cell r="U60">
            <v>585.00400000000002</v>
          </cell>
          <cell r="V60">
            <v>585.48923809523819</v>
          </cell>
          <cell r="W60">
            <v>584.47544444444452</v>
          </cell>
          <cell r="X60">
            <v>587.43793333333326</v>
          </cell>
          <cell r="Y60">
            <v>588.06876470588236</v>
          </cell>
        </row>
        <row r="61">
          <cell r="B61" t="str">
            <v>HEINEKEN A 2RP PILSEN</v>
          </cell>
          <cell r="E61">
            <v>85.531568078748094</v>
          </cell>
          <cell r="F61">
            <v>92.715831458801858</v>
          </cell>
          <cell r="G61">
            <v>599.98900000000003</v>
          </cell>
          <cell r="H61">
            <v>513.17999999999995</v>
          </cell>
          <cell r="I61">
            <v>11.9</v>
          </cell>
          <cell r="J61">
            <v>4.5</v>
          </cell>
          <cell r="M61" t="str">
            <v>SFBT 2RP</v>
          </cell>
          <cell r="N61">
            <v>590.83366666666666</v>
          </cell>
          <cell r="O61">
            <v>594.99250000000006</v>
          </cell>
          <cell r="P61">
            <v>585.24247191011227</v>
          </cell>
          <cell r="Q61">
            <v>585.62953124999979</v>
          </cell>
          <cell r="R61">
            <v>585.10818181818195</v>
          </cell>
          <cell r="S61">
            <v>586.66800000000001</v>
          </cell>
          <cell r="T61">
            <v>589.16700000000003</v>
          </cell>
          <cell r="U61">
            <v>585.00400000000002</v>
          </cell>
          <cell r="V61">
            <v>585.48923809523819</v>
          </cell>
          <cell r="W61">
            <v>584.47544444444452</v>
          </cell>
          <cell r="X61">
            <v>587.43793333333326</v>
          </cell>
          <cell r="Y61">
            <v>588.06876470588236</v>
          </cell>
        </row>
        <row r="62">
          <cell r="B62" t="str">
            <v>ABI4 PILSEN</v>
          </cell>
          <cell r="E62">
            <v>83.889932932190831</v>
          </cell>
          <cell r="F62">
            <v>90.936306413441812</v>
          </cell>
          <cell r="G62">
            <v>580.01</v>
          </cell>
          <cell r="H62">
            <v>486.57</v>
          </cell>
          <cell r="I62">
            <v>11.9</v>
          </cell>
          <cell r="J62">
            <v>4.5</v>
          </cell>
          <cell r="M62" t="str">
            <v>Heineken A</v>
          </cell>
          <cell r="N62">
            <v>591.88475000000005</v>
          </cell>
          <cell r="O62">
            <v>589.10721311475413</v>
          </cell>
          <cell r="P62">
            <v>590.01628571428569</v>
          </cell>
          <cell r="Q62">
            <v>590.01777777777784</v>
          </cell>
          <cell r="R62">
            <v>590.3499333333333</v>
          </cell>
          <cell r="S62">
            <v>588.91055555555556</v>
          </cell>
          <cell r="T62">
            <v>588.57685714285719</v>
          </cell>
          <cell r="U62">
            <v>584.99037499999997</v>
          </cell>
          <cell r="V62">
            <v>588.33355555555545</v>
          </cell>
          <cell r="W62">
            <v>591.25508333333335</v>
          </cell>
          <cell r="X62">
            <v>591.14499999999998</v>
          </cell>
          <cell r="Y62">
            <v>594.56981818181805</v>
          </cell>
        </row>
        <row r="63">
          <cell r="B63" t="str">
            <v>HEINEKEN A 2RP PILSEN</v>
          </cell>
          <cell r="E63">
            <v>85.444728404183934</v>
          </cell>
          <cell r="F63">
            <v>92.938172694755863</v>
          </cell>
          <cell r="G63">
            <v>590.06799999999998</v>
          </cell>
          <cell r="H63">
            <v>504.18200000000002</v>
          </cell>
          <cell r="I63">
            <v>12.2</v>
          </cell>
          <cell r="J63">
            <v>4.5</v>
          </cell>
          <cell r="M63" t="str">
            <v>Heineken C</v>
          </cell>
          <cell r="N63">
            <v>582.07973584905676</v>
          </cell>
          <cell r="O63">
            <v>585.61554545454544</v>
          </cell>
          <cell r="P63">
            <v>582.31686538461543</v>
          </cell>
          <cell r="Q63">
            <v>584.03801923076912</v>
          </cell>
          <cell r="R63">
            <v>584.54984090909079</v>
          </cell>
          <cell r="S63">
            <v>584.47257894736867</v>
          </cell>
          <cell r="T63">
            <v>583.47024489795933</v>
          </cell>
          <cell r="U63">
            <v>580.00049999999999</v>
          </cell>
          <cell r="V63">
            <v>580.22148888888898</v>
          </cell>
          <cell r="W63">
            <v>580.38472916666672</v>
          </cell>
          <cell r="X63">
            <v>580.90218000000004</v>
          </cell>
          <cell r="Y63">
            <v>581.23134482758644</v>
          </cell>
        </row>
        <row r="64">
          <cell r="B64" t="str">
            <v>HEINEKEN C 6RH PILSEN</v>
          </cell>
          <cell r="E64">
            <v>84.064968290759396</v>
          </cell>
          <cell r="F64">
            <v>91.437408562272466</v>
          </cell>
          <cell r="G64">
            <v>582.00699999999995</v>
          </cell>
          <cell r="H64">
            <v>489.26400000000001</v>
          </cell>
          <cell r="I64">
            <v>12.2</v>
          </cell>
          <cell r="J64">
            <v>4.5</v>
          </cell>
          <cell r="M64" t="str">
            <v>Diekirch 2RP</v>
          </cell>
          <cell r="N64">
            <v>585.11070408163278</v>
          </cell>
          <cell r="O64">
            <v>589.10721311475413</v>
          </cell>
          <cell r="P64">
            <v>585.24247191011227</v>
          </cell>
          <cell r="Q64">
            <v>585.62953124999979</v>
          </cell>
          <cell r="R64">
            <v>585.10818181818195</v>
          </cell>
          <cell r="S64">
            <v>584.88974117647069</v>
          </cell>
          <cell r="T64">
            <v>585.05311340206219</v>
          </cell>
          <cell r="U64">
            <v>582.34453124999993</v>
          </cell>
          <cell r="V64">
            <v>583.04503092783489</v>
          </cell>
          <cell r="W64">
            <v>583.29660606060611</v>
          </cell>
          <cell r="X64">
            <v>584.01943749999987</v>
          </cell>
          <cell r="Y64">
            <v>584.96207692307701</v>
          </cell>
        </row>
        <row r="65">
          <cell r="B65" t="str">
            <v>ASAHI 2RP PILSEN</v>
          </cell>
          <cell r="E65">
            <v>87.42504336191945</v>
          </cell>
          <cell r="F65">
            <v>95.20058883766599</v>
          </cell>
          <cell r="G65">
            <v>580.00199999999995</v>
          </cell>
          <cell r="H65">
            <v>507.06700000000001</v>
          </cell>
          <cell r="I65">
            <v>12.3</v>
          </cell>
          <cell r="J65">
            <v>4.5</v>
          </cell>
          <cell r="M65" t="str">
            <v>STANDARD</v>
          </cell>
          <cell r="N65">
            <v>585.11070408163278</v>
          </cell>
          <cell r="O65">
            <v>589.10721311475413</v>
          </cell>
          <cell r="P65">
            <v>585.24247191011227</v>
          </cell>
          <cell r="Q65">
            <v>585.62953124999979</v>
          </cell>
          <cell r="R65">
            <v>585.10818181818195</v>
          </cell>
          <cell r="S65">
            <v>584.88974117647069</v>
          </cell>
          <cell r="T65">
            <v>585.05311340206219</v>
          </cell>
          <cell r="U65">
            <v>582.34453124999993</v>
          </cell>
          <cell r="V65">
            <v>583.04503092783489</v>
          </cell>
          <cell r="W65">
            <v>583.29660606060611</v>
          </cell>
          <cell r="X65">
            <v>584.01943749999987</v>
          </cell>
          <cell r="Y65">
            <v>584.96207692307701</v>
          </cell>
        </row>
        <row r="66">
          <cell r="B66" t="str">
            <v>CARLBERG 2RP PILSEN</v>
          </cell>
          <cell r="E66">
            <v>85.548235050975933</v>
          </cell>
          <cell r="F66">
            <v>93.156858008759428</v>
          </cell>
          <cell r="G66">
            <v>599.98900000000003</v>
          </cell>
          <cell r="H66">
            <v>513.28</v>
          </cell>
          <cell r="I66">
            <v>12.3</v>
          </cell>
          <cell r="J66">
            <v>4.5</v>
          </cell>
        </row>
        <row r="67">
          <cell r="B67" t="str">
            <v>HEINEKEN C 6RH PILSEN</v>
          </cell>
          <cell r="E67">
            <v>84.770463683022243</v>
          </cell>
          <cell r="F67">
            <v>92.309911992344638</v>
          </cell>
          <cell r="G67">
            <v>589.97199999999998</v>
          </cell>
          <cell r="H67">
            <v>500.12200000000001</v>
          </cell>
          <cell r="I67">
            <v>12.3</v>
          </cell>
          <cell r="J67">
            <v>4.5</v>
          </cell>
        </row>
        <row r="68">
          <cell r="B68" t="str">
            <v>HEINEKEN C 6RH PILSEN</v>
          </cell>
          <cell r="E68">
            <v>83.967007124088795</v>
          </cell>
          <cell r="F68">
            <v>91.434996355193618</v>
          </cell>
          <cell r="G68">
            <v>580.00400000000002</v>
          </cell>
          <cell r="H68">
            <v>487.012</v>
          </cell>
          <cell r="I68">
            <v>12.3</v>
          </cell>
          <cell r="J68">
            <v>4.5</v>
          </cell>
          <cell r="M68" t="str">
            <v>MOYENNE</v>
          </cell>
          <cell r="N68">
            <v>1</v>
          </cell>
          <cell r="O68">
            <v>2</v>
          </cell>
          <cell r="P68">
            <v>3</v>
          </cell>
          <cell r="Q68">
            <v>4</v>
          </cell>
          <cell r="R68">
            <v>5</v>
          </cell>
          <cell r="S68">
            <v>6</v>
          </cell>
          <cell r="T68">
            <v>7</v>
          </cell>
          <cell r="U68">
            <v>8</v>
          </cell>
          <cell r="V68">
            <v>9</v>
          </cell>
          <cell r="W68">
            <v>10</v>
          </cell>
          <cell r="X68">
            <v>11</v>
          </cell>
          <cell r="Y68">
            <v>12</v>
          </cell>
        </row>
        <row r="69">
          <cell r="B69" t="str">
            <v>HEINEKEN C 6RH PILSEN</v>
          </cell>
          <cell r="E69">
            <v>82.382732612076964</v>
          </cell>
          <cell r="F69">
            <v>89.709817154542208</v>
          </cell>
          <cell r="G69">
            <v>579.91399999999999</v>
          </cell>
          <cell r="H69">
            <v>477.74900000000002</v>
          </cell>
          <cell r="I69">
            <v>12.3</v>
          </cell>
          <cell r="J69">
            <v>4.5</v>
          </cell>
          <cell r="M69" t="str">
            <v>Diekirch /Louvain 6RH</v>
          </cell>
          <cell r="N69">
            <v>484.94885714285709</v>
          </cell>
          <cell r="O69">
            <v>497.05244262295082</v>
          </cell>
          <cell r="P69">
            <v>493.84995505617985</v>
          </cell>
          <cell r="Q69">
            <v>494.57088541666673</v>
          </cell>
          <cell r="R69">
            <v>481.91612500000002</v>
          </cell>
          <cell r="S69">
            <v>481.04</v>
          </cell>
          <cell r="T69">
            <v>487.77480412371136</v>
          </cell>
          <cell r="U69">
            <v>486.07151562500013</v>
          </cell>
          <cell r="V69">
            <v>486.98985714285715</v>
          </cell>
          <cell r="W69">
            <v>487.28680000000003</v>
          </cell>
          <cell r="X69">
            <v>488.95485714285718</v>
          </cell>
          <cell r="Y69">
            <v>495.23062499999986</v>
          </cell>
        </row>
        <row r="70">
          <cell r="B70" t="str">
            <v>HEINEKEN C 6RH PILSEN</v>
          </cell>
          <cell r="E70">
            <v>82.582587163333685</v>
          </cell>
          <cell r="F70">
            <v>90.236122129271934</v>
          </cell>
          <cell r="G70">
            <v>590.01300000000003</v>
          </cell>
          <cell r="H70">
            <v>487.24799999999999</v>
          </cell>
          <cell r="I70">
            <v>12.6</v>
          </cell>
          <cell r="J70">
            <v>4.5</v>
          </cell>
          <cell r="M70" t="str">
            <v>SAB   6RH</v>
          </cell>
          <cell r="N70">
            <v>484.94885714285709</v>
          </cell>
          <cell r="O70">
            <v>497.05244262295082</v>
          </cell>
          <cell r="P70">
            <v>493.84995505617985</v>
          </cell>
          <cell r="Q70">
            <v>494.57088541666673</v>
          </cell>
          <cell r="R70">
            <v>481.91612500000002</v>
          </cell>
          <cell r="S70">
            <v>481.04</v>
          </cell>
          <cell r="T70">
            <v>487.77480412371136</v>
          </cell>
          <cell r="U70">
            <v>486.07151562500013</v>
          </cell>
          <cell r="V70">
            <v>486.98985714285715</v>
          </cell>
          <cell r="W70">
            <v>487.28680000000003</v>
          </cell>
          <cell r="X70">
            <v>488.95485714285718</v>
          </cell>
          <cell r="Y70">
            <v>495.23062499999986</v>
          </cell>
        </row>
        <row r="71">
          <cell r="B71" t="str">
            <v>ASAHI 2RP PILSEN</v>
          </cell>
          <cell r="E71">
            <v>85.933545285894581</v>
          </cell>
          <cell r="F71">
            <v>94.112999711042804</v>
          </cell>
          <cell r="G71">
            <v>580.00400000000002</v>
          </cell>
          <cell r="H71">
            <v>498.41800000000001</v>
          </cell>
          <cell r="I71">
            <v>12.8</v>
          </cell>
          <cell r="J71">
            <v>4.5</v>
          </cell>
          <cell r="M71" t="str">
            <v>Asahi</v>
          </cell>
          <cell r="N71">
            <v>497.68033333333341</v>
          </cell>
          <cell r="O71">
            <v>507.3995000000001</v>
          </cell>
          <cell r="P71">
            <v>499.89427272727278</v>
          </cell>
          <cell r="Q71">
            <v>495.65361904761909</v>
          </cell>
          <cell r="R71">
            <v>497.62111764705878</v>
          </cell>
          <cell r="S71">
            <v>495.73957142857137</v>
          </cell>
          <cell r="T71">
            <v>490.67092857142859</v>
          </cell>
          <cell r="U71">
            <v>489.61950000000002</v>
          </cell>
          <cell r="V71">
            <v>494.78407692307701</v>
          </cell>
          <cell r="W71">
            <v>496.4171</v>
          </cell>
          <cell r="X71">
            <v>494.55861538461545</v>
          </cell>
          <cell r="Y71">
            <v>501.1605454545454</v>
          </cell>
        </row>
        <row r="72">
          <cell r="B72" t="str">
            <v>CARLBERG 6RH PILSEN</v>
          </cell>
          <cell r="E72">
            <v>83.844002644022993</v>
          </cell>
          <cell r="F72">
            <v>91.824567115873805</v>
          </cell>
          <cell r="G72">
            <v>590.01</v>
          </cell>
          <cell r="H72">
            <v>494.68799999999999</v>
          </cell>
          <cell r="I72">
            <v>12.8</v>
          </cell>
          <cell r="J72">
            <v>4.5</v>
          </cell>
          <cell r="M72" t="str">
            <v>Champigneulles 6 RH</v>
          </cell>
          <cell r="N72">
            <v>494.17053061224487</v>
          </cell>
          <cell r="O72">
            <v>497.05244262295082</v>
          </cell>
          <cell r="P72">
            <v>494.26049999999998</v>
          </cell>
          <cell r="Q72">
            <v>493.24866666666668</v>
          </cell>
          <cell r="R72">
            <v>494.37566666666663</v>
          </cell>
          <cell r="S72">
            <v>490.30569411764719</v>
          </cell>
          <cell r="T72">
            <v>487.89839999999992</v>
          </cell>
          <cell r="U72">
            <v>486.07151562500013</v>
          </cell>
          <cell r="V72">
            <v>488.60744329896903</v>
          </cell>
          <cell r="W72">
            <v>490.19652525252536</v>
          </cell>
          <cell r="X72">
            <v>491.29519791666644</v>
          </cell>
          <cell r="Y72">
            <v>495.23062499999986</v>
          </cell>
        </row>
        <row r="73">
          <cell r="B73" t="str">
            <v>ASAHI 2RP PILSEN</v>
          </cell>
          <cell r="E73">
            <v>84.130147685071847</v>
          </cell>
          <cell r="F73">
            <v>92.243732536445023</v>
          </cell>
          <cell r="G73">
            <v>580.01800000000003</v>
          </cell>
          <cell r="H73">
            <v>487.97</v>
          </cell>
          <cell r="I73">
            <v>12.9</v>
          </cell>
          <cell r="J73">
            <v>4.5</v>
          </cell>
          <cell r="M73" t="str">
            <v>Star Algérie 6RH</v>
          </cell>
          <cell r="N73">
            <v>494.17053061224487</v>
          </cell>
          <cell r="O73">
            <v>497.05244262295082</v>
          </cell>
          <cell r="P73">
            <v>494.26049999999998</v>
          </cell>
          <cell r="Q73">
            <v>493.24866666666668</v>
          </cell>
          <cell r="R73">
            <v>494.37566666666663</v>
          </cell>
          <cell r="S73">
            <v>490.30569411764719</v>
          </cell>
          <cell r="T73">
            <v>487.89839999999992</v>
          </cell>
          <cell r="U73">
            <v>486.07151562500013</v>
          </cell>
          <cell r="V73">
            <v>488.60744329896903</v>
          </cell>
          <cell r="W73">
            <v>490.19652525252536</v>
          </cell>
          <cell r="X73">
            <v>491.29519791666644</v>
          </cell>
          <cell r="Y73">
            <v>495.23062499999986</v>
          </cell>
        </row>
        <row r="74">
          <cell r="B74" t="str">
            <v>HEINEKEN C 6RH PILSEN</v>
          </cell>
          <cell r="E74">
            <v>86.758963130263865</v>
          </cell>
          <cell r="F74">
            <v>95.454849987790311</v>
          </cell>
          <cell r="G74">
            <v>580.01499999999999</v>
          </cell>
          <cell r="H74">
            <v>503.21499999999997</v>
          </cell>
          <cell r="I74">
            <v>13.2</v>
          </cell>
          <cell r="J74">
            <v>4.5</v>
          </cell>
          <cell r="M74" t="str">
            <v>Sacofrina / Globe</v>
          </cell>
          <cell r="N74">
            <v>495.58816666666672</v>
          </cell>
          <cell r="O74">
            <v>494.97037499999999</v>
          </cell>
          <cell r="P74">
            <v>493.84995505617985</v>
          </cell>
          <cell r="Q74">
            <v>494.57088541666673</v>
          </cell>
          <cell r="R74">
            <v>494.26860606060603</v>
          </cell>
          <cell r="S74">
            <v>489.06816666666668</v>
          </cell>
          <cell r="T74">
            <v>493.91583333333341</v>
          </cell>
          <cell r="U74">
            <v>488.21233333333333</v>
          </cell>
          <cell r="V74">
            <v>490.67576190476194</v>
          </cell>
          <cell r="W74">
            <v>490.60366666666664</v>
          </cell>
          <cell r="X74">
            <v>494.40686666666659</v>
          </cell>
          <cell r="Y74">
            <v>498.80941176470577</v>
          </cell>
        </row>
        <row r="75">
          <cell r="B75" t="str">
            <v>HEINEKEN C 6RH PILSEN</v>
          </cell>
          <cell r="E75">
            <v>83.968451767408709</v>
          </cell>
          <cell r="F75">
            <v>92.384644513681238</v>
          </cell>
          <cell r="G75">
            <v>585.00900000000001</v>
          </cell>
          <cell r="H75">
            <v>491.22300000000001</v>
          </cell>
          <cell r="I75">
            <v>13.2</v>
          </cell>
          <cell r="J75">
            <v>4.5</v>
          </cell>
          <cell r="M75" t="str">
            <v>EFES 2RP</v>
          </cell>
          <cell r="N75">
            <v>495.58816666666672</v>
          </cell>
          <cell r="O75">
            <v>494.97037499999999</v>
          </cell>
          <cell r="P75">
            <v>493.84995505617985</v>
          </cell>
          <cell r="Q75">
            <v>494.57088541666673</v>
          </cell>
          <cell r="R75">
            <v>494.26860606060603</v>
          </cell>
          <cell r="S75">
            <v>489.06816666666668</v>
          </cell>
          <cell r="T75">
            <v>493.91583333333341</v>
          </cell>
          <cell r="U75">
            <v>488.21233333333333</v>
          </cell>
          <cell r="V75">
            <v>490.67576190476194</v>
          </cell>
          <cell r="W75">
            <v>490.60366666666664</v>
          </cell>
          <cell r="X75">
            <v>494.40686666666659</v>
          </cell>
          <cell r="Y75">
            <v>498.80941176470577</v>
          </cell>
        </row>
        <row r="76">
          <cell r="B76" t="str">
            <v>HEINEKEN C 6RH PILSEN</v>
          </cell>
          <cell r="E76">
            <v>82.665804672011035</v>
          </cell>
          <cell r="F76">
            <v>91.056336172745731</v>
          </cell>
          <cell r="G76">
            <v>580.04999999999995</v>
          </cell>
          <cell r="H76">
            <v>479.50299999999999</v>
          </cell>
          <cell r="I76">
            <v>13.3</v>
          </cell>
          <cell r="J76">
            <v>4.5</v>
          </cell>
          <cell r="M76" t="str">
            <v>SFBT 2RP</v>
          </cell>
          <cell r="N76">
            <v>495.58816666666672</v>
          </cell>
          <cell r="O76">
            <v>494.97037499999999</v>
          </cell>
          <cell r="P76">
            <v>493.84995505617985</v>
          </cell>
          <cell r="Q76">
            <v>494.57088541666673</v>
          </cell>
          <cell r="R76">
            <v>494.26860606060603</v>
          </cell>
          <cell r="S76">
            <v>489.06816666666668</v>
          </cell>
          <cell r="T76">
            <v>493.91583333333341</v>
          </cell>
          <cell r="U76">
            <v>488.21233333333333</v>
          </cell>
          <cell r="V76">
            <v>490.67576190476194</v>
          </cell>
          <cell r="W76">
            <v>490.60366666666664</v>
          </cell>
          <cell r="X76">
            <v>494.40686666666659</v>
          </cell>
          <cell r="Y76">
            <v>498.80941176470577</v>
          </cell>
        </row>
        <row r="77">
          <cell r="B77" t="str">
            <v>HEINEKEN C 6RH PILSEN</v>
          </cell>
          <cell r="E77">
            <v>82.851064049889573</v>
          </cell>
          <cell r="F77">
            <v>91.577275656995994</v>
          </cell>
          <cell r="G77">
            <v>580.00099999999998</v>
          </cell>
          <cell r="H77">
            <v>480.53699999999998</v>
          </cell>
          <cell r="I77">
            <v>13.6</v>
          </cell>
          <cell r="J77">
            <v>4.5</v>
          </cell>
          <cell r="M77" t="str">
            <v>Heineken A</v>
          </cell>
          <cell r="N77">
            <v>502.0546250000001</v>
          </cell>
          <cell r="O77">
            <v>497.05244262295082</v>
          </cell>
          <cell r="P77">
            <v>499.26571428571435</v>
          </cell>
          <cell r="Q77">
            <v>494.87788888888889</v>
          </cell>
          <cell r="R77">
            <v>497.33839999999998</v>
          </cell>
          <cell r="S77">
            <v>499.6422222222223</v>
          </cell>
          <cell r="T77">
            <v>493.45114285714288</v>
          </cell>
          <cell r="U77">
            <v>488.46112500000004</v>
          </cell>
          <cell r="V77">
            <v>497.23155555555553</v>
          </cell>
          <cell r="W77">
            <v>501.94633333333331</v>
          </cell>
          <cell r="X77">
            <v>501.50722222222225</v>
          </cell>
          <cell r="Y77">
            <v>501.68572727272726</v>
          </cell>
        </row>
        <row r="78">
          <cell r="B78" t="str">
            <v>GLOBE PILSEN</v>
          </cell>
          <cell r="E78">
            <v>82.664188586925604</v>
          </cell>
          <cell r="F78">
            <v>91.370717708928183</v>
          </cell>
          <cell r="G78">
            <v>580.01900000000001</v>
          </cell>
          <cell r="H78">
            <v>479.46800000000002</v>
          </cell>
          <cell r="I78">
            <v>13.6</v>
          </cell>
          <cell r="J78">
            <v>4.5</v>
          </cell>
          <cell r="M78" t="str">
            <v>Heineken C</v>
          </cell>
          <cell r="N78">
            <v>490.87907547169806</v>
          </cell>
          <cell r="O78">
            <v>493.90524242424254</v>
          </cell>
          <cell r="P78">
            <v>490.2072500000001</v>
          </cell>
          <cell r="Q78">
            <v>493.5439807692307</v>
          </cell>
          <cell r="R78">
            <v>494.09327272727262</v>
          </cell>
          <cell r="S78">
            <v>488.62371052631579</v>
          </cell>
          <cell r="T78">
            <v>485.47414285714279</v>
          </cell>
          <cell r="U78">
            <v>483.00560000000002</v>
          </cell>
          <cell r="V78">
            <v>484.67768888888889</v>
          </cell>
          <cell r="W78">
            <v>486.30095833333343</v>
          </cell>
          <cell r="X78">
            <v>487.95131999999995</v>
          </cell>
          <cell r="Y78">
            <v>491.69406896551726</v>
          </cell>
        </row>
        <row r="79">
          <cell r="B79" t="str">
            <v>HEINEKEN C 6RH PILSEN</v>
          </cell>
          <cell r="E79">
            <v>84.57750473730583</v>
          </cell>
          <cell r="F79">
            <v>93.811285742307859</v>
          </cell>
          <cell r="G79">
            <v>579.971</v>
          </cell>
          <cell r="H79">
            <v>490.52499999999998</v>
          </cell>
          <cell r="I79">
            <v>13.9</v>
          </cell>
          <cell r="J79">
            <v>4.5</v>
          </cell>
          <cell r="M79" t="str">
            <v>Diekirch 2RP</v>
          </cell>
          <cell r="N79">
            <v>494.17053061224487</v>
          </cell>
          <cell r="O79">
            <v>497.05244262295082</v>
          </cell>
          <cell r="P79">
            <v>493.84995505617985</v>
          </cell>
          <cell r="Q79">
            <v>494.57088541666673</v>
          </cell>
          <cell r="R79">
            <v>494.26860606060603</v>
          </cell>
          <cell r="S79">
            <v>490.30569411764719</v>
          </cell>
          <cell r="T79">
            <v>487.77480412371136</v>
          </cell>
          <cell r="U79">
            <v>486.07151562500013</v>
          </cell>
          <cell r="V79">
            <v>488.60744329896903</v>
          </cell>
          <cell r="W79">
            <v>490.19652525252536</v>
          </cell>
          <cell r="X79">
            <v>491.29519791666644</v>
          </cell>
          <cell r="Y79">
            <v>495.23062499999986</v>
          </cell>
        </row>
        <row r="80">
          <cell r="B80" t="str">
            <v>HEINEKEN C 6RH PILSEN</v>
          </cell>
          <cell r="E80">
            <v>82.281968999653415</v>
          </cell>
          <cell r="F80">
            <v>91.371256272870951</v>
          </cell>
          <cell r="G80">
            <v>579.92899999999997</v>
          </cell>
          <cell r="H80">
            <v>477.17700000000002</v>
          </cell>
          <cell r="I80">
            <v>14</v>
          </cell>
          <cell r="J80">
            <v>4.5</v>
          </cell>
          <cell r="M80" t="str">
            <v>STANDARD</v>
          </cell>
          <cell r="N80">
            <v>494.17053061224487</v>
          </cell>
          <cell r="O80">
            <v>497.05244262295082</v>
          </cell>
          <cell r="P80">
            <v>493.84995505617985</v>
          </cell>
          <cell r="Q80">
            <v>494.57088541666673</v>
          </cell>
          <cell r="R80">
            <v>494.26860606060603</v>
          </cell>
          <cell r="S80">
            <v>490.30569411764719</v>
          </cell>
          <cell r="T80">
            <v>487.77480412371136</v>
          </cell>
          <cell r="U80">
            <v>486.07151562500013</v>
          </cell>
          <cell r="V80">
            <v>488.60744329896903</v>
          </cell>
          <cell r="W80">
            <v>490.19652525252536</v>
          </cell>
          <cell r="X80">
            <v>491.29519791666644</v>
          </cell>
          <cell r="Y80">
            <v>495.23062499999986</v>
          </cell>
        </row>
        <row r="81">
          <cell r="B81" t="str">
            <v>HEINEKEN C 6RH PILSEN</v>
          </cell>
          <cell r="E81">
            <v>83.128363129156227</v>
          </cell>
          <cell r="F81">
            <v>92.418610929387881</v>
          </cell>
          <cell r="G81">
            <v>580.00300000000004</v>
          </cell>
          <cell r="H81">
            <v>482.14699999999999</v>
          </cell>
          <cell r="I81">
            <v>14.1</v>
          </cell>
          <cell r="J81">
            <v>4.5</v>
          </cell>
        </row>
        <row r="82">
          <cell r="B82" t="str">
            <v>HEINEKEN C 6RH PILSEN</v>
          </cell>
          <cell r="E82">
            <v>82.203514022816492</v>
          </cell>
          <cell r="F82">
            <v>91.603682487502624</v>
          </cell>
          <cell r="G82">
            <v>580.01900000000001</v>
          </cell>
          <cell r="H82">
            <v>476.79599999999999</v>
          </cell>
          <cell r="I82">
            <v>14.3</v>
          </cell>
          <cell r="J82">
            <v>4.5</v>
          </cell>
        </row>
        <row r="83">
          <cell r="B83" t="str">
            <v>GLOBE PILSEN</v>
          </cell>
          <cell r="E83">
            <v>83.855202190218975</v>
          </cell>
          <cell r="F83">
            <v>89.570472954021625</v>
          </cell>
          <cell r="G83">
            <v>595.00900000000001</v>
          </cell>
          <cell r="H83">
            <v>498.94600000000003</v>
          </cell>
          <cell r="I83">
            <v>10.5</v>
          </cell>
          <cell r="J83">
            <v>4.4000000000000004</v>
          </cell>
          <cell r="M83" t="str">
            <v>MOYENNE</v>
          </cell>
          <cell r="N83">
            <v>1</v>
          </cell>
          <cell r="O83">
            <v>2</v>
          </cell>
          <cell r="P83">
            <v>3</v>
          </cell>
          <cell r="Q83">
            <v>4</v>
          </cell>
          <cell r="R83">
            <v>5</v>
          </cell>
          <cell r="S83">
            <v>6</v>
          </cell>
          <cell r="T83">
            <v>7</v>
          </cell>
          <cell r="U83">
            <v>8</v>
          </cell>
          <cell r="V83">
            <v>9</v>
          </cell>
          <cell r="W83">
            <v>10</v>
          </cell>
          <cell r="X83">
            <v>11</v>
          </cell>
          <cell r="Y83">
            <v>12</v>
          </cell>
        </row>
        <row r="84">
          <cell r="B84" t="str">
            <v>ASAHI 2RP PILSEN</v>
          </cell>
          <cell r="E84">
            <v>84.596388462333778</v>
          </cell>
          <cell r="F84">
            <v>90.463252091712633</v>
          </cell>
          <cell r="G84">
            <v>589.99800000000005</v>
          </cell>
          <cell r="H84">
            <v>499.11700000000002</v>
          </cell>
          <cell r="I84">
            <v>10.6</v>
          </cell>
          <cell r="J84">
            <v>4.4000000000000004</v>
          </cell>
          <cell r="M84" t="str">
            <v>Diekirch /Louvain 6RH</v>
          </cell>
          <cell r="N84">
            <v>13.37142857142857</v>
          </cell>
          <cell r="O84">
            <v>11.613114754098362</v>
          </cell>
          <cell r="P84">
            <v>12.607865168539325</v>
          </cell>
          <cell r="Q84">
            <v>12.303125000000001</v>
          </cell>
          <cell r="R84">
            <v>12.824999999999999</v>
          </cell>
          <cell r="S84">
            <v>13.209090909090911</v>
          </cell>
          <cell r="T84">
            <v>12.512371134020615</v>
          </cell>
          <cell r="U84">
            <v>12.701562500000001</v>
          </cell>
          <cell r="V84">
            <v>12.342857142857142</v>
          </cell>
          <cell r="W84">
            <v>12.58</v>
          </cell>
          <cell r="X84">
            <v>12.442857142857141</v>
          </cell>
          <cell r="Y84">
            <v>12.378846153846151</v>
          </cell>
        </row>
        <row r="85">
          <cell r="B85" t="str">
            <v>HEINEKEN C 6RH PILSEN</v>
          </cell>
          <cell r="E85">
            <v>84.627864075996072</v>
          </cell>
          <cell r="F85">
            <v>90.699818449161711</v>
          </cell>
          <cell r="G85">
            <v>580.03</v>
          </cell>
          <cell r="H85">
            <v>490.86700000000002</v>
          </cell>
          <cell r="I85">
            <v>10.8</v>
          </cell>
          <cell r="J85">
            <v>4.4000000000000004</v>
          </cell>
          <cell r="M85" t="str">
            <v>SAB   6RH</v>
          </cell>
          <cell r="N85">
            <v>13.37142857142857</v>
          </cell>
          <cell r="O85">
            <v>11.613114754098362</v>
          </cell>
          <cell r="P85">
            <v>12.607865168539325</v>
          </cell>
          <cell r="Q85">
            <v>12.303125000000001</v>
          </cell>
          <cell r="R85">
            <v>12.824999999999999</v>
          </cell>
          <cell r="S85">
            <v>13.209090909090911</v>
          </cell>
          <cell r="T85">
            <v>12.512371134020615</v>
          </cell>
          <cell r="U85">
            <v>12.701562500000001</v>
          </cell>
          <cell r="V85">
            <v>12.342857142857142</v>
          </cell>
          <cell r="W85">
            <v>12.58</v>
          </cell>
          <cell r="X85">
            <v>12.442857142857141</v>
          </cell>
          <cell r="Y85">
            <v>12.378846153846151</v>
          </cell>
        </row>
        <row r="86">
          <cell r="B86" t="str">
            <v>HEINEKEN A 2RP PILSEN</v>
          </cell>
          <cell r="E86">
            <v>83.972571659061686</v>
          </cell>
          <cell r="F86">
            <v>89.997509535945042</v>
          </cell>
          <cell r="G86">
            <v>595.005</v>
          </cell>
          <cell r="H86">
            <v>499.64100000000002</v>
          </cell>
          <cell r="I86">
            <v>10.8</v>
          </cell>
          <cell r="J86">
            <v>4.4000000000000004</v>
          </cell>
          <cell r="M86" t="str">
            <v>Asahi</v>
          </cell>
          <cell r="N86">
            <v>12.522222222222222</v>
          </cell>
          <cell r="O86">
            <v>11.47</v>
          </cell>
          <cell r="P86">
            <v>12.181818181818182</v>
          </cell>
          <cell r="Q86">
            <v>12.057142857142859</v>
          </cell>
          <cell r="R86">
            <v>12.476470588235294</v>
          </cell>
          <cell r="S86">
            <v>12.185714285714287</v>
          </cell>
          <cell r="T86">
            <v>12.285714285714286</v>
          </cell>
          <cell r="U86">
            <v>12.158333333333333</v>
          </cell>
          <cell r="V86">
            <v>11.784615384615385</v>
          </cell>
          <cell r="W86">
            <v>12.27</v>
          </cell>
          <cell r="X86">
            <v>12.453846153846152</v>
          </cell>
          <cell r="Y86">
            <v>11.909090909090908</v>
          </cell>
        </row>
        <row r="87">
          <cell r="B87" t="str">
            <v>GLOBE PILSEN</v>
          </cell>
          <cell r="E87">
            <v>84.122997027108553</v>
          </cell>
          <cell r="F87">
            <v>90.259916002150149</v>
          </cell>
          <cell r="G87">
            <v>589.99800000000005</v>
          </cell>
          <cell r="H87">
            <v>496.32400000000001</v>
          </cell>
          <cell r="I87">
            <v>10.9</v>
          </cell>
          <cell r="J87">
            <v>4.4000000000000004</v>
          </cell>
          <cell r="M87" t="str">
            <v>Champigneulles 6 RH</v>
          </cell>
          <cell r="N87">
            <v>12.532653061224488</v>
          </cell>
          <cell r="O87">
            <v>11.613114754098362</v>
          </cell>
          <cell r="P87">
            <v>13.224999999999998</v>
          </cell>
          <cell r="Q87">
            <v>13.166666666666666</v>
          </cell>
          <cell r="R87">
            <v>13.299999999999999</v>
          </cell>
          <cell r="S87">
            <v>12.477882352941172</v>
          </cell>
          <cell r="T87">
            <v>13</v>
          </cell>
          <cell r="U87">
            <v>12.701562500000001</v>
          </cell>
          <cell r="V87">
            <v>12.495876288659799</v>
          </cell>
          <cell r="W87">
            <v>12.846464646464653</v>
          </cell>
          <cell r="X87">
            <v>12.551979166666667</v>
          </cell>
          <cell r="Y87">
            <v>12.378846153846151</v>
          </cell>
        </row>
        <row r="88">
          <cell r="B88" t="str">
            <v>HEINEKEN A 2RP PILSEN</v>
          </cell>
          <cell r="E88">
            <v>83.933471524721043</v>
          </cell>
          <cell r="F88">
            <v>90.157751435543062</v>
          </cell>
          <cell r="G88">
            <v>590.00300000000004</v>
          </cell>
          <cell r="H88">
            <v>495.21</v>
          </cell>
          <cell r="I88">
            <v>11</v>
          </cell>
          <cell r="J88">
            <v>4.4000000000000004</v>
          </cell>
          <cell r="M88" t="str">
            <v>Star Algérie 6RH</v>
          </cell>
          <cell r="N88">
            <v>12.532653061224488</v>
          </cell>
          <cell r="O88">
            <v>11.613114754098362</v>
          </cell>
          <cell r="P88">
            <v>13.224999999999998</v>
          </cell>
          <cell r="Q88">
            <v>13.166666666666666</v>
          </cell>
          <cell r="R88">
            <v>13.299999999999999</v>
          </cell>
          <cell r="S88">
            <v>12.477882352941172</v>
          </cell>
          <cell r="T88">
            <v>13</v>
          </cell>
          <cell r="U88">
            <v>12.701562500000001</v>
          </cell>
          <cell r="V88">
            <v>12.495876288659799</v>
          </cell>
          <cell r="W88">
            <v>12.846464646464653</v>
          </cell>
          <cell r="X88">
            <v>12.551979166666667</v>
          </cell>
          <cell r="Y88">
            <v>12.378846153846151</v>
          </cell>
        </row>
        <row r="89">
          <cell r="B89" t="str">
            <v>GLOBE PILSEN</v>
          </cell>
          <cell r="E89">
            <v>83.841897924061513</v>
          </cell>
          <cell r="F89">
            <v>90.059386983598657</v>
          </cell>
          <cell r="G89">
            <v>595.00800000000004</v>
          </cell>
          <cell r="H89">
            <v>498.86599999999999</v>
          </cell>
          <cell r="I89">
            <v>11</v>
          </cell>
          <cell r="J89">
            <v>4.4000000000000004</v>
          </cell>
          <cell r="M89" t="str">
            <v>Sacofrina / Globe</v>
          </cell>
          <cell r="N89">
            <v>11.916666666666664</v>
          </cell>
          <cell r="O89">
            <v>11.287500000000001</v>
          </cell>
          <cell r="P89">
            <v>12.607865168539325</v>
          </cell>
          <cell r="Q89">
            <v>12.303125000000001</v>
          </cell>
          <cell r="R89">
            <v>12.415656565656562</v>
          </cell>
          <cell r="S89">
            <v>12.533333333333333</v>
          </cell>
          <cell r="T89">
            <v>11.733333333333334</v>
          </cell>
          <cell r="U89">
            <v>12.583333333333334</v>
          </cell>
          <cell r="V89">
            <v>12.395238095238096</v>
          </cell>
          <cell r="W89">
            <v>13.327777777777778</v>
          </cell>
          <cell r="X89">
            <v>12.386000000000001</v>
          </cell>
          <cell r="Y89">
            <v>12.270588235294115</v>
          </cell>
        </row>
        <row r="90">
          <cell r="B90" t="str">
            <v>ASAHI 2RP PILSEN</v>
          </cell>
          <cell r="E90">
            <v>83.47152261309941</v>
          </cell>
          <cell r="F90">
            <v>89.661545638340485</v>
          </cell>
          <cell r="G90">
            <v>590.01199999999994</v>
          </cell>
          <cell r="H90">
            <v>492.49200000000002</v>
          </cell>
          <cell r="I90">
            <v>11</v>
          </cell>
          <cell r="J90">
            <v>4.4000000000000004</v>
          </cell>
          <cell r="M90" t="str">
            <v>EFES 2RP</v>
          </cell>
          <cell r="N90">
            <v>11.916666666666664</v>
          </cell>
          <cell r="O90">
            <v>11.287500000000001</v>
          </cell>
          <cell r="P90">
            <v>12.607865168539325</v>
          </cell>
          <cell r="Q90">
            <v>12.303125000000001</v>
          </cell>
          <cell r="R90">
            <v>12.415656565656562</v>
          </cell>
          <cell r="S90">
            <v>12.533333333333333</v>
          </cell>
          <cell r="T90">
            <v>11.733333333333334</v>
          </cell>
          <cell r="U90">
            <v>12.583333333333334</v>
          </cell>
          <cell r="V90">
            <v>12.395238095238096</v>
          </cell>
          <cell r="W90">
            <v>13.327777777777778</v>
          </cell>
          <cell r="X90">
            <v>12.386000000000001</v>
          </cell>
          <cell r="Y90">
            <v>12.270588235294115</v>
          </cell>
        </row>
        <row r="91">
          <cell r="B91" t="str">
            <v>ASAHI 2RP PILSEN</v>
          </cell>
          <cell r="E91">
            <v>83.053381289598676</v>
          </cell>
          <cell r="F91">
            <v>89.21239608186103</v>
          </cell>
          <cell r="G91">
            <v>589.98199999999997</v>
          </cell>
          <cell r="H91">
            <v>490</v>
          </cell>
          <cell r="I91">
            <v>11</v>
          </cell>
          <cell r="J91">
            <v>4.4000000000000004</v>
          </cell>
          <cell r="M91" t="str">
            <v>SFBT 2RP</v>
          </cell>
          <cell r="N91">
            <v>11.916666666666664</v>
          </cell>
          <cell r="O91">
            <v>11.287500000000001</v>
          </cell>
          <cell r="P91">
            <v>12.607865168539325</v>
          </cell>
          <cell r="Q91">
            <v>12.303125000000001</v>
          </cell>
          <cell r="R91">
            <v>12.415656565656562</v>
          </cell>
          <cell r="S91">
            <v>12.533333333333333</v>
          </cell>
          <cell r="T91">
            <v>11.733333333333334</v>
          </cell>
          <cell r="U91">
            <v>12.583333333333334</v>
          </cell>
          <cell r="V91">
            <v>12.395238095238096</v>
          </cell>
          <cell r="W91">
            <v>13.327777777777778</v>
          </cell>
          <cell r="X91">
            <v>12.386000000000001</v>
          </cell>
          <cell r="Y91">
            <v>12.270588235294115</v>
          </cell>
        </row>
        <row r="92">
          <cell r="B92" t="str">
            <v>ASAHI 2RP PILSEN</v>
          </cell>
          <cell r="E92">
            <v>87.019583061626477</v>
          </cell>
          <cell r="F92">
            <v>93.577864349735549</v>
          </cell>
          <cell r="G92">
            <v>595.00400000000002</v>
          </cell>
          <cell r="H92">
            <v>517.77</v>
          </cell>
          <cell r="I92">
            <v>11.1</v>
          </cell>
          <cell r="J92">
            <v>4.4000000000000004</v>
          </cell>
          <cell r="M92" t="str">
            <v>Heineken A</v>
          </cell>
          <cell r="N92">
            <v>12.325000000000001</v>
          </cell>
          <cell r="O92">
            <v>11.613114754098362</v>
          </cell>
          <cell r="P92">
            <v>12.2</v>
          </cell>
          <cell r="Q92">
            <v>11.766666666666667</v>
          </cell>
          <cell r="R92">
            <v>11.673333333333336</v>
          </cell>
          <cell r="S92">
            <v>12.155555555555555</v>
          </cell>
          <cell r="T92">
            <v>12.142857142857142</v>
          </cell>
          <cell r="U92">
            <v>12.2125</v>
          </cell>
          <cell r="V92">
            <v>11.600000000000001</v>
          </cell>
          <cell r="W92">
            <v>11.691666666666665</v>
          </cell>
          <cell r="X92">
            <v>11.922222222222222</v>
          </cell>
          <cell r="Y92">
            <v>11.490909090909092</v>
          </cell>
        </row>
        <row r="93">
          <cell r="B93" t="str">
            <v>HEINEKEN A 2RP PILSEN</v>
          </cell>
          <cell r="E93">
            <v>85.974639294807702</v>
          </cell>
          <cell r="F93">
            <v>92.454167790591839</v>
          </cell>
          <cell r="G93">
            <v>595.01499999999999</v>
          </cell>
          <cell r="H93">
            <v>511.56200000000001</v>
          </cell>
          <cell r="I93">
            <v>11.1</v>
          </cell>
          <cell r="J93">
            <v>4.4000000000000004</v>
          </cell>
          <cell r="M93" t="str">
            <v>Heineken C</v>
          </cell>
          <cell r="N93">
            <v>12.677358490566039</v>
          </cell>
          <cell r="O93">
            <v>11.715151515151517</v>
          </cell>
          <cell r="P93">
            <v>12.769230769230772</v>
          </cell>
          <cell r="Q93">
            <v>12.450000000000001</v>
          </cell>
          <cell r="R93">
            <v>12.338636363636361</v>
          </cell>
          <cell r="S93">
            <v>12.44263157894737</v>
          </cell>
          <cell r="T93">
            <v>12.732653061224488</v>
          </cell>
          <cell r="U93">
            <v>13.030000000000003</v>
          </cell>
          <cell r="V93">
            <v>12.902222222222219</v>
          </cell>
          <cell r="W93">
            <v>13.15208333333333</v>
          </cell>
          <cell r="X93">
            <v>12.783999999999999</v>
          </cell>
          <cell r="Y93">
            <v>12.632758620689662</v>
          </cell>
        </row>
        <row r="94">
          <cell r="B94" t="str">
            <v>ASAHI 2RP PILSEN</v>
          </cell>
          <cell r="E94">
            <v>83.491679817476367</v>
          </cell>
          <cell r="F94">
            <v>89.784078633866599</v>
          </cell>
          <cell r="G94">
            <v>589.95100000000002</v>
          </cell>
          <cell r="H94">
            <v>492.56</v>
          </cell>
          <cell r="I94">
            <v>11.1</v>
          </cell>
          <cell r="J94">
            <v>4.4000000000000004</v>
          </cell>
          <cell r="M94" t="str">
            <v>Diekirch 2RP</v>
          </cell>
          <cell r="N94">
            <v>12.532653061224488</v>
          </cell>
          <cell r="O94">
            <v>11.613114754098362</v>
          </cell>
          <cell r="P94">
            <v>12.607865168539325</v>
          </cell>
          <cell r="Q94">
            <v>12.303125000000001</v>
          </cell>
          <cell r="R94">
            <v>12.415656565656562</v>
          </cell>
          <cell r="S94">
            <v>12.477882352941172</v>
          </cell>
          <cell r="T94">
            <v>12.512371134020615</v>
          </cell>
          <cell r="U94">
            <v>12.701562500000001</v>
          </cell>
          <cell r="V94">
            <v>12.495876288659799</v>
          </cell>
          <cell r="W94">
            <v>12.846464646464653</v>
          </cell>
          <cell r="X94">
            <v>12.551979166666667</v>
          </cell>
          <cell r="Y94">
            <v>12.378846153846151</v>
          </cell>
        </row>
        <row r="95">
          <cell r="B95" t="str">
            <v>HEINEKEN A 2RP PILSEN</v>
          </cell>
          <cell r="E95">
            <v>86.314947316051587</v>
          </cell>
          <cell r="F95">
            <v>92.924650488902387</v>
          </cell>
          <cell r="G95">
            <v>594.96299999999997</v>
          </cell>
          <cell r="H95">
            <v>513.54200000000003</v>
          </cell>
          <cell r="I95">
            <v>11.2</v>
          </cell>
          <cell r="J95">
            <v>4.4000000000000004</v>
          </cell>
          <cell r="M95" t="str">
            <v>STANDARD</v>
          </cell>
          <cell r="N95">
            <v>12.532653061224488</v>
          </cell>
          <cell r="O95">
            <v>11.613114754098362</v>
          </cell>
          <cell r="P95">
            <v>12.607865168539325</v>
          </cell>
          <cell r="Q95">
            <v>12.303125000000001</v>
          </cell>
          <cell r="R95">
            <v>12.415656565656562</v>
          </cell>
          <cell r="S95">
            <v>12.477882352941172</v>
          </cell>
          <cell r="T95">
            <v>12.512371134020615</v>
          </cell>
          <cell r="U95">
            <v>12.701562500000001</v>
          </cell>
          <cell r="V95">
            <v>12.495876288659799</v>
          </cell>
          <cell r="W95">
            <v>12.846464646464653</v>
          </cell>
          <cell r="X95">
            <v>12.551979166666667</v>
          </cell>
          <cell r="Y95">
            <v>12.378846153846151</v>
          </cell>
        </row>
        <row r="96">
          <cell r="B96" t="str">
            <v>HEINEKEN C 6RH PILSEN</v>
          </cell>
          <cell r="E96">
            <v>85.176936779359096</v>
          </cell>
          <cell r="F96">
            <v>91.69949500120191</v>
          </cell>
          <cell r="G96">
            <v>590.01300000000003</v>
          </cell>
          <cell r="H96">
            <v>502.55500000000001</v>
          </cell>
          <cell r="I96">
            <v>11.2</v>
          </cell>
          <cell r="J96">
            <v>4.4000000000000004</v>
          </cell>
        </row>
        <row r="97">
          <cell r="B97" t="str">
            <v>ASAHI 2RP PILSEN</v>
          </cell>
          <cell r="E97">
            <v>83.188563002635533</v>
          </cell>
          <cell r="F97">
            <v>89.558858367702214</v>
          </cell>
          <cell r="G97">
            <v>590.01499999999999</v>
          </cell>
          <cell r="H97">
            <v>490.82499999999999</v>
          </cell>
          <cell r="I97">
            <v>11.2</v>
          </cell>
          <cell r="J97">
            <v>4.4000000000000004</v>
          </cell>
        </row>
        <row r="98">
          <cell r="B98" t="str">
            <v>ASAHI 2RP PILSEN</v>
          </cell>
          <cell r="E98">
            <v>87.019882018789602</v>
          </cell>
          <cell r="F98">
            <v>93.78918512960864</v>
          </cell>
          <cell r="G98">
            <v>595.01</v>
          </cell>
          <cell r="H98">
            <v>517.77700000000004</v>
          </cell>
          <cell r="I98">
            <v>11.3</v>
          </cell>
          <cell r="J98">
            <v>4.4000000000000004</v>
          </cell>
          <cell r="M98" t="str">
            <v>MOYENNE</v>
          </cell>
          <cell r="N98">
            <v>1</v>
          </cell>
          <cell r="O98">
            <v>2</v>
          </cell>
          <cell r="P98">
            <v>3</v>
          </cell>
          <cell r="Q98">
            <v>4</v>
          </cell>
          <cell r="R98">
            <v>5</v>
          </cell>
          <cell r="S98">
            <v>6</v>
          </cell>
          <cell r="T98">
            <v>7</v>
          </cell>
          <cell r="U98">
            <v>8</v>
          </cell>
          <cell r="V98">
            <v>9</v>
          </cell>
          <cell r="W98">
            <v>10</v>
          </cell>
          <cell r="X98">
            <v>11</v>
          </cell>
          <cell r="Y98">
            <v>12</v>
          </cell>
        </row>
        <row r="99">
          <cell r="B99" t="str">
            <v>HEINEKEN A 2RP PILSEN</v>
          </cell>
          <cell r="E99">
            <v>86.400634631448213</v>
          </cell>
          <cell r="F99">
            <v>93.121766299509005</v>
          </cell>
          <cell r="G99">
            <v>594.99099999999999</v>
          </cell>
          <cell r="H99">
            <v>514.07600000000002</v>
          </cell>
          <cell r="I99">
            <v>11.3</v>
          </cell>
          <cell r="J99">
            <v>4.4000000000000004</v>
          </cell>
          <cell r="M99" t="str">
            <v>Diekirch /Louvain 6RH</v>
          </cell>
          <cell r="N99">
            <v>3.7714285714285718</v>
          </cell>
          <cell r="O99">
            <v>3.990163934426231</v>
          </cell>
          <cell r="P99">
            <v>3.9415730337078689</v>
          </cell>
          <cell r="Q99">
            <v>3.9395833333333354</v>
          </cell>
          <cell r="R99">
            <v>3.9750000000000001</v>
          </cell>
          <cell r="S99">
            <v>4.2545454545454549</v>
          </cell>
          <cell r="T99">
            <v>4.1494845360824693</v>
          </cell>
          <cell r="U99">
            <v>4.0375000000000014</v>
          </cell>
          <cell r="V99">
            <v>4.1285714285714281</v>
          </cell>
          <cell r="W99">
            <v>4.24</v>
          </cell>
          <cell r="X99">
            <v>3.9714285714285715</v>
          </cell>
          <cell r="Y99">
            <v>4.040384615384613</v>
          </cell>
        </row>
        <row r="100">
          <cell r="B100" t="str">
            <v>ABI4 PILSEN</v>
          </cell>
          <cell r="E100">
            <v>82.684162444979648</v>
          </cell>
          <cell r="F100">
            <v>89.11618861037266</v>
          </cell>
          <cell r="G100">
            <v>590.00900000000001</v>
          </cell>
          <cell r="H100">
            <v>487.84399999999999</v>
          </cell>
          <cell r="I100">
            <v>11.3</v>
          </cell>
          <cell r="J100">
            <v>4.4000000000000004</v>
          </cell>
          <cell r="M100" t="str">
            <v>SAB   6RH</v>
          </cell>
          <cell r="N100">
            <v>3.7714285714285718</v>
          </cell>
          <cell r="O100">
            <v>3.990163934426231</v>
          </cell>
          <cell r="P100">
            <v>3.9415730337078689</v>
          </cell>
          <cell r="Q100">
            <v>3.9395833333333354</v>
          </cell>
          <cell r="R100">
            <v>3.9750000000000001</v>
          </cell>
          <cell r="S100">
            <v>4.2545454545454549</v>
          </cell>
          <cell r="T100">
            <v>4.1494845360824693</v>
          </cell>
          <cell r="U100">
            <v>4.0375000000000014</v>
          </cell>
          <cell r="V100">
            <v>4.1285714285714281</v>
          </cell>
          <cell r="W100">
            <v>4.24</v>
          </cell>
          <cell r="X100">
            <v>3.9714285714285715</v>
          </cell>
          <cell r="Y100">
            <v>4.040384615384613</v>
          </cell>
        </row>
        <row r="101">
          <cell r="B101" t="str">
            <v>ASAHI 2RP PILSEN</v>
          </cell>
          <cell r="E101">
            <v>86.88812511029505</v>
          </cell>
          <cell r="F101">
            <v>93.752875401176155</v>
          </cell>
          <cell r="G101">
            <v>594.995</v>
          </cell>
          <cell r="H101">
            <v>516.98</v>
          </cell>
          <cell r="I101">
            <v>11.4</v>
          </cell>
          <cell r="J101">
            <v>4.4000000000000004</v>
          </cell>
          <cell r="M101" t="str">
            <v>Asahi</v>
          </cell>
          <cell r="N101">
            <v>4.0666666666666664</v>
          </cell>
          <cell r="O101">
            <v>4.2099999999999991</v>
          </cell>
          <cell r="P101">
            <v>4.0545454545454547</v>
          </cell>
          <cell r="Q101">
            <v>3.9190476190476184</v>
          </cell>
          <cell r="R101">
            <v>4.1411764705882357</v>
          </cell>
          <cell r="S101">
            <v>4.3571428571428577</v>
          </cell>
          <cell r="T101">
            <v>4.1357142857142852</v>
          </cell>
          <cell r="U101">
            <v>4.0166666666666666</v>
          </cell>
          <cell r="V101">
            <v>4.115384615384615</v>
          </cell>
          <cell r="W101">
            <v>4.3</v>
          </cell>
          <cell r="X101">
            <v>4.0846153846153843</v>
          </cell>
          <cell r="Y101">
            <v>4.0545454545454547</v>
          </cell>
        </row>
        <row r="102">
          <cell r="B102" t="str">
            <v>HEINEKEN A 2RP PILSEN</v>
          </cell>
          <cell r="E102">
            <v>84.240512392166224</v>
          </cell>
          <cell r="F102">
            <v>90.896083348657925</v>
          </cell>
          <cell r="G102">
            <v>595.01300000000003</v>
          </cell>
          <cell r="H102">
            <v>501.24200000000002</v>
          </cell>
          <cell r="I102">
            <v>11.4</v>
          </cell>
          <cell r="J102">
            <v>4.4000000000000004</v>
          </cell>
          <cell r="M102" t="str">
            <v>Champigneulles 6 RH</v>
          </cell>
          <cell r="N102">
            <v>3.9928571428571429</v>
          </cell>
          <cell r="O102">
            <v>3.990163934426231</v>
          </cell>
          <cell r="P102">
            <v>3.9625000000000004</v>
          </cell>
          <cell r="Q102">
            <v>3.9</v>
          </cell>
          <cell r="R102">
            <v>3.9666666666666668</v>
          </cell>
          <cell r="S102">
            <v>4.2305882352941149</v>
          </cell>
          <cell r="T102">
            <v>3.9799999999999995</v>
          </cell>
          <cell r="U102">
            <v>4.0375000000000014</v>
          </cell>
          <cell r="V102">
            <v>4.2010309278350517</v>
          </cell>
          <cell r="W102">
            <v>4.1919191919191929</v>
          </cell>
          <cell r="X102">
            <v>4.0583333333333291</v>
          </cell>
          <cell r="Y102">
            <v>4.040384615384613</v>
          </cell>
        </row>
        <row r="103">
          <cell r="B103" t="str">
            <v>HEINEKEN C 6RH PILSEN</v>
          </cell>
          <cell r="E103">
            <v>84.95925451352872</v>
          </cell>
          <cell r="F103">
            <v>91.775194706139501</v>
          </cell>
          <cell r="G103">
            <v>590.00400000000002</v>
          </cell>
          <cell r="H103">
            <v>501.26299999999998</v>
          </cell>
          <cell r="I103">
            <v>11.5</v>
          </cell>
          <cell r="J103">
            <v>4.4000000000000004</v>
          </cell>
          <cell r="M103" t="str">
            <v>Star Algérie 6RH</v>
          </cell>
          <cell r="N103">
            <v>3.9928571428571429</v>
          </cell>
          <cell r="O103">
            <v>3.990163934426231</v>
          </cell>
          <cell r="P103">
            <v>3.9625000000000004</v>
          </cell>
          <cell r="Q103">
            <v>3.9</v>
          </cell>
          <cell r="R103">
            <v>3.9666666666666668</v>
          </cell>
          <cell r="S103">
            <v>4.2305882352941149</v>
          </cell>
          <cell r="T103">
            <v>3.9799999999999995</v>
          </cell>
          <cell r="U103">
            <v>4.0375000000000014</v>
          </cell>
          <cell r="V103">
            <v>4.2010309278350517</v>
          </cell>
          <cell r="W103">
            <v>4.1919191919191929</v>
          </cell>
          <cell r="X103">
            <v>4.0583333333333291</v>
          </cell>
          <cell r="Y103">
            <v>4.040384615384613</v>
          </cell>
        </row>
        <row r="104">
          <cell r="B104" t="str">
            <v>GLOBE PILSEN</v>
          </cell>
          <cell r="E104">
            <v>83.610027779613944</v>
          </cell>
          <cell r="F104">
            <v>90.317724923515158</v>
          </cell>
          <cell r="G104">
            <v>590.00099999999998</v>
          </cell>
          <cell r="H104">
            <v>493.3</v>
          </cell>
          <cell r="I104">
            <v>11.5</v>
          </cell>
          <cell r="J104">
            <v>4.4000000000000004</v>
          </cell>
          <cell r="M104" t="str">
            <v>Sacofrina / Globe</v>
          </cell>
          <cell r="N104">
            <v>3.8833333333333333</v>
          </cell>
          <cell r="O104">
            <v>3.9749999999999996</v>
          </cell>
          <cell r="P104">
            <v>3.9415730337078689</v>
          </cell>
          <cell r="Q104">
            <v>3.9395833333333354</v>
          </cell>
          <cell r="R104">
            <v>4.0565656565656525</v>
          </cell>
          <cell r="S104">
            <v>4.2833333333333332</v>
          </cell>
          <cell r="T104">
            <v>4.0999999999999996</v>
          </cell>
          <cell r="U104">
            <v>4.1333333333333329</v>
          </cell>
          <cell r="V104">
            <v>4.261904761904761</v>
          </cell>
          <cell r="W104">
            <v>4</v>
          </cell>
          <cell r="X104">
            <v>3.9999999999999996</v>
          </cell>
          <cell r="Y104">
            <v>4.0411764705882343</v>
          </cell>
        </row>
        <row r="105">
          <cell r="B105" t="str">
            <v>CARLBERG 2RP PILSEN</v>
          </cell>
          <cell r="E105">
            <v>85.73842812881766</v>
          </cell>
          <cell r="F105">
            <v>92.721648519400091</v>
          </cell>
          <cell r="G105">
            <v>600.01099999999997</v>
          </cell>
          <cell r="H105">
            <v>514.44000000000005</v>
          </cell>
          <cell r="I105">
            <v>11.6</v>
          </cell>
          <cell r="J105">
            <v>4.4000000000000004</v>
          </cell>
          <cell r="M105" t="str">
            <v>EFES 2RP</v>
          </cell>
          <cell r="N105">
            <v>3.8833333333333333</v>
          </cell>
          <cell r="O105">
            <v>3.9749999999999996</v>
          </cell>
          <cell r="P105">
            <v>3.9415730337078689</v>
          </cell>
          <cell r="Q105">
            <v>3.9395833333333354</v>
          </cell>
          <cell r="R105">
            <v>4.0565656565656525</v>
          </cell>
          <cell r="S105">
            <v>4.2833333333333332</v>
          </cell>
          <cell r="T105">
            <v>4.0999999999999996</v>
          </cell>
          <cell r="U105">
            <v>4.1333333333333329</v>
          </cell>
          <cell r="V105">
            <v>4.261904761904761</v>
          </cell>
          <cell r="W105">
            <v>4</v>
          </cell>
          <cell r="X105">
            <v>3.9999999999999996</v>
          </cell>
          <cell r="Y105">
            <v>4.0411764705882343</v>
          </cell>
        </row>
        <row r="106">
          <cell r="B106" t="str">
            <v>ABI4 PILSEN</v>
          </cell>
          <cell r="E106">
            <v>84.539736834845939</v>
          </cell>
          <cell r="F106">
            <v>91.528865701146898</v>
          </cell>
          <cell r="G106">
            <v>580.01599999999996</v>
          </cell>
          <cell r="H106">
            <v>490.34399999999999</v>
          </cell>
          <cell r="I106">
            <v>11.7</v>
          </cell>
          <cell r="J106">
            <v>4.4000000000000004</v>
          </cell>
          <cell r="M106" t="str">
            <v>SFBT 2RP</v>
          </cell>
          <cell r="N106">
            <v>3.8833333333333333</v>
          </cell>
          <cell r="O106">
            <v>3.9749999999999996</v>
          </cell>
          <cell r="P106">
            <v>3.9415730337078689</v>
          </cell>
          <cell r="Q106">
            <v>3.9395833333333354</v>
          </cell>
          <cell r="R106">
            <v>4.0565656565656525</v>
          </cell>
          <cell r="S106">
            <v>4.2833333333333332</v>
          </cell>
          <cell r="T106">
            <v>4.0999999999999996</v>
          </cell>
          <cell r="U106">
            <v>4.1333333333333329</v>
          </cell>
          <cell r="V106">
            <v>4.261904761904761</v>
          </cell>
          <cell r="W106">
            <v>4</v>
          </cell>
          <cell r="X106">
            <v>3.9999999999999996</v>
          </cell>
          <cell r="Y106">
            <v>4.0411764705882343</v>
          </cell>
        </row>
        <row r="107">
          <cell r="B107" t="str">
            <v>HEINEKEN C 6RH PILSEN</v>
          </cell>
          <cell r="E107">
            <v>84.362990612311748</v>
          </cell>
          <cell r="F107">
            <v>91.44106465461455</v>
          </cell>
          <cell r="G107">
            <v>580.01499999999999</v>
          </cell>
          <cell r="H107">
            <v>489.31799999999998</v>
          </cell>
          <cell r="I107">
            <v>11.8</v>
          </cell>
          <cell r="J107">
            <v>4.4000000000000004</v>
          </cell>
          <cell r="M107" t="str">
            <v>Heineken A</v>
          </cell>
          <cell r="N107">
            <v>3.9624999999999995</v>
          </cell>
          <cell r="O107">
            <v>3.990163934426231</v>
          </cell>
          <cell r="P107">
            <v>3.842857142857143</v>
          </cell>
          <cell r="Q107">
            <v>4.0555555555555545</v>
          </cell>
          <cell r="R107">
            <v>4.0733333333333333</v>
          </cell>
          <cell r="S107">
            <v>4.3666666666666671</v>
          </cell>
          <cell r="T107">
            <v>4.2714285714285714</v>
          </cell>
          <cell r="U107">
            <v>4.0750000000000002</v>
          </cell>
          <cell r="V107">
            <v>4.3666666666666671</v>
          </cell>
          <cell r="W107">
            <v>4.2333333333333334</v>
          </cell>
          <cell r="X107">
            <v>4.0777777777777775</v>
          </cell>
          <cell r="Y107">
            <v>4.0636363636363635</v>
          </cell>
        </row>
        <row r="108">
          <cell r="B108" t="str">
            <v>HEINEKEN C 6RH PILSEN</v>
          </cell>
          <cell r="E108">
            <v>83.688249790677247</v>
          </cell>
          <cell r="F108">
            <v>90.709712925042467</v>
          </cell>
          <cell r="G108">
            <v>589.99800000000005</v>
          </cell>
          <cell r="H108">
            <v>493.75900000000001</v>
          </cell>
          <cell r="I108">
            <v>11.8</v>
          </cell>
          <cell r="J108">
            <v>4.4000000000000004</v>
          </cell>
          <cell r="M108" t="str">
            <v>Heineken C</v>
          </cell>
          <cell r="N108">
            <v>4.0075471698113212</v>
          </cell>
          <cell r="O108">
            <v>3.9515151515151516</v>
          </cell>
          <cell r="P108">
            <v>3.8961538461538483</v>
          </cell>
          <cell r="Q108">
            <v>3.9307692307692323</v>
          </cell>
          <cell r="R108">
            <v>4.0500000000000016</v>
          </cell>
          <cell r="S108">
            <v>4.1342105263157896</v>
          </cell>
          <cell r="T108">
            <v>4.1591836734693866</v>
          </cell>
          <cell r="U108">
            <v>4</v>
          </cell>
          <cell r="V108">
            <v>4.1711111111111112</v>
          </cell>
          <cell r="W108">
            <v>4.2333333333333334</v>
          </cell>
          <cell r="X108">
            <v>4.07</v>
          </cell>
          <cell r="Y108">
            <v>4.043103448275863</v>
          </cell>
        </row>
        <row r="109">
          <cell r="B109" t="str">
            <v>ABI4 PILSEN</v>
          </cell>
          <cell r="E109">
            <v>83.264282204463754</v>
          </cell>
          <cell r="F109">
            <v>90.352614968748412</v>
          </cell>
          <cell r="G109">
            <v>580.005</v>
          </cell>
          <cell r="H109">
            <v>482.93700000000001</v>
          </cell>
          <cell r="I109">
            <v>11.9</v>
          </cell>
          <cell r="J109">
            <v>4.4000000000000004</v>
          </cell>
          <cell r="M109" t="str">
            <v>Diekirch 2RP</v>
          </cell>
          <cell r="N109">
            <v>3.9928571428571429</v>
          </cell>
          <cell r="O109">
            <v>3.990163934426231</v>
          </cell>
          <cell r="P109">
            <v>3.9415730337078689</v>
          </cell>
          <cell r="Q109">
            <v>3.9395833333333354</v>
          </cell>
          <cell r="R109">
            <v>4.0565656565656525</v>
          </cell>
          <cell r="S109">
            <v>4.2305882352941149</v>
          </cell>
          <cell r="T109">
            <v>4.1494845360824693</v>
          </cell>
          <cell r="U109">
            <v>4.0375000000000014</v>
          </cell>
          <cell r="V109">
            <v>4.2010309278350517</v>
          </cell>
          <cell r="W109">
            <v>4.1919191919191929</v>
          </cell>
          <cell r="X109">
            <v>4.0583333333333291</v>
          </cell>
          <cell r="Y109">
            <v>4.040384615384613</v>
          </cell>
        </row>
        <row r="110">
          <cell r="B110" t="str">
            <v>HEINEKEN C 6RH PILSEN</v>
          </cell>
          <cell r="E110">
            <v>82.647165819840723</v>
          </cell>
          <cell r="F110">
            <v>89.682963137080279</v>
          </cell>
          <cell r="G110">
            <v>580.00900000000001</v>
          </cell>
          <cell r="H110">
            <v>479.36099999999999</v>
          </cell>
          <cell r="I110">
            <v>11.9</v>
          </cell>
          <cell r="J110">
            <v>4.4000000000000004</v>
          </cell>
          <cell r="M110" t="str">
            <v>STANDARD</v>
          </cell>
          <cell r="N110">
            <v>3.9928571428571429</v>
          </cell>
          <cell r="O110">
            <v>3.990163934426231</v>
          </cell>
          <cell r="P110">
            <v>3.9415730337078689</v>
          </cell>
          <cell r="Q110">
            <v>3.9395833333333354</v>
          </cell>
          <cell r="R110">
            <v>4.0565656565656525</v>
          </cell>
          <cell r="S110">
            <v>4.2305882352941149</v>
          </cell>
          <cell r="T110">
            <v>4.1494845360824693</v>
          </cell>
          <cell r="U110">
            <v>4.0375000000000014</v>
          </cell>
          <cell r="V110">
            <v>4.2010309278350517</v>
          </cell>
          <cell r="W110">
            <v>4.1919191919191929</v>
          </cell>
          <cell r="X110">
            <v>4.0583333333333291</v>
          </cell>
          <cell r="Y110">
            <v>4.040384615384613</v>
          </cell>
        </row>
        <row r="111">
          <cell r="B111" t="str">
            <v>HEINEKEN A 2RP PILSEN</v>
          </cell>
          <cell r="E111">
            <v>85.124955883094401</v>
          </cell>
          <cell r="F111">
            <v>92.476656618452552</v>
          </cell>
          <cell r="G111">
            <v>595.01</v>
          </cell>
          <cell r="H111">
            <v>506.50200000000001</v>
          </cell>
          <cell r="I111">
            <v>12</v>
          </cell>
          <cell r="J111">
            <v>4.4000000000000004</v>
          </cell>
        </row>
        <row r="112">
          <cell r="B112" t="str">
            <v>HEINEKEN C 6RH PILSEN</v>
          </cell>
          <cell r="E112">
            <v>83.88081728638987</v>
          </cell>
          <cell r="F112">
            <v>91.12506968839628</v>
          </cell>
          <cell r="G112">
            <v>580.01700000000005</v>
          </cell>
          <cell r="H112">
            <v>486.52300000000002</v>
          </cell>
          <cell r="I112">
            <v>12</v>
          </cell>
          <cell r="J112">
            <v>4.4000000000000004</v>
          </cell>
        </row>
        <row r="113">
          <cell r="B113" t="str">
            <v>HEINEKEN C 6RH PILSEN</v>
          </cell>
          <cell r="E113">
            <v>85.421740890410504</v>
          </cell>
          <cell r="F113">
            <v>92.904646520173415</v>
          </cell>
          <cell r="G113">
            <v>583.01199999999994</v>
          </cell>
          <cell r="H113">
            <v>498.01900000000001</v>
          </cell>
          <cell r="I113">
            <v>12.1</v>
          </cell>
          <cell r="J113">
            <v>4.4000000000000004</v>
          </cell>
        </row>
        <row r="114">
          <cell r="B114" t="str">
            <v>ABI4 PILSEN</v>
          </cell>
          <cell r="E114">
            <v>82.902488857470445</v>
          </cell>
          <cell r="F114">
            <v>90.164709155565134</v>
          </cell>
          <cell r="G114">
            <v>579.98500000000001</v>
          </cell>
          <cell r="H114">
            <v>480.822</v>
          </cell>
          <cell r="I114">
            <v>12.1</v>
          </cell>
          <cell r="J114">
            <v>4.4000000000000004</v>
          </cell>
        </row>
        <row r="115">
          <cell r="B115" t="str">
            <v>HEINEKEN C 6RH PILSEN</v>
          </cell>
          <cell r="E115">
            <v>86.717554633092035</v>
          </cell>
          <cell r="F115">
            <v>94.421392060633238</v>
          </cell>
          <cell r="G115">
            <v>582.98</v>
          </cell>
          <cell r="H115">
            <v>505.54599999999999</v>
          </cell>
          <cell r="I115">
            <v>12.2</v>
          </cell>
          <cell r="J115">
            <v>4.4000000000000004</v>
          </cell>
        </row>
        <row r="116">
          <cell r="B116" t="str">
            <v>HEINEKEN C 6RH PILSEN</v>
          </cell>
          <cell r="E116">
            <v>85.319690008017034</v>
          </cell>
          <cell r="F116">
            <v>92.899343562260015</v>
          </cell>
          <cell r="G116">
            <v>580.01499999999999</v>
          </cell>
          <cell r="H116">
            <v>494.86700000000002</v>
          </cell>
          <cell r="I116">
            <v>12.2</v>
          </cell>
          <cell r="J116">
            <v>4.4000000000000004</v>
          </cell>
        </row>
        <row r="117">
          <cell r="B117" t="str">
            <v>HEINEKEN C 6RH PILSEN</v>
          </cell>
          <cell r="E117">
            <v>83.657438484435488</v>
          </cell>
          <cell r="F117">
            <v>91.089420491025436</v>
          </cell>
          <cell r="G117">
            <v>589.93200000000002</v>
          </cell>
          <cell r="H117">
            <v>493.52199999999999</v>
          </cell>
          <cell r="I117">
            <v>12.2</v>
          </cell>
          <cell r="J117">
            <v>4.4000000000000004</v>
          </cell>
        </row>
        <row r="118">
          <cell r="B118" t="str">
            <v>ASAHI 2RP PILSEN</v>
          </cell>
          <cell r="E118">
            <v>83.943559322033906</v>
          </cell>
          <cell r="F118">
            <v>91.609637798931971</v>
          </cell>
          <cell r="G118">
            <v>590</v>
          </cell>
          <cell r="H118">
            <v>495.267</v>
          </cell>
          <cell r="I118">
            <v>12.4</v>
          </cell>
          <cell r="J118">
            <v>4.4000000000000004</v>
          </cell>
        </row>
        <row r="119">
          <cell r="B119" t="str">
            <v>CARLBERG 6RH PILSEN</v>
          </cell>
          <cell r="E119">
            <v>83.425402190329123</v>
          </cell>
          <cell r="F119">
            <v>91.04416038122676</v>
          </cell>
          <cell r="G119">
            <v>589.95699999999999</v>
          </cell>
          <cell r="H119">
            <v>492.17399999999998</v>
          </cell>
          <cell r="I119">
            <v>12.4</v>
          </cell>
          <cell r="J119">
            <v>4.4000000000000004</v>
          </cell>
        </row>
        <row r="120">
          <cell r="B120" t="str">
            <v>GLOBE PILSEN</v>
          </cell>
          <cell r="E120">
            <v>86.197241362805741</v>
          </cell>
          <cell r="F120">
            <v>94.176643134676894</v>
          </cell>
          <cell r="G120">
            <v>584.99900000000002</v>
          </cell>
          <cell r="H120">
            <v>504.25299999999999</v>
          </cell>
          <cell r="I120">
            <v>12.5</v>
          </cell>
          <cell r="J120">
            <v>4.4000000000000004</v>
          </cell>
        </row>
        <row r="121">
          <cell r="B121" t="str">
            <v>CARLBERG 2RP PILSEN</v>
          </cell>
          <cell r="E121">
            <v>83.683905628237042</v>
          </cell>
          <cell r="F121">
            <v>91.430644320679562</v>
          </cell>
          <cell r="G121">
            <v>580.00400000000002</v>
          </cell>
          <cell r="H121">
            <v>485.37</v>
          </cell>
          <cell r="I121">
            <v>12.5</v>
          </cell>
          <cell r="J121">
            <v>4.4000000000000004</v>
          </cell>
        </row>
        <row r="122">
          <cell r="B122" t="str">
            <v>ABI4 PILSEN</v>
          </cell>
          <cell r="E122">
            <v>83.352848969488946</v>
          </cell>
          <cell r="F122">
            <v>91.277575732911146</v>
          </cell>
          <cell r="G122">
            <v>585.00099999999998</v>
          </cell>
          <cell r="H122">
            <v>487.61500000000001</v>
          </cell>
          <cell r="I122">
            <v>12.7</v>
          </cell>
          <cell r="J122">
            <v>4.4000000000000004</v>
          </cell>
        </row>
        <row r="123">
          <cell r="B123" t="str">
            <v>HEINEKEN C 6RH PILSEN</v>
          </cell>
          <cell r="E123">
            <v>82.795585844497737</v>
          </cell>
          <cell r="F123">
            <v>90.667331119518707</v>
          </cell>
          <cell r="G123">
            <v>580.04300000000001</v>
          </cell>
          <cell r="H123">
            <v>480.25</v>
          </cell>
          <cell r="I123">
            <v>12.7</v>
          </cell>
          <cell r="J123">
            <v>4.4000000000000004</v>
          </cell>
        </row>
        <row r="124">
          <cell r="B124" t="str">
            <v>HEINEKEN C 6RH PILSEN</v>
          </cell>
          <cell r="E124">
            <v>84.510318121238143</v>
          </cell>
          <cell r="F124">
            <v>92.651220325577583</v>
          </cell>
          <cell r="G124">
            <v>579.99900000000002</v>
          </cell>
          <cell r="H124">
            <v>490.15899999999999</v>
          </cell>
          <cell r="I124">
            <v>12.8</v>
          </cell>
          <cell r="J124">
            <v>4.4000000000000004</v>
          </cell>
        </row>
        <row r="125">
          <cell r="B125" t="str">
            <v>HEINEKEN C 6RH PILSEN</v>
          </cell>
          <cell r="E125">
            <v>84.882414984418304</v>
          </cell>
          <cell r="F125">
            <v>93.273090488625172</v>
          </cell>
          <cell r="G125">
            <v>584.98099999999999</v>
          </cell>
          <cell r="H125">
            <v>496.54599999999999</v>
          </cell>
          <cell r="I125">
            <v>13</v>
          </cell>
          <cell r="J125">
            <v>4.4000000000000004</v>
          </cell>
        </row>
        <row r="126">
          <cell r="B126" t="str">
            <v>ASAHI 2RP PILSEN</v>
          </cell>
          <cell r="E126">
            <v>83.293449513635792</v>
          </cell>
          <cell r="F126">
            <v>91.527054867857231</v>
          </cell>
          <cell r="G126">
            <v>580.01800000000003</v>
          </cell>
          <cell r="H126">
            <v>483.11700000000002</v>
          </cell>
          <cell r="I126">
            <v>13</v>
          </cell>
          <cell r="J126">
            <v>4.4000000000000004</v>
          </cell>
        </row>
        <row r="127">
          <cell r="B127" t="str">
            <v>ASAHI 2RP PILSEN</v>
          </cell>
          <cell r="E127">
            <v>83.227874290522124</v>
          </cell>
          <cell r="F127">
            <v>91.560239150447828</v>
          </cell>
          <cell r="G127">
            <v>580.00400000000002</v>
          </cell>
          <cell r="H127">
            <v>482.72500000000002</v>
          </cell>
          <cell r="I127">
            <v>13.1</v>
          </cell>
          <cell r="J127">
            <v>4.4000000000000004</v>
          </cell>
        </row>
        <row r="128">
          <cell r="B128" t="str">
            <v>ASAHI 2RP PILSEN</v>
          </cell>
          <cell r="E128">
            <v>83.789683489343659</v>
          </cell>
          <cell r="F128">
            <v>92.284490110383103</v>
          </cell>
          <cell r="G128">
            <v>585.00400000000002</v>
          </cell>
          <cell r="H128">
            <v>490.173</v>
          </cell>
          <cell r="I128">
            <v>13.2</v>
          </cell>
          <cell r="J128">
            <v>4.4000000000000004</v>
          </cell>
        </row>
        <row r="129">
          <cell r="B129" t="str">
            <v>HEINEKEN A 2RP PILSEN</v>
          </cell>
          <cell r="E129">
            <v>84.588171403449792</v>
          </cell>
          <cell r="F129">
            <v>93.271386230332183</v>
          </cell>
          <cell r="G129">
            <v>580.03499999999997</v>
          </cell>
          <cell r="H129">
            <v>490.64100000000002</v>
          </cell>
          <cell r="I129">
            <v>13.3</v>
          </cell>
          <cell r="J129">
            <v>4.4000000000000004</v>
          </cell>
        </row>
        <row r="130">
          <cell r="B130" t="str">
            <v>ASAHI 2RP PILSEN</v>
          </cell>
          <cell r="E130">
            <v>83.773336367837032</v>
          </cell>
          <cell r="F130">
            <v>92.372906075723421</v>
          </cell>
          <cell r="G130">
            <v>579.99599999999998</v>
          </cell>
          <cell r="H130">
            <v>485.88200000000001</v>
          </cell>
          <cell r="I130">
            <v>13.3</v>
          </cell>
          <cell r="J130">
            <v>4.4000000000000004</v>
          </cell>
        </row>
        <row r="131">
          <cell r="B131" t="str">
            <v>GLOBE PILSEN</v>
          </cell>
          <cell r="E131">
            <v>82.395739405840899</v>
          </cell>
          <cell r="F131">
            <v>90.958807011528748</v>
          </cell>
          <cell r="G131">
            <v>580.01300000000003</v>
          </cell>
          <cell r="H131">
            <v>477.90600000000001</v>
          </cell>
          <cell r="I131">
            <v>13.4</v>
          </cell>
          <cell r="J131">
            <v>4.4000000000000004</v>
          </cell>
        </row>
        <row r="132">
          <cell r="B132" t="str">
            <v>ASAHI 2RP PILSEN</v>
          </cell>
          <cell r="E132">
            <v>85.086375829153567</v>
          </cell>
          <cell r="F132">
            <v>94.037659297885327</v>
          </cell>
          <cell r="G132">
            <v>570.00900000000001</v>
          </cell>
          <cell r="H132">
            <v>485</v>
          </cell>
          <cell r="I132">
            <v>13.5</v>
          </cell>
          <cell r="J132">
            <v>4.4000000000000004</v>
          </cell>
        </row>
        <row r="133">
          <cell r="B133" t="str">
            <v>HEINEKEN C 6RH PILSEN</v>
          </cell>
          <cell r="E133">
            <v>85.024456938718856</v>
          </cell>
          <cell r="F133">
            <v>93.969226397011823</v>
          </cell>
          <cell r="G133">
            <v>579.99900000000002</v>
          </cell>
          <cell r="H133">
            <v>493.14100000000002</v>
          </cell>
          <cell r="I133">
            <v>13.5</v>
          </cell>
          <cell r="J133">
            <v>4.4000000000000004</v>
          </cell>
        </row>
        <row r="134">
          <cell r="B134" t="str">
            <v>CARLBERG 6RH PILSEN</v>
          </cell>
          <cell r="E134">
            <v>82.915900160858456</v>
          </cell>
          <cell r="F134">
            <v>91.638844570844725</v>
          </cell>
          <cell r="G134">
            <v>580.01300000000003</v>
          </cell>
          <cell r="H134">
            <v>480.923</v>
          </cell>
          <cell r="I134">
            <v>13.5</v>
          </cell>
          <cell r="J134">
            <v>4.4000000000000004</v>
          </cell>
        </row>
        <row r="135">
          <cell r="B135" t="str">
            <v>HEINEKEN C 6RH PILSEN</v>
          </cell>
          <cell r="E135">
            <v>84.734137931034496</v>
          </cell>
          <cell r="F135">
            <v>93.756754469987243</v>
          </cell>
          <cell r="G135">
            <v>580</v>
          </cell>
          <cell r="H135">
            <v>491.45800000000003</v>
          </cell>
          <cell r="I135">
            <v>13.6</v>
          </cell>
          <cell r="J135">
            <v>4.4000000000000004</v>
          </cell>
        </row>
        <row r="136">
          <cell r="B136" t="str">
            <v>CARLBERG 2RP PILSEN</v>
          </cell>
          <cell r="E136">
            <v>83.340258513229955</v>
          </cell>
          <cell r="F136">
            <v>92.321306070275597</v>
          </cell>
          <cell r="G136">
            <v>580.00900000000001</v>
          </cell>
          <cell r="H136">
            <v>483.38099999999997</v>
          </cell>
          <cell r="I136">
            <v>13.7</v>
          </cell>
          <cell r="J136">
            <v>4.4000000000000004</v>
          </cell>
        </row>
        <row r="137">
          <cell r="B137" t="str">
            <v>HEINEKEN C 6RH PILSEN</v>
          </cell>
          <cell r="E137">
            <v>82.386136360501538</v>
          </cell>
          <cell r="F137">
            <v>91.264364264935651</v>
          </cell>
          <cell r="G137">
            <v>579.99199999999996</v>
          </cell>
          <cell r="H137">
            <v>477.83300000000003</v>
          </cell>
          <cell r="I137">
            <v>13.7</v>
          </cell>
          <cell r="J137">
            <v>4.4000000000000004</v>
          </cell>
        </row>
        <row r="138">
          <cell r="B138" t="str">
            <v>ABI4 PILSEN</v>
          </cell>
          <cell r="E138">
            <v>83.879560489578608</v>
          </cell>
          <cell r="F138">
            <v>93.026519522084854</v>
          </cell>
          <cell r="G138">
            <v>580.00900000000001</v>
          </cell>
          <cell r="H138">
            <v>486.50900000000001</v>
          </cell>
          <cell r="I138">
            <v>13.8</v>
          </cell>
          <cell r="J138">
            <v>4.4000000000000004</v>
          </cell>
        </row>
        <row r="139">
          <cell r="B139" t="str">
            <v>HEINEKEN C 6RH PILSEN</v>
          </cell>
          <cell r="E139">
            <v>84.454421163517608</v>
          </cell>
          <cell r="F139">
            <v>93.772853231501557</v>
          </cell>
          <cell r="G139">
            <v>580.01700000000005</v>
          </cell>
          <cell r="H139">
            <v>489.85</v>
          </cell>
          <cell r="I139">
            <v>13.9</v>
          </cell>
          <cell r="J139">
            <v>4.4000000000000004</v>
          </cell>
        </row>
        <row r="140">
          <cell r="B140" t="str">
            <v>HEINEKEN C 6RH PILSEN</v>
          </cell>
          <cell r="E140">
            <v>83.673581981217794</v>
          </cell>
          <cell r="F140">
            <v>93.013888807028138</v>
          </cell>
          <cell r="G140">
            <v>580.01700000000005</v>
          </cell>
          <cell r="H140">
            <v>485.32100000000003</v>
          </cell>
          <cell r="I140">
            <v>14</v>
          </cell>
          <cell r="J140">
            <v>4.4000000000000004</v>
          </cell>
        </row>
        <row r="141">
          <cell r="B141" t="str">
            <v>GLOBE PILSEN</v>
          </cell>
          <cell r="E141">
            <v>83.003305166715236</v>
          </cell>
          <cell r="F141">
            <v>92.268790394627644</v>
          </cell>
          <cell r="G141">
            <v>580.00099999999998</v>
          </cell>
          <cell r="H141">
            <v>481.42</v>
          </cell>
          <cell r="I141">
            <v>14</v>
          </cell>
          <cell r="J141">
            <v>4.4000000000000004</v>
          </cell>
        </row>
        <row r="142">
          <cell r="B142" t="str">
            <v>HEINEKEN C 6RH PILSEN</v>
          </cell>
          <cell r="E142">
            <v>84.723924793751777</v>
          </cell>
          <cell r="F142">
            <v>94.29112002657358</v>
          </cell>
          <cell r="G142">
            <v>580.005</v>
          </cell>
          <cell r="H142">
            <v>491.40300000000002</v>
          </cell>
          <cell r="I142">
            <v>14.1</v>
          </cell>
          <cell r="J142">
            <v>4.4000000000000004</v>
          </cell>
        </row>
        <row r="143">
          <cell r="B143" t="str">
            <v>HEINEKEN C 6RH PILSEN</v>
          </cell>
          <cell r="E143">
            <v>84.062649264476391</v>
          </cell>
          <cell r="F143">
            <v>93.55517194044171</v>
          </cell>
          <cell r="G143">
            <v>579.92700000000002</v>
          </cell>
          <cell r="H143">
            <v>487.50200000000001</v>
          </cell>
          <cell r="I143">
            <v>14.1</v>
          </cell>
          <cell r="J143">
            <v>4.4000000000000004</v>
          </cell>
        </row>
        <row r="144">
          <cell r="B144" t="str">
            <v>HEINEKEN C 6RH PILSEN</v>
          </cell>
          <cell r="E144">
            <v>82.888073944955082</v>
          </cell>
          <cell r="F144">
            <v>92.247961223954661</v>
          </cell>
          <cell r="G144">
            <v>579.99900000000002</v>
          </cell>
          <cell r="H144">
            <v>480.75</v>
          </cell>
          <cell r="I144">
            <v>14.1</v>
          </cell>
          <cell r="J144">
            <v>4.4000000000000004</v>
          </cell>
        </row>
        <row r="145">
          <cell r="B145" t="str">
            <v>HEINEKEN C 6RH PILSEN</v>
          </cell>
          <cell r="E145">
            <v>80.999632741524181</v>
          </cell>
          <cell r="F145">
            <v>90.146273458553111</v>
          </cell>
          <cell r="G145">
            <v>579.97299999999996</v>
          </cell>
          <cell r="H145">
            <v>469.77600000000001</v>
          </cell>
          <cell r="I145">
            <v>14.1</v>
          </cell>
          <cell r="J145">
            <v>4.4000000000000004</v>
          </cell>
        </row>
        <row r="146">
          <cell r="B146" t="str">
            <v>HEINEKEN C 6RH PILSEN</v>
          </cell>
          <cell r="E146">
            <v>84.374509699121219</v>
          </cell>
          <cell r="F146">
            <v>94.011691459626888</v>
          </cell>
          <cell r="G146">
            <v>580.00099999999998</v>
          </cell>
          <cell r="H146">
            <v>489.37299999999999</v>
          </cell>
          <cell r="I146">
            <v>14.2</v>
          </cell>
          <cell r="J146">
            <v>4.4000000000000004</v>
          </cell>
        </row>
        <row r="147">
          <cell r="B147" t="str">
            <v>HEINEKEN C 6RH PILSEN</v>
          </cell>
          <cell r="E147">
            <v>84.331233911665677</v>
          </cell>
          <cell r="F147">
            <v>93.963472750061058</v>
          </cell>
          <cell r="G147">
            <v>580.00099999999998</v>
          </cell>
          <cell r="H147">
            <v>489.12200000000001</v>
          </cell>
          <cell r="I147">
            <v>14.2</v>
          </cell>
          <cell r="J147">
            <v>4.4000000000000004</v>
          </cell>
        </row>
        <row r="148">
          <cell r="B148" t="str">
            <v>HEINEKEN C 6RH PILSEN</v>
          </cell>
          <cell r="E148">
            <v>82.805350289479776</v>
          </cell>
          <cell r="F148">
            <v>92.478872519559189</v>
          </cell>
          <cell r="G148">
            <v>580.00599999999997</v>
          </cell>
          <cell r="H148">
            <v>480.27600000000001</v>
          </cell>
          <cell r="I148">
            <v>14.4</v>
          </cell>
          <cell r="J148">
            <v>4.4000000000000004</v>
          </cell>
        </row>
        <row r="149">
          <cell r="B149" t="str">
            <v>HEINEKEN C 6RH PILSEN</v>
          </cell>
          <cell r="E149">
            <v>83.763993510356016</v>
          </cell>
          <cell r="F149">
            <v>93.658921398713872</v>
          </cell>
          <cell r="G149">
            <v>580.00099999999998</v>
          </cell>
          <cell r="H149">
            <v>485.83199999999999</v>
          </cell>
          <cell r="I149">
            <v>14.5</v>
          </cell>
          <cell r="J149">
            <v>4.4000000000000004</v>
          </cell>
        </row>
        <row r="150">
          <cell r="B150" t="str">
            <v>HEINEKEN C 6RH PILSEN</v>
          </cell>
          <cell r="E150">
            <v>84.541725788904728</v>
          </cell>
          <cell r="F150">
            <v>94.639215285940182</v>
          </cell>
          <cell r="G150">
            <v>580.01300000000003</v>
          </cell>
          <cell r="H150">
            <v>490.35300000000001</v>
          </cell>
          <cell r="I150">
            <v>14.6</v>
          </cell>
          <cell r="J150">
            <v>4.4000000000000004</v>
          </cell>
        </row>
        <row r="151">
          <cell r="B151" t="str">
            <v>HEINEKEN C 6RH PILSEN</v>
          </cell>
          <cell r="E151">
            <v>83.595285549754834</v>
          </cell>
          <cell r="F151">
            <v>93.689440780264491</v>
          </cell>
          <cell r="G151">
            <v>580.00400000000002</v>
          </cell>
          <cell r="H151">
            <v>484.85599999999999</v>
          </cell>
          <cell r="I151">
            <v>14.7</v>
          </cell>
          <cell r="J151">
            <v>4.4000000000000004</v>
          </cell>
        </row>
        <row r="152">
          <cell r="B152" t="str">
            <v>GLOBE PILSEN</v>
          </cell>
          <cell r="E152">
            <v>83.845664940721846</v>
          </cell>
          <cell r="F152">
            <v>89.553907754766541</v>
          </cell>
          <cell r="G152">
            <v>590.01499999999999</v>
          </cell>
          <cell r="H152">
            <v>494.702</v>
          </cell>
          <cell r="I152">
            <v>10.4</v>
          </cell>
          <cell r="J152">
            <v>4.3</v>
          </cell>
        </row>
        <row r="153">
          <cell r="B153" t="str">
            <v>HEINEKEN A 2RP PILSEN</v>
          </cell>
          <cell r="E153">
            <v>84.783091792394444</v>
          </cell>
          <cell r="F153">
            <v>91.165639152046609</v>
          </cell>
          <cell r="G153">
            <v>584.99400000000003</v>
          </cell>
          <cell r="H153">
            <v>495.976</v>
          </cell>
          <cell r="I153">
            <v>11</v>
          </cell>
          <cell r="J153">
            <v>4.3</v>
          </cell>
        </row>
        <row r="154">
          <cell r="B154" t="str">
            <v>HEINEKEN A 2RP PILSEN</v>
          </cell>
          <cell r="E154">
            <v>84.45559674108874</v>
          </cell>
          <cell r="F154">
            <v>90.813489978901046</v>
          </cell>
          <cell r="G154">
            <v>590.01300000000003</v>
          </cell>
          <cell r="H154">
            <v>498.29899999999998</v>
          </cell>
          <cell r="I154">
            <v>11</v>
          </cell>
          <cell r="J154">
            <v>4.3</v>
          </cell>
        </row>
        <row r="155">
          <cell r="B155" t="str">
            <v>HEINEKEN A 2RP PILSEN</v>
          </cell>
          <cell r="E155">
            <v>84.025124827546463</v>
          </cell>
          <cell r="F155">
            <v>90.350611752766241</v>
          </cell>
          <cell r="G155">
            <v>590.01400000000001</v>
          </cell>
          <cell r="H155">
            <v>495.76</v>
          </cell>
          <cell r="I155">
            <v>11</v>
          </cell>
          <cell r="J155">
            <v>4.3</v>
          </cell>
        </row>
        <row r="156">
          <cell r="B156" t="str">
            <v>HEINEKEN A 2RP PILSEN</v>
          </cell>
          <cell r="E156">
            <v>83.305182877127876</v>
          </cell>
          <cell r="F156">
            <v>89.576471925181323</v>
          </cell>
          <cell r="G156">
            <v>595.01700000000005</v>
          </cell>
          <cell r="H156">
            <v>495.68</v>
          </cell>
          <cell r="I156">
            <v>11</v>
          </cell>
          <cell r="J156">
            <v>4.3</v>
          </cell>
        </row>
        <row r="157">
          <cell r="B157" t="str">
            <v>ABI4 PILSEN</v>
          </cell>
          <cell r="E157">
            <v>82.843620689655168</v>
          </cell>
          <cell r="F157">
            <v>89.080162921348304</v>
          </cell>
          <cell r="G157">
            <v>580</v>
          </cell>
          <cell r="H157">
            <v>480.49299999999999</v>
          </cell>
          <cell r="I157">
            <v>11</v>
          </cell>
          <cell r="J157">
            <v>4.3</v>
          </cell>
        </row>
        <row r="158">
          <cell r="B158" t="str">
            <v>GLOBE PILSEN</v>
          </cell>
          <cell r="E158">
            <v>85.785540889091166</v>
          </cell>
          <cell r="F158">
            <v>92.347314545399612</v>
          </cell>
          <cell r="G158">
            <v>580.00800000000004</v>
          </cell>
          <cell r="H158">
            <v>497.56299999999999</v>
          </cell>
          <cell r="I158">
            <v>11.1</v>
          </cell>
          <cell r="J158">
            <v>4.3</v>
          </cell>
        </row>
        <row r="159">
          <cell r="B159" t="str">
            <v>HEINEKEN A 2RP PILSEN</v>
          </cell>
          <cell r="E159">
            <v>84.890613629220795</v>
          </cell>
          <cell r="F159">
            <v>91.383933906821497</v>
          </cell>
          <cell r="G159">
            <v>595.00099999999998</v>
          </cell>
          <cell r="H159">
            <v>505.1</v>
          </cell>
          <cell r="I159">
            <v>11.1</v>
          </cell>
          <cell r="J159">
            <v>4.3</v>
          </cell>
        </row>
        <row r="160">
          <cell r="B160" t="str">
            <v>ASAHI 2RP PILSEN</v>
          </cell>
          <cell r="E160">
            <v>84.604434315524813</v>
          </cell>
          <cell r="F160">
            <v>91.178427522474365</v>
          </cell>
          <cell r="G160">
            <v>594.99599999999998</v>
          </cell>
          <cell r="H160">
            <v>503.39299999999997</v>
          </cell>
          <cell r="I160">
            <v>11.2</v>
          </cell>
          <cell r="J160">
            <v>4.3</v>
          </cell>
        </row>
        <row r="161">
          <cell r="B161" t="str">
            <v>ASAHI 2RP PILSEN</v>
          </cell>
          <cell r="E161">
            <v>87.012025118005482</v>
          </cell>
          <cell r="F161">
            <v>93.878814022470408</v>
          </cell>
          <cell r="G161">
            <v>590.01499999999999</v>
          </cell>
          <cell r="H161">
            <v>513.38400000000001</v>
          </cell>
          <cell r="I161">
            <v>11.3</v>
          </cell>
          <cell r="J161">
            <v>4.3</v>
          </cell>
        </row>
        <row r="162">
          <cell r="B162" t="str">
            <v>HEINEKEN A 2RP PILSEN</v>
          </cell>
          <cell r="E162">
            <v>85.499620175727557</v>
          </cell>
          <cell r="F162">
            <v>92.24705356050876</v>
          </cell>
          <cell r="G162">
            <v>595.01199999999994</v>
          </cell>
          <cell r="H162">
            <v>508.733</v>
          </cell>
          <cell r="I162">
            <v>11.3</v>
          </cell>
          <cell r="J162">
            <v>4.3</v>
          </cell>
        </row>
        <row r="163">
          <cell r="B163" t="str">
            <v>HEINEKEN C 6RH PILSEN</v>
          </cell>
          <cell r="E163">
            <v>84.430015499812939</v>
          </cell>
          <cell r="F163">
            <v>91.093038143541136</v>
          </cell>
          <cell r="G163">
            <v>580.00699999999995</v>
          </cell>
          <cell r="H163">
            <v>489.7</v>
          </cell>
          <cell r="I163">
            <v>11.3</v>
          </cell>
          <cell r="J163">
            <v>4.3</v>
          </cell>
        </row>
        <row r="164">
          <cell r="B164" t="str">
            <v>HEINEKEN C 6RH PILSEN</v>
          </cell>
          <cell r="E164">
            <v>84.409482451769051</v>
          </cell>
          <cell r="F164">
            <v>91.070884674569314</v>
          </cell>
          <cell r="G164">
            <v>589.97400000000005</v>
          </cell>
          <cell r="H164">
            <v>497.99400000000003</v>
          </cell>
          <cell r="I164">
            <v>11.3</v>
          </cell>
          <cell r="J164">
            <v>4.3</v>
          </cell>
        </row>
        <row r="165">
          <cell r="B165" t="str">
            <v>HEINEKEN C 6RH PILSEN</v>
          </cell>
          <cell r="E165">
            <v>84.113938127479528</v>
          </cell>
          <cell r="F165">
            <v>90.752016671925489</v>
          </cell>
          <cell r="G165">
            <v>579.99900000000002</v>
          </cell>
          <cell r="H165">
            <v>487.86</v>
          </cell>
          <cell r="I165">
            <v>11.3</v>
          </cell>
          <cell r="J165">
            <v>4.3</v>
          </cell>
        </row>
        <row r="166">
          <cell r="B166" t="str">
            <v>CARLBERG 2RP PILSEN</v>
          </cell>
          <cell r="E166">
            <v>86.428363750035714</v>
          </cell>
          <cell r="F166">
            <v>93.354338723232715</v>
          </cell>
          <cell r="G166">
            <v>595.01300000000003</v>
          </cell>
          <cell r="H166">
            <v>514.26</v>
          </cell>
          <cell r="I166">
            <v>11.4</v>
          </cell>
          <cell r="J166">
            <v>4.3</v>
          </cell>
        </row>
        <row r="167">
          <cell r="B167" t="str">
            <v>HEINEKEN C 6RH PILSEN</v>
          </cell>
          <cell r="E167">
            <v>83.384884879707329</v>
          </cell>
          <cell r="F167">
            <v>90.066969333950226</v>
          </cell>
          <cell r="G167">
            <v>580.00199999999995</v>
          </cell>
          <cell r="H167">
            <v>483.63400000000001</v>
          </cell>
          <cell r="I167">
            <v>11.4</v>
          </cell>
          <cell r="J167">
            <v>4.3</v>
          </cell>
        </row>
        <row r="168">
          <cell r="B168" t="str">
            <v>HEINEKEN C 6RH PILSEN</v>
          </cell>
          <cell r="E168">
            <v>84.016606839286766</v>
          </cell>
          <cell r="F168">
            <v>90.851856209262635</v>
          </cell>
          <cell r="G168">
            <v>580.00199999999995</v>
          </cell>
          <cell r="H168">
            <v>487.298</v>
          </cell>
          <cell r="I168">
            <v>11.5</v>
          </cell>
          <cell r="J168">
            <v>4.3</v>
          </cell>
        </row>
        <row r="169">
          <cell r="B169" t="str">
            <v>ASAHI 2RP PILSEN</v>
          </cell>
          <cell r="E169">
            <v>86.995608395980511</v>
          </cell>
          <cell r="F169">
            <v>94.179634881168951</v>
          </cell>
          <cell r="G169">
            <v>594.99900000000002</v>
          </cell>
          <cell r="H169">
            <v>517.62300000000005</v>
          </cell>
          <cell r="I169">
            <v>11.6</v>
          </cell>
          <cell r="J169">
            <v>4.3</v>
          </cell>
        </row>
        <row r="170">
          <cell r="B170" t="str">
            <v>CARLBERG 2RP PILSEN</v>
          </cell>
          <cell r="E170">
            <v>86.596823037064581</v>
          </cell>
          <cell r="F170">
            <v>93.747918152116299</v>
          </cell>
          <cell r="G170">
            <v>600.00699999999995</v>
          </cell>
          <cell r="H170">
            <v>519.58699999999999</v>
          </cell>
          <cell r="I170">
            <v>11.6</v>
          </cell>
          <cell r="J170">
            <v>4.3</v>
          </cell>
        </row>
        <row r="171">
          <cell r="B171" t="str">
            <v>HEINEKEN C 6RH PILSEN</v>
          </cell>
          <cell r="E171">
            <v>84.208783818736748</v>
          </cell>
          <cell r="F171">
            <v>91.162676600148259</v>
          </cell>
          <cell r="G171">
            <v>579.92999999999995</v>
          </cell>
          <cell r="H171">
            <v>488.35199999999998</v>
          </cell>
          <cell r="I171">
            <v>11.6</v>
          </cell>
          <cell r="J171">
            <v>4.3</v>
          </cell>
        </row>
        <row r="172">
          <cell r="B172" t="str">
            <v>ABI4 PILSEN</v>
          </cell>
          <cell r="E172">
            <v>85.189133669827086</v>
          </cell>
          <cell r="F172">
            <v>92.328426865259942</v>
          </cell>
          <cell r="G172">
            <v>590.00599999999997</v>
          </cell>
          <cell r="H172">
            <v>502.62099999999998</v>
          </cell>
          <cell r="I172">
            <v>11.7</v>
          </cell>
          <cell r="J172">
            <v>4.3</v>
          </cell>
        </row>
        <row r="173">
          <cell r="B173" t="str">
            <v>HEINEKEN A 2RP PILSEN</v>
          </cell>
          <cell r="E173">
            <v>84.58717089094614</v>
          </cell>
          <cell r="F173">
            <v>91.676016469575814</v>
          </cell>
          <cell r="G173">
            <v>590.00199999999995</v>
          </cell>
          <cell r="H173">
            <v>499.06599999999997</v>
          </cell>
          <cell r="I173">
            <v>11.7</v>
          </cell>
          <cell r="J173">
            <v>4.3</v>
          </cell>
        </row>
        <row r="174">
          <cell r="B174" t="str">
            <v>HEINEKEN C 6RH PILSEN</v>
          </cell>
          <cell r="E174">
            <v>84.119421704716871</v>
          </cell>
          <cell r="F174">
            <v>91.169067464795063</v>
          </cell>
          <cell r="G174">
            <v>590.01</v>
          </cell>
          <cell r="H174">
            <v>496.31299999999999</v>
          </cell>
          <cell r="I174">
            <v>11.7</v>
          </cell>
          <cell r="J174">
            <v>4.3</v>
          </cell>
        </row>
        <row r="175">
          <cell r="B175" t="str">
            <v>ABI4 PILSEN</v>
          </cell>
          <cell r="E175">
            <v>84.088777473569522</v>
          </cell>
          <cell r="F175">
            <v>91.135855087436056</v>
          </cell>
          <cell r="G175">
            <v>580.01199999999994</v>
          </cell>
          <cell r="H175">
            <v>487.72500000000002</v>
          </cell>
          <cell r="I175">
            <v>11.7</v>
          </cell>
          <cell r="J175">
            <v>4.3</v>
          </cell>
        </row>
        <row r="176">
          <cell r="B176" t="str">
            <v>HEINEKEN C 6RH PILSEN</v>
          </cell>
          <cell r="E176">
            <v>83.066952185877156</v>
          </cell>
          <cell r="F176">
            <v>90.028395517422908</v>
          </cell>
          <cell r="G176">
            <v>579.99599999999998</v>
          </cell>
          <cell r="H176">
            <v>481.78500000000003</v>
          </cell>
          <cell r="I176">
            <v>11.7</v>
          </cell>
          <cell r="J176">
            <v>4.3</v>
          </cell>
        </row>
        <row r="177">
          <cell r="B177" t="str">
            <v>ASAHI 2RP PILSEN</v>
          </cell>
          <cell r="E177">
            <v>86.381086205273704</v>
          </cell>
          <cell r="F177">
            <v>93.726416664905827</v>
          </cell>
          <cell r="G177">
            <v>594.952</v>
          </cell>
          <cell r="H177">
            <v>513.92600000000004</v>
          </cell>
          <cell r="I177">
            <v>11.8</v>
          </cell>
          <cell r="J177">
            <v>4.3</v>
          </cell>
        </row>
        <row r="178">
          <cell r="B178" t="str">
            <v>ASAHI 2RP PILSEN</v>
          </cell>
          <cell r="E178">
            <v>85.517179944433892</v>
          </cell>
          <cell r="F178">
            <v>92.789048987327931</v>
          </cell>
          <cell r="G178">
            <v>594.96699999999998</v>
          </cell>
          <cell r="H178">
            <v>508.79899999999998</v>
          </cell>
          <cell r="I178">
            <v>11.8</v>
          </cell>
          <cell r="J178">
            <v>4.3</v>
          </cell>
        </row>
        <row r="179">
          <cell r="B179" t="str">
            <v>HEINEKEN A 2RP PILSEN</v>
          </cell>
          <cell r="E179">
            <v>85.40590688082878</v>
          </cell>
          <cell r="F179">
            <v>92.668313928518302</v>
          </cell>
          <cell r="G179">
            <v>595.00099999999998</v>
          </cell>
          <cell r="H179">
            <v>508.166</v>
          </cell>
          <cell r="I179">
            <v>11.8</v>
          </cell>
          <cell r="J179">
            <v>4.3</v>
          </cell>
        </row>
        <row r="180">
          <cell r="B180" t="str">
            <v>ABI4 PILSEN</v>
          </cell>
          <cell r="E180">
            <v>84.968127820912414</v>
          </cell>
          <cell r="F180">
            <v>92.19330875806483</v>
          </cell>
          <cell r="G180">
            <v>590.01300000000003</v>
          </cell>
          <cell r="H180">
            <v>501.32299999999998</v>
          </cell>
          <cell r="I180">
            <v>11.8</v>
          </cell>
          <cell r="J180">
            <v>4.3</v>
          </cell>
        </row>
        <row r="181">
          <cell r="B181" t="str">
            <v>HEINEKEN C 6RH PILSEN</v>
          </cell>
          <cell r="E181">
            <v>83.930823736912814</v>
          </cell>
          <cell r="F181">
            <v>91.067798544473405</v>
          </cell>
          <cell r="G181">
            <v>585.11400000000003</v>
          </cell>
          <cell r="H181">
            <v>491.09100000000001</v>
          </cell>
          <cell r="I181">
            <v>11.8</v>
          </cell>
          <cell r="J181">
            <v>4.3</v>
          </cell>
        </row>
        <row r="182">
          <cell r="B182" t="str">
            <v>HEINEKEN C 6RH PILSEN</v>
          </cell>
          <cell r="E182">
            <v>84.386879875867422</v>
          </cell>
          <cell r="F182">
            <v>91.666565313513189</v>
          </cell>
          <cell r="G182">
            <v>580.02499999999998</v>
          </cell>
          <cell r="H182">
            <v>489.46499999999997</v>
          </cell>
          <cell r="I182">
            <v>11.9</v>
          </cell>
          <cell r="J182">
            <v>4.3</v>
          </cell>
        </row>
        <row r="183">
          <cell r="B183" t="str">
            <v>CARLBERG 6RH PILSEN</v>
          </cell>
          <cell r="E183">
            <v>84.292953030495354</v>
          </cell>
          <cell r="F183">
            <v>91.564535811786669</v>
          </cell>
          <cell r="G183">
            <v>582.97400000000005</v>
          </cell>
          <cell r="H183">
            <v>491.40600000000001</v>
          </cell>
          <cell r="I183">
            <v>11.9</v>
          </cell>
          <cell r="J183">
            <v>4.3</v>
          </cell>
        </row>
        <row r="184">
          <cell r="B184" t="str">
            <v>ABI4 PILSEN</v>
          </cell>
          <cell r="E184">
            <v>84.136934625715924</v>
          </cell>
          <cell r="F184">
            <v>91.395058384574497</v>
          </cell>
          <cell r="G184">
            <v>580.01400000000001</v>
          </cell>
          <cell r="H184">
            <v>488.00599999999997</v>
          </cell>
          <cell r="I184">
            <v>11.9</v>
          </cell>
          <cell r="J184">
            <v>4.3</v>
          </cell>
        </row>
        <row r="185">
          <cell r="B185" t="str">
            <v>HEINEKEN C 6RH PILSEN</v>
          </cell>
          <cell r="E185">
            <v>84.962534353566738</v>
          </cell>
          <cell r="F185">
            <v>92.396756109503826</v>
          </cell>
          <cell r="G185">
            <v>579.99800000000005</v>
          </cell>
          <cell r="H185">
            <v>492.78100000000001</v>
          </cell>
          <cell r="I185">
            <v>12</v>
          </cell>
          <cell r="J185">
            <v>4.3</v>
          </cell>
        </row>
        <row r="186">
          <cell r="B186" t="str">
            <v>HEINEKEN C 6RH PILSEN</v>
          </cell>
          <cell r="E186">
            <v>83.808159282209388</v>
          </cell>
          <cell r="F186">
            <v>91.141373219402695</v>
          </cell>
          <cell r="G186">
            <v>580.00199999999995</v>
          </cell>
          <cell r="H186">
            <v>486.089</v>
          </cell>
          <cell r="I186">
            <v>12</v>
          </cell>
          <cell r="J186">
            <v>4.3</v>
          </cell>
        </row>
        <row r="187">
          <cell r="B187" t="str">
            <v>HEINEKEN C 6RH PILSEN</v>
          </cell>
          <cell r="E187">
            <v>83.503737982592867</v>
          </cell>
          <cell r="F187">
            <v>90.81031505606974</v>
          </cell>
          <cell r="G187">
            <v>579.99199999999996</v>
          </cell>
          <cell r="H187">
            <v>484.315</v>
          </cell>
          <cell r="I187">
            <v>12</v>
          </cell>
          <cell r="J187">
            <v>4.3</v>
          </cell>
        </row>
        <row r="188">
          <cell r="B188" t="str">
            <v>HEINEKEN C 6RH PILSEN</v>
          </cell>
          <cell r="E188">
            <v>83.252790827981556</v>
          </cell>
          <cell r="F188">
            <v>90.537410025429949</v>
          </cell>
          <cell r="G188">
            <v>580.02499999999998</v>
          </cell>
          <cell r="H188">
            <v>482.887</v>
          </cell>
          <cell r="I188">
            <v>12</v>
          </cell>
          <cell r="J188">
            <v>4.3</v>
          </cell>
        </row>
        <row r="189">
          <cell r="B189" t="str">
            <v>HEINEKEN C 6RH PILSEN</v>
          </cell>
          <cell r="E189">
            <v>87.259940725466507</v>
          </cell>
          <cell r="F189">
            <v>95.003143656736555</v>
          </cell>
          <cell r="G189">
            <v>580.01300000000003</v>
          </cell>
          <cell r="H189">
            <v>506.11900000000003</v>
          </cell>
          <cell r="I189">
            <v>12.1</v>
          </cell>
          <cell r="J189">
            <v>4.3</v>
          </cell>
        </row>
        <row r="190">
          <cell r="B190" t="str">
            <v>HEINEKEN C 6RH PILSEN</v>
          </cell>
          <cell r="E190">
            <v>86.334322580426473</v>
          </cell>
          <cell r="F190">
            <v>93.995388747972854</v>
          </cell>
          <cell r="G190">
            <v>590.01099999999997</v>
          </cell>
          <cell r="H190">
            <v>509.38200000000001</v>
          </cell>
          <cell r="I190">
            <v>12.1</v>
          </cell>
          <cell r="J190">
            <v>4.3</v>
          </cell>
        </row>
        <row r="191">
          <cell r="B191" t="str">
            <v>CARLBERG 6RH PILSEN</v>
          </cell>
          <cell r="E191">
            <v>85.653196747151725</v>
          </cell>
          <cell r="F191">
            <v>93.253821714475762</v>
          </cell>
          <cell r="G191">
            <v>590.00599999999997</v>
          </cell>
          <cell r="H191">
            <v>505.35899999999998</v>
          </cell>
          <cell r="I191">
            <v>12.1</v>
          </cell>
          <cell r="J191">
            <v>4.3</v>
          </cell>
        </row>
        <row r="192">
          <cell r="B192" t="str">
            <v>HEINEKEN C 6RH PILSEN</v>
          </cell>
          <cell r="E192">
            <v>84.153004522343622</v>
          </cell>
          <cell r="F192">
            <v>91.620506630128375</v>
          </cell>
          <cell r="G192">
            <v>580.00900000000001</v>
          </cell>
          <cell r="H192">
            <v>488.09500000000003</v>
          </cell>
          <cell r="I192">
            <v>12.1</v>
          </cell>
          <cell r="J192">
            <v>4.3</v>
          </cell>
        </row>
        <row r="193">
          <cell r="B193" t="str">
            <v>HEINEKEN C 6RH PILSEN</v>
          </cell>
          <cell r="E193">
            <v>83.715517241379317</v>
          </cell>
          <cell r="F193">
            <v>91.144197952218434</v>
          </cell>
          <cell r="G193">
            <v>580</v>
          </cell>
          <cell r="H193">
            <v>485.55</v>
          </cell>
          <cell r="I193">
            <v>12.1</v>
          </cell>
          <cell r="J193">
            <v>4.3</v>
          </cell>
        </row>
        <row r="194">
          <cell r="B194" t="str">
            <v>HEINEKEN C 6RH PILSEN</v>
          </cell>
          <cell r="E194">
            <v>86.558767229490996</v>
          </cell>
          <cell r="F194">
            <v>94.347084554240183</v>
          </cell>
          <cell r="G194">
            <v>583.01199999999994</v>
          </cell>
          <cell r="H194">
            <v>504.64800000000002</v>
          </cell>
          <cell r="I194">
            <v>12.2</v>
          </cell>
          <cell r="J194">
            <v>4.3</v>
          </cell>
        </row>
        <row r="195">
          <cell r="B195" t="str">
            <v>HEINEKEN C 6RH PILSEN</v>
          </cell>
          <cell r="E195">
            <v>84.850790025658952</v>
          </cell>
          <cell r="F195">
            <v>92.590884896870719</v>
          </cell>
          <cell r="G195">
            <v>584.98099999999999</v>
          </cell>
          <cell r="H195">
            <v>496.36099999999999</v>
          </cell>
          <cell r="I195">
            <v>12.3</v>
          </cell>
          <cell r="J195">
            <v>4.3</v>
          </cell>
        </row>
        <row r="196">
          <cell r="B196" t="str">
            <v>HEINEKEN C 6RH PILSEN</v>
          </cell>
          <cell r="E196">
            <v>84.348601336967278</v>
          </cell>
          <cell r="F196">
            <v>92.042886521639332</v>
          </cell>
          <cell r="G196">
            <v>589.99199999999996</v>
          </cell>
          <cell r="H196">
            <v>497.65</v>
          </cell>
          <cell r="I196">
            <v>12.3</v>
          </cell>
          <cell r="J196">
            <v>4.3</v>
          </cell>
        </row>
        <row r="197">
          <cell r="B197" t="str">
            <v>HEINEKEN C 6RH PILSEN</v>
          </cell>
          <cell r="E197">
            <v>84.274672547055474</v>
          </cell>
          <cell r="F197">
            <v>91.962213942453928</v>
          </cell>
          <cell r="G197">
            <v>580.00699999999995</v>
          </cell>
          <cell r="H197">
            <v>488.79899999999998</v>
          </cell>
          <cell r="I197">
            <v>12.3</v>
          </cell>
          <cell r="J197">
            <v>4.3</v>
          </cell>
        </row>
        <row r="198">
          <cell r="B198" t="str">
            <v>HEINEKEN C 6RH PILSEN</v>
          </cell>
          <cell r="E198">
            <v>83.243559322033903</v>
          </cell>
          <cell r="F198">
            <v>90.837042498502214</v>
          </cell>
          <cell r="G198">
            <v>590</v>
          </cell>
          <cell r="H198">
            <v>491.137</v>
          </cell>
          <cell r="I198">
            <v>12.3</v>
          </cell>
          <cell r="J198">
            <v>4.3</v>
          </cell>
        </row>
        <row r="199">
          <cell r="B199" t="str">
            <v>ABI4 PILSEN</v>
          </cell>
          <cell r="E199">
            <v>82.385974712964725</v>
          </cell>
          <cell r="F199">
            <v>89.901228962722072</v>
          </cell>
          <cell r="G199">
            <v>579.98099999999999</v>
          </cell>
          <cell r="H199">
            <v>477.82299999999998</v>
          </cell>
          <cell r="I199">
            <v>12.3</v>
          </cell>
          <cell r="J199">
            <v>4.3</v>
          </cell>
        </row>
        <row r="200">
          <cell r="B200" t="str">
            <v>ABI4 PILSEN</v>
          </cell>
          <cell r="E200">
            <v>85.776599619293705</v>
          </cell>
          <cell r="F200">
            <v>93.707997529296875</v>
          </cell>
          <cell r="G200">
            <v>582.07600000000002</v>
          </cell>
          <cell r="H200">
            <v>499.28500000000003</v>
          </cell>
          <cell r="I200">
            <v>12.4</v>
          </cell>
          <cell r="J200">
            <v>4.3</v>
          </cell>
        </row>
        <row r="201">
          <cell r="B201" t="str">
            <v>HEINEKEN C 6RH PILSEN</v>
          </cell>
          <cell r="E201">
            <v>84.226252542691583</v>
          </cell>
          <cell r="F201">
            <v>92.014296442187032</v>
          </cell>
          <cell r="G201">
            <v>585.01</v>
          </cell>
          <cell r="H201">
            <v>492.73200000000003</v>
          </cell>
          <cell r="I201">
            <v>12.4</v>
          </cell>
          <cell r="J201">
            <v>4.3</v>
          </cell>
        </row>
        <row r="202">
          <cell r="B202" t="str">
            <v>ABI4 PILSEN</v>
          </cell>
          <cell r="E202">
            <v>83.944978436155466</v>
          </cell>
          <cell r="F202">
            <v>91.707014113471203</v>
          </cell>
          <cell r="G202">
            <v>585.00699999999995</v>
          </cell>
          <cell r="H202">
            <v>491.084</v>
          </cell>
          <cell r="I202">
            <v>12.4</v>
          </cell>
          <cell r="J202">
            <v>4.3</v>
          </cell>
        </row>
        <row r="203">
          <cell r="B203" t="str">
            <v>HEINEKEN C 6RH PILSEN</v>
          </cell>
          <cell r="E203">
            <v>83.929231259470697</v>
          </cell>
          <cell r="F203">
            <v>91.794599217501087</v>
          </cell>
          <cell r="G203">
            <v>589.97799999999995</v>
          </cell>
          <cell r="H203">
            <v>495.16399999999999</v>
          </cell>
          <cell r="I203">
            <v>12.5</v>
          </cell>
          <cell r="J203">
            <v>4.3</v>
          </cell>
        </row>
        <row r="204">
          <cell r="B204" t="str">
            <v>HEINEKEN C 6RH PILSEN</v>
          </cell>
          <cell r="E204">
            <v>83.545958911288309</v>
          </cell>
          <cell r="F204">
            <v>91.375408774974758</v>
          </cell>
          <cell r="G204">
            <v>582.00900000000001</v>
          </cell>
          <cell r="H204">
            <v>486.245</v>
          </cell>
          <cell r="I204">
            <v>12.5</v>
          </cell>
          <cell r="J204">
            <v>4.3</v>
          </cell>
        </row>
        <row r="205">
          <cell r="B205" t="str">
            <v>HEINEKEN A 2RP PILSEN</v>
          </cell>
          <cell r="E205">
            <v>82.997847741508238</v>
          </cell>
          <cell r="F205">
            <v>90.775931758426708</v>
          </cell>
          <cell r="G205">
            <v>579.85599999999999</v>
          </cell>
          <cell r="H205">
            <v>481.26799999999997</v>
          </cell>
          <cell r="I205">
            <v>12.5</v>
          </cell>
          <cell r="J205">
            <v>4.3</v>
          </cell>
        </row>
        <row r="206">
          <cell r="B206" t="str">
            <v>HEINEKEN C 6RH PILSEN</v>
          </cell>
          <cell r="E206">
            <v>83.119200571020698</v>
          </cell>
          <cell r="F206">
            <v>90.929440953894385</v>
          </cell>
          <cell r="G206">
            <v>580.01400000000001</v>
          </cell>
          <cell r="H206">
            <v>482.10300000000001</v>
          </cell>
          <cell r="I206">
            <v>12.52</v>
          </cell>
          <cell r="J206">
            <v>4.3</v>
          </cell>
        </row>
        <row r="207">
          <cell r="B207" t="str">
            <v>GLOBE PILSEN</v>
          </cell>
          <cell r="E207">
            <v>83.266159102927404</v>
          </cell>
          <cell r="F207">
            <v>91.278023209051014</v>
          </cell>
          <cell r="G207">
            <v>590.00800000000004</v>
          </cell>
          <cell r="H207">
            <v>491.27699999999999</v>
          </cell>
          <cell r="I207">
            <v>12.7</v>
          </cell>
          <cell r="J207">
            <v>4.3</v>
          </cell>
        </row>
        <row r="208">
          <cell r="B208" t="str">
            <v>HEINEKEN C 6RH PILSEN</v>
          </cell>
          <cell r="E208">
            <v>82.84848286313786</v>
          </cell>
          <cell r="F208">
            <v>90.820158190175178</v>
          </cell>
          <cell r="G208">
            <v>580.00699999999995</v>
          </cell>
          <cell r="H208">
            <v>480.52699999999999</v>
          </cell>
          <cell r="I208">
            <v>12.7</v>
          </cell>
          <cell r="J208">
            <v>4.3</v>
          </cell>
        </row>
        <row r="209">
          <cell r="B209" t="str">
            <v>ASAHI 2RP PILSEN</v>
          </cell>
          <cell r="E209">
            <v>85.8448300323235</v>
          </cell>
          <cell r="F209">
            <v>94.212732042355043</v>
          </cell>
          <cell r="G209">
            <v>585.02300000000002</v>
          </cell>
          <cell r="H209">
            <v>502.21199999999999</v>
          </cell>
          <cell r="I209">
            <v>12.8</v>
          </cell>
          <cell r="J209">
            <v>4.3</v>
          </cell>
        </row>
        <row r="210">
          <cell r="B210" t="str">
            <v>ABI4 PILSEN</v>
          </cell>
          <cell r="E210">
            <v>85.212765957446805</v>
          </cell>
          <cell r="F210">
            <v>93.51905621706031</v>
          </cell>
          <cell r="G210">
            <v>579.98</v>
          </cell>
          <cell r="H210">
            <v>494.21699999999998</v>
          </cell>
          <cell r="I210">
            <v>12.8</v>
          </cell>
          <cell r="J210">
            <v>4.3</v>
          </cell>
        </row>
        <row r="211">
          <cell r="B211" t="str">
            <v>HEINEKEN C 6RH PILSEN</v>
          </cell>
          <cell r="E211">
            <v>83.605695380907477</v>
          </cell>
          <cell r="F211">
            <v>91.755333118725289</v>
          </cell>
          <cell r="G211">
            <v>580.04899999999998</v>
          </cell>
          <cell r="H211">
            <v>484.95400000000001</v>
          </cell>
          <cell r="I211">
            <v>12.8</v>
          </cell>
          <cell r="J211">
            <v>4.3</v>
          </cell>
        </row>
        <row r="212">
          <cell r="B212" t="str">
            <v>HEINEKEN C 6RH PILSEN</v>
          </cell>
          <cell r="E212">
            <v>82.561444602824054</v>
          </cell>
          <cell r="F212">
            <v>90.609291840484644</v>
          </cell>
          <cell r="G212">
            <v>590.00300000000004</v>
          </cell>
          <cell r="H212">
            <v>487.11500000000001</v>
          </cell>
          <cell r="I212">
            <v>12.8</v>
          </cell>
          <cell r="J212">
            <v>4.3</v>
          </cell>
        </row>
        <row r="213">
          <cell r="B213" t="str">
            <v>ABI4 PILSEN</v>
          </cell>
          <cell r="E213">
            <v>84.10227657341342</v>
          </cell>
          <cell r="F213">
            <v>92.406290104198234</v>
          </cell>
          <cell r="G213">
            <v>585.00199999999995</v>
          </cell>
          <cell r="H213">
            <v>492</v>
          </cell>
          <cell r="I213">
            <v>12.9</v>
          </cell>
          <cell r="J213">
            <v>4.3</v>
          </cell>
        </row>
        <row r="214">
          <cell r="B214" t="str">
            <v>HEINEKEN C 6RH PILSEN</v>
          </cell>
          <cell r="E214">
            <v>83.517699877931875</v>
          </cell>
          <cell r="F214">
            <v>91.763994010540543</v>
          </cell>
          <cell r="G214">
            <v>580.00400000000002</v>
          </cell>
          <cell r="H214">
            <v>484.40600000000001</v>
          </cell>
          <cell r="I214">
            <v>12.9</v>
          </cell>
          <cell r="J214">
            <v>4.3</v>
          </cell>
        </row>
        <row r="215">
          <cell r="B215" t="str">
            <v>GLOBE PILSEN</v>
          </cell>
          <cell r="E215">
            <v>85.824849357344206</v>
          </cell>
          <cell r="F215">
            <v>94.515973342898064</v>
          </cell>
          <cell r="G215">
            <v>580.01499999999999</v>
          </cell>
          <cell r="H215">
            <v>497.79700000000003</v>
          </cell>
          <cell r="I215">
            <v>13.1</v>
          </cell>
          <cell r="J215">
            <v>4.3</v>
          </cell>
        </row>
        <row r="216">
          <cell r="B216" t="str">
            <v>HEINEKEN A 2RP PILSEN</v>
          </cell>
          <cell r="E216">
            <v>84.627877747146172</v>
          </cell>
          <cell r="F216">
            <v>93.197789417743266</v>
          </cell>
          <cell r="G216">
            <v>580.01099999999997</v>
          </cell>
          <cell r="H216">
            <v>490.851</v>
          </cell>
          <cell r="I216">
            <v>13.1</v>
          </cell>
          <cell r="J216">
            <v>4.3</v>
          </cell>
        </row>
        <row r="217">
          <cell r="B217" t="str">
            <v>GLOBE PILSEN</v>
          </cell>
          <cell r="E217">
            <v>81.491008775710753</v>
          </cell>
          <cell r="F217">
            <v>89.743262828947294</v>
          </cell>
          <cell r="G217">
            <v>580.01</v>
          </cell>
          <cell r="H217">
            <v>472.65600000000001</v>
          </cell>
          <cell r="I217">
            <v>13.1</v>
          </cell>
          <cell r="J217">
            <v>4.3</v>
          </cell>
        </row>
        <row r="218">
          <cell r="B218" t="str">
            <v>HEINEKEN C 6RH PILSEN</v>
          </cell>
          <cell r="E218">
            <v>84.532308981412356</v>
          </cell>
          <cell r="F218">
            <v>93.199792275589431</v>
          </cell>
          <cell r="G218">
            <v>580.00900000000001</v>
          </cell>
          <cell r="H218">
            <v>490.29500000000002</v>
          </cell>
          <cell r="I218">
            <v>13.2</v>
          </cell>
          <cell r="J218">
            <v>4.3</v>
          </cell>
        </row>
        <row r="219">
          <cell r="B219" t="str">
            <v>CARLBERG 2RP PILSEN</v>
          </cell>
          <cell r="E219">
            <v>82.584760738946414</v>
          </cell>
          <cell r="F219">
            <v>91.05255302669552</v>
          </cell>
          <cell r="G219">
            <v>580.01499999999999</v>
          </cell>
          <cell r="H219">
            <v>479.00400000000002</v>
          </cell>
          <cell r="I219">
            <v>13.2</v>
          </cell>
          <cell r="J219">
            <v>4.3</v>
          </cell>
        </row>
        <row r="220">
          <cell r="B220" t="str">
            <v>CARLBERG 2RP PILSEN</v>
          </cell>
          <cell r="E220">
            <v>81.040615307162199</v>
          </cell>
          <cell r="F220">
            <v>89.350079319071696</v>
          </cell>
          <cell r="G220">
            <v>580.00300000000004</v>
          </cell>
          <cell r="H220">
            <v>470.03800000000001</v>
          </cell>
          <cell r="I220">
            <v>13.2</v>
          </cell>
          <cell r="J220">
            <v>4.3</v>
          </cell>
        </row>
        <row r="221">
          <cell r="B221" t="str">
            <v>ASAHI 2RP PILSEN</v>
          </cell>
          <cell r="E221">
            <v>83.649137931034488</v>
          </cell>
          <cell r="F221">
            <v>92.439058891454977</v>
          </cell>
          <cell r="G221">
            <v>580</v>
          </cell>
          <cell r="H221">
            <v>485.16500000000002</v>
          </cell>
          <cell r="I221">
            <v>13.4</v>
          </cell>
          <cell r="J221">
            <v>4.3</v>
          </cell>
        </row>
        <row r="222">
          <cell r="B222" t="str">
            <v>HEINEKEN C 6RH PILSEN</v>
          </cell>
          <cell r="E222">
            <v>85.337470907680384</v>
          </cell>
          <cell r="F222">
            <v>94.523101456770988</v>
          </cell>
          <cell r="G222">
            <v>580.04999999999995</v>
          </cell>
          <cell r="H222">
            <v>495</v>
          </cell>
          <cell r="I222">
            <v>13.6</v>
          </cell>
          <cell r="J222">
            <v>4.3</v>
          </cell>
        </row>
        <row r="223">
          <cell r="B223" t="str">
            <v>GLOBE PILSEN</v>
          </cell>
          <cell r="E223">
            <v>83.918596462439936</v>
          </cell>
          <cell r="F223">
            <v>92.951500942772</v>
          </cell>
          <cell r="G223">
            <v>585.03599999999994</v>
          </cell>
          <cell r="H223">
            <v>490.95400000000001</v>
          </cell>
          <cell r="I223">
            <v>13.6</v>
          </cell>
          <cell r="J223">
            <v>4.3</v>
          </cell>
        </row>
        <row r="224">
          <cell r="B224" t="str">
            <v>GLOBE PILSEN</v>
          </cell>
          <cell r="E224">
            <v>82.968558187009492</v>
          </cell>
          <cell r="F224">
            <v>91.899201602972312</v>
          </cell>
          <cell r="G224">
            <v>579.99199999999996</v>
          </cell>
          <cell r="H224">
            <v>481.21100000000001</v>
          </cell>
          <cell r="I224">
            <v>13.6</v>
          </cell>
          <cell r="J224">
            <v>4.3</v>
          </cell>
        </row>
        <row r="225">
          <cell r="B225" t="str">
            <v>ASAHI 2RP PILSEN</v>
          </cell>
          <cell r="E225">
            <v>85.531578839408425</v>
          </cell>
          <cell r="F225">
            <v>94.847880590166696</v>
          </cell>
          <cell r="G225">
            <v>585.01199999999994</v>
          </cell>
          <cell r="H225">
            <v>500.37</v>
          </cell>
          <cell r="I225">
            <v>13.7</v>
          </cell>
          <cell r="J225">
            <v>4.3</v>
          </cell>
        </row>
        <row r="226">
          <cell r="B226" t="str">
            <v>GLOBE PILSEN</v>
          </cell>
          <cell r="E226">
            <v>82.472392479375173</v>
          </cell>
          <cell r="F226">
            <v>91.45548042035</v>
          </cell>
          <cell r="G226">
            <v>580.005</v>
          </cell>
          <cell r="H226">
            <v>478.34399999999999</v>
          </cell>
          <cell r="I226">
            <v>13.7</v>
          </cell>
          <cell r="J226">
            <v>4.3</v>
          </cell>
        </row>
        <row r="227">
          <cell r="B227" t="str">
            <v>HEINEKEN C 6RH PILSEN</v>
          </cell>
          <cell r="E227">
            <v>85.334409124919404</v>
          </cell>
          <cell r="F227">
            <v>94.739013378825831</v>
          </cell>
          <cell r="G227">
            <v>580.03800000000001</v>
          </cell>
          <cell r="H227">
            <v>494.97199999999998</v>
          </cell>
          <cell r="I227">
            <v>13.8</v>
          </cell>
          <cell r="J227">
            <v>4.3</v>
          </cell>
        </row>
        <row r="228">
          <cell r="B228" t="str">
            <v>HEINEKEN C 6RH PILSEN</v>
          </cell>
          <cell r="E228">
            <v>84.299482758620698</v>
          </cell>
          <cell r="F228">
            <v>93.590029002320179</v>
          </cell>
          <cell r="G228">
            <v>580</v>
          </cell>
          <cell r="H228">
            <v>488.93700000000001</v>
          </cell>
          <cell r="I228">
            <v>13.8</v>
          </cell>
          <cell r="J228">
            <v>4.3</v>
          </cell>
        </row>
        <row r="229">
          <cell r="B229" t="str">
            <v>HEINEKEN C 6RH PILSEN</v>
          </cell>
          <cell r="E229">
            <v>83.754189597384851</v>
          </cell>
          <cell r="F229">
            <v>92.984639727027059</v>
          </cell>
          <cell r="G229">
            <v>580.00800000000004</v>
          </cell>
          <cell r="H229">
            <v>485.78100000000001</v>
          </cell>
          <cell r="I229">
            <v>13.8</v>
          </cell>
          <cell r="J229">
            <v>4.3</v>
          </cell>
        </row>
        <row r="230">
          <cell r="B230" t="str">
            <v>HEINEKEN C 6RH PILSEN</v>
          </cell>
          <cell r="E230">
            <v>83.19514629894951</v>
          </cell>
          <cell r="F230">
            <v>92.363984928184081</v>
          </cell>
          <cell r="G230">
            <v>580.01099999999997</v>
          </cell>
          <cell r="H230">
            <v>482.541</v>
          </cell>
          <cell r="I230">
            <v>13.8</v>
          </cell>
          <cell r="J230">
            <v>4.3</v>
          </cell>
        </row>
        <row r="231">
          <cell r="B231" t="str">
            <v>HEINEKEN C 6RH PILSEN</v>
          </cell>
          <cell r="E231">
            <v>84.231080244625318</v>
          </cell>
          <cell r="F231">
            <v>93.622698947858822</v>
          </cell>
          <cell r="G231">
            <v>579.98900000000003</v>
          </cell>
          <cell r="H231">
            <v>488.53100000000001</v>
          </cell>
          <cell r="I231">
            <v>13.9</v>
          </cell>
          <cell r="J231">
            <v>4.3</v>
          </cell>
        </row>
        <row r="232">
          <cell r="B232" t="str">
            <v>HEINEKEN C 6RH PILSEN</v>
          </cell>
          <cell r="E232">
            <v>84.174991293193528</v>
          </cell>
          <cell r="F232">
            <v>93.560356176058306</v>
          </cell>
          <cell r="G232">
            <v>580.00599999999997</v>
          </cell>
          <cell r="H232">
            <v>488.22</v>
          </cell>
          <cell r="I232">
            <v>13.9</v>
          </cell>
          <cell r="J232">
            <v>4.3</v>
          </cell>
        </row>
        <row r="233">
          <cell r="B233" t="str">
            <v>HEINEKEN C 6RH PILSEN</v>
          </cell>
          <cell r="E233">
            <v>82.32992936316505</v>
          </cell>
          <cell r="F233">
            <v>91.509573055225275</v>
          </cell>
          <cell r="G233">
            <v>580.00900000000001</v>
          </cell>
          <cell r="H233">
            <v>477.52100000000002</v>
          </cell>
          <cell r="I233">
            <v>13.9</v>
          </cell>
          <cell r="J233">
            <v>4.3</v>
          </cell>
        </row>
        <row r="234">
          <cell r="B234" t="str">
            <v>GLOBE PILSEN</v>
          </cell>
          <cell r="E234">
            <v>84.717770647595643</v>
          </cell>
          <cell r="F234">
            <v>94.273147104359339</v>
          </cell>
          <cell r="G234">
            <v>580.00699999999995</v>
          </cell>
          <cell r="H234">
            <v>491.36900000000003</v>
          </cell>
          <cell r="I234">
            <v>14</v>
          </cell>
          <cell r="J234">
            <v>4.3</v>
          </cell>
        </row>
        <row r="235">
          <cell r="B235" t="str">
            <v>HEINEKEN C 6RH PILSEN</v>
          </cell>
          <cell r="E235">
            <v>83.468821605479988</v>
          </cell>
          <cell r="F235">
            <v>92.883328228423679</v>
          </cell>
          <cell r="G235">
            <v>580.00099999999998</v>
          </cell>
          <cell r="H235">
            <v>484.12</v>
          </cell>
          <cell r="I235">
            <v>14</v>
          </cell>
          <cell r="J235">
            <v>4.3</v>
          </cell>
        </row>
        <row r="236">
          <cell r="B236" t="str">
            <v>HEINEKEN C 6RH PILSEN</v>
          </cell>
          <cell r="E236">
            <v>83.98370353256793</v>
          </cell>
          <cell r="F236">
            <v>93.783435566706544</v>
          </cell>
          <cell r="G236">
            <v>580.00300000000004</v>
          </cell>
          <cell r="H236">
            <v>487.108</v>
          </cell>
          <cell r="I236">
            <v>14.3</v>
          </cell>
          <cell r="J236">
            <v>4.3</v>
          </cell>
        </row>
        <row r="237">
          <cell r="B237" t="str">
            <v>ABI4 PILSEN</v>
          </cell>
          <cell r="E237">
            <v>82.528568768491255</v>
          </cell>
          <cell r="F237">
            <v>92.158506781150678</v>
          </cell>
          <cell r="G237">
            <v>580.00400000000002</v>
          </cell>
          <cell r="H237">
            <v>478.66899999999998</v>
          </cell>
          <cell r="I237">
            <v>14.3</v>
          </cell>
          <cell r="J237">
            <v>4.3</v>
          </cell>
        </row>
        <row r="238">
          <cell r="B238" t="str">
            <v>GLOBE PILSEN</v>
          </cell>
          <cell r="E238">
            <v>82.47681204508703</v>
          </cell>
          <cell r="F238">
            <v>92.316151025904418</v>
          </cell>
          <cell r="G238">
            <v>585.00199999999995</v>
          </cell>
          <cell r="H238">
            <v>482.49099999999999</v>
          </cell>
          <cell r="I238">
            <v>14.5</v>
          </cell>
          <cell r="J238">
            <v>4.3</v>
          </cell>
        </row>
        <row r="239">
          <cell r="B239" t="str">
            <v>ABI4 PILSEN</v>
          </cell>
          <cell r="E239">
            <v>82.888073944955082</v>
          </cell>
          <cell r="F239">
            <v>92.885113308339569</v>
          </cell>
          <cell r="G239">
            <v>579.99900000000002</v>
          </cell>
          <cell r="H239">
            <v>480.75</v>
          </cell>
          <cell r="I239">
            <v>14.6</v>
          </cell>
          <cell r="J239">
            <v>4.3</v>
          </cell>
        </row>
        <row r="240">
          <cell r="B240" t="str">
            <v>ASAHI 2RP PILSEN</v>
          </cell>
          <cell r="E240">
            <v>83.320480465618445</v>
          </cell>
          <cell r="F240">
            <v>89.185497526326785</v>
          </cell>
          <cell r="G240">
            <v>590.01099999999997</v>
          </cell>
          <cell r="H240">
            <v>491.6</v>
          </cell>
          <cell r="I240">
            <v>10.5</v>
          </cell>
          <cell r="J240">
            <v>4.2</v>
          </cell>
        </row>
        <row r="241">
          <cell r="B241" t="str">
            <v>HEINEKEN A 2RP PILSEN</v>
          </cell>
          <cell r="E241">
            <v>83.615654941874638</v>
          </cell>
          <cell r="F241">
            <v>89.601563125632993</v>
          </cell>
          <cell r="G241">
            <v>595.00699999999995</v>
          </cell>
          <cell r="H241">
            <v>497.51900000000001</v>
          </cell>
          <cell r="I241">
            <v>10.6</v>
          </cell>
          <cell r="J241">
            <v>4.2</v>
          </cell>
        </row>
        <row r="242">
          <cell r="B242" t="str">
            <v>GLOBE PILSEN</v>
          </cell>
          <cell r="E242">
            <v>83.407062396821686</v>
          </cell>
          <cell r="F242">
            <v>89.378037780934207</v>
          </cell>
          <cell r="G242">
            <v>589.99800000000005</v>
          </cell>
          <cell r="H242">
            <v>492.1</v>
          </cell>
          <cell r="I242">
            <v>10.6</v>
          </cell>
          <cell r="J242">
            <v>4.2</v>
          </cell>
        </row>
        <row r="243">
          <cell r="B243" t="str">
            <v>GLOBE PILSEN</v>
          </cell>
          <cell r="E243">
            <v>83.620980875598107</v>
          </cell>
          <cell r="F243">
            <v>89.707614421974242</v>
          </cell>
          <cell r="G243">
            <v>594.99900000000002</v>
          </cell>
          <cell r="H243">
            <v>497.54399999999998</v>
          </cell>
          <cell r="I243">
            <v>10.7</v>
          </cell>
          <cell r="J243">
            <v>4.2</v>
          </cell>
        </row>
        <row r="244">
          <cell r="B244" t="str">
            <v>HEINEKEN A 2RP PILSEN</v>
          </cell>
          <cell r="E244">
            <v>84.279252553265266</v>
          </cell>
          <cell r="F244">
            <v>90.515161374470992</v>
          </cell>
          <cell r="G244">
            <v>600.01599999999996</v>
          </cell>
          <cell r="H244">
            <v>505.68900000000002</v>
          </cell>
          <cell r="I244">
            <v>10.8</v>
          </cell>
          <cell r="J244">
            <v>4.2</v>
          </cell>
        </row>
        <row r="245">
          <cell r="B245" t="str">
            <v>HEINEKEN A 2RP PILSEN</v>
          </cell>
          <cell r="E245">
            <v>84.031636230408026</v>
          </cell>
          <cell r="F245">
            <v>90.350513477812441</v>
          </cell>
          <cell r="G245">
            <v>595.01400000000001</v>
          </cell>
          <cell r="H245">
            <v>500</v>
          </cell>
          <cell r="I245">
            <v>10.9</v>
          </cell>
          <cell r="J245">
            <v>4.2</v>
          </cell>
        </row>
        <row r="246">
          <cell r="B246" t="str">
            <v>ASAHI 2RP PILSEN</v>
          </cell>
          <cell r="E246">
            <v>83.688813559322043</v>
          </cell>
          <cell r="F246">
            <v>89.981911773098204</v>
          </cell>
          <cell r="G246">
            <v>590</v>
          </cell>
          <cell r="H246">
            <v>493.76400000000001</v>
          </cell>
          <cell r="I246">
            <v>10.9</v>
          </cell>
          <cell r="J246">
            <v>4.2</v>
          </cell>
        </row>
        <row r="247">
          <cell r="B247" t="str">
            <v>GLOBE PILSEN</v>
          </cell>
          <cell r="E247">
            <v>83.443555014764385</v>
          </cell>
          <cell r="F247">
            <v>89.718210666828583</v>
          </cell>
          <cell r="G247">
            <v>595.01300000000003</v>
          </cell>
          <cell r="H247">
            <v>496.5</v>
          </cell>
          <cell r="I247">
            <v>10.9</v>
          </cell>
          <cell r="J247">
            <v>4.2</v>
          </cell>
        </row>
        <row r="248">
          <cell r="B248" t="str">
            <v>HEINEKEN C 6RH PILSEN</v>
          </cell>
          <cell r="E248">
            <v>87.275254237288138</v>
          </cell>
          <cell r="F248">
            <v>93.943475909350596</v>
          </cell>
          <cell r="G248">
            <v>590</v>
          </cell>
          <cell r="H248">
            <v>514.92399999999998</v>
          </cell>
          <cell r="I248">
            <v>11</v>
          </cell>
          <cell r="J248">
            <v>4.2</v>
          </cell>
        </row>
        <row r="249">
          <cell r="B249" t="str">
            <v>GLOBE PILSEN</v>
          </cell>
          <cell r="E249">
            <v>85.9447402942981</v>
          </cell>
          <cell r="F249">
            <v>92.511304721278179</v>
          </cell>
          <cell r="G249">
            <v>590.01400000000001</v>
          </cell>
          <cell r="H249">
            <v>507.08600000000001</v>
          </cell>
          <cell r="I249">
            <v>11</v>
          </cell>
          <cell r="J249">
            <v>4.2</v>
          </cell>
        </row>
        <row r="250">
          <cell r="B250" t="str">
            <v>HEINEKEN A 2RP PILSEN</v>
          </cell>
          <cell r="E250">
            <v>84.216413736530072</v>
          </cell>
          <cell r="F250">
            <v>90.650926246736844</v>
          </cell>
          <cell r="G250">
            <v>590.01800000000003</v>
          </cell>
          <cell r="H250">
            <v>496.892</v>
          </cell>
          <cell r="I250">
            <v>11</v>
          </cell>
          <cell r="J250">
            <v>4.2</v>
          </cell>
        </row>
        <row r="251">
          <cell r="B251" t="str">
            <v>HEINEKEN A 2RP PILSEN</v>
          </cell>
          <cell r="E251">
            <v>83.858152278000659</v>
          </cell>
          <cell r="F251">
            <v>90.265292002611943</v>
          </cell>
          <cell r="G251">
            <v>590.01300000000003</v>
          </cell>
          <cell r="H251">
            <v>494.774</v>
          </cell>
          <cell r="I251">
            <v>11</v>
          </cell>
          <cell r="J251">
            <v>4.2</v>
          </cell>
        </row>
        <row r="252">
          <cell r="B252" t="str">
            <v>HEINEKEN C 6RH PILSEN</v>
          </cell>
          <cell r="E252">
            <v>87.844909650695087</v>
          </cell>
          <cell r="F252">
            <v>94.769620997033684</v>
          </cell>
          <cell r="G252">
            <v>583.01499999999999</v>
          </cell>
          <cell r="H252">
            <v>512.149</v>
          </cell>
          <cell r="I252">
            <v>11.2</v>
          </cell>
          <cell r="J252">
            <v>4.2</v>
          </cell>
        </row>
        <row r="253">
          <cell r="B253" t="str">
            <v>HEINEKEN A 2RP PILSEN</v>
          </cell>
          <cell r="E253">
            <v>86.491532943873409</v>
          </cell>
          <cell r="F253">
            <v>93.309559189449018</v>
          </cell>
          <cell r="G253">
            <v>595.01199999999994</v>
          </cell>
          <cell r="H253">
            <v>514.63499999999999</v>
          </cell>
          <cell r="I253">
            <v>11.2</v>
          </cell>
          <cell r="J253">
            <v>4.2</v>
          </cell>
        </row>
        <row r="254">
          <cell r="B254" t="str">
            <v>ASAHI 2RP PILSEN</v>
          </cell>
          <cell r="E254">
            <v>86.185181325902604</v>
          </cell>
          <cell r="F254">
            <v>92.97905823222375</v>
          </cell>
          <cell r="G254">
            <v>595.00599999999997</v>
          </cell>
          <cell r="H254">
            <v>512.80700000000002</v>
          </cell>
          <cell r="I254">
            <v>11.2</v>
          </cell>
          <cell r="J254">
            <v>4.2</v>
          </cell>
        </row>
        <row r="255">
          <cell r="B255" t="str">
            <v>ASAHI 2RP PILSEN</v>
          </cell>
          <cell r="E255">
            <v>86.050873522071242</v>
          </cell>
          <cell r="F255">
            <v>92.834163101513781</v>
          </cell>
          <cell r="G255">
            <v>595.005</v>
          </cell>
          <cell r="H255">
            <v>512.00699999999995</v>
          </cell>
          <cell r="I255">
            <v>11.2</v>
          </cell>
          <cell r="J255">
            <v>4.2</v>
          </cell>
        </row>
        <row r="256">
          <cell r="B256" t="str">
            <v>ASAHI 2RP PILSEN</v>
          </cell>
          <cell r="E256">
            <v>84.303842092685457</v>
          </cell>
          <cell r="F256">
            <v>90.949415230622364</v>
          </cell>
          <cell r="G256">
            <v>590.01700000000005</v>
          </cell>
          <cell r="H256">
            <v>497.40699999999998</v>
          </cell>
          <cell r="I256">
            <v>11.2</v>
          </cell>
          <cell r="J256">
            <v>4.2</v>
          </cell>
        </row>
        <row r="257">
          <cell r="B257" t="str">
            <v>HEINEKEN A 2RP PILSEN</v>
          </cell>
          <cell r="E257">
            <v>83.966378758313283</v>
          </cell>
          <cell r="F257">
            <v>90.585350056828986</v>
          </cell>
          <cell r="G257">
            <v>594.98099999999999</v>
          </cell>
          <cell r="H257">
            <v>499.584</v>
          </cell>
          <cell r="I257">
            <v>11.2</v>
          </cell>
          <cell r="J257">
            <v>4.2</v>
          </cell>
        </row>
        <row r="258">
          <cell r="B258" t="str">
            <v>ASAHI 2RP PILSEN</v>
          </cell>
          <cell r="E258">
            <v>83.102628291720549</v>
          </cell>
          <cell r="F258">
            <v>89.653511152554373</v>
          </cell>
          <cell r="G258">
            <v>590.00300000000004</v>
          </cell>
          <cell r="H258">
            <v>490.30799999999999</v>
          </cell>
          <cell r="I258">
            <v>11.2</v>
          </cell>
          <cell r="J258">
            <v>4.2</v>
          </cell>
        </row>
        <row r="259">
          <cell r="B259" t="str">
            <v>HEINEKEN C 6RH PILSEN</v>
          </cell>
          <cell r="E259">
            <v>82.795528368378584</v>
          </cell>
          <cell r="F259">
            <v>89.322202901921941</v>
          </cell>
          <cell r="G259">
            <v>580.01199999999994</v>
          </cell>
          <cell r="H259">
            <v>480.22399999999999</v>
          </cell>
          <cell r="I259">
            <v>11.2</v>
          </cell>
          <cell r="J259">
            <v>4.2</v>
          </cell>
        </row>
        <row r="260">
          <cell r="B260" t="str">
            <v>CARLBERG 2RP PILSEN</v>
          </cell>
          <cell r="E260">
            <v>86.930571944772211</v>
          </cell>
          <cell r="F260">
            <v>93.88893790652962</v>
          </cell>
          <cell r="G260">
            <v>599.98800000000006</v>
          </cell>
          <cell r="H260">
            <v>521.57299999999998</v>
          </cell>
          <cell r="I260">
            <v>11.3</v>
          </cell>
          <cell r="J260">
            <v>4.2</v>
          </cell>
        </row>
        <row r="261">
          <cell r="B261" t="str">
            <v>HEINEKEN A 2RP PILSEN</v>
          </cell>
          <cell r="E261">
            <v>85.383197172470247</v>
          </cell>
          <cell r="F261">
            <v>92.217703372295929</v>
          </cell>
          <cell r="G261">
            <v>595.00699999999995</v>
          </cell>
          <cell r="H261">
            <v>508.036</v>
          </cell>
          <cell r="I261">
            <v>11.3</v>
          </cell>
          <cell r="J261">
            <v>4.2</v>
          </cell>
        </row>
        <row r="262">
          <cell r="B262" t="str">
            <v>ASAHI 2RP PILSEN</v>
          </cell>
          <cell r="E262">
            <v>85.191901739855325</v>
          </cell>
          <cell r="F262">
            <v>92.01109567844577</v>
          </cell>
          <cell r="G262">
            <v>594.99199999999996</v>
          </cell>
          <cell r="H262">
            <v>506.88499999999999</v>
          </cell>
          <cell r="I262">
            <v>11.3</v>
          </cell>
          <cell r="J262">
            <v>4.2</v>
          </cell>
        </row>
        <row r="263">
          <cell r="B263" t="str">
            <v>GLOBE PILSEN</v>
          </cell>
          <cell r="E263">
            <v>84.806542092198995</v>
          </cell>
          <cell r="F263">
            <v>91.594889880864315</v>
          </cell>
          <cell r="G263">
            <v>595.03899999999999</v>
          </cell>
          <cell r="H263">
            <v>504.63200000000001</v>
          </cell>
          <cell r="I263">
            <v>11.3</v>
          </cell>
          <cell r="J263">
            <v>4.2</v>
          </cell>
        </row>
        <row r="264">
          <cell r="B264" t="str">
            <v>ASAHI 2RP PILSEN</v>
          </cell>
          <cell r="E264">
            <v>84.717886137523095</v>
          </cell>
          <cell r="F264">
            <v>91.499137451800578</v>
          </cell>
          <cell r="G264">
            <v>590.01</v>
          </cell>
          <cell r="H264">
            <v>499.84399999999999</v>
          </cell>
          <cell r="I264">
            <v>11.3</v>
          </cell>
          <cell r="J264">
            <v>4.2</v>
          </cell>
        </row>
        <row r="265">
          <cell r="B265" t="str">
            <v>ASAHI 2RP PILSEN</v>
          </cell>
          <cell r="E265">
            <v>83.693157743089102</v>
          </cell>
          <cell r="F265">
            <v>90.392384574835802</v>
          </cell>
          <cell r="G265">
            <v>590.01</v>
          </cell>
          <cell r="H265">
            <v>493.798</v>
          </cell>
          <cell r="I265">
            <v>11.3</v>
          </cell>
          <cell r="J265">
            <v>4.2</v>
          </cell>
        </row>
        <row r="266">
          <cell r="B266" t="str">
            <v>HEINEKEN A 2RP PILSEN</v>
          </cell>
          <cell r="E266">
            <v>82.609587495641122</v>
          </cell>
          <cell r="F266">
            <v>89.222079843093795</v>
          </cell>
          <cell r="G266">
            <v>585.01199999999994</v>
          </cell>
          <cell r="H266">
            <v>483.27600000000001</v>
          </cell>
          <cell r="I266">
            <v>11.3</v>
          </cell>
          <cell r="J266">
            <v>4.2</v>
          </cell>
        </row>
        <row r="267">
          <cell r="B267" t="str">
            <v>HEINEKEN C 6RH PILSEN</v>
          </cell>
          <cell r="E267">
            <v>86.479520829682173</v>
          </cell>
          <cell r="F267">
            <v>93.507201980627002</v>
          </cell>
          <cell r="G267">
            <v>582.00599999999997</v>
          </cell>
          <cell r="H267">
            <v>503.31599999999997</v>
          </cell>
          <cell r="I267">
            <v>11.4</v>
          </cell>
          <cell r="J267">
            <v>4.2</v>
          </cell>
        </row>
        <row r="268">
          <cell r="B268" t="str">
            <v>CARLBERG 2RP PILSEN</v>
          </cell>
          <cell r="E268">
            <v>86.076282697644174</v>
          </cell>
          <cell r="F268">
            <v>93.071195061335359</v>
          </cell>
          <cell r="G268">
            <v>600.005</v>
          </cell>
          <cell r="H268">
            <v>516.46199999999999</v>
          </cell>
          <cell r="I268">
            <v>11.4</v>
          </cell>
          <cell r="J268">
            <v>4.2</v>
          </cell>
        </row>
        <row r="269">
          <cell r="B269" t="str">
            <v>CARLBERG 6RH PILSEN</v>
          </cell>
          <cell r="E269">
            <v>85.797914982398865</v>
          </cell>
          <cell r="F269">
            <v>92.770206041916609</v>
          </cell>
          <cell r="G269">
            <v>590.01900000000001</v>
          </cell>
          <cell r="H269">
            <v>506.22399999999999</v>
          </cell>
          <cell r="I269">
            <v>11.4</v>
          </cell>
          <cell r="J269">
            <v>4.2</v>
          </cell>
        </row>
        <row r="270">
          <cell r="B270" t="str">
            <v>ASAHI 2RP PILSEN</v>
          </cell>
          <cell r="E270">
            <v>85.231563391834271</v>
          </cell>
          <cell r="F270">
            <v>92.157830394330944</v>
          </cell>
          <cell r="G270">
            <v>590.07600000000002</v>
          </cell>
          <cell r="H270">
            <v>502.93099999999998</v>
          </cell>
          <cell r="I270">
            <v>11.4</v>
          </cell>
          <cell r="J270">
            <v>4.2</v>
          </cell>
        </row>
        <row r="271">
          <cell r="B271" t="str">
            <v>HEINEKEN C 6RH PILSEN</v>
          </cell>
          <cell r="E271">
            <v>84.057386305838449</v>
          </cell>
          <cell r="F271">
            <v>90.88823485439417</v>
          </cell>
          <cell r="G271">
            <v>579.99900000000002</v>
          </cell>
          <cell r="H271">
            <v>487.53199999999998</v>
          </cell>
          <cell r="I271">
            <v>11.4</v>
          </cell>
          <cell r="J271">
            <v>4.2</v>
          </cell>
        </row>
        <row r="272">
          <cell r="B272" t="str">
            <v>ABI4 PILSEN</v>
          </cell>
          <cell r="E272">
            <v>83.85872079917425</v>
          </cell>
          <cell r="F272">
            <v>90.673424972470571</v>
          </cell>
          <cell r="G272">
            <v>590.00900000000001</v>
          </cell>
          <cell r="H272">
            <v>494.774</v>
          </cell>
          <cell r="I272">
            <v>11.4</v>
          </cell>
          <cell r="J272">
            <v>4.2</v>
          </cell>
        </row>
        <row r="273">
          <cell r="B273" t="str">
            <v>HEINEKEN C 6RH PILSEN</v>
          </cell>
          <cell r="E273">
            <v>83.358390113376188</v>
          </cell>
          <cell r="F273">
            <v>90.132435359609914</v>
          </cell>
          <cell r="G273">
            <v>580.01599999999996</v>
          </cell>
          <cell r="H273">
            <v>483.49200000000002</v>
          </cell>
          <cell r="I273">
            <v>11.4</v>
          </cell>
          <cell r="J273">
            <v>4.2</v>
          </cell>
        </row>
        <row r="274">
          <cell r="B274" t="str">
            <v>HEINEKEN C 6RH PILSEN</v>
          </cell>
          <cell r="E274">
            <v>83.236348400912448</v>
          </cell>
          <cell r="F274">
            <v>90.000476036201036</v>
          </cell>
          <cell r="G274">
            <v>579.98699999999997</v>
          </cell>
          <cell r="H274">
            <v>482.76</v>
          </cell>
          <cell r="I274">
            <v>11.4</v>
          </cell>
          <cell r="J274">
            <v>4.2</v>
          </cell>
        </row>
        <row r="275">
          <cell r="B275" t="str">
            <v>HEINEKEN C 6RH PILSEN</v>
          </cell>
          <cell r="E275">
            <v>86.308295973626443</v>
          </cell>
          <cell r="F275">
            <v>93.427511347722174</v>
          </cell>
          <cell r="G275">
            <v>589.98500000000001</v>
          </cell>
          <cell r="H275">
            <v>509.20600000000002</v>
          </cell>
          <cell r="I275">
            <v>11.5</v>
          </cell>
          <cell r="J275">
            <v>4.2</v>
          </cell>
        </row>
        <row r="276">
          <cell r="B276" t="str">
            <v>CARLBERG 6RH PILSEN</v>
          </cell>
          <cell r="E276">
            <v>86.281251959470112</v>
          </cell>
          <cell r="F276">
            <v>93.398236584375553</v>
          </cell>
          <cell r="G276">
            <v>590.08299999999997</v>
          </cell>
          <cell r="H276">
            <v>509.13099999999997</v>
          </cell>
          <cell r="I276">
            <v>11.5</v>
          </cell>
          <cell r="J276">
            <v>4.2</v>
          </cell>
        </row>
        <row r="277">
          <cell r="B277" t="str">
            <v>ASAHI 2RP PILSEN</v>
          </cell>
          <cell r="E277">
            <v>85.946914374933826</v>
          </cell>
          <cell r="F277">
            <v>93.036320871397308</v>
          </cell>
          <cell r="G277">
            <v>595.00099999999998</v>
          </cell>
          <cell r="H277">
            <v>511.38499999999999</v>
          </cell>
          <cell r="I277">
            <v>11.5</v>
          </cell>
          <cell r="J277">
            <v>4.2</v>
          </cell>
        </row>
        <row r="278">
          <cell r="B278" t="str">
            <v>GLOBE PILSEN</v>
          </cell>
          <cell r="E278">
            <v>84.988390027287679</v>
          </cell>
          <cell r="F278">
            <v>91.998731803549816</v>
          </cell>
          <cell r="G278">
            <v>590.01</v>
          </cell>
          <cell r="H278">
            <v>501.44</v>
          </cell>
          <cell r="I278">
            <v>11.5</v>
          </cell>
          <cell r="J278">
            <v>4.2</v>
          </cell>
        </row>
        <row r="279">
          <cell r="B279" t="str">
            <v>HEINEKEN A 2RP PILSEN</v>
          </cell>
          <cell r="E279">
            <v>83.382128031461662</v>
          </cell>
          <cell r="F279">
            <v>90.259975880384488</v>
          </cell>
          <cell r="G279">
            <v>595.01</v>
          </cell>
          <cell r="H279">
            <v>496.13200000000001</v>
          </cell>
          <cell r="I279">
            <v>11.5</v>
          </cell>
          <cell r="J279">
            <v>4.2</v>
          </cell>
        </row>
        <row r="280">
          <cell r="B280" t="str">
            <v>HEINEKEN C 6RH PILSEN</v>
          </cell>
          <cell r="E280">
            <v>82.462162879793652</v>
          </cell>
          <cell r="F280">
            <v>89.264126597561955</v>
          </cell>
          <cell r="G280">
            <v>579.98599999999999</v>
          </cell>
          <cell r="H280">
            <v>478.26900000000001</v>
          </cell>
          <cell r="I280">
            <v>11.5</v>
          </cell>
          <cell r="J280">
            <v>4.2</v>
          </cell>
        </row>
        <row r="281">
          <cell r="B281" t="str">
            <v>HEINEKEN C 6RH PILSEN</v>
          </cell>
          <cell r="E281">
            <v>86.088322835660009</v>
          </cell>
          <cell r="F281">
            <v>93.294811398826099</v>
          </cell>
          <cell r="G281">
            <v>589.97199999999998</v>
          </cell>
          <cell r="H281">
            <v>507.89699999999999</v>
          </cell>
          <cell r="I281">
            <v>11.6</v>
          </cell>
          <cell r="J281">
            <v>4.2</v>
          </cell>
        </row>
        <row r="282">
          <cell r="B282" t="str">
            <v>CARLBERG 2RP PILSEN</v>
          </cell>
          <cell r="E282">
            <v>85.09709935267098</v>
          </cell>
          <cell r="F282">
            <v>92.220612194410407</v>
          </cell>
          <cell r="G282">
            <v>600.00400000000002</v>
          </cell>
          <cell r="H282">
            <v>510.58600000000001</v>
          </cell>
          <cell r="I282">
            <v>11.6</v>
          </cell>
          <cell r="J282">
            <v>4.2</v>
          </cell>
        </row>
        <row r="283">
          <cell r="B283" t="str">
            <v>ASAHI 2RP PILSEN</v>
          </cell>
          <cell r="E283">
            <v>84.441393571131954</v>
          </cell>
          <cell r="F283">
            <v>91.510017014869263</v>
          </cell>
          <cell r="G283">
            <v>589.995</v>
          </cell>
          <cell r="H283">
            <v>498.2</v>
          </cell>
          <cell r="I283">
            <v>11.6</v>
          </cell>
          <cell r="J283">
            <v>4.2</v>
          </cell>
        </row>
        <row r="284">
          <cell r="B284" t="str">
            <v>HEINEKEN C 6RH PILSEN</v>
          </cell>
          <cell r="E284">
            <v>84.385958667866674</v>
          </cell>
          <cell r="F284">
            <v>91.449941633276325</v>
          </cell>
          <cell r="G284">
            <v>590.00099999999998</v>
          </cell>
          <cell r="H284">
            <v>497.87799999999999</v>
          </cell>
          <cell r="I284">
            <v>11.6</v>
          </cell>
          <cell r="J284">
            <v>4.2</v>
          </cell>
        </row>
        <row r="285">
          <cell r="B285" t="str">
            <v>GLOBE PILSEN</v>
          </cell>
          <cell r="E285">
            <v>84.318098999161023</v>
          </cell>
          <cell r="F285">
            <v>91.376401404068162</v>
          </cell>
          <cell r="G285">
            <v>590.005</v>
          </cell>
          <cell r="H285">
            <v>497.48099999999999</v>
          </cell>
          <cell r="I285">
            <v>11.6</v>
          </cell>
          <cell r="J285">
            <v>4.2</v>
          </cell>
        </row>
        <row r="286">
          <cell r="B286" t="str">
            <v>ASAHI 2RP PILSEN</v>
          </cell>
          <cell r="E286">
            <v>83.785991769435725</v>
          </cell>
          <cell r="F286">
            <v>90.799751261447312</v>
          </cell>
          <cell r="G286">
            <v>589.99599999999998</v>
          </cell>
          <cell r="H286">
            <v>494.334</v>
          </cell>
          <cell r="I286">
            <v>11.6</v>
          </cell>
          <cell r="J286">
            <v>4.2</v>
          </cell>
        </row>
        <row r="287">
          <cell r="B287" t="str">
            <v>HEINEKEN C 6RH PILSEN</v>
          </cell>
          <cell r="E287">
            <v>83.774878967186666</v>
          </cell>
          <cell r="F287">
            <v>90.787708201996395</v>
          </cell>
          <cell r="G287">
            <v>580.00800000000004</v>
          </cell>
          <cell r="H287">
            <v>485.90100000000001</v>
          </cell>
          <cell r="I287">
            <v>11.6</v>
          </cell>
          <cell r="J287">
            <v>4.2</v>
          </cell>
        </row>
        <row r="288">
          <cell r="B288" t="str">
            <v>HEINEKEN C 6RH PILSEN</v>
          </cell>
          <cell r="E288">
            <v>83.588876291365295</v>
          </cell>
          <cell r="F288">
            <v>90.586135166434332</v>
          </cell>
          <cell r="G288">
            <v>583.00699999999995</v>
          </cell>
          <cell r="H288">
            <v>487.32900000000001</v>
          </cell>
          <cell r="I288">
            <v>11.6</v>
          </cell>
          <cell r="J288">
            <v>4.2</v>
          </cell>
        </row>
        <row r="289">
          <cell r="B289" t="str">
            <v>HEINEKEN C 6RH PILSEN</v>
          </cell>
          <cell r="E289">
            <v>83.411322108007255</v>
          </cell>
          <cell r="F289">
            <v>90.393717850080264</v>
          </cell>
          <cell r="G289">
            <v>579.99800000000005</v>
          </cell>
          <cell r="H289">
            <v>483.78399999999999</v>
          </cell>
          <cell r="I289">
            <v>11.6</v>
          </cell>
          <cell r="J289">
            <v>4.2</v>
          </cell>
        </row>
        <row r="290">
          <cell r="B290" t="str">
            <v>HEINEKEN C 6RH PILSEN</v>
          </cell>
          <cell r="E290">
            <v>85.172925071549258</v>
          </cell>
          <cell r="F290">
            <v>92.4073184807975</v>
          </cell>
          <cell r="G290">
            <v>580.02</v>
          </cell>
          <cell r="H290">
            <v>494.02</v>
          </cell>
          <cell r="I290">
            <v>11.7</v>
          </cell>
          <cell r="J290">
            <v>4.2</v>
          </cell>
        </row>
        <row r="291">
          <cell r="B291" t="str">
            <v>GLOBE PILSEN</v>
          </cell>
          <cell r="E291">
            <v>82.520344332662191</v>
          </cell>
          <cell r="F291">
            <v>89.529433602140855</v>
          </cell>
          <cell r="G291">
            <v>595.00599999999997</v>
          </cell>
          <cell r="H291">
            <v>491.00099999999998</v>
          </cell>
          <cell r="I291">
            <v>11.7</v>
          </cell>
          <cell r="J291">
            <v>4.2</v>
          </cell>
        </row>
        <row r="292">
          <cell r="B292" t="str">
            <v>HEINEKEN C 6RH PILSEN</v>
          </cell>
          <cell r="E292">
            <v>82.299351559550146</v>
          </cell>
          <cell r="F292">
            <v>89.289670208436064</v>
          </cell>
          <cell r="G292">
            <v>580.00699999999995</v>
          </cell>
          <cell r="H292">
            <v>477.34199999999998</v>
          </cell>
          <cell r="I292">
            <v>11.7</v>
          </cell>
          <cell r="J292">
            <v>4.2</v>
          </cell>
        </row>
        <row r="293">
          <cell r="B293" t="str">
            <v>HEINEKEN C 6RH PILSEN</v>
          </cell>
          <cell r="E293">
            <v>85.901869980655377</v>
          </cell>
          <cell r="F293">
            <v>93.303845171732263</v>
          </cell>
          <cell r="G293">
            <v>580.00599999999997</v>
          </cell>
          <cell r="H293">
            <v>498.23599999999999</v>
          </cell>
          <cell r="I293">
            <v>11.8</v>
          </cell>
          <cell r="J293">
            <v>4.2</v>
          </cell>
        </row>
        <row r="294">
          <cell r="B294" t="str">
            <v>HEINEKEN A 2RP PILSEN</v>
          </cell>
          <cell r="E294">
            <v>84.918008541162109</v>
          </cell>
          <cell r="F294">
            <v>92.235206556046819</v>
          </cell>
          <cell r="G294">
            <v>595.00099999999998</v>
          </cell>
          <cell r="H294">
            <v>505.26299999999998</v>
          </cell>
          <cell r="I294">
            <v>11.8</v>
          </cell>
          <cell r="J294">
            <v>4.2</v>
          </cell>
        </row>
        <row r="295">
          <cell r="B295" t="str">
            <v>CARLBERG 6RH PILSEN</v>
          </cell>
          <cell r="E295">
            <v>84.692493074554662</v>
          </cell>
          <cell r="F295">
            <v>91.990258917713575</v>
          </cell>
          <cell r="G295">
            <v>582.995</v>
          </cell>
          <cell r="H295">
            <v>493.75299999999999</v>
          </cell>
          <cell r="I295">
            <v>11.8</v>
          </cell>
          <cell r="J295">
            <v>4.2</v>
          </cell>
        </row>
        <row r="296">
          <cell r="B296" t="str">
            <v>HEINEKEN C 6RH PILSEN</v>
          </cell>
          <cell r="E296">
            <v>84.511791929260283</v>
          </cell>
          <cell r="F296">
            <v>91.793987152189743</v>
          </cell>
          <cell r="G296">
            <v>590.10699999999997</v>
          </cell>
          <cell r="H296">
            <v>498.71</v>
          </cell>
          <cell r="I296">
            <v>11.8</v>
          </cell>
          <cell r="J296">
            <v>4.2</v>
          </cell>
        </row>
        <row r="297">
          <cell r="B297" t="str">
            <v>HEINEKEN C 6RH PILSEN</v>
          </cell>
          <cell r="E297">
            <v>84.393782133288269</v>
          </cell>
          <cell r="F297">
            <v>91.665808711666855</v>
          </cell>
          <cell r="G297">
            <v>580.00599999999997</v>
          </cell>
          <cell r="H297">
            <v>489.48899999999998</v>
          </cell>
          <cell r="I297">
            <v>11.8</v>
          </cell>
          <cell r="J297">
            <v>4.2</v>
          </cell>
        </row>
        <row r="298">
          <cell r="B298" t="str">
            <v>ABI4 PILSEN</v>
          </cell>
          <cell r="E298">
            <v>82.894407903243888</v>
          </cell>
          <cell r="F298">
            <v>90.037236702162858</v>
          </cell>
          <cell r="G298">
            <v>580.01499999999999</v>
          </cell>
          <cell r="H298">
            <v>480.8</v>
          </cell>
          <cell r="I298">
            <v>11.8</v>
          </cell>
          <cell r="J298">
            <v>4.2</v>
          </cell>
        </row>
        <row r="299">
          <cell r="B299" t="str">
            <v>HEINEKEN C 6RH PILSEN</v>
          </cell>
          <cell r="E299">
            <v>85.35734431890053</v>
          </cell>
          <cell r="F299">
            <v>92.817634344502494</v>
          </cell>
          <cell r="G299">
            <v>585.01</v>
          </cell>
          <cell r="H299">
            <v>499.34899999999999</v>
          </cell>
          <cell r="I299">
            <v>11.9</v>
          </cell>
          <cell r="J299">
            <v>4.2</v>
          </cell>
        </row>
        <row r="300">
          <cell r="B300" t="str">
            <v>HEINEKEN C 6RH PILSEN</v>
          </cell>
          <cell r="E300">
            <v>84.720956826895616</v>
          </cell>
          <cell r="F300">
            <v>92.125626152288305</v>
          </cell>
          <cell r="G300">
            <v>585.01700000000005</v>
          </cell>
          <cell r="H300">
            <v>495.63200000000001</v>
          </cell>
          <cell r="I300">
            <v>11.9</v>
          </cell>
          <cell r="J300">
            <v>4.2</v>
          </cell>
        </row>
        <row r="301">
          <cell r="B301" t="str">
            <v>HEINEKEN C 6RH PILSEN</v>
          </cell>
          <cell r="E301">
            <v>84.649046427703169</v>
          </cell>
          <cell r="F301">
            <v>92.047430735232282</v>
          </cell>
          <cell r="G301">
            <v>579.97699999999998</v>
          </cell>
          <cell r="H301">
            <v>490.94499999999999</v>
          </cell>
          <cell r="I301">
            <v>11.9</v>
          </cell>
          <cell r="J301">
            <v>4.2</v>
          </cell>
        </row>
        <row r="302">
          <cell r="B302" t="str">
            <v>HEINEKEN C 6RH PILSEN</v>
          </cell>
          <cell r="E302">
            <v>84.644862553410022</v>
          </cell>
          <cell r="F302">
            <v>92.04288118747651</v>
          </cell>
          <cell r="G302">
            <v>590.01099999999997</v>
          </cell>
          <cell r="H302">
            <v>499.41399999999999</v>
          </cell>
          <cell r="I302">
            <v>11.9</v>
          </cell>
          <cell r="J302">
            <v>4.2</v>
          </cell>
        </row>
        <row r="303">
          <cell r="B303" t="str">
            <v>GLOBE PILSEN</v>
          </cell>
          <cell r="E303">
            <v>84.277185833567813</v>
          </cell>
          <cell r="F303">
            <v>91.643069271915962</v>
          </cell>
          <cell r="G303">
            <v>589.95799999999997</v>
          </cell>
          <cell r="H303">
            <v>497.2</v>
          </cell>
          <cell r="I303">
            <v>11.9</v>
          </cell>
          <cell r="J303">
            <v>4.2</v>
          </cell>
        </row>
        <row r="304">
          <cell r="B304" t="str">
            <v>GLOBE PILSEN</v>
          </cell>
          <cell r="E304">
            <v>84.254851702673022</v>
          </cell>
          <cell r="F304">
            <v>91.618783122770438</v>
          </cell>
          <cell r="G304">
            <v>589.89599999999996</v>
          </cell>
          <cell r="H304">
            <v>497.01600000000002</v>
          </cell>
          <cell r="I304">
            <v>11.9</v>
          </cell>
          <cell r="J304">
            <v>4.2</v>
          </cell>
        </row>
        <row r="305">
          <cell r="B305" t="str">
            <v>HEINEKEN C 6RH PILSEN</v>
          </cell>
          <cell r="E305">
            <v>83.88154548761544</v>
          </cell>
          <cell r="F305">
            <v>91.212849690278759</v>
          </cell>
          <cell r="G305">
            <v>580.03700000000003</v>
          </cell>
          <cell r="H305">
            <v>486.54399999999998</v>
          </cell>
          <cell r="I305">
            <v>11.9</v>
          </cell>
          <cell r="J305">
            <v>4.2</v>
          </cell>
        </row>
        <row r="306">
          <cell r="B306" t="str">
            <v>HEINEKEN C 6RH PILSEN</v>
          </cell>
          <cell r="E306">
            <v>82.206230215926567</v>
          </cell>
          <cell r="F306">
            <v>89.391110722880427</v>
          </cell>
          <cell r="G306">
            <v>580.01199999999994</v>
          </cell>
          <cell r="H306">
            <v>476.80599999999998</v>
          </cell>
          <cell r="I306">
            <v>11.9</v>
          </cell>
          <cell r="J306">
            <v>4.2</v>
          </cell>
        </row>
        <row r="307">
          <cell r="B307" t="str">
            <v>HEINEKEN C 6RH PILSEN</v>
          </cell>
          <cell r="E307">
            <v>85.736059338544877</v>
          </cell>
          <cell r="F307">
            <v>93.335391870825006</v>
          </cell>
          <cell r="G307">
            <v>579.99400000000003</v>
          </cell>
          <cell r="H307">
            <v>497.26400000000001</v>
          </cell>
          <cell r="I307">
            <v>12</v>
          </cell>
          <cell r="J307">
            <v>4.2</v>
          </cell>
        </row>
        <row r="308">
          <cell r="B308" t="str">
            <v>ASAHI 2RP PILSEN</v>
          </cell>
          <cell r="E308">
            <v>85.600025762362549</v>
          </cell>
          <cell r="F308">
            <v>93.187300773117414</v>
          </cell>
          <cell r="G308">
            <v>590.00800000000004</v>
          </cell>
          <cell r="H308">
            <v>505.04700000000003</v>
          </cell>
          <cell r="I308">
            <v>12</v>
          </cell>
          <cell r="J308">
            <v>4.2</v>
          </cell>
        </row>
        <row r="309">
          <cell r="B309" t="str">
            <v>HEINEKEN C 6RH PILSEN</v>
          </cell>
          <cell r="E309">
            <v>84.713729659873934</v>
          </cell>
          <cell r="F309">
            <v>92.222446606999114</v>
          </cell>
          <cell r="G309">
            <v>584.98900000000003</v>
          </cell>
          <cell r="H309">
            <v>495.56599999999997</v>
          </cell>
          <cell r="I309">
            <v>12</v>
          </cell>
          <cell r="J309">
            <v>4.2</v>
          </cell>
        </row>
        <row r="310">
          <cell r="B310" t="str">
            <v>GLOBE PILSEN</v>
          </cell>
          <cell r="E310">
            <v>84.628084604353617</v>
          </cell>
          <cell r="F310">
            <v>92.129210285194048</v>
          </cell>
          <cell r="G310">
            <v>589.94600000000003</v>
          </cell>
          <cell r="H310">
            <v>499.26</v>
          </cell>
          <cell r="I310">
            <v>12</v>
          </cell>
          <cell r="J310">
            <v>4.2</v>
          </cell>
        </row>
        <row r="311">
          <cell r="B311" t="str">
            <v>HEINEKEN A 2RP PILSEN</v>
          </cell>
          <cell r="E311">
            <v>84.585606611446991</v>
          </cell>
          <cell r="F311">
            <v>92.082967197461613</v>
          </cell>
          <cell r="G311">
            <v>590.00699999999995</v>
          </cell>
          <cell r="H311">
            <v>499.06099999999998</v>
          </cell>
          <cell r="I311">
            <v>12</v>
          </cell>
          <cell r="J311">
            <v>4.2</v>
          </cell>
        </row>
        <row r="312">
          <cell r="B312" t="str">
            <v>HEINEKEN C 6RH PILSEN</v>
          </cell>
          <cell r="E312">
            <v>83.978324436904316</v>
          </cell>
          <cell r="F312">
            <v>91.421857739266287</v>
          </cell>
          <cell r="G312">
            <v>580.00800000000004</v>
          </cell>
          <cell r="H312">
            <v>487.08100000000002</v>
          </cell>
          <cell r="I312">
            <v>12</v>
          </cell>
          <cell r="J312">
            <v>4.2</v>
          </cell>
        </row>
        <row r="313">
          <cell r="B313" t="str">
            <v>HEINEKEN C 6RH PILSEN</v>
          </cell>
          <cell r="E313">
            <v>83.795284170453996</v>
          </cell>
          <cell r="F313">
            <v>91.222593449198783</v>
          </cell>
          <cell r="G313">
            <v>580.00400000000002</v>
          </cell>
          <cell r="H313">
            <v>486.01600000000002</v>
          </cell>
          <cell r="I313">
            <v>12</v>
          </cell>
          <cell r="J313">
            <v>4.2</v>
          </cell>
        </row>
        <row r="314">
          <cell r="B314" t="str">
            <v>HEINEKEN C 6RH PILSEN</v>
          </cell>
          <cell r="E314">
            <v>83.515659347764242</v>
          </cell>
          <cell r="F314">
            <v>90.91818369904334</v>
          </cell>
          <cell r="G314">
            <v>580.005</v>
          </cell>
          <cell r="H314">
            <v>484.39499999999998</v>
          </cell>
          <cell r="I314">
            <v>12</v>
          </cell>
          <cell r="J314">
            <v>4.2</v>
          </cell>
        </row>
        <row r="315">
          <cell r="B315" t="str">
            <v>HEINEKEN C 6RH PILSEN</v>
          </cell>
          <cell r="E315">
            <v>85.267265737576849</v>
          </cell>
          <cell r="F315">
            <v>92.930649120134944</v>
          </cell>
          <cell r="G315">
            <v>585.01700000000005</v>
          </cell>
          <cell r="H315">
            <v>498.82799999999997</v>
          </cell>
          <cell r="I315">
            <v>12.1</v>
          </cell>
          <cell r="J315">
            <v>4.2</v>
          </cell>
        </row>
        <row r="316">
          <cell r="B316" t="str">
            <v>HEINEKEN C 6RH PILSEN</v>
          </cell>
          <cell r="E316">
            <v>83.693356482399409</v>
          </cell>
          <cell r="F316">
            <v>91.215284994469428</v>
          </cell>
          <cell r="G316">
            <v>580.00900000000001</v>
          </cell>
          <cell r="H316">
            <v>485.42899999999997</v>
          </cell>
          <cell r="I316">
            <v>12.1</v>
          </cell>
          <cell r="J316">
            <v>4.2</v>
          </cell>
        </row>
        <row r="317">
          <cell r="B317" t="str">
            <v>HEINEKEN C 6RH PILSEN</v>
          </cell>
          <cell r="E317">
            <v>83.472073271239452</v>
          </cell>
          <cell r="F317">
            <v>90.974113986174515</v>
          </cell>
          <cell r="G317">
            <v>579.98199999999997</v>
          </cell>
          <cell r="H317">
            <v>484.12299999999999</v>
          </cell>
          <cell r="I317">
            <v>12.1</v>
          </cell>
          <cell r="J317">
            <v>4.2</v>
          </cell>
        </row>
        <row r="318">
          <cell r="B318" t="str">
            <v>ABI4 PILSEN</v>
          </cell>
          <cell r="E318">
            <v>82.960916971841186</v>
          </cell>
          <cell r="F318">
            <v>90.417017587057856</v>
          </cell>
          <cell r="G318">
            <v>579.99599999999998</v>
          </cell>
          <cell r="H318">
            <v>481.17</v>
          </cell>
          <cell r="I318">
            <v>12.1</v>
          </cell>
          <cell r="J318">
            <v>4.2</v>
          </cell>
        </row>
        <row r="319">
          <cell r="B319" t="str">
            <v>GLOBE PILSEN</v>
          </cell>
          <cell r="E319">
            <v>86.012430712998793</v>
          </cell>
          <cell r="F319">
            <v>93.849554240379106</v>
          </cell>
          <cell r="G319">
            <v>580.01499999999999</v>
          </cell>
          <cell r="H319">
            <v>498.88499999999999</v>
          </cell>
          <cell r="I319">
            <v>12.2</v>
          </cell>
          <cell r="J319">
            <v>4.2</v>
          </cell>
        </row>
        <row r="320">
          <cell r="B320" t="str">
            <v>CARLBERG 6RH PILSEN</v>
          </cell>
          <cell r="E320">
            <v>85.137771419951562</v>
          </cell>
          <cell r="F320">
            <v>92.895199339764915</v>
          </cell>
          <cell r="G320">
            <v>589.99900000000002</v>
          </cell>
          <cell r="H320">
            <v>502.31200000000001</v>
          </cell>
          <cell r="I320">
            <v>12.2</v>
          </cell>
          <cell r="J320">
            <v>4.2</v>
          </cell>
        </row>
        <row r="321">
          <cell r="B321" t="str">
            <v>ASAHI 2RP PILSEN</v>
          </cell>
          <cell r="E321">
            <v>84.315736128366311</v>
          </cell>
          <cell r="F321">
            <v>91.998263338240235</v>
          </cell>
          <cell r="G321">
            <v>589.99900000000002</v>
          </cell>
          <cell r="H321">
            <v>497.46199999999999</v>
          </cell>
          <cell r="I321">
            <v>12.2</v>
          </cell>
          <cell r="J321">
            <v>4.2</v>
          </cell>
        </row>
        <row r="322">
          <cell r="B322" t="str">
            <v>HEINEKEN C 6RH PILSEN</v>
          </cell>
          <cell r="E322">
            <v>84.153212736463871</v>
          </cell>
          <cell r="F322">
            <v>91.820931436825063</v>
          </cell>
          <cell r="G322">
            <v>580.00400000000002</v>
          </cell>
          <cell r="H322">
            <v>488.09199999999998</v>
          </cell>
          <cell r="I322">
            <v>12.2</v>
          </cell>
          <cell r="J322">
            <v>4.2</v>
          </cell>
        </row>
        <row r="323">
          <cell r="B323" t="str">
            <v>HEINEKEN C 6RH PILSEN</v>
          </cell>
          <cell r="E323">
            <v>83.843085335622646</v>
          </cell>
          <cell r="F323">
            <v>91.482546414039291</v>
          </cell>
          <cell r="G323">
            <v>580.08600000000001</v>
          </cell>
          <cell r="H323">
            <v>486.36200000000002</v>
          </cell>
          <cell r="I323">
            <v>12.2</v>
          </cell>
          <cell r="J323">
            <v>4.2</v>
          </cell>
        </row>
        <row r="324">
          <cell r="B324" t="str">
            <v>HEINEKEN C 6RH PILSEN</v>
          </cell>
          <cell r="E324">
            <v>83.279598071737425</v>
          </cell>
          <cell r="F324">
            <v>90.867716347066576</v>
          </cell>
          <cell r="G324">
            <v>580.00400000000002</v>
          </cell>
          <cell r="H324">
            <v>483.02499999999998</v>
          </cell>
          <cell r="I324">
            <v>12.2</v>
          </cell>
          <cell r="J324">
            <v>4.2</v>
          </cell>
        </row>
        <row r="325">
          <cell r="B325" t="str">
            <v>HEINEKEN C 6RH PILSEN</v>
          </cell>
          <cell r="E325">
            <v>82.804439877520636</v>
          </cell>
          <cell r="F325">
            <v>90.349263556565788</v>
          </cell>
          <cell r="G325">
            <v>580.01599999999996</v>
          </cell>
          <cell r="H325">
            <v>480.279</v>
          </cell>
          <cell r="I325">
            <v>12.2</v>
          </cell>
          <cell r="J325">
            <v>4.2</v>
          </cell>
        </row>
        <row r="326">
          <cell r="B326" t="str">
            <v>HEINEKEN C 6RH PILSEN</v>
          </cell>
          <cell r="E326">
            <v>84.756829263246459</v>
          </cell>
          <cell r="F326">
            <v>92.584997074333089</v>
          </cell>
          <cell r="G326">
            <v>580.00400000000002</v>
          </cell>
          <cell r="H326">
            <v>491.59300000000002</v>
          </cell>
          <cell r="I326">
            <v>12.3</v>
          </cell>
          <cell r="J326">
            <v>4.2</v>
          </cell>
        </row>
        <row r="327">
          <cell r="B327" t="str">
            <v>HEINEKEN C 6RH PILSEN</v>
          </cell>
          <cell r="E327">
            <v>83.966385859164063</v>
          </cell>
          <cell r="F327">
            <v>91.721548065084562</v>
          </cell>
          <cell r="G327">
            <v>579.99400000000003</v>
          </cell>
          <cell r="H327">
            <v>487</v>
          </cell>
          <cell r="I327">
            <v>12.3</v>
          </cell>
          <cell r="J327">
            <v>4.2</v>
          </cell>
        </row>
        <row r="328">
          <cell r="B328" t="str">
            <v>HEINEKEN C 6RH PILSEN</v>
          </cell>
          <cell r="E328">
            <v>83.810782868086989</v>
          </cell>
          <cell r="F328">
            <v>91.551573532072211</v>
          </cell>
          <cell r="G328">
            <v>590.01</v>
          </cell>
          <cell r="H328">
            <v>494.49200000000002</v>
          </cell>
          <cell r="I328">
            <v>12.3</v>
          </cell>
          <cell r="J328">
            <v>4.2</v>
          </cell>
        </row>
        <row r="329">
          <cell r="B329" t="str">
            <v>HEINEKEN C 6RH PILSEN</v>
          </cell>
          <cell r="E329">
            <v>82.852773534614428</v>
          </cell>
          <cell r="F329">
            <v>90.505082150696268</v>
          </cell>
          <cell r="G329">
            <v>580.01800000000003</v>
          </cell>
          <cell r="H329">
            <v>480.56099999999998</v>
          </cell>
          <cell r="I329">
            <v>12.3</v>
          </cell>
          <cell r="J329">
            <v>4.2</v>
          </cell>
        </row>
        <row r="330">
          <cell r="B330" t="str">
            <v>HEINEKEN C 6RH PILSEN</v>
          </cell>
          <cell r="E330">
            <v>85.806562056142553</v>
          </cell>
          <cell r="F330">
            <v>93.838683161854547</v>
          </cell>
          <cell r="G330">
            <v>589.99800000000005</v>
          </cell>
          <cell r="H330">
            <v>506.25700000000001</v>
          </cell>
          <cell r="I330">
            <v>12.4</v>
          </cell>
          <cell r="J330">
            <v>4.2</v>
          </cell>
        </row>
        <row r="331">
          <cell r="B331" t="str">
            <v>HEINEKEN C 6RH PILSEN</v>
          </cell>
          <cell r="E331">
            <v>83.088690446426568</v>
          </cell>
          <cell r="F331">
            <v>90.866398912872896</v>
          </cell>
          <cell r="G331">
            <v>579.96100000000001</v>
          </cell>
          <cell r="H331">
            <v>481.88200000000001</v>
          </cell>
          <cell r="I331">
            <v>12.4</v>
          </cell>
          <cell r="J331">
            <v>4.2</v>
          </cell>
        </row>
        <row r="332">
          <cell r="B332" t="str">
            <v>HEINEKEN C 6RH PILSEN</v>
          </cell>
          <cell r="E332">
            <v>83.063965517241371</v>
          </cell>
          <cell r="F332">
            <v>90.839359549677226</v>
          </cell>
          <cell r="G332">
            <v>580</v>
          </cell>
          <cell r="H332">
            <v>481.77100000000002</v>
          </cell>
          <cell r="I332">
            <v>12.4</v>
          </cell>
          <cell r="J332">
            <v>4.2</v>
          </cell>
        </row>
        <row r="333">
          <cell r="B333" t="str">
            <v>HEINEKEN A 2RP PILSEN</v>
          </cell>
          <cell r="E333">
            <v>86.05918185378701</v>
          </cell>
          <cell r="F333">
            <v>94.222509961060524</v>
          </cell>
          <cell r="G333">
            <v>600.01499999999999</v>
          </cell>
          <cell r="H333">
            <v>516.36800000000005</v>
          </cell>
          <cell r="I333">
            <v>12.5</v>
          </cell>
          <cell r="J333">
            <v>4.2</v>
          </cell>
        </row>
        <row r="334">
          <cell r="B334" t="str">
            <v>HEINEKEN C 6RH PILSEN</v>
          </cell>
          <cell r="E334">
            <v>83.98825796544844</v>
          </cell>
          <cell r="F334">
            <v>91.955144149599562</v>
          </cell>
          <cell r="G334">
            <v>590.01700000000005</v>
          </cell>
          <cell r="H334">
            <v>495.54500000000002</v>
          </cell>
          <cell r="I334">
            <v>12.5</v>
          </cell>
          <cell r="J334">
            <v>4.2</v>
          </cell>
        </row>
        <row r="335">
          <cell r="B335" t="str">
            <v>HEINEKEN C 6RH PILSEN</v>
          </cell>
          <cell r="E335">
            <v>83.523413968900911</v>
          </cell>
          <cell r="F335">
            <v>91.446206379665213</v>
          </cell>
          <cell r="G335">
            <v>580.01700000000005</v>
          </cell>
          <cell r="H335">
            <v>484.45</v>
          </cell>
          <cell r="I335">
            <v>12.5</v>
          </cell>
          <cell r="J335">
            <v>4.2</v>
          </cell>
        </row>
        <row r="336">
          <cell r="B336" t="str">
            <v>HEINEKEN A 2RP PILSEN</v>
          </cell>
          <cell r="E336">
            <v>83.447767391801762</v>
          </cell>
          <cell r="F336">
            <v>91.363384184395528</v>
          </cell>
          <cell r="G336">
            <v>590.005</v>
          </cell>
          <cell r="H336">
            <v>492.346</v>
          </cell>
          <cell r="I336">
            <v>12.5</v>
          </cell>
          <cell r="J336">
            <v>4.2</v>
          </cell>
        </row>
        <row r="337">
          <cell r="B337" t="str">
            <v>ASAHI 2RP PILSEN</v>
          </cell>
          <cell r="E337">
            <v>82.757051159374569</v>
          </cell>
          <cell r="F337">
            <v>90.607148583635237</v>
          </cell>
          <cell r="G337">
            <v>580.01099999999997</v>
          </cell>
          <cell r="H337">
            <v>480</v>
          </cell>
          <cell r="I337">
            <v>12.5</v>
          </cell>
          <cell r="J337">
            <v>4.2</v>
          </cell>
        </row>
        <row r="338">
          <cell r="B338" t="str">
            <v>GLOBE PILSEN</v>
          </cell>
          <cell r="E338">
            <v>81.698028222038474</v>
          </cell>
          <cell r="F338">
            <v>89.550012627817921</v>
          </cell>
          <cell r="G338">
            <v>594.99599999999998</v>
          </cell>
          <cell r="H338">
            <v>486.1</v>
          </cell>
          <cell r="I338">
            <v>12.6</v>
          </cell>
          <cell r="J338">
            <v>4.2</v>
          </cell>
        </row>
        <row r="339">
          <cell r="B339" t="str">
            <v>HEINEKEN C 6RH PILSEN</v>
          </cell>
          <cell r="E339">
            <v>83.676896551724141</v>
          </cell>
          <cell r="F339">
            <v>91.824131611170358</v>
          </cell>
          <cell r="G339">
            <v>580</v>
          </cell>
          <cell r="H339">
            <v>485.32600000000002</v>
          </cell>
          <cell r="I339">
            <v>12.7</v>
          </cell>
          <cell r="J339">
            <v>4.2</v>
          </cell>
        </row>
        <row r="340">
          <cell r="B340" t="str">
            <v>GLOBE PILSEN</v>
          </cell>
          <cell r="E340">
            <v>83.201196581196584</v>
          </cell>
          <cell r="F340">
            <v>91.302114919571949</v>
          </cell>
          <cell r="G340">
            <v>585</v>
          </cell>
          <cell r="H340">
            <v>486.72699999999998</v>
          </cell>
          <cell r="I340">
            <v>12.7</v>
          </cell>
          <cell r="J340">
            <v>4.2</v>
          </cell>
        </row>
        <row r="341">
          <cell r="B341" t="str">
            <v>ASAHI 2RP PILSEN</v>
          </cell>
          <cell r="E341">
            <v>85.427643375355174</v>
          </cell>
          <cell r="F341">
            <v>94.068600406425588</v>
          </cell>
          <cell r="G341">
            <v>580.01599999999996</v>
          </cell>
          <cell r="H341">
            <v>495.49400000000003</v>
          </cell>
          <cell r="I341">
            <v>13</v>
          </cell>
          <cell r="J341">
            <v>4.2</v>
          </cell>
        </row>
        <row r="342">
          <cell r="B342" t="str">
            <v>CARLBERG 2RP PILSEN</v>
          </cell>
          <cell r="E342">
            <v>85.134643533851815</v>
          </cell>
          <cell r="F342">
            <v>93.745963799344878</v>
          </cell>
          <cell r="G342">
            <v>580.01300000000003</v>
          </cell>
          <cell r="H342">
            <v>493.79199999999997</v>
          </cell>
          <cell r="I342">
            <v>13</v>
          </cell>
          <cell r="J342">
            <v>4.2</v>
          </cell>
        </row>
        <row r="343">
          <cell r="B343" t="str">
            <v>ASAHI 2RP PILSEN</v>
          </cell>
          <cell r="E343">
            <v>84.928630171704839</v>
          </cell>
          <cell r="F343">
            <v>93.519112304015209</v>
          </cell>
          <cell r="G343">
            <v>580.00699999999995</v>
          </cell>
          <cell r="H343">
            <v>492.59199999999998</v>
          </cell>
          <cell r="I343">
            <v>13</v>
          </cell>
          <cell r="J343">
            <v>4.2</v>
          </cell>
        </row>
        <row r="344">
          <cell r="B344" t="str">
            <v>HEINEKEN C 6RH PILSEN</v>
          </cell>
          <cell r="E344">
            <v>82.784975991586279</v>
          </cell>
          <cell r="F344">
            <v>91.158628735562814</v>
          </cell>
          <cell r="G344">
            <v>580.005</v>
          </cell>
          <cell r="H344">
            <v>480.15699999999998</v>
          </cell>
          <cell r="I344">
            <v>13</v>
          </cell>
          <cell r="J344">
            <v>4.2</v>
          </cell>
        </row>
        <row r="345">
          <cell r="B345" t="str">
            <v>GLOBE PILSEN</v>
          </cell>
          <cell r="E345">
            <v>85.039339129959259</v>
          </cell>
          <cell r="F345">
            <v>93.748776624281888</v>
          </cell>
          <cell r="G345">
            <v>585.16800000000001</v>
          </cell>
          <cell r="H345">
            <v>497.62299999999999</v>
          </cell>
          <cell r="I345">
            <v>13.1</v>
          </cell>
          <cell r="J345">
            <v>4.2</v>
          </cell>
        </row>
        <row r="346">
          <cell r="B346" t="str">
            <v>HEINEKEN C 6RH PILSEN</v>
          </cell>
          <cell r="E346">
            <v>86.069578830490826</v>
          </cell>
          <cell r="F346">
            <v>94.993843916601605</v>
          </cell>
          <cell r="G346">
            <v>580.00400000000002</v>
          </cell>
          <cell r="H346">
            <v>499.20699999999999</v>
          </cell>
          <cell r="I346">
            <v>13.2</v>
          </cell>
          <cell r="J346">
            <v>4.2</v>
          </cell>
        </row>
        <row r="347">
          <cell r="B347" t="str">
            <v>GLOBE PILSEN</v>
          </cell>
          <cell r="E347">
            <v>84.345128205128205</v>
          </cell>
          <cell r="F347">
            <v>93.090590807042432</v>
          </cell>
          <cell r="G347">
            <v>585</v>
          </cell>
          <cell r="H347">
            <v>493.41899999999998</v>
          </cell>
          <cell r="I347">
            <v>13.2</v>
          </cell>
          <cell r="J347">
            <v>4.2</v>
          </cell>
        </row>
        <row r="348">
          <cell r="B348" t="str">
            <v>HEINEKEN C 6RH PILSEN</v>
          </cell>
          <cell r="E348">
            <v>84.105419053842269</v>
          </cell>
          <cell r="F348">
            <v>92.826027020254486</v>
          </cell>
          <cell r="G348">
            <v>580.00900000000001</v>
          </cell>
          <cell r="H348">
            <v>487.81900000000002</v>
          </cell>
          <cell r="I348">
            <v>13.2</v>
          </cell>
          <cell r="J348">
            <v>4.2</v>
          </cell>
        </row>
        <row r="349">
          <cell r="B349" t="str">
            <v>HEINEKEN C 6RH PILSEN</v>
          </cell>
          <cell r="E349">
            <v>82.501469819983683</v>
          </cell>
          <cell r="F349">
            <v>91.055769686111034</v>
          </cell>
          <cell r="G349">
            <v>580.00300000000004</v>
          </cell>
          <cell r="H349">
            <v>478.51100000000002</v>
          </cell>
          <cell r="I349">
            <v>13.2</v>
          </cell>
          <cell r="J349">
            <v>4.2</v>
          </cell>
        </row>
        <row r="350">
          <cell r="B350" t="str">
            <v>HEINEKEN C 6RH PILSEN</v>
          </cell>
          <cell r="E350">
            <v>82.268976527829025</v>
          </cell>
          <cell r="F350">
            <v>90.799169946613148</v>
          </cell>
          <cell r="G350">
            <v>580.00599999999997</v>
          </cell>
          <cell r="H350">
            <v>477.16500000000002</v>
          </cell>
          <cell r="I350">
            <v>13.2</v>
          </cell>
          <cell r="J350">
            <v>4.2</v>
          </cell>
        </row>
        <row r="351">
          <cell r="B351" t="str">
            <v>HEINEKEN C 6RH PILSEN</v>
          </cell>
          <cell r="E351">
            <v>85.662366232830294</v>
          </cell>
          <cell r="F351">
            <v>94.65345657560718</v>
          </cell>
          <cell r="G351">
            <v>580.01900000000001</v>
          </cell>
          <cell r="H351">
            <v>496.858</v>
          </cell>
          <cell r="I351">
            <v>13.3</v>
          </cell>
          <cell r="J351">
            <v>4.2</v>
          </cell>
        </row>
        <row r="352">
          <cell r="B352" t="str">
            <v>HEINEKEN A 2RP PILSEN</v>
          </cell>
          <cell r="E352">
            <v>83.757585160667489</v>
          </cell>
          <cell r="F352">
            <v>92.548750385143535</v>
          </cell>
          <cell r="G352">
            <v>580.08000000000004</v>
          </cell>
          <cell r="H352">
            <v>485.86099999999999</v>
          </cell>
          <cell r="I352">
            <v>13.3</v>
          </cell>
          <cell r="J352">
            <v>4.2</v>
          </cell>
        </row>
        <row r="353">
          <cell r="B353" t="str">
            <v>ASAHI 2RP PILSEN</v>
          </cell>
          <cell r="E353">
            <v>83.337212650366638</v>
          </cell>
          <cell r="F353">
            <v>92.084255731316318</v>
          </cell>
          <cell r="G353">
            <v>579.99900000000002</v>
          </cell>
          <cell r="H353">
            <v>483.35500000000002</v>
          </cell>
          <cell r="I353">
            <v>13.3</v>
          </cell>
          <cell r="J353">
            <v>4.2</v>
          </cell>
        </row>
        <row r="354">
          <cell r="B354" t="str">
            <v>HEINEKEN C 6RH PILSEN</v>
          </cell>
          <cell r="E354">
            <v>85.348225338708048</v>
          </cell>
          <cell r="F354">
            <v>94.415242349286743</v>
          </cell>
          <cell r="G354">
            <v>579.99800000000005</v>
          </cell>
          <cell r="H354">
            <v>495.01799999999997</v>
          </cell>
          <cell r="I354">
            <v>13.4</v>
          </cell>
          <cell r="J354">
            <v>4.2</v>
          </cell>
        </row>
        <row r="355">
          <cell r="B355" t="str">
            <v>HEINEKEN C 6RH PILSEN</v>
          </cell>
          <cell r="E355">
            <v>85.332317246634929</v>
          </cell>
          <cell r="F355">
            <v>94.506774476619952</v>
          </cell>
          <cell r="G355">
            <v>580.00300000000004</v>
          </cell>
          <cell r="H355">
            <v>494.93</v>
          </cell>
          <cell r="I355">
            <v>13.5</v>
          </cell>
          <cell r="J355">
            <v>4.2</v>
          </cell>
        </row>
        <row r="356">
          <cell r="B356" t="str">
            <v>ASAHI 2RP PILSEN</v>
          </cell>
          <cell r="E356">
            <v>85.629412525322195</v>
          </cell>
          <cell r="F356">
            <v>94.945575462104927</v>
          </cell>
          <cell r="G356">
            <v>580.02499999999998</v>
          </cell>
          <cell r="H356">
            <v>496.67200000000003</v>
          </cell>
          <cell r="I356">
            <v>13.6</v>
          </cell>
          <cell r="J356">
            <v>4.2</v>
          </cell>
        </row>
        <row r="357">
          <cell r="B357" t="str">
            <v>HEINEKEN C 6RH PILSEN</v>
          </cell>
          <cell r="E357">
            <v>84.765554957862648</v>
          </cell>
          <cell r="F357">
            <v>93.987733390778246</v>
          </cell>
          <cell r="G357">
            <v>580.00800000000004</v>
          </cell>
          <cell r="H357">
            <v>491.64699999999999</v>
          </cell>
          <cell r="I357">
            <v>13.6</v>
          </cell>
          <cell r="J357">
            <v>4.2</v>
          </cell>
        </row>
        <row r="358">
          <cell r="B358" t="str">
            <v>HEINEKEN C 6RH PILSEN</v>
          </cell>
          <cell r="E358">
            <v>81.750127151884016</v>
          </cell>
          <cell r="F358">
            <v>90.644238207760282</v>
          </cell>
          <cell r="G358">
            <v>580.01499999999999</v>
          </cell>
          <cell r="H358">
            <v>474.16300000000001</v>
          </cell>
          <cell r="I358">
            <v>13.6</v>
          </cell>
          <cell r="J358">
            <v>4.2</v>
          </cell>
        </row>
        <row r="359">
          <cell r="B359" t="str">
            <v>HEINEKEN C 6RH PILSEN</v>
          </cell>
          <cell r="E359">
            <v>84.770637140128073</v>
          </cell>
          <cell r="F359">
            <v>94.102283175252239</v>
          </cell>
          <cell r="G359">
            <v>579.99800000000005</v>
          </cell>
          <cell r="H359">
            <v>491.66800000000001</v>
          </cell>
          <cell r="I359">
            <v>13.7</v>
          </cell>
          <cell r="J359">
            <v>4.2</v>
          </cell>
        </row>
        <row r="360">
          <cell r="B360" t="str">
            <v>CARLBERG 6RH PILSEN</v>
          </cell>
          <cell r="E360">
            <v>83.292989062219817</v>
          </cell>
          <cell r="F360">
            <v>92.461973953194189</v>
          </cell>
          <cell r="G360">
            <v>580.00800000000004</v>
          </cell>
          <cell r="H360">
            <v>483.10599999999999</v>
          </cell>
          <cell r="I360">
            <v>13.7</v>
          </cell>
          <cell r="J360">
            <v>4.2</v>
          </cell>
        </row>
        <row r="361">
          <cell r="B361" t="str">
            <v>HEINEKEN C 6RH PILSEN</v>
          </cell>
          <cell r="E361">
            <v>85.01973265655522</v>
          </cell>
          <cell r="F361">
            <v>94.488287569582255</v>
          </cell>
          <cell r="G361">
            <v>580.00300000000004</v>
          </cell>
          <cell r="H361">
            <v>493.11700000000002</v>
          </cell>
          <cell r="I361">
            <v>13.8</v>
          </cell>
          <cell r="J361">
            <v>4.2</v>
          </cell>
        </row>
        <row r="362">
          <cell r="B362" t="str">
            <v>GLOBE PILSEN</v>
          </cell>
          <cell r="E362">
            <v>82.68715851469733</v>
          </cell>
          <cell r="F362">
            <v>91.89593718918799</v>
          </cell>
          <cell r="G362">
            <v>580.00300000000004</v>
          </cell>
          <cell r="H362">
            <v>479.58800000000002</v>
          </cell>
          <cell r="I362">
            <v>13.8</v>
          </cell>
          <cell r="J362">
            <v>4.2</v>
          </cell>
        </row>
        <row r="363">
          <cell r="B363" t="str">
            <v>HEINEKEN C 6RH PILSEN</v>
          </cell>
          <cell r="E363">
            <v>82.652818438557105</v>
          </cell>
          <cell r="F363">
            <v>91.857772696215449</v>
          </cell>
          <cell r="G363">
            <v>580.00199999999995</v>
          </cell>
          <cell r="H363">
            <v>479.38799999999998</v>
          </cell>
          <cell r="I363">
            <v>13.8</v>
          </cell>
          <cell r="J363">
            <v>4.2</v>
          </cell>
        </row>
        <row r="364">
          <cell r="B364" t="str">
            <v>HEINEKEN C 6RH PILSEN</v>
          </cell>
          <cell r="E364">
            <v>83.187647194722885</v>
          </cell>
          <cell r="F364">
            <v>92.55954240713649</v>
          </cell>
          <cell r="G364">
            <v>580.01400000000001</v>
          </cell>
          <cell r="H364">
            <v>482.5</v>
          </cell>
          <cell r="I364">
            <v>13.9</v>
          </cell>
          <cell r="J364">
            <v>4.2</v>
          </cell>
        </row>
        <row r="365">
          <cell r="B365" t="str">
            <v>HEINEKEN C 6RH PILSEN</v>
          </cell>
          <cell r="E365">
            <v>83.068652619709766</v>
          </cell>
          <cell r="F365">
            <v>92.42714193923571</v>
          </cell>
          <cell r="G365">
            <v>580.00699999999995</v>
          </cell>
          <cell r="H365">
            <v>481.80399999999997</v>
          </cell>
          <cell r="I365">
            <v>13.9</v>
          </cell>
          <cell r="J365">
            <v>4.2</v>
          </cell>
        </row>
        <row r="366">
          <cell r="B366" t="str">
            <v>HEINEKEN C 6RH PILSEN</v>
          </cell>
          <cell r="E366">
            <v>82.830935282809037</v>
          </cell>
          <cell r="F366">
            <v>92.162643438944315</v>
          </cell>
          <cell r="G366">
            <v>579.98500000000001</v>
          </cell>
          <cell r="H366">
            <v>480.40699999999998</v>
          </cell>
          <cell r="I366">
            <v>13.9</v>
          </cell>
          <cell r="J366">
            <v>4.2</v>
          </cell>
        </row>
        <row r="367">
          <cell r="B367" t="str">
            <v>HEINEKEN C 6RH PILSEN</v>
          </cell>
          <cell r="E367">
            <v>82.721498472424329</v>
          </cell>
          <cell r="F367">
            <v>92.040877510548796</v>
          </cell>
          <cell r="G367">
            <v>580.00400000000002</v>
          </cell>
          <cell r="H367">
            <v>479.78800000000001</v>
          </cell>
          <cell r="I367">
            <v>13.9</v>
          </cell>
          <cell r="J367">
            <v>4.2</v>
          </cell>
        </row>
        <row r="368">
          <cell r="B368" t="str">
            <v>HEINEKEN C 6RH PILSEN</v>
          </cell>
          <cell r="E368">
            <v>82.530098670882694</v>
          </cell>
          <cell r="F368">
            <v>91.82791466516332</v>
          </cell>
          <cell r="G368">
            <v>580.00900000000001</v>
          </cell>
          <cell r="H368">
            <v>478.68200000000002</v>
          </cell>
          <cell r="I368">
            <v>13.9</v>
          </cell>
          <cell r="J368">
            <v>4.2</v>
          </cell>
        </row>
        <row r="369">
          <cell r="B369" t="str">
            <v>HEINEKEN C 6RH PILSEN</v>
          </cell>
          <cell r="E369">
            <v>82.111515318701407</v>
          </cell>
          <cell r="F369">
            <v>91.362173838926779</v>
          </cell>
          <cell r="G369">
            <v>580.01</v>
          </cell>
          <cell r="H369">
            <v>476.255</v>
          </cell>
          <cell r="I369">
            <v>13.9</v>
          </cell>
          <cell r="J369">
            <v>4.2</v>
          </cell>
        </row>
        <row r="370">
          <cell r="B370" t="str">
            <v>HEINEKEN C 6RH PILSEN</v>
          </cell>
          <cell r="E370">
            <v>83.772409250938779</v>
          </cell>
          <cell r="F370">
            <v>93.31856751441785</v>
          </cell>
          <cell r="G370">
            <v>580.00599999999997</v>
          </cell>
          <cell r="H370">
            <v>485.88499999999999</v>
          </cell>
          <cell r="I370">
            <v>14</v>
          </cell>
          <cell r="J370">
            <v>4.2</v>
          </cell>
        </row>
        <row r="371">
          <cell r="B371" t="str">
            <v>HEINEKEN C 6RH PILSEN</v>
          </cell>
          <cell r="E371">
            <v>82.384918698696367</v>
          </cell>
          <cell r="F371">
            <v>91.772967573664104</v>
          </cell>
          <cell r="G371">
            <v>580.00300000000004</v>
          </cell>
          <cell r="H371">
            <v>477.83499999999998</v>
          </cell>
          <cell r="I371">
            <v>14</v>
          </cell>
          <cell r="J371">
            <v>4.2</v>
          </cell>
        </row>
        <row r="372">
          <cell r="B372" t="str">
            <v>HEINEKEN C 6RH PILSEN</v>
          </cell>
          <cell r="E372">
            <v>81.20023724056125</v>
          </cell>
          <cell r="F372">
            <v>90.453287530764754</v>
          </cell>
          <cell r="G372">
            <v>580.00199999999995</v>
          </cell>
          <cell r="H372">
            <v>470.96300000000002</v>
          </cell>
          <cell r="I372">
            <v>14</v>
          </cell>
          <cell r="J372">
            <v>4.2</v>
          </cell>
        </row>
        <row r="373">
          <cell r="B373" t="str">
            <v>HEINEKEN C 6RH PILSEN</v>
          </cell>
          <cell r="E373">
            <v>84.344881569373911</v>
          </cell>
          <cell r="F373">
            <v>94.175287346690212</v>
          </cell>
          <cell r="G373">
            <v>580.00199999999995</v>
          </cell>
          <cell r="H373">
            <v>489.202</v>
          </cell>
          <cell r="I373">
            <v>14.2</v>
          </cell>
          <cell r="J373">
            <v>4.2</v>
          </cell>
        </row>
        <row r="374">
          <cell r="B374" t="str">
            <v>HEINEKEN C 6RH PILSEN</v>
          </cell>
          <cell r="E374">
            <v>81.452886531817029</v>
          </cell>
          <cell r="F374">
            <v>90.946229950443708</v>
          </cell>
          <cell r="G374">
            <v>580.00400000000002</v>
          </cell>
          <cell r="H374">
            <v>472.43</v>
          </cell>
          <cell r="I374">
            <v>14.2</v>
          </cell>
          <cell r="J374">
            <v>4.2</v>
          </cell>
        </row>
        <row r="375">
          <cell r="B375" t="str">
            <v>ABI4 PILSEN</v>
          </cell>
          <cell r="E375">
            <v>83.265403938525623</v>
          </cell>
          <cell r="F375">
            <v>93.078479548550234</v>
          </cell>
          <cell r="G375">
            <v>580.01400000000001</v>
          </cell>
          <cell r="H375">
            <v>482.95100000000002</v>
          </cell>
          <cell r="I375">
            <v>14.3</v>
          </cell>
          <cell r="J375">
            <v>4.2</v>
          </cell>
        </row>
        <row r="376">
          <cell r="B376" t="str">
            <v>HEINEKEN C 6RH PILSEN</v>
          </cell>
          <cell r="E376">
            <v>82.201816197502424</v>
          </cell>
          <cell r="F376">
            <v>91.889544827546459</v>
          </cell>
          <cell r="G376">
            <v>580.00300000000004</v>
          </cell>
          <cell r="H376">
            <v>476.77300000000002</v>
          </cell>
          <cell r="I376">
            <v>14.3</v>
          </cell>
          <cell r="J376">
            <v>4.2</v>
          </cell>
        </row>
        <row r="377">
          <cell r="B377" t="str">
            <v>HEINEKEN C 6RH PILSEN</v>
          </cell>
          <cell r="E377">
            <v>83.62847039635318</v>
          </cell>
          <cell r="F377">
            <v>93.593545139843869</v>
          </cell>
          <cell r="G377">
            <v>580.01300000000003</v>
          </cell>
          <cell r="H377">
            <v>485.05599999999998</v>
          </cell>
          <cell r="I377">
            <v>14.4</v>
          </cell>
          <cell r="J377">
            <v>4.2</v>
          </cell>
        </row>
        <row r="378">
          <cell r="B378" t="str">
            <v>HEINEKEN C 6RH PILSEN</v>
          </cell>
          <cell r="E378">
            <v>83.518886028632068</v>
          </cell>
          <cell r="F378">
            <v>93.470902821763445</v>
          </cell>
          <cell r="G378">
            <v>579.97900000000004</v>
          </cell>
          <cell r="H378">
            <v>484.392</v>
          </cell>
          <cell r="I378">
            <v>14.4</v>
          </cell>
          <cell r="J378">
            <v>4.2</v>
          </cell>
        </row>
        <row r="379">
          <cell r="B379" t="str">
            <v>GLOBE PILSEN</v>
          </cell>
          <cell r="E379">
            <v>82.317089991241559</v>
          </cell>
          <cell r="F379">
            <v>92.233651709484704</v>
          </cell>
          <cell r="G379">
            <v>580.01199999999994</v>
          </cell>
          <cell r="H379">
            <v>477.44900000000001</v>
          </cell>
          <cell r="I379">
            <v>14.5</v>
          </cell>
          <cell r="J379">
            <v>4.2</v>
          </cell>
        </row>
        <row r="380">
          <cell r="B380" t="str">
            <v>HEINEKEN C 6RH PILSEN</v>
          </cell>
          <cell r="E380">
            <v>86.846111335256836</v>
          </cell>
          <cell r="F380">
            <v>92.952478538517084</v>
          </cell>
          <cell r="G380">
            <v>589.89400000000001</v>
          </cell>
          <cell r="H380">
            <v>512.29999999999995</v>
          </cell>
          <cell r="I380">
            <v>10.4</v>
          </cell>
          <cell r="J380">
            <v>4.0999999999999996</v>
          </cell>
        </row>
        <row r="381">
          <cell r="B381" t="str">
            <v>ASAHI 2RP PILSEN</v>
          </cell>
          <cell r="E381">
            <v>85.249597041411107</v>
          </cell>
          <cell r="F381">
            <v>91.345657611970111</v>
          </cell>
          <cell r="G381">
            <v>590.01099999999997</v>
          </cell>
          <cell r="H381">
            <v>502.98200000000003</v>
          </cell>
          <cell r="I381">
            <v>10.5</v>
          </cell>
          <cell r="J381">
            <v>4.0999999999999996</v>
          </cell>
        </row>
        <row r="382">
          <cell r="B382" t="str">
            <v>HEINEKEN A 2RP PILSEN</v>
          </cell>
          <cell r="E382">
            <v>83.902252172851888</v>
          </cell>
          <cell r="F382">
            <v>90.002527778260571</v>
          </cell>
          <cell r="G382">
            <v>590.00800000000004</v>
          </cell>
          <cell r="H382">
            <v>495.03</v>
          </cell>
          <cell r="I382">
            <v>10.6</v>
          </cell>
          <cell r="J382">
            <v>4.0999999999999996</v>
          </cell>
        </row>
        <row r="383">
          <cell r="B383" t="str">
            <v>ASAHI 2RP PILSEN</v>
          </cell>
          <cell r="E383">
            <v>84.652789076906387</v>
          </cell>
          <cell r="F383">
            <v>91.011238480665043</v>
          </cell>
          <cell r="G383">
            <v>590.01599999999996</v>
          </cell>
          <cell r="H383">
            <v>499.46499999999997</v>
          </cell>
          <cell r="I383">
            <v>10.8</v>
          </cell>
          <cell r="J383">
            <v>4.0999999999999996</v>
          </cell>
        </row>
        <row r="384">
          <cell r="B384" t="str">
            <v>HEINEKEN A 2RP PILSEN</v>
          </cell>
          <cell r="E384">
            <v>84.078227777917803</v>
          </cell>
          <cell r="F384">
            <v>90.393520671550647</v>
          </cell>
          <cell r="G384">
            <v>595.18499999999995</v>
          </cell>
          <cell r="H384">
            <v>500.42099999999999</v>
          </cell>
          <cell r="I384">
            <v>10.8</v>
          </cell>
          <cell r="J384">
            <v>4.0999999999999996</v>
          </cell>
        </row>
        <row r="385">
          <cell r="B385" t="str">
            <v>HEINEKEN A 2RP PILSEN</v>
          </cell>
          <cell r="E385">
            <v>83.984618564948406</v>
          </cell>
          <cell r="F385">
            <v>90.292880273302146</v>
          </cell>
          <cell r="G385">
            <v>595.00300000000004</v>
          </cell>
          <cell r="H385">
            <v>499.71100000000001</v>
          </cell>
          <cell r="I385">
            <v>10.8</v>
          </cell>
          <cell r="J385">
            <v>4.0999999999999996</v>
          </cell>
        </row>
        <row r="386">
          <cell r="B386" t="str">
            <v>HEINEKEN A 2RP PILSEN</v>
          </cell>
          <cell r="E386">
            <v>85.000739426205257</v>
          </cell>
          <cell r="F386">
            <v>91.487889012043581</v>
          </cell>
          <cell r="G386">
            <v>595.05600000000004</v>
          </cell>
          <cell r="H386">
            <v>505.80200000000002</v>
          </cell>
          <cell r="I386">
            <v>10.9</v>
          </cell>
          <cell r="J386">
            <v>4.0999999999999996</v>
          </cell>
        </row>
        <row r="387">
          <cell r="B387" t="str">
            <v>ASAHI 2RP PILSEN</v>
          </cell>
          <cell r="E387">
            <v>85.26619662638555</v>
          </cell>
          <cell r="F387">
            <v>91.876721982813208</v>
          </cell>
          <cell r="G387">
            <v>592.00599999999997</v>
          </cell>
          <cell r="H387">
            <v>504.78100000000001</v>
          </cell>
          <cell r="I387">
            <v>11</v>
          </cell>
          <cell r="J387">
            <v>4.0999999999999996</v>
          </cell>
        </row>
        <row r="388">
          <cell r="B388" t="str">
            <v>HEINEKEN A 2RP PILSEN</v>
          </cell>
          <cell r="E388">
            <v>84.630290685167253</v>
          </cell>
          <cell r="F388">
            <v>91.191515468624047</v>
          </cell>
          <cell r="G388">
            <v>595.00800000000004</v>
          </cell>
          <cell r="H388">
            <v>503.55700000000002</v>
          </cell>
          <cell r="I388">
            <v>11</v>
          </cell>
          <cell r="J388">
            <v>4.0999999999999996</v>
          </cell>
        </row>
        <row r="389">
          <cell r="B389" t="str">
            <v>GLOBE PILSEN</v>
          </cell>
          <cell r="E389">
            <v>83.739794681794081</v>
          </cell>
          <cell r="F389">
            <v>90.23198101105676</v>
          </cell>
          <cell r="G389">
            <v>590.01099999999997</v>
          </cell>
          <cell r="H389">
            <v>494.07400000000001</v>
          </cell>
          <cell r="I389">
            <v>11</v>
          </cell>
          <cell r="J389">
            <v>4.0999999999999996</v>
          </cell>
        </row>
        <row r="390">
          <cell r="B390" t="str">
            <v>GLOBE PILSEN</v>
          </cell>
          <cell r="E390">
            <v>85.573445418029593</v>
          </cell>
          <cell r="F390">
            <v>92.311511986378378</v>
          </cell>
          <cell r="G390">
            <v>590.03</v>
          </cell>
          <cell r="H390">
            <v>504.90899999999999</v>
          </cell>
          <cell r="I390">
            <v>11.1</v>
          </cell>
          <cell r="J390">
            <v>4.0999999999999996</v>
          </cell>
        </row>
        <row r="391">
          <cell r="B391" t="str">
            <v>ASAHI 2RP PILSEN</v>
          </cell>
          <cell r="E391">
            <v>85.114558157035688</v>
          </cell>
          <cell r="F391">
            <v>91.816491870188116</v>
          </cell>
          <cell r="G391">
            <v>590.00599999999997</v>
          </cell>
          <cell r="H391">
            <v>502.18099999999998</v>
          </cell>
          <cell r="I391">
            <v>11.1</v>
          </cell>
          <cell r="J391">
            <v>4.0999999999999996</v>
          </cell>
        </row>
        <row r="392">
          <cell r="B392" t="str">
            <v>ASAHI 2RP PILSEN</v>
          </cell>
          <cell r="E392">
            <v>84.705292131632106</v>
          </cell>
          <cell r="F392">
            <v>91.375000173492921</v>
          </cell>
          <cell r="G392">
            <v>590.00800000000004</v>
          </cell>
          <cell r="H392">
            <v>499.76799999999997</v>
          </cell>
          <cell r="I392">
            <v>11.1</v>
          </cell>
          <cell r="J392">
            <v>4.0999999999999996</v>
          </cell>
        </row>
        <row r="393">
          <cell r="B393" t="str">
            <v>HEINEKEN C 6RH PILSEN</v>
          </cell>
          <cell r="E393">
            <v>84.41538066331394</v>
          </cell>
          <cell r="F393">
            <v>91.062261030504033</v>
          </cell>
          <cell r="G393">
            <v>580.02700000000004</v>
          </cell>
          <cell r="H393">
            <v>489.63200000000001</v>
          </cell>
          <cell r="I393">
            <v>11.1</v>
          </cell>
          <cell r="J393">
            <v>4.0999999999999996</v>
          </cell>
        </row>
        <row r="394">
          <cell r="B394" t="str">
            <v>ASAHI 2RP PILSEN</v>
          </cell>
          <cell r="E394">
            <v>84.033801283010121</v>
          </cell>
          <cell r="F394">
            <v>90.650636029703833</v>
          </cell>
          <cell r="G394">
            <v>595.00699999999995</v>
          </cell>
          <cell r="H394">
            <v>500.00700000000001</v>
          </cell>
          <cell r="I394">
            <v>11.1</v>
          </cell>
          <cell r="J394">
            <v>4.0999999999999996</v>
          </cell>
        </row>
        <row r="395">
          <cell r="B395" t="str">
            <v>ABI4 PILSEN</v>
          </cell>
          <cell r="E395">
            <v>82.911270189376694</v>
          </cell>
          <cell r="F395">
            <v>89.439716660981162</v>
          </cell>
          <cell r="G395">
            <v>580.00800000000004</v>
          </cell>
          <cell r="H395">
            <v>480.892</v>
          </cell>
          <cell r="I395">
            <v>11.1</v>
          </cell>
          <cell r="J395">
            <v>4.0999999999999996</v>
          </cell>
        </row>
        <row r="396">
          <cell r="B396" t="str">
            <v>GLOBE PILSEN</v>
          </cell>
          <cell r="E396">
            <v>82.907366230867609</v>
          </cell>
          <cell r="F396">
            <v>89.43550530416428</v>
          </cell>
          <cell r="G396">
            <v>594.99900000000002</v>
          </cell>
          <cell r="H396">
            <v>493.298</v>
          </cell>
          <cell r="I396">
            <v>11.1</v>
          </cell>
          <cell r="J396">
            <v>4.0999999999999996</v>
          </cell>
        </row>
        <row r="397">
          <cell r="B397" t="str">
            <v>HEINEKEN C 6RH PILSEN</v>
          </cell>
          <cell r="E397">
            <v>86.066917169621675</v>
          </cell>
          <cell r="F397">
            <v>92.948393655030628</v>
          </cell>
          <cell r="G397">
            <v>590.01300000000003</v>
          </cell>
          <cell r="H397">
            <v>507.80599999999998</v>
          </cell>
          <cell r="I397">
            <v>11.2</v>
          </cell>
          <cell r="J397">
            <v>4.0999999999999996</v>
          </cell>
        </row>
        <row r="398">
          <cell r="B398" t="str">
            <v>GLOBE PILSEN</v>
          </cell>
          <cell r="E398">
            <v>83.762516680504064</v>
          </cell>
          <cell r="F398">
            <v>90.459744928607435</v>
          </cell>
          <cell r="G398">
            <v>595.00599999999997</v>
          </cell>
          <cell r="H398">
            <v>498.392</v>
          </cell>
          <cell r="I398">
            <v>11.2</v>
          </cell>
          <cell r="J398">
            <v>4.0999999999999996</v>
          </cell>
        </row>
        <row r="399">
          <cell r="B399" t="str">
            <v>HEINEKEN A 2RP PILSEN</v>
          </cell>
          <cell r="E399">
            <v>83.288677841555199</v>
          </cell>
          <cell r="F399">
            <v>89.948020326634506</v>
          </cell>
          <cell r="G399">
            <v>590.07299999999998</v>
          </cell>
          <cell r="H399">
            <v>491.464</v>
          </cell>
          <cell r="I399">
            <v>11.2</v>
          </cell>
          <cell r="J399">
            <v>4.0999999999999996</v>
          </cell>
        </row>
        <row r="400">
          <cell r="B400" t="str">
            <v>ABI4 PILSEN</v>
          </cell>
          <cell r="E400">
            <v>82.436470156188847</v>
          </cell>
          <cell r="F400">
            <v>89.027674414172409</v>
          </cell>
          <cell r="G400">
            <v>580.00300000000004</v>
          </cell>
          <cell r="H400">
            <v>478.13400000000001</v>
          </cell>
          <cell r="I400">
            <v>11.2</v>
          </cell>
          <cell r="J400">
            <v>4.0999999999999996</v>
          </cell>
        </row>
        <row r="401">
          <cell r="B401" t="str">
            <v>ASAHI 2RP PILSEN</v>
          </cell>
          <cell r="E401">
            <v>85.316323786473035</v>
          </cell>
          <cell r="F401">
            <v>92.241662357641076</v>
          </cell>
          <cell r="G401">
            <v>594.96</v>
          </cell>
          <cell r="H401">
            <v>507.59800000000001</v>
          </cell>
          <cell r="I401">
            <v>11.3</v>
          </cell>
          <cell r="J401">
            <v>4.0999999999999996</v>
          </cell>
        </row>
        <row r="402">
          <cell r="B402" t="str">
            <v>HEINEKEN C 6RH PILSEN</v>
          </cell>
          <cell r="E402">
            <v>83.982613823079618</v>
          </cell>
          <cell r="F402">
            <v>90.799691833521265</v>
          </cell>
          <cell r="G402">
            <v>580.00099999999998</v>
          </cell>
          <cell r="H402">
            <v>487.1</v>
          </cell>
          <cell r="I402">
            <v>11.3</v>
          </cell>
          <cell r="J402">
            <v>4.0999999999999996</v>
          </cell>
        </row>
        <row r="403">
          <cell r="B403" t="str">
            <v>ASAHI 2RP PILSEN</v>
          </cell>
          <cell r="E403">
            <v>83.239888272701378</v>
          </cell>
          <cell r="F403">
            <v>89.996677399685041</v>
          </cell>
          <cell r="G403">
            <v>590.00800000000004</v>
          </cell>
          <cell r="H403">
            <v>491.12200000000001</v>
          </cell>
          <cell r="I403">
            <v>11.3</v>
          </cell>
          <cell r="J403">
            <v>4.0999999999999996</v>
          </cell>
        </row>
        <row r="404">
          <cell r="B404" t="str">
            <v>ASAHI 2RP PILSEN</v>
          </cell>
          <cell r="E404">
            <v>86.312582037953007</v>
          </cell>
          <cell r="F404">
            <v>93.424115320989756</v>
          </cell>
          <cell r="G404">
            <v>594.99900000000002</v>
          </cell>
          <cell r="H404">
            <v>513.55899999999997</v>
          </cell>
          <cell r="I404">
            <v>11.4</v>
          </cell>
          <cell r="J404">
            <v>4.0999999999999996</v>
          </cell>
        </row>
        <row r="405">
          <cell r="B405" t="str">
            <v>HEINEKEN C 6RH PILSEN</v>
          </cell>
          <cell r="E405">
            <v>85.513153835984653</v>
          </cell>
          <cell r="F405">
            <v>92.558820009829901</v>
          </cell>
          <cell r="G405">
            <v>590.01800000000003</v>
          </cell>
          <cell r="H405">
            <v>504.54300000000001</v>
          </cell>
          <cell r="I405">
            <v>11.4</v>
          </cell>
          <cell r="J405">
            <v>4.0999999999999996</v>
          </cell>
        </row>
        <row r="406">
          <cell r="B406" t="str">
            <v>HEINEKEN C 6RH PILSEN</v>
          </cell>
          <cell r="E406">
            <v>85.219357266092914</v>
          </cell>
          <cell r="F406">
            <v>92.240816724811651</v>
          </cell>
          <cell r="G406">
            <v>590.04200000000003</v>
          </cell>
          <cell r="H406">
            <v>502.83</v>
          </cell>
          <cell r="I406">
            <v>11.4</v>
          </cell>
          <cell r="J406">
            <v>4.0999999999999996</v>
          </cell>
        </row>
        <row r="407">
          <cell r="B407" t="str">
            <v>HEINEKEN A 2RP PILSEN</v>
          </cell>
          <cell r="E407">
            <v>84.508240622097475</v>
          </cell>
          <cell r="F407">
            <v>91.471109206085174</v>
          </cell>
          <cell r="G407">
            <v>590.00400000000002</v>
          </cell>
          <cell r="H407">
            <v>498.60199999999998</v>
          </cell>
          <cell r="I407">
            <v>11.4</v>
          </cell>
          <cell r="J407">
            <v>4.0999999999999996</v>
          </cell>
        </row>
        <row r="408">
          <cell r="B408" t="str">
            <v>GLOBE PILSEN</v>
          </cell>
          <cell r="E408">
            <v>83.597763431529245</v>
          </cell>
          <cell r="F408">
            <v>90.485615271824543</v>
          </cell>
          <cell r="G408">
            <v>590.01099999999997</v>
          </cell>
          <cell r="H408">
            <v>493.23599999999999</v>
          </cell>
          <cell r="I408">
            <v>11.4</v>
          </cell>
          <cell r="J408">
            <v>4.0999999999999996</v>
          </cell>
        </row>
        <row r="409">
          <cell r="B409" t="str">
            <v>GLOBE PILSEN</v>
          </cell>
          <cell r="E409">
            <v>82.796469836491809</v>
          </cell>
          <cell r="F409">
            <v>89.618300872681317</v>
          </cell>
          <cell r="G409">
            <v>590.00099999999998</v>
          </cell>
          <cell r="H409">
            <v>488.5</v>
          </cell>
          <cell r="I409">
            <v>11.4</v>
          </cell>
          <cell r="J409">
            <v>4.0999999999999996</v>
          </cell>
        </row>
        <row r="410">
          <cell r="B410" t="str">
            <v>ASAHI 2RP PILSEN</v>
          </cell>
          <cell r="E410">
            <v>87.386783242061753</v>
          </cell>
          <cell r="F410">
            <v>94.693700710889502</v>
          </cell>
          <cell r="G410">
            <v>592.00599999999997</v>
          </cell>
          <cell r="H410">
            <v>517.33500000000004</v>
          </cell>
          <cell r="I410">
            <v>11.5</v>
          </cell>
          <cell r="J410">
            <v>4.0999999999999996</v>
          </cell>
        </row>
        <row r="411">
          <cell r="B411" t="str">
            <v>ASAHI 2RP PILSEN</v>
          </cell>
          <cell r="E411">
            <v>86.167702510562918</v>
          </cell>
          <cell r="F411">
            <v>93.372685545344453</v>
          </cell>
          <cell r="G411">
            <v>595.00599999999997</v>
          </cell>
          <cell r="H411">
            <v>512.70299999999997</v>
          </cell>
          <cell r="I411">
            <v>11.5</v>
          </cell>
          <cell r="J411">
            <v>4.0999999999999996</v>
          </cell>
        </row>
        <row r="412">
          <cell r="B412" t="str">
            <v>HEINEKEN C 6RH PILSEN</v>
          </cell>
          <cell r="E412">
            <v>85.373273967007279</v>
          </cell>
          <cell r="F412">
            <v>92.511830208316368</v>
          </cell>
          <cell r="G412">
            <v>590.00900000000001</v>
          </cell>
          <cell r="H412">
            <v>503.71</v>
          </cell>
          <cell r="I412">
            <v>11.5</v>
          </cell>
          <cell r="J412">
            <v>4.0999999999999996</v>
          </cell>
        </row>
        <row r="413">
          <cell r="B413" t="str">
            <v>HEINEKEN C 6RH PILSEN</v>
          </cell>
          <cell r="E413">
            <v>84.539788450099564</v>
          </cell>
          <cell r="F413">
            <v>91.608652117113536</v>
          </cell>
          <cell r="G413">
            <v>580.005</v>
          </cell>
          <cell r="H413">
            <v>490.33499999999998</v>
          </cell>
          <cell r="I413">
            <v>11.5</v>
          </cell>
          <cell r="J413">
            <v>4.0999999999999996</v>
          </cell>
        </row>
        <row r="414">
          <cell r="B414" t="str">
            <v>HEINEKEN A 2RP PILSEN</v>
          </cell>
          <cell r="E414">
            <v>84.406779661016955</v>
          </cell>
          <cell r="F414">
            <v>91.464521689169786</v>
          </cell>
          <cell r="G414">
            <v>590</v>
          </cell>
          <cell r="H414">
            <v>498</v>
          </cell>
          <cell r="I414">
            <v>11.5</v>
          </cell>
          <cell r="J414">
            <v>4.0999999999999996</v>
          </cell>
        </row>
        <row r="415">
          <cell r="B415" t="str">
            <v>ASAHI 2RP PILSEN</v>
          </cell>
          <cell r="E415">
            <v>82.970674278043504</v>
          </cell>
          <cell r="F415">
            <v>89.908335178128482</v>
          </cell>
          <cell r="G415">
            <v>589.99400000000003</v>
          </cell>
          <cell r="H415">
            <v>489.52199999999999</v>
          </cell>
          <cell r="I415">
            <v>11.5</v>
          </cell>
          <cell r="J415">
            <v>4.0999999999999996</v>
          </cell>
        </row>
        <row r="416">
          <cell r="B416" t="str">
            <v>ASAHI 2RP PILSEN</v>
          </cell>
          <cell r="E416">
            <v>85.611645002873942</v>
          </cell>
          <cell r="F416">
            <v>92.875076422801044</v>
          </cell>
          <cell r="G416">
            <v>595.00199999999995</v>
          </cell>
          <cell r="H416">
            <v>509.39100000000002</v>
          </cell>
          <cell r="I416">
            <v>11.6</v>
          </cell>
          <cell r="J416">
            <v>4.0999999999999996</v>
          </cell>
        </row>
        <row r="417">
          <cell r="B417" t="str">
            <v>ASAHI 2RP PILSEN</v>
          </cell>
          <cell r="E417">
            <v>85.317720467848062</v>
          </cell>
          <cell r="F417">
            <v>92.556214851432443</v>
          </cell>
          <cell r="G417">
            <v>594.89400000000001</v>
          </cell>
          <cell r="H417">
            <v>507.55</v>
          </cell>
          <cell r="I417">
            <v>11.6</v>
          </cell>
          <cell r="J417">
            <v>4.0999999999999996</v>
          </cell>
        </row>
        <row r="418">
          <cell r="B418" t="str">
            <v>CARLBERG 6RH PILSEN</v>
          </cell>
          <cell r="E418">
            <v>84.950856515261691</v>
          </cell>
          <cell r="F418">
            <v>92.158225563502214</v>
          </cell>
          <cell r="G418">
            <v>590.00699999999995</v>
          </cell>
          <cell r="H418">
            <v>501.21600000000001</v>
          </cell>
          <cell r="I418">
            <v>11.6</v>
          </cell>
          <cell r="J418">
            <v>4.0999999999999996</v>
          </cell>
        </row>
        <row r="419">
          <cell r="B419" t="str">
            <v>HEINEKEN C 6RH PILSEN</v>
          </cell>
          <cell r="E419">
            <v>84.206714728364048</v>
          </cell>
          <cell r="F419">
            <v>91.350949575227517</v>
          </cell>
          <cell r="G419">
            <v>579.94899999999996</v>
          </cell>
          <cell r="H419">
            <v>488.35599999999999</v>
          </cell>
          <cell r="I419">
            <v>11.6</v>
          </cell>
          <cell r="J419">
            <v>4.0999999999999996</v>
          </cell>
        </row>
        <row r="420">
          <cell r="B420" t="str">
            <v>GLOBE PILSEN</v>
          </cell>
          <cell r="E420">
            <v>84.135665727132974</v>
          </cell>
          <cell r="F420">
            <v>91.273872660996062</v>
          </cell>
          <cell r="G420">
            <v>590.00900000000001</v>
          </cell>
          <cell r="H420">
            <v>496.40800000000002</v>
          </cell>
          <cell r="I420">
            <v>11.6</v>
          </cell>
          <cell r="J420">
            <v>4.0999999999999996</v>
          </cell>
        </row>
        <row r="421">
          <cell r="B421" t="str">
            <v>HEINEKEN C 6RH PILSEN</v>
          </cell>
          <cell r="E421">
            <v>83.844718976378232</v>
          </cell>
          <cell r="F421">
            <v>90.958241513966883</v>
          </cell>
          <cell r="G421">
            <v>580.05799999999999</v>
          </cell>
          <cell r="H421">
            <v>486.34800000000001</v>
          </cell>
          <cell r="I421">
            <v>11.6</v>
          </cell>
          <cell r="J421">
            <v>4.0999999999999996</v>
          </cell>
        </row>
        <row r="422">
          <cell r="B422" t="str">
            <v>ASAHI 2RP PILSEN</v>
          </cell>
          <cell r="E422">
            <v>83.432147227617719</v>
          </cell>
          <cell r="F422">
            <v>90.510666505978946</v>
          </cell>
          <cell r="G422">
            <v>589.99800000000005</v>
          </cell>
          <cell r="H422">
            <v>492.24799999999999</v>
          </cell>
          <cell r="I422">
            <v>11.6</v>
          </cell>
          <cell r="J422">
            <v>4.0999999999999996</v>
          </cell>
        </row>
        <row r="423">
          <cell r="B423" t="str">
            <v>ASAHI 2RP PILSEN</v>
          </cell>
          <cell r="E423">
            <v>82.489288426076584</v>
          </cell>
          <cell r="F423">
            <v>89.487814027836478</v>
          </cell>
          <cell r="G423">
            <v>590.01599999999996</v>
          </cell>
          <cell r="H423">
            <v>486.7</v>
          </cell>
          <cell r="I423">
            <v>11.6</v>
          </cell>
          <cell r="J423">
            <v>4.0999999999999996</v>
          </cell>
        </row>
        <row r="424">
          <cell r="B424" t="str">
            <v>HEINEKEN C 6RH PILSEN</v>
          </cell>
          <cell r="E424">
            <v>84.395851077402654</v>
          </cell>
          <cell r="F424">
            <v>91.65982013955734</v>
          </cell>
          <cell r="G424">
            <v>580.00599999999997</v>
          </cell>
          <cell r="H424">
            <v>489.50099999999998</v>
          </cell>
          <cell r="I424">
            <v>11.7</v>
          </cell>
          <cell r="J424">
            <v>4.0999999999999996</v>
          </cell>
        </row>
        <row r="425">
          <cell r="B425" t="str">
            <v>HEINEKEN C 6RH PILSEN</v>
          </cell>
          <cell r="E425">
            <v>83.738043185909063</v>
          </cell>
          <cell r="F425">
            <v>90.945394581298729</v>
          </cell>
          <cell r="G425">
            <v>580.00400000000002</v>
          </cell>
          <cell r="H425">
            <v>485.68400000000003</v>
          </cell>
          <cell r="I425">
            <v>11.7</v>
          </cell>
          <cell r="J425">
            <v>4.0999999999999996</v>
          </cell>
        </row>
        <row r="426">
          <cell r="B426" t="str">
            <v>HEINEKEN C 6RH PILSEN</v>
          </cell>
          <cell r="E426">
            <v>83.085689655172416</v>
          </cell>
          <cell r="F426">
            <v>90.23689284180108</v>
          </cell>
          <cell r="G426">
            <v>580</v>
          </cell>
          <cell r="H426">
            <v>481.89699999999999</v>
          </cell>
          <cell r="I426">
            <v>11.7</v>
          </cell>
          <cell r="J426">
            <v>4.0999999999999996</v>
          </cell>
        </row>
        <row r="427">
          <cell r="B427" t="str">
            <v>ASAHI 2RP PILSEN</v>
          </cell>
          <cell r="E427">
            <v>85.994284208606118</v>
          </cell>
          <cell r="F427">
            <v>93.501721718881257</v>
          </cell>
          <cell r="G427">
            <v>592.04399999999998</v>
          </cell>
          <cell r="H427">
            <v>509.12400000000002</v>
          </cell>
          <cell r="I427">
            <v>11.8</v>
          </cell>
          <cell r="J427">
            <v>4.0999999999999996</v>
          </cell>
        </row>
        <row r="428">
          <cell r="B428" t="str">
            <v>CARLBERG 6RH PILSEN</v>
          </cell>
          <cell r="E428">
            <v>85.972638220043493</v>
          </cell>
          <cell r="F428">
            <v>93.478186001158392</v>
          </cell>
          <cell r="G428">
            <v>589.947</v>
          </cell>
          <cell r="H428">
            <v>507.19299999999998</v>
          </cell>
          <cell r="I428">
            <v>11.8</v>
          </cell>
          <cell r="J428">
            <v>4.0999999999999996</v>
          </cell>
        </row>
        <row r="429">
          <cell r="B429" t="str">
            <v>ASAHI 2RP PILSEN</v>
          </cell>
          <cell r="E429">
            <v>85.281724993559408</v>
          </cell>
          <cell r="F429">
            <v>92.726954953314589</v>
          </cell>
          <cell r="G429">
            <v>590.00800000000004</v>
          </cell>
          <cell r="H429">
            <v>503.16899999999998</v>
          </cell>
          <cell r="I429">
            <v>11.8</v>
          </cell>
          <cell r="J429">
            <v>4.0999999999999996</v>
          </cell>
        </row>
        <row r="430">
          <cell r="B430" t="str">
            <v>ASAHI 2RP PILSEN</v>
          </cell>
          <cell r="E430">
            <v>84.087939132100217</v>
          </cell>
          <cell r="F430">
            <v>91.428949691251816</v>
          </cell>
          <cell r="G430">
            <v>589.99900000000002</v>
          </cell>
          <cell r="H430">
            <v>496.11799999999999</v>
          </cell>
          <cell r="I430">
            <v>11.8</v>
          </cell>
          <cell r="J430">
            <v>4.0999999999999996</v>
          </cell>
        </row>
        <row r="431">
          <cell r="B431" t="str">
            <v>HEINEKEN C 6RH PILSEN</v>
          </cell>
          <cell r="E431">
            <v>83.700052413070154</v>
          </cell>
          <cell r="F431">
            <v>91.007199845957231</v>
          </cell>
          <cell r="G431">
            <v>580.00800000000004</v>
          </cell>
          <cell r="H431">
            <v>485.46699999999998</v>
          </cell>
          <cell r="I431">
            <v>11.8</v>
          </cell>
          <cell r="J431">
            <v>4.0999999999999996</v>
          </cell>
        </row>
        <row r="432">
          <cell r="B432" t="str">
            <v>GLOBE PILSEN</v>
          </cell>
          <cell r="E432">
            <v>83.670494047539151</v>
          </cell>
          <cell r="F432">
            <v>90.975060988197328</v>
          </cell>
          <cell r="G432">
            <v>596.05600000000004</v>
          </cell>
          <cell r="H432">
            <v>498.72300000000001</v>
          </cell>
          <cell r="I432">
            <v>11.8</v>
          </cell>
          <cell r="J432">
            <v>4.0999999999999996</v>
          </cell>
        </row>
        <row r="433">
          <cell r="B433" t="str">
            <v>HEINEKEN C 6RH PILSEN</v>
          </cell>
          <cell r="E433">
            <v>83.602964883816753</v>
          </cell>
          <cell r="F433">
            <v>90.901636421292835</v>
          </cell>
          <cell r="G433">
            <v>579.98900000000003</v>
          </cell>
          <cell r="H433">
            <v>484.88799999999998</v>
          </cell>
          <cell r="I433">
            <v>11.8</v>
          </cell>
          <cell r="J433">
            <v>4.0999999999999996</v>
          </cell>
        </row>
        <row r="434">
          <cell r="B434" t="str">
            <v>GLOBE PILSEN</v>
          </cell>
          <cell r="E434">
            <v>83.194395891037203</v>
          </cell>
          <cell r="F434">
            <v>90.457398706921396</v>
          </cell>
          <cell r="G434">
            <v>594.99199999999996</v>
          </cell>
          <cell r="H434">
            <v>495</v>
          </cell>
          <cell r="I434">
            <v>11.8</v>
          </cell>
          <cell r="J434">
            <v>4.0999999999999996</v>
          </cell>
        </row>
        <row r="435">
          <cell r="B435" t="str">
            <v>HEINEKEN C 6RH PILSEN</v>
          </cell>
          <cell r="E435">
            <v>83.071267982510577</v>
          </cell>
          <cell r="F435">
            <v>90.323521536539289</v>
          </cell>
          <cell r="G435">
            <v>580.00800000000004</v>
          </cell>
          <cell r="H435">
            <v>481.82</v>
          </cell>
          <cell r="I435">
            <v>11.8</v>
          </cell>
          <cell r="J435">
            <v>4.0999999999999996</v>
          </cell>
        </row>
        <row r="436">
          <cell r="B436" t="str">
            <v>HEINEKEN C 6RH PILSEN</v>
          </cell>
          <cell r="E436">
            <v>84.340820916645626</v>
          </cell>
          <cell r="F436">
            <v>91.807999158982</v>
          </cell>
          <cell r="G436">
            <v>589.99900000000002</v>
          </cell>
          <cell r="H436">
            <v>497.61</v>
          </cell>
          <cell r="I436">
            <v>11.9</v>
          </cell>
          <cell r="J436">
            <v>4.0999999999999996</v>
          </cell>
        </row>
        <row r="437">
          <cell r="B437" t="str">
            <v>HEINEKEN C 6RH PILSEN</v>
          </cell>
          <cell r="E437">
            <v>84.246146962061999</v>
          </cell>
          <cell r="F437">
            <v>91.704943174367159</v>
          </cell>
          <cell r="G437">
            <v>589.98900000000003</v>
          </cell>
          <cell r="H437">
            <v>497.04300000000001</v>
          </cell>
          <cell r="I437">
            <v>11.9</v>
          </cell>
          <cell r="J437">
            <v>4.0999999999999996</v>
          </cell>
        </row>
        <row r="438">
          <cell r="B438" t="str">
            <v>HEINEKEN C 6RH PILSEN</v>
          </cell>
          <cell r="E438">
            <v>84.136540991436021</v>
          </cell>
          <cell r="F438">
            <v>91.585633156398572</v>
          </cell>
          <cell r="G438">
            <v>579.98699999999997</v>
          </cell>
          <cell r="H438">
            <v>487.98099999999999</v>
          </cell>
          <cell r="I438">
            <v>11.9</v>
          </cell>
          <cell r="J438">
            <v>4.0999999999999996</v>
          </cell>
        </row>
        <row r="439">
          <cell r="B439" t="str">
            <v>GLOBE PILSEN</v>
          </cell>
          <cell r="E439">
            <v>84.084283602934178</v>
          </cell>
          <cell r="F439">
            <v>91.528749120560605</v>
          </cell>
          <cell r="G439">
            <v>590.00800000000004</v>
          </cell>
          <cell r="H439">
            <v>496.10399999999998</v>
          </cell>
          <cell r="I439">
            <v>11.9</v>
          </cell>
          <cell r="J439">
            <v>4.0999999999999996</v>
          </cell>
        </row>
        <row r="440">
          <cell r="B440" t="str">
            <v>HEINEKEN C 6RH PILSEN</v>
          </cell>
          <cell r="E440">
            <v>83.827997034431633</v>
          </cell>
          <cell r="F440">
            <v>91.249772027264413</v>
          </cell>
          <cell r="G440">
            <v>579.99</v>
          </cell>
          <cell r="H440">
            <v>486.19400000000002</v>
          </cell>
          <cell r="I440">
            <v>11.9</v>
          </cell>
          <cell r="J440">
            <v>4.0999999999999996</v>
          </cell>
        </row>
        <row r="441">
          <cell r="B441" t="str">
            <v>HEINEKEN C 6RH PILSEN</v>
          </cell>
          <cell r="E441">
            <v>83.506505598642661</v>
          </cell>
          <cell r="F441">
            <v>90.8998171045384</v>
          </cell>
          <cell r="G441">
            <v>579.96199999999999</v>
          </cell>
          <cell r="H441">
            <v>484.30599999999998</v>
          </cell>
          <cell r="I441">
            <v>11.9</v>
          </cell>
          <cell r="J441">
            <v>4.0999999999999996</v>
          </cell>
        </row>
        <row r="442">
          <cell r="B442" t="str">
            <v>HEINEKEN C 6RH PILSEN</v>
          </cell>
          <cell r="E442">
            <v>83.315603723390495</v>
          </cell>
          <cell r="F442">
            <v>90.692013587663439</v>
          </cell>
          <cell r="G442">
            <v>580.00900000000001</v>
          </cell>
          <cell r="H442">
            <v>483.238</v>
          </cell>
          <cell r="I442">
            <v>11.9</v>
          </cell>
          <cell r="J442">
            <v>4.0999999999999996</v>
          </cell>
        </row>
        <row r="443">
          <cell r="B443" t="str">
            <v>ASAHI 2RP PILSEN</v>
          </cell>
          <cell r="E443">
            <v>83.025452499233054</v>
          </cell>
          <cell r="F443">
            <v>90.376173605862093</v>
          </cell>
          <cell r="G443">
            <v>590.00099999999998</v>
          </cell>
          <cell r="H443">
            <v>489.851</v>
          </cell>
          <cell r="I443">
            <v>11.9</v>
          </cell>
          <cell r="J443">
            <v>4.0999999999999996</v>
          </cell>
        </row>
        <row r="444">
          <cell r="B444" t="str">
            <v>HEINEKEN C 6RH PILSEN</v>
          </cell>
          <cell r="E444">
            <v>82.974024227502667</v>
          </cell>
          <cell r="F444">
            <v>90.320192093274756</v>
          </cell>
          <cell r="G444">
            <v>580.00199999999995</v>
          </cell>
          <cell r="H444">
            <v>481.25099999999998</v>
          </cell>
          <cell r="I444">
            <v>11.9</v>
          </cell>
          <cell r="J444">
            <v>4.0999999999999996</v>
          </cell>
        </row>
        <row r="445">
          <cell r="B445" t="str">
            <v>GLOBE PILSEN</v>
          </cell>
          <cell r="E445">
            <v>85.293438926789406</v>
          </cell>
          <cell r="F445">
            <v>92.950463557717114</v>
          </cell>
          <cell r="G445">
            <v>585.01099999999997</v>
          </cell>
          <cell r="H445">
            <v>498.976</v>
          </cell>
          <cell r="I445">
            <v>12</v>
          </cell>
          <cell r="J445">
            <v>4.0999999999999996</v>
          </cell>
        </row>
        <row r="446">
          <cell r="B446" t="str">
            <v>HEINEKEN A 2RP PILSEN</v>
          </cell>
          <cell r="E446">
            <v>85.107630975670418</v>
          </cell>
          <cell r="F446">
            <v>92.747975120077214</v>
          </cell>
          <cell r="G446">
            <v>594.99599999999998</v>
          </cell>
          <cell r="H446">
            <v>506.387</v>
          </cell>
          <cell r="I446">
            <v>12</v>
          </cell>
          <cell r="J446">
            <v>4.0999999999999996</v>
          </cell>
        </row>
        <row r="447">
          <cell r="B447" t="str">
            <v>HEINEKEN C 6RH PILSEN</v>
          </cell>
          <cell r="E447">
            <v>84.480624271556749</v>
          </cell>
          <cell r="F447">
            <v>92.064680314116956</v>
          </cell>
          <cell r="G447">
            <v>580.00400000000002</v>
          </cell>
          <cell r="H447">
            <v>489.99099999999999</v>
          </cell>
          <cell r="I447">
            <v>12</v>
          </cell>
          <cell r="J447">
            <v>4.0999999999999996</v>
          </cell>
        </row>
        <row r="448">
          <cell r="B448" t="str">
            <v>ASAHI 2RP PILSEN</v>
          </cell>
          <cell r="E448">
            <v>84.447706198104072</v>
          </cell>
          <cell r="F448">
            <v>92.028807095433862</v>
          </cell>
          <cell r="G448">
            <v>590.00300000000004</v>
          </cell>
          <cell r="H448">
            <v>498.24400000000003</v>
          </cell>
          <cell r="I448">
            <v>12</v>
          </cell>
          <cell r="J448">
            <v>4.0999999999999996</v>
          </cell>
        </row>
        <row r="449">
          <cell r="B449" t="str">
            <v>HEINEKEN C 6RH PILSEN</v>
          </cell>
          <cell r="E449">
            <v>83.912497004325843</v>
          </cell>
          <cell r="F449">
            <v>91.445550712668719</v>
          </cell>
          <cell r="G449">
            <v>580.00300000000004</v>
          </cell>
          <cell r="H449">
            <v>486.69499999999999</v>
          </cell>
          <cell r="I449">
            <v>12</v>
          </cell>
          <cell r="J449">
            <v>4.0999999999999996</v>
          </cell>
        </row>
        <row r="450">
          <cell r="B450" t="str">
            <v>HEINEKEN C 6RH PILSEN</v>
          </cell>
          <cell r="E450">
            <v>83.716523649178697</v>
          </cell>
          <cell r="F450">
            <v>91.231984294957229</v>
          </cell>
          <cell r="G450">
            <v>579.99900000000002</v>
          </cell>
          <cell r="H450">
            <v>485.55500000000001</v>
          </cell>
          <cell r="I450">
            <v>12</v>
          </cell>
          <cell r="J450">
            <v>4.0999999999999996</v>
          </cell>
        </row>
        <row r="451">
          <cell r="B451" t="str">
            <v>HEINEKEN C 6RH PILSEN</v>
          </cell>
          <cell r="E451">
            <v>83.291609770899711</v>
          </cell>
          <cell r="F451">
            <v>90.768924738969105</v>
          </cell>
          <cell r="G451">
            <v>580.00800000000004</v>
          </cell>
          <cell r="H451">
            <v>483.09800000000001</v>
          </cell>
          <cell r="I451">
            <v>12</v>
          </cell>
          <cell r="J451">
            <v>4.0999999999999996</v>
          </cell>
        </row>
        <row r="452">
          <cell r="B452" t="str">
            <v>HEINEKEN C 6RH PILSEN</v>
          </cell>
          <cell r="E452">
            <v>82.748359043236434</v>
          </cell>
          <cell r="F452">
            <v>90.176904911890617</v>
          </cell>
          <cell r="G452">
            <v>579.99699999999996</v>
          </cell>
          <cell r="H452">
            <v>479.93799999999999</v>
          </cell>
          <cell r="I452">
            <v>12</v>
          </cell>
          <cell r="J452">
            <v>4.0999999999999996</v>
          </cell>
        </row>
        <row r="453">
          <cell r="B453" t="str">
            <v>HEINEKEN C 6RH PILSEN</v>
          </cell>
          <cell r="E453">
            <v>82.680606824447452</v>
          </cell>
          <cell r="F453">
            <v>90.103070391642177</v>
          </cell>
          <cell r="G453">
            <v>580.00300000000004</v>
          </cell>
          <cell r="H453">
            <v>479.55</v>
          </cell>
          <cell r="I453">
            <v>12</v>
          </cell>
          <cell r="J453">
            <v>4.0999999999999996</v>
          </cell>
        </row>
        <row r="454">
          <cell r="B454" t="str">
            <v>HEINEKEN C 6RH PILSEN</v>
          </cell>
          <cell r="E454">
            <v>82.518698550385665</v>
          </cell>
          <cell r="F454">
            <v>89.92662717024983</v>
          </cell>
          <cell r="G454">
            <v>590.01900000000001</v>
          </cell>
          <cell r="H454">
            <v>486.87599999999998</v>
          </cell>
          <cell r="I454">
            <v>12</v>
          </cell>
          <cell r="J454">
            <v>4.0999999999999996</v>
          </cell>
        </row>
        <row r="455">
          <cell r="B455" t="str">
            <v>GLOBE PILSEN</v>
          </cell>
          <cell r="E455">
            <v>86.460223243860455</v>
          </cell>
          <cell r="F455">
            <v>94.32918554136765</v>
          </cell>
          <cell r="G455">
            <v>600.77800000000002</v>
          </cell>
          <cell r="H455">
            <v>519.43399999999997</v>
          </cell>
          <cell r="I455">
            <v>12.1</v>
          </cell>
          <cell r="J455">
            <v>4.0999999999999996</v>
          </cell>
        </row>
        <row r="456">
          <cell r="B456" t="str">
            <v>HEINEKEN C 6RH PILSEN</v>
          </cell>
          <cell r="E456">
            <v>84.902465853566028</v>
          </cell>
          <cell r="F456">
            <v>92.629652734436661</v>
          </cell>
          <cell r="G456">
            <v>580.00199999999995</v>
          </cell>
          <cell r="H456">
            <v>492.43599999999998</v>
          </cell>
          <cell r="I456">
            <v>12.1</v>
          </cell>
          <cell r="J456">
            <v>4.0999999999999996</v>
          </cell>
        </row>
        <row r="457">
          <cell r="B457" t="str">
            <v>HEINEKEN C 6RH PILSEN</v>
          </cell>
          <cell r="E457">
            <v>84.817293640611183</v>
          </cell>
          <cell r="F457">
            <v>92.536728784239045</v>
          </cell>
          <cell r="G457">
            <v>583.01199999999994</v>
          </cell>
          <cell r="H457">
            <v>494.495</v>
          </cell>
          <cell r="I457">
            <v>12.1</v>
          </cell>
          <cell r="J457">
            <v>4.0999999999999996</v>
          </cell>
        </row>
        <row r="458">
          <cell r="B458" t="str">
            <v>ASAHI 2RP PILSEN</v>
          </cell>
          <cell r="E458">
            <v>84.332432226299332</v>
          </cell>
          <cell r="F458">
            <v>92.007738913562065</v>
          </cell>
          <cell r="G458">
            <v>590.01499999999999</v>
          </cell>
          <cell r="H458">
            <v>497.57400000000001</v>
          </cell>
          <cell r="I458">
            <v>12.1</v>
          </cell>
          <cell r="J458">
            <v>4.0999999999999996</v>
          </cell>
        </row>
        <row r="459">
          <cell r="B459" t="str">
            <v>HEINEKEN C 6RH PILSEN</v>
          </cell>
          <cell r="E459">
            <v>83.677177979690015</v>
          </cell>
          <cell r="F459">
            <v>91.292848330515028</v>
          </cell>
          <cell r="G459">
            <v>580.01</v>
          </cell>
          <cell r="H459">
            <v>485.33600000000001</v>
          </cell>
          <cell r="I459">
            <v>12.1</v>
          </cell>
          <cell r="J459">
            <v>4.0999999999999996</v>
          </cell>
        </row>
        <row r="460">
          <cell r="B460" t="str">
            <v>ASAHI 2RP PILSEN</v>
          </cell>
          <cell r="E460">
            <v>86.173460134948456</v>
          </cell>
          <cell r="F460">
            <v>94.123403495917515</v>
          </cell>
          <cell r="G460">
            <v>590.00300000000004</v>
          </cell>
          <cell r="H460">
            <v>508.42599999999999</v>
          </cell>
          <cell r="I460">
            <v>12.2</v>
          </cell>
          <cell r="J460">
            <v>4.0999999999999996</v>
          </cell>
        </row>
        <row r="461">
          <cell r="B461" t="str">
            <v>HEINEKEN A 2RP PILSEN</v>
          </cell>
          <cell r="E461">
            <v>84.47377001240325</v>
          </cell>
          <cell r="F461">
            <v>92.26690824817166</v>
          </cell>
          <cell r="G461">
            <v>595.00599999999997</v>
          </cell>
          <cell r="H461">
            <v>502.62400000000002</v>
          </cell>
          <cell r="I461">
            <v>12.2</v>
          </cell>
          <cell r="J461">
            <v>4.0999999999999996</v>
          </cell>
        </row>
        <row r="462">
          <cell r="B462" t="str">
            <v>ABI4 PILSEN</v>
          </cell>
          <cell r="E462">
            <v>84.194314294944888</v>
          </cell>
          <cell r="F462">
            <v>91.961671308487638</v>
          </cell>
          <cell r="G462">
            <v>585.01099999999997</v>
          </cell>
          <cell r="H462">
            <v>492.54599999999999</v>
          </cell>
          <cell r="I462">
            <v>12.2</v>
          </cell>
          <cell r="J462">
            <v>4.0999999999999996</v>
          </cell>
        </row>
        <row r="463">
          <cell r="B463" t="str">
            <v>HEINEKEN C 6RH PILSEN</v>
          </cell>
          <cell r="E463">
            <v>83.809589489836384</v>
          </cell>
          <cell r="F463">
            <v>91.541453668283694</v>
          </cell>
          <cell r="G463">
            <v>580.01</v>
          </cell>
          <cell r="H463">
            <v>486.10399999999998</v>
          </cell>
          <cell r="I463">
            <v>12.2</v>
          </cell>
          <cell r="J463">
            <v>4.0999999999999996</v>
          </cell>
        </row>
        <row r="464">
          <cell r="B464" t="str">
            <v>HEINEKEN C 6RH PILSEN</v>
          </cell>
          <cell r="E464">
            <v>83.43876454959404</v>
          </cell>
          <cell r="F464">
            <v>91.136418226720622</v>
          </cell>
          <cell r="G464">
            <v>579.99900000000002</v>
          </cell>
          <cell r="H464">
            <v>483.94400000000002</v>
          </cell>
          <cell r="I464">
            <v>12.2</v>
          </cell>
          <cell r="J464">
            <v>4.0999999999999996</v>
          </cell>
        </row>
        <row r="465">
          <cell r="B465" t="str">
            <v>HEINEKEN C 6RH PILSEN</v>
          </cell>
          <cell r="E465">
            <v>82.912510883339223</v>
          </cell>
          <cell r="F465">
            <v>90.56161496255389</v>
          </cell>
          <cell r="G465">
            <v>580.01499999999999</v>
          </cell>
          <cell r="H465">
            <v>480.90499999999997</v>
          </cell>
          <cell r="I465">
            <v>12.2</v>
          </cell>
          <cell r="J465">
            <v>4.0999999999999996</v>
          </cell>
        </row>
        <row r="466">
          <cell r="B466" t="str">
            <v>HEINEKEN C 6RH PILSEN</v>
          </cell>
          <cell r="E466">
            <v>86.013776173627932</v>
          </cell>
          <cell r="F466">
            <v>94.05611328450307</v>
          </cell>
          <cell r="G466">
            <v>589.85900000000004</v>
          </cell>
          <cell r="H466">
            <v>507.36</v>
          </cell>
          <cell r="I466">
            <v>12.3</v>
          </cell>
          <cell r="J466">
            <v>4.0999999999999996</v>
          </cell>
        </row>
        <row r="467">
          <cell r="B467" t="str">
            <v>HEINEKEN C 6RH PILSEN</v>
          </cell>
          <cell r="E467">
            <v>85.570138252628993</v>
          </cell>
          <cell r="F467">
            <v>93.570994964961457</v>
          </cell>
          <cell r="G467">
            <v>585.01599999999996</v>
          </cell>
          <cell r="H467">
            <v>500.59899999999999</v>
          </cell>
          <cell r="I467">
            <v>12.3</v>
          </cell>
          <cell r="J467">
            <v>4.0999999999999996</v>
          </cell>
        </row>
        <row r="468">
          <cell r="B468" t="str">
            <v>ABI4 PILSEN</v>
          </cell>
          <cell r="E468">
            <v>84.74310058567653</v>
          </cell>
          <cell r="F468">
            <v>92.666628804633746</v>
          </cell>
          <cell r="G468">
            <v>580.01300000000003</v>
          </cell>
          <cell r="H468">
            <v>491.52100000000002</v>
          </cell>
          <cell r="I468">
            <v>12.3</v>
          </cell>
          <cell r="J468">
            <v>4.0999999999999996</v>
          </cell>
        </row>
        <row r="469">
          <cell r="B469" t="str">
            <v>HEINEKEN C 6RH PILSEN</v>
          </cell>
          <cell r="E469">
            <v>84.352387936472113</v>
          </cell>
          <cell r="F469">
            <v>92.239384299973494</v>
          </cell>
          <cell r="G469">
            <v>585.00300000000004</v>
          </cell>
          <cell r="H469">
            <v>493.464</v>
          </cell>
          <cell r="I469">
            <v>12.3</v>
          </cell>
          <cell r="J469">
            <v>4.0999999999999996</v>
          </cell>
        </row>
        <row r="470">
          <cell r="B470" t="str">
            <v>CARLBERG 6RH PILSEN</v>
          </cell>
          <cell r="E470">
            <v>84.224408120784545</v>
          </cell>
          <cell r="F470">
            <v>92.099438298554603</v>
          </cell>
          <cell r="G470">
            <v>589.94299999999998</v>
          </cell>
          <cell r="H470">
            <v>496.87599999999998</v>
          </cell>
          <cell r="I470">
            <v>12.3</v>
          </cell>
          <cell r="J470">
            <v>4.0999999999999996</v>
          </cell>
        </row>
        <row r="471">
          <cell r="B471" t="str">
            <v>HEINEKEN C 6RH PILSEN</v>
          </cell>
          <cell r="E471">
            <v>83.969400181815075</v>
          </cell>
          <cell r="F471">
            <v>91.820586971904959</v>
          </cell>
          <cell r="G471">
            <v>583.01</v>
          </cell>
          <cell r="H471">
            <v>489.55</v>
          </cell>
          <cell r="I471">
            <v>12.3</v>
          </cell>
          <cell r="J471">
            <v>4.0999999999999996</v>
          </cell>
        </row>
        <row r="472">
          <cell r="B472" t="str">
            <v>CARLBERG 6RH PILSEN</v>
          </cell>
          <cell r="E472">
            <v>83.750375006991646</v>
          </cell>
          <cell r="F472">
            <v>91.58108281836374</v>
          </cell>
          <cell r="G472">
            <v>589.98900000000003</v>
          </cell>
          <cell r="H472">
            <v>494.11799999999999</v>
          </cell>
          <cell r="I472">
            <v>12.3</v>
          </cell>
          <cell r="J472">
            <v>4.0999999999999996</v>
          </cell>
        </row>
        <row r="473">
          <cell r="B473" t="str">
            <v>CARLBERG 6RH PILSEN</v>
          </cell>
          <cell r="E473">
            <v>83.104041491173803</v>
          </cell>
          <cell r="F473">
            <v>90.874316750325747</v>
          </cell>
          <cell r="G473">
            <v>590.005</v>
          </cell>
          <cell r="H473">
            <v>490.31799999999998</v>
          </cell>
          <cell r="I473">
            <v>12.3</v>
          </cell>
          <cell r="J473">
            <v>4.0999999999999996</v>
          </cell>
        </row>
        <row r="474">
          <cell r="B474" t="str">
            <v>ASAHI 2RP PILSEN</v>
          </cell>
          <cell r="E474">
            <v>83.070722495118261</v>
          </cell>
          <cell r="F474">
            <v>90.837882409143006</v>
          </cell>
          <cell r="G474">
            <v>592.00400000000002</v>
          </cell>
          <cell r="H474">
            <v>491.78199999999998</v>
          </cell>
          <cell r="I474">
            <v>12.3</v>
          </cell>
          <cell r="J474">
            <v>4.0999999999999996</v>
          </cell>
        </row>
        <row r="475">
          <cell r="B475" t="str">
            <v>ASAHI 2RP PILSEN</v>
          </cell>
          <cell r="E475">
            <v>86.087265366783868</v>
          </cell>
          <cell r="F475">
            <v>94.24393548715264</v>
          </cell>
          <cell r="G475">
            <v>580.00099999999998</v>
          </cell>
          <cell r="H475">
            <v>499.30700000000002</v>
          </cell>
          <cell r="I475">
            <v>12.4</v>
          </cell>
          <cell r="J475">
            <v>4.0999999999999996</v>
          </cell>
        </row>
        <row r="476">
          <cell r="B476" t="str">
            <v>ASAHI 2RP PILSEN</v>
          </cell>
          <cell r="E476">
            <v>84.757770775882662</v>
          </cell>
          <cell r="F476">
            <v>92.788472801451448</v>
          </cell>
          <cell r="G476">
            <v>589.99900000000002</v>
          </cell>
          <cell r="H476">
            <v>500.07</v>
          </cell>
          <cell r="I476">
            <v>12.4</v>
          </cell>
          <cell r="J476">
            <v>4.0999999999999996</v>
          </cell>
        </row>
        <row r="477">
          <cell r="B477" t="str">
            <v>HEINEKEN C 6RH PILSEN</v>
          </cell>
          <cell r="E477">
            <v>84.415846349929495</v>
          </cell>
          <cell r="F477">
            <v>92.414151426463903</v>
          </cell>
          <cell r="G477">
            <v>590.01599999999996</v>
          </cell>
          <cell r="H477">
            <v>498.06700000000001</v>
          </cell>
          <cell r="I477">
            <v>12.4</v>
          </cell>
          <cell r="J477">
            <v>4.0999999999999996</v>
          </cell>
        </row>
        <row r="478">
          <cell r="B478" t="str">
            <v>HEINEKEN C 6RH PILSEN</v>
          </cell>
          <cell r="E478">
            <v>83.781197630393862</v>
          </cell>
          <cell r="F478">
            <v>91.71937046523712</v>
          </cell>
          <cell r="G478">
            <v>580.01199999999994</v>
          </cell>
          <cell r="H478">
            <v>485.94099999999997</v>
          </cell>
          <cell r="I478">
            <v>12.4</v>
          </cell>
          <cell r="J478">
            <v>4.0999999999999996</v>
          </cell>
        </row>
        <row r="479">
          <cell r="B479" t="str">
            <v>HEINEKEN C 6RH PILSEN</v>
          </cell>
          <cell r="E479">
            <v>83.619824622503913</v>
          </cell>
          <cell r="F479">
            <v>91.542707549065355</v>
          </cell>
          <cell r="G479">
            <v>580.00599999999997</v>
          </cell>
          <cell r="H479">
            <v>485</v>
          </cell>
          <cell r="I479">
            <v>12.4</v>
          </cell>
          <cell r="J479">
            <v>4.0999999999999996</v>
          </cell>
        </row>
        <row r="480">
          <cell r="B480" t="str">
            <v>HEINEKEN C 6RH PILSEN</v>
          </cell>
          <cell r="E480">
            <v>83.566828027568107</v>
          </cell>
          <cell r="F480">
            <v>91.484689587257762</v>
          </cell>
          <cell r="G480">
            <v>585.024</v>
          </cell>
          <cell r="H480">
            <v>488.88600000000002</v>
          </cell>
          <cell r="I480">
            <v>12.4</v>
          </cell>
          <cell r="J480">
            <v>4.0999999999999996</v>
          </cell>
        </row>
        <row r="481">
          <cell r="B481" t="str">
            <v>ABI4 PILSEN</v>
          </cell>
          <cell r="E481">
            <v>83.02066038044893</v>
          </cell>
          <cell r="F481">
            <v>90.886773179053108</v>
          </cell>
          <cell r="G481">
            <v>579.99900000000002</v>
          </cell>
          <cell r="H481">
            <v>481.51900000000001</v>
          </cell>
          <cell r="I481">
            <v>12.4</v>
          </cell>
          <cell r="J481">
            <v>4.0999999999999996</v>
          </cell>
        </row>
        <row r="482">
          <cell r="B482" t="str">
            <v>HEINEKEN C 6RH PILSEN</v>
          </cell>
          <cell r="E482">
            <v>86.353344768439115</v>
          </cell>
          <cell r="F482">
            <v>94.643265866209276</v>
          </cell>
          <cell r="G482">
            <v>583</v>
          </cell>
          <cell r="H482">
            <v>503.44</v>
          </cell>
          <cell r="I482">
            <v>12.5</v>
          </cell>
          <cell r="J482">
            <v>4.0999999999999996</v>
          </cell>
        </row>
        <row r="483">
          <cell r="B483" t="str">
            <v>HEINEKEN C 6RH PILSEN</v>
          </cell>
          <cell r="E483">
            <v>83.633194608703448</v>
          </cell>
          <cell r="F483">
            <v>91.661981291138972</v>
          </cell>
          <cell r="G483">
            <v>580.04600000000005</v>
          </cell>
          <cell r="H483">
            <v>485.11099999999999</v>
          </cell>
          <cell r="I483">
            <v>12.5</v>
          </cell>
          <cell r="J483">
            <v>4.0999999999999996</v>
          </cell>
        </row>
        <row r="484">
          <cell r="B484" t="str">
            <v>HEINEKEN C 6RH PILSEN</v>
          </cell>
          <cell r="E484">
            <v>83.620545481818141</v>
          </cell>
          <cell r="F484">
            <v>91.648117848072687</v>
          </cell>
          <cell r="G484">
            <v>580.00099999999998</v>
          </cell>
          <cell r="H484">
            <v>485</v>
          </cell>
          <cell r="I484">
            <v>12.5</v>
          </cell>
          <cell r="J484">
            <v>4.0999999999999996</v>
          </cell>
        </row>
        <row r="485">
          <cell r="B485" t="str">
            <v>HEINEKEN C 6RH PILSEN</v>
          </cell>
          <cell r="E485">
            <v>83.4950535676725</v>
          </cell>
          <cell r="F485">
            <v>91.510578710169071</v>
          </cell>
          <cell r="G485">
            <v>580.01400000000001</v>
          </cell>
          <cell r="H485">
            <v>484.28300000000002</v>
          </cell>
          <cell r="I485">
            <v>12.5</v>
          </cell>
          <cell r="J485">
            <v>4.0999999999999996</v>
          </cell>
        </row>
        <row r="486">
          <cell r="B486" t="str">
            <v>HEINEKEN C 6RH PILSEN</v>
          </cell>
          <cell r="E486">
            <v>83.269203485062675</v>
          </cell>
          <cell r="F486">
            <v>91.263047019628701</v>
          </cell>
          <cell r="G486">
            <v>585.01099999999997</v>
          </cell>
          <cell r="H486">
            <v>487.13400000000001</v>
          </cell>
          <cell r="I486">
            <v>12.5</v>
          </cell>
          <cell r="J486">
            <v>4.0999999999999996</v>
          </cell>
        </row>
        <row r="487">
          <cell r="B487" t="str">
            <v>HEINEKEN C 6RH PILSEN</v>
          </cell>
          <cell r="E487">
            <v>83.115519494625929</v>
          </cell>
          <cell r="F487">
            <v>91.094609366110006</v>
          </cell>
          <cell r="G487">
            <v>580.00599999999997</v>
          </cell>
          <cell r="H487">
            <v>482.07499999999999</v>
          </cell>
          <cell r="I487">
            <v>12.5</v>
          </cell>
          <cell r="J487">
            <v>4.0999999999999996</v>
          </cell>
        </row>
        <row r="488">
          <cell r="B488" t="str">
            <v>ABI4 PILSEN</v>
          </cell>
          <cell r="E488">
            <v>83.963889094830776</v>
          </cell>
          <cell r="F488">
            <v>92.129713549133555</v>
          </cell>
          <cell r="G488">
            <v>579.99099999999999</v>
          </cell>
          <cell r="H488">
            <v>486.983</v>
          </cell>
          <cell r="I488">
            <v>12.6</v>
          </cell>
          <cell r="J488">
            <v>4.0999999999999996</v>
          </cell>
        </row>
        <row r="489">
          <cell r="B489" t="str">
            <v>HEINEKEN C 6RH PILSEN</v>
          </cell>
          <cell r="E489">
            <v>83.827559150684877</v>
          </cell>
          <cell r="F489">
            <v>91.980124971975755</v>
          </cell>
          <cell r="G489">
            <v>584.98900000000003</v>
          </cell>
          <cell r="H489">
            <v>490.38200000000001</v>
          </cell>
          <cell r="I489">
            <v>12.6</v>
          </cell>
          <cell r="J489">
            <v>4.0999999999999996</v>
          </cell>
        </row>
        <row r="490">
          <cell r="B490" t="str">
            <v>GLOBE PILSEN</v>
          </cell>
          <cell r="E490">
            <v>85.49784204582123</v>
          </cell>
          <cell r="F490">
            <v>93.920309876222845</v>
          </cell>
          <cell r="G490">
            <v>595.00800000000004</v>
          </cell>
          <cell r="H490">
            <v>508.71899999999999</v>
          </cell>
          <cell r="I490">
            <v>12.7</v>
          </cell>
          <cell r="J490">
            <v>4.0999999999999996</v>
          </cell>
        </row>
        <row r="491">
          <cell r="B491" t="str">
            <v>GLOBE PILSEN</v>
          </cell>
          <cell r="E491">
            <v>85.117589269946976</v>
          </cell>
          <cell r="F491">
            <v>93.502598064008197</v>
          </cell>
          <cell r="G491">
            <v>583.25900000000001</v>
          </cell>
          <cell r="H491">
            <v>496.45600000000002</v>
          </cell>
          <cell r="I491">
            <v>12.7</v>
          </cell>
          <cell r="J491">
            <v>4.0999999999999996</v>
          </cell>
        </row>
        <row r="492">
          <cell r="B492" t="str">
            <v>ABI4 PILSEN</v>
          </cell>
          <cell r="E492">
            <v>83.907241379310335</v>
          </cell>
          <cell r="F492">
            <v>92.173017735118677</v>
          </cell>
          <cell r="G492">
            <v>580</v>
          </cell>
          <cell r="H492">
            <v>486.66199999999998</v>
          </cell>
          <cell r="I492">
            <v>12.7</v>
          </cell>
          <cell r="J492">
            <v>4.0999999999999996</v>
          </cell>
        </row>
        <row r="493">
          <cell r="B493" t="str">
            <v>ASAHI 2RP PILSEN</v>
          </cell>
          <cell r="E493">
            <v>83.14568082859752</v>
          </cell>
          <cell r="F493">
            <v>91.336435182846543</v>
          </cell>
          <cell r="G493">
            <v>590.00900000000001</v>
          </cell>
          <cell r="H493">
            <v>490.56700000000001</v>
          </cell>
          <cell r="I493">
            <v>12.7</v>
          </cell>
          <cell r="J493">
            <v>4.0999999999999996</v>
          </cell>
        </row>
        <row r="494">
          <cell r="B494" t="str">
            <v>HEINEKEN C 6RH PILSEN</v>
          </cell>
          <cell r="E494">
            <v>83.10316171323548</v>
          </cell>
          <cell r="F494">
            <v>91.289727471927634</v>
          </cell>
          <cell r="G494">
            <v>580.00199999999995</v>
          </cell>
          <cell r="H494">
            <v>482</v>
          </cell>
          <cell r="I494">
            <v>12.7</v>
          </cell>
          <cell r="J494">
            <v>4.0999999999999996</v>
          </cell>
        </row>
        <row r="495">
          <cell r="B495" t="str">
            <v>CARLBERG 6RH PILSEN</v>
          </cell>
          <cell r="E495">
            <v>85.481828982446743</v>
          </cell>
          <cell r="F495">
            <v>94.010405956612857</v>
          </cell>
          <cell r="G495">
            <v>590.03300000000002</v>
          </cell>
          <cell r="H495">
            <v>504.37099999999998</v>
          </cell>
          <cell r="I495">
            <v>12.8</v>
          </cell>
          <cell r="J495">
            <v>4.0999999999999996</v>
          </cell>
        </row>
        <row r="496">
          <cell r="B496" t="str">
            <v>HEINEKEN C 6RH PILSEN</v>
          </cell>
          <cell r="E496">
            <v>85.630116391092187</v>
          </cell>
          <cell r="F496">
            <v>94.281609206724923</v>
          </cell>
          <cell r="G496">
            <v>574.01300000000003</v>
          </cell>
          <cell r="H496">
            <v>491.52800000000002</v>
          </cell>
          <cell r="I496">
            <v>12.9</v>
          </cell>
          <cell r="J496">
            <v>4.0999999999999996</v>
          </cell>
        </row>
        <row r="497">
          <cell r="B497" t="str">
            <v>ASAHI 2RP PILSEN</v>
          </cell>
          <cell r="E497">
            <v>84.474748084233397</v>
          </cell>
          <cell r="F497">
            <v>93.009510232812659</v>
          </cell>
          <cell r="G497">
            <v>580.05499999999995</v>
          </cell>
          <cell r="H497">
            <v>490</v>
          </cell>
          <cell r="I497">
            <v>12.9</v>
          </cell>
          <cell r="J497">
            <v>4.0999999999999996</v>
          </cell>
        </row>
        <row r="498">
          <cell r="B498" t="str">
            <v>ASAHI 2RP PILSEN</v>
          </cell>
          <cell r="E498">
            <v>82.049593274459568</v>
          </cell>
          <cell r="F498">
            <v>90.339334041569145</v>
          </cell>
          <cell r="G498">
            <v>579.99800000000005</v>
          </cell>
          <cell r="H498">
            <v>475.88600000000002</v>
          </cell>
          <cell r="I498">
            <v>12.9</v>
          </cell>
          <cell r="J498">
            <v>4.0999999999999996</v>
          </cell>
        </row>
        <row r="499">
          <cell r="B499" t="str">
            <v>ASAHI 2RP PILSEN</v>
          </cell>
          <cell r="E499">
            <v>84.826254436915121</v>
          </cell>
          <cell r="F499">
            <v>93.503882764369664</v>
          </cell>
          <cell r="G499">
            <v>595.00800000000004</v>
          </cell>
          <cell r="H499">
            <v>504.72300000000001</v>
          </cell>
          <cell r="I499">
            <v>13</v>
          </cell>
          <cell r="J499">
            <v>4.0999999999999996</v>
          </cell>
        </row>
        <row r="500">
          <cell r="B500" t="str">
            <v>HEINEKEN C 6RH PILSEN</v>
          </cell>
          <cell r="E500">
            <v>84.716446320319449</v>
          </cell>
          <cell r="F500">
            <v>93.382841403662482</v>
          </cell>
          <cell r="G500">
            <v>579.99599999999998</v>
          </cell>
          <cell r="H500">
            <v>491.35199999999998</v>
          </cell>
          <cell r="I500">
            <v>13</v>
          </cell>
          <cell r="J500">
            <v>4.0999999999999996</v>
          </cell>
        </row>
        <row r="501">
          <cell r="B501" t="str">
            <v>HEINEKEN C 6RH PILSEN</v>
          </cell>
          <cell r="E501">
            <v>83.749855603697242</v>
          </cell>
          <cell r="F501">
            <v>92.317369567753616</v>
          </cell>
          <cell r="G501">
            <v>580.00099999999998</v>
          </cell>
          <cell r="H501">
            <v>485.75</v>
          </cell>
          <cell r="I501">
            <v>13</v>
          </cell>
          <cell r="J501">
            <v>4.0999999999999996</v>
          </cell>
        </row>
        <row r="502">
          <cell r="B502" t="str">
            <v>HEINEKEN A 2RP PILSEN</v>
          </cell>
          <cell r="E502">
            <v>82.870805546915321</v>
          </cell>
          <cell r="F502">
            <v>91.348393700565282</v>
          </cell>
          <cell r="G502">
            <v>585.11800000000005</v>
          </cell>
          <cell r="H502">
            <v>484.892</v>
          </cell>
          <cell r="I502">
            <v>13</v>
          </cell>
          <cell r="J502">
            <v>4.0999999999999996</v>
          </cell>
        </row>
        <row r="503">
          <cell r="B503" t="str">
            <v>GLOBE PILSEN</v>
          </cell>
          <cell r="E503">
            <v>83.655412554850344</v>
          </cell>
          <cell r="F503">
            <v>92.319379332682942</v>
          </cell>
          <cell r="G503">
            <v>585.00099999999998</v>
          </cell>
          <cell r="H503">
            <v>489.38499999999999</v>
          </cell>
          <cell r="I503">
            <v>13.1</v>
          </cell>
          <cell r="J503">
            <v>4.0999999999999996</v>
          </cell>
        </row>
        <row r="504">
          <cell r="B504" t="str">
            <v>HEINEKEN A 2RP PILSEN</v>
          </cell>
          <cell r="E504">
            <v>83.200577917084757</v>
          </cell>
          <cell r="F504">
            <v>91.817438691006075</v>
          </cell>
          <cell r="G504">
            <v>580.01400000000001</v>
          </cell>
          <cell r="H504">
            <v>482.57499999999999</v>
          </cell>
          <cell r="I504">
            <v>13.1</v>
          </cell>
          <cell r="J504">
            <v>4.0999999999999996</v>
          </cell>
        </row>
        <row r="505">
          <cell r="B505" t="str">
            <v>HEINEKEN A 2RP PILSEN</v>
          </cell>
          <cell r="E505">
            <v>84.461931936631473</v>
          </cell>
          <cell r="F505">
            <v>93.316811897729963</v>
          </cell>
          <cell r="G505">
            <v>590.00900000000001</v>
          </cell>
          <cell r="H505">
            <v>498.33300000000003</v>
          </cell>
          <cell r="I505">
            <v>13.2</v>
          </cell>
          <cell r="J505">
            <v>4.0999999999999996</v>
          </cell>
        </row>
        <row r="506">
          <cell r="B506" t="str">
            <v>HEINEKEN A 2RP PILSEN</v>
          </cell>
          <cell r="E506">
            <v>84.415897435897435</v>
          </cell>
          <cell r="F506">
            <v>93.265951199338318</v>
          </cell>
          <cell r="G506">
            <v>585</v>
          </cell>
          <cell r="H506">
            <v>493.83300000000003</v>
          </cell>
          <cell r="I506">
            <v>13.2</v>
          </cell>
          <cell r="J506">
            <v>4.0999999999999996</v>
          </cell>
        </row>
        <row r="507">
          <cell r="B507" t="str">
            <v>ASAHI 2RP PILSEN</v>
          </cell>
          <cell r="E507">
            <v>82.799892415277014</v>
          </cell>
          <cell r="F507">
            <v>91.480526297523795</v>
          </cell>
          <cell r="G507">
            <v>580.00800000000004</v>
          </cell>
          <cell r="H507">
            <v>480.24599999999998</v>
          </cell>
          <cell r="I507">
            <v>13.2</v>
          </cell>
          <cell r="J507">
            <v>4.0999999999999996</v>
          </cell>
        </row>
        <row r="508">
          <cell r="B508" t="str">
            <v>HEINEKEN C 6RH PILSEN</v>
          </cell>
          <cell r="E508">
            <v>85.817609412283971</v>
          </cell>
          <cell r="F508">
            <v>94.923976270334862</v>
          </cell>
          <cell r="G508">
            <v>580.00800000000004</v>
          </cell>
          <cell r="H508">
            <v>497.74900000000002</v>
          </cell>
          <cell r="I508">
            <v>13.3</v>
          </cell>
          <cell r="J508">
            <v>4.0999999999999996</v>
          </cell>
        </row>
        <row r="509">
          <cell r="B509" t="str">
            <v>HEINEKEN C 6RH PILSEN</v>
          </cell>
          <cell r="E509">
            <v>85.231724137931025</v>
          </cell>
          <cell r="F509">
            <v>94.275920932267425</v>
          </cell>
          <cell r="G509">
            <v>580</v>
          </cell>
          <cell r="H509">
            <v>494.34399999999999</v>
          </cell>
          <cell r="I509">
            <v>13.3</v>
          </cell>
          <cell r="J509">
            <v>4.0999999999999996</v>
          </cell>
        </row>
        <row r="510">
          <cell r="B510" t="str">
            <v>ASAHI 2RP PILSEN</v>
          </cell>
          <cell r="E510">
            <v>85.033018166401988</v>
          </cell>
          <cell r="F510">
            <v>94.056129667335085</v>
          </cell>
          <cell r="G510">
            <v>584.98099999999999</v>
          </cell>
          <cell r="H510">
            <v>497.42700000000002</v>
          </cell>
          <cell r="I510">
            <v>13.3</v>
          </cell>
          <cell r="J510">
            <v>4.0999999999999996</v>
          </cell>
        </row>
        <row r="511">
          <cell r="B511" t="str">
            <v>HEINEKEN C 6RH PILSEN</v>
          </cell>
          <cell r="E511">
            <v>85.667020111895582</v>
          </cell>
          <cell r="F511">
            <v>94.866827121602626</v>
          </cell>
          <cell r="G511">
            <v>580.005</v>
          </cell>
          <cell r="H511">
            <v>496.87299999999999</v>
          </cell>
          <cell r="I511">
            <v>13.4</v>
          </cell>
          <cell r="J511">
            <v>4.0999999999999996</v>
          </cell>
        </row>
        <row r="512">
          <cell r="B512" t="str">
            <v>HEINEKEN C 6RH PILSEN</v>
          </cell>
          <cell r="E512">
            <v>84.887983144885709</v>
          </cell>
          <cell r="F512">
            <v>94.00412914081457</v>
          </cell>
          <cell r="G512">
            <v>580.00199999999995</v>
          </cell>
          <cell r="H512">
            <v>492.35199999999998</v>
          </cell>
          <cell r="I512">
            <v>13.4</v>
          </cell>
          <cell r="J512">
            <v>4.0999999999999996</v>
          </cell>
        </row>
        <row r="513">
          <cell r="B513" t="str">
            <v>ASAHI 2RP PILSEN</v>
          </cell>
          <cell r="E513">
            <v>83.675806696990989</v>
          </cell>
          <cell r="F513">
            <v>92.661776700247529</v>
          </cell>
          <cell r="G513">
            <v>585.00900000000001</v>
          </cell>
          <cell r="H513">
            <v>489.51100000000002</v>
          </cell>
          <cell r="I513">
            <v>13.4</v>
          </cell>
          <cell r="J513">
            <v>4.0999999999999996</v>
          </cell>
        </row>
        <row r="514">
          <cell r="B514" t="str">
            <v>GLOBE PILSEN</v>
          </cell>
          <cell r="E514">
            <v>83.21424664278095</v>
          </cell>
          <cell r="F514">
            <v>92.150649573241267</v>
          </cell>
          <cell r="G514">
            <v>585.00800000000004</v>
          </cell>
          <cell r="H514">
            <v>486.81</v>
          </cell>
          <cell r="I514">
            <v>13.4</v>
          </cell>
          <cell r="J514">
            <v>4.0999999999999996</v>
          </cell>
        </row>
        <row r="515">
          <cell r="B515" t="str">
            <v>CARLBERG 2RP PILSEN</v>
          </cell>
          <cell r="E515">
            <v>82.660756403359954</v>
          </cell>
          <cell r="F515">
            <v>91.643543804418726</v>
          </cell>
          <cell r="G515">
            <v>580.00800000000004</v>
          </cell>
          <cell r="H515">
            <v>479.43900000000002</v>
          </cell>
          <cell r="I515">
            <v>13.5</v>
          </cell>
          <cell r="J515">
            <v>4.0999999999999996</v>
          </cell>
        </row>
        <row r="516">
          <cell r="B516" t="str">
            <v>HEINEKEN C 6RH PILSEN</v>
          </cell>
          <cell r="E516">
            <v>85.01648264494726</v>
          </cell>
          <cell r="F516">
            <v>94.36435978762087</v>
          </cell>
          <cell r="G516">
            <v>580.00400000000002</v>
          </cell>
          <cell r="H516">
            <v>493.09899999999999</v>
          </cell>
          <cell r="I516">
            <v>13.6</v>
          </cell>
          <cell r="J516">
            <v>4.0999999999999996</v>
          </cell>
        </row>
        <row r="517">
          <cell r="B517" t="str">
            <v>HEINEKEN C 6RH PILSEN</v>
          </cell>
          <cell r="E517">
            <v>84.580265857485216</v>
          </cell>
          <cell r="F517">
            <v>93.880179348759626</v>
          </cell>
          <cell r="G517">
            <v>580.01</v>
          </cell>
          <cell r="H517">
            <v>490.57400000000001</v>
          </cell>
          <cell r="I517">
            <v>13.6</v>
          </cell>
          <cell r="J517">
            <v>4.0999999999999996</v>
          </cell>
        </row>
        <row r="518">
          <cell r="B518" t="str">
            <v>HEINEKEN C 6RH PILSEN</v>
          </cell>
          <cell r="E518">
            <v>82.797448996305221</v>
          </cell>
          <cell r="F518">
            <v>91.90133517066748</v>
          </cell>
          <cell r="G518">
            <v>580.00699999999995</v>
          </cell>
          <cell r="H518">
            <v>480.23099999999999</v>
          </cell>
          <cell r="I518">
            <v>13.6</v>
          </cell>
          <cell r="J518">
            <v>4.0999999999999996</v>
          </cell>
        </row>
        <row r="519">
          <cell r="B519" t="str">
            <v>HEINEKEN C 6RH PILSEN</v>
          </cell>
          <cell r="E519">
            <v>85.345121879730613</v>
          </cell>
          <cell r="F519">
            <v>94.838901370407484</v>
          </cell>
          <cell r="G519">
            <v>579.99800000000005</v>
          </cell>
          <cell r="H519">
            <v>495</v>
          </cell>
          <cell r="I519">
            <v>13.7</v>
          </cell>
          <cell r="J519">
            <v>4.0999999999999996</v>
          </cell>
        </row>
        <row r="520">
          <cell r="B520" t="str">
            <v>HEINEKEN C 6RH PILSEN</v>
          </cell>
          <cell r="E520">
            <v>82.928608506550731</v>
          </cell>
          <cell r="F520">
            <v>92.153575385610836</v>
          </cell>
          <cell r="G520">
            <v>579.85900000000004</v>
          </cell>
          <cell r="H520">
            <v>480.86900000000003</v>
          </cell>
          <cell r="I520">
            <v>13.7</v>
          </cell>
          <cell r="J520">
            <v>4.0999999999999996</v>
          </cell>
        </row>
        <row r="521">
          <cell r="B521" t="str">
            <v>HEINEKEN C 6RH PILSEN</v>
          </cell>
          <cell r="E521">
            <v>82.70980422582565</v>
          </cell>
          <cell r="F521">
            <v>91.910431347122582</v>
          </cell>
          <cell r="G521">
            <v>580.005</v>
          </cell>
          <cell r="H521">
            <v>479.721</v>
          </cell>
          <cell r="I521">
            <v>13.7</v>
          </cell>
          <cell r="J521">
            <v>4.0999999999999996</v>
          </cell>
        </row>
        <row r="522">
          <cell r="B522" t="str">
            <v>HEINEKEN C 6RH PILSEN</v>
          </cell>
          <cell r="E522">
            <v>81.784827586206887</v>
          </cell>
          <cell r="F522">
            <v>90.882560434730479</v>
          </cell>
          <cell r="G522">
            <v>580</v>
          </cell>
          <cell r="H522">
            <v>474.35199999999998</v>
          </cell>
          <cell r="I522">
            <v>13.7</v>
          </cell>
          <cell r="J522">
            <v>4.0999999999999996</v>
          </cell>
        </row>
        <row r="523">
          <cell r="B523" t="str">
            <v>HEINEKEN C 6RH PILSEN</v>
          </cell>
          <cell r="E523">
            <v>86.120737514698234</v>
          </cell>
          <cell r="F523">
            <v>95.811818186305814</v>
          </cell>
          <cell r="G523">
            <v>580.00199999999995</v>
          </cell>
          <cell r="H523">
            <v>499.50200000000001</v>
          </cell>
          <cell r="I523">
            <v>13.8</v>
          </cell>
          <cell r="J523">
            <v>4.0999999999999996</v>
          </cell>
        </row>
        <row r="524">
          <cell r="B524" t="str">
            <v>HEINEKEN C 6RH PILSEN</v>
          </cell>
          <cell r="E524">
            <v>85.190453284506674</v>
          </cell>
          <cell r="F524">
            <v>94.776849999816591</v>
          </cell>
          <cell r="G524">
            <v>580.01099999999997</v>
          </cell>
          <cell r="H524">
            <v>494.11399999999998</v>
          </cell>
          <cell r="I524">
            <v>13.8</v>
          </cell>
          <cell r="J524">
            <v>4.0999999999999996</v>
          </cell>
        </row>
        <row r="525">
          <cell r="B525" t="str">
            <v>GLOBE PILSEN</v>
          </cell>
          <cell r="E525">
            <v>83.884160018758408</v>
          </cell>
          <cell r="F525">
            <v>93.323560856136083</v>
          </cell>
          <cell r="G525">
            <v>580.00699999999995</v>
          </cell>
          <cell r="H525">
            <v>486.53399999999999</v>
          </cell>
          <cell r="I525">
            <v>13.8</v>
          </cell>
          <cell r="J525">
            <v>4.0999999999999996</v>
          </cell>
        </row>
        <row r="526">
          <cell r="B526" t="str">
            <v>HEINEKEN C 6RH PILSEN</v>
          </cell>
          <cell r="E526">
            <v>81.78725737319958</v>
          </cell>
          <cell r="F526">
            <v>90.99069584790999</v>
          </cell>
          <cell r="G526">
            <v>580.00599999999997</v>
          </cell>
          <cell r="H526">
            <v>474.37099999999998</v>
          </cell>
          <cell r="I526">
            <v>13.8</v>
          </cell>
          <cell r="J526">
            <v>4.0999999999999996</v>
          </cell>
        </row>
        <row r="527">
          <cell r="B527" t="str">
            <v>GLOBE PILSEN</v>
          </cell>
          <cell r="E527">
            <v>85.458673917128863</v>
          </cell>
          <cell r="F527">
            <v>95.185677452411838</v>
          </cell>
          <cell r="G527">
            <v>580.00900000000001</v>
          </cell>
          <cell r="H527">
            <v>495.66800000000001</v>
          </cell>
          <cell r="I527">
            <v>13.9</v>
          </cell>
          <cell r="J527">
            <v>4.0999999999999996</v>
          </cell>
        </row>
        <row r="528">
          <cell r="B528" t="str">
            <v>HEINEKEN C 6RH PILSEN</v>
          </cell>
          <cell r="E528">
            <v>85.365622376127348</v>
          </cell>
          <cell r="F528">
            <v>95.082034679101199</v>
          </cell>
          <cell r="G528">
            <v>580.01099999999997</v>
          </cell>
          <cell r="H528">
            <v>495.13</v>
          </cell>
          <cell r="I528">
            <v>13.9</v>
          </cell>
          <cell r="J528">
            <v>4.0999999999999996</v>
          </cell>
        </row>
        <row r="529">
          <cell r="B529" t="str">
            <v>ASAHI 2RP PILSEN</v>
          </cell>
          <cell r="E529">
            <v>83.894528666002316</v>
          </cell>
          <cell r="F529">
            <v>93.443499408474125</v>
          </cell>
          <cell r="G529">
            <v>585.03099999999995</v>
          </cell>
          <cell r="H529">
            <v>490.80900000000003</v>
          </cell>
          <cell r="I529">
            <v>13.9</v>
          </cell>
          <cell r="J529">
            <v>4.0999999999999996</v>
          </cell>
        </row>
        <row r="530">
          <cell r="B530" t="str">
            <v>ASAHI 2RP PILSEN</v>
          </cell>
          <cell r="E530">
            <v>83.744117494957848</v>
          </cell>
          <cell r="F530">
            <v>93.275968266741657</v>
          </cell>
          <cell r="G530">
            <v>580.11</v>
          </cell>
          <cell r="H530">
            <v>485.80799999999999</v>
          </cell>
          <cell r="I530">
            <v>13.9</v>
          </cell>
          <cell r="J530">
            <v>4.0999999999999996</v>
          </cell>
        </row>
        <row r="531">
          <cell r="B531" t="str">
            <v>ASAHI 2RP PILSEN</v>
          </cell>
          <cell r="E531">
            <v>83.207949360943445</v>
          </cell>
          <cell r="F531">
            <v>92.678772865441076</v>
          </cell>
          <cell r="G531">
            <v>585.00300000000004</v>
          </cell>
          <cell r="H531">
            <v>486.76900000000001</v>
          </cell>
          <cell r="I531">
            <v>13.9</v>
          </cell>
          <cell r="J531">
            <v>4.0999999999999996</v>
          </cell>
        </row>
        <row r="532">
          <cell r="B532" t="str">
            <v>ABI4 PILSEN</v>
          </cell>
          <cell r="E532">
            <v>83.35459755449962</v>
          </cell>
          <cell r="F532">
            <v>93.058275965966402</v>
          </cell>
          <cell r="G532">
            <v>580.00400000000002</v>
          </cell>
          <cell r="H532">
            <v>483.46</v>
          </cell>
          <cell r="I532">
            <v>14.1</v>
          </cell>
          <cell r="J532">
            <v>4.0999999999999996</v>
          </cell>
        </row>
        <row r="533">
          <cell r="B533" t="str">
            <v>ABI4 PILSEN</v>
          </cell>
          <cell r="E533">
            <v>81.47513426376905</v>
          </cell>
          <cell r="F533">
            <v>90.960016017409203</v>
          </cell>
          <cell r="G533">
            <v>580.01499999999999</v>
          </cell>
          <cell r="H533">
            <v>472.56799999999998</v>
          </cell>
          <cell r="I533">
            <v>14.1</v>
          </cell>
          <cell r="J533">
            <v>4.0999999999999996</v>
          </cell>
        </row>
        <row r="534">
          <cell r="B534" t="str">
            <v>HEINEKEN C 6RH PILSEN</v>
          </cell>
          <cell r="E534">
            <v>85.085951413444306</v>
          </cell>
          <cell r="F534">
            <v>95.101896742998932</v>
          </cell>
          <cell r="G534">
            <v>580.03700000000003</v>
          </cell>
          <cell r="H534">
            <v>493.53</v>
          </cell>
          <cell r="I534">
            <v>14.2</v>
          </cell>
          <cell r="J534">
            <v>4.0999999999999996</v>
          </cell>
        </row>
        <row r="535">
          <cell r="B535" t="str">
            <v>HEINEKEN C 6RH PILSEN</v>
          </cell>
          <cell r="E535">
            <v>83.058620689655172</v>
          </cell>
          <cell r="F535">
            <v>92.835917530745121</v>
          </cell>
          <cell r="G535">
            <v>580</v>
          </cell>
          <cell r="H535">
            <v>481.74</v>
          </cell>
          <cell r="I535">
            <v>14.2</v>
          </cell>
          <cell r="J535">
            <v>4.0999999999999996</v>
          </cell>
        </row>
        <row r="536">
          <cell r="B536" t="str">
            <v>HEINEKEN C 6RH PILSEN</v>
          </cell>
          <cell r="E536">
            <v>81.272768964726538</v>
          </cell>
          <cell r="F536">
            <v>90.839843166868022</v>
          </cell>
          <cell r="G536">
            <v>580.01099999999997</v>
          </cell>
          <cell r="H536">
            <v>471.39100000000002</v>
          </cell>
          <cell r="I536">
            <v>14.2</v>
          </cell>
          <cell r="J536">
            <v>4.0999999999999996</v>
          </cell>
        </row>
        <row r="537">
          <cell r="B537" t="str">
            <v>GLOBE PILSEN</v>
          </cell>
          <cell r="E537">
            <v>83.494667676323928</v>
          </cell>
          <cell r="F537">
            <v>93.43218938342433</v>
          </cell>
          <cell r="G537">
            <v>585.01700000000005</v>
          </cell>
          <cell r="H537">
            <v>488.45800000000003</v>
          </cell>
          <cell r="I537">
            <v>14.3</v>
          </cell>
          <cell r="J537">
            <v>4.0999999999999996</v>
          </cell>
        </row>
        <row r="538">
          <cell r="B538" t="str">
            <v>HEINEKEN C 6RH PILSEN</v>
          </cell>
          <cell r="E538">
            <v>83.489881278727751</v>
          </cell>
          <cell r="F538">
            <v>93.426833309568153</v>
          </cell>
          <cell r="G538">
            <v>580.01400000000001</v>
          </cell>
          <cell r="H538">
            <v>484.25299999999999</v>
          </cell>
          <cell r="I538">
            <v>14.3</v>
          </cell>
          <cell r="J538">
            <v>4.0999999999999996</v>
          </cell>
        </row>
        <row r="539">
          <cell r="B539" t="str">
            <v>HEINEKEN C 6RH PILSEN</v>
          </cell>
          <cell r="E539">
            <v>84.830971515075234</v>
          </cell>
          <cell r="F539">
            <v>95.038436545510692</v>
          </cell>
          <cell r="G539">
            <v>579.99099999999999</v>
          </cell>
          <cell r="H539">
            <v>492.012</v>
          </cell>
          <cell r="I539">
            <v>14.4</v>
          </cell>
          <cell r="J539">
            <v>4.0999999999999996</v>
          </cell>
        </row>
        <row r="540">
          <cell r="B540" t="str">
            <v>ABI4 PILSEN</v>
          </cell>
          <cell r="E540">
            <v>82.726474934009644</v>
          </cell>
          <cell r="F540">
            <v>92.789110481538302</v>
          </cell>
          <cell r="G540">
            <v>580.00900000000001</v>
          </cell>
          <cell r="H540">
            <v>479.82100000000003</v>
          </cell>
          <cell r="I540">
            <v>14.5</v>
          </cell>
          <cell r="J540">
            <v>4.0999999999999996</v>
          </cell>
        </row>
        <row r="541">
          <cell r="B541" t="str">
            <v>HEINEKEN C 6RH PILSEN</v>
          </cell>
          <cell r="E541">
            <v>83.962903384316164</v>
          </cell>
          <cell r="F541">
            <v>94.286211177469795</v>
          </cell>
          <cell r="G541">
            <v>579.99900000000002</v>
          </cell>
          <cell r="H541">
            <v>486.98399999999998</v>
          </cell>
          <cell r="I541">
            <v>14.6</v>
          </cell>
          <cell r="J541">
            <v>4.0999999999999996</v>
          </cell>
        </row>
        <row r="542">
          <cell r="B542" t="str">
            <v>CARLBERG 6RH PILSEN</v>
          </cell>
          <cell r="E542">
            <v>84.533249195257227</v>
          </cell>
          <cell r="F542">
            <v>95.037967149181341</v>
          </cell>
          <cell r="G542">
            <v>579.99900000000002</v>
          </cell>
          <cell r="H542">
            <v>490.29199999999997</v>
          </cell>
          <cell r="I542">
            <v>14.7</v>
          </cell>
          <cell r="J542">
            <v>4.0999999999999996</v>
          </cell>
        </row>
        <row r="543">
          <cell r="B543" t="str">
            <v>ASAHI 2RP PILSEN</v>
          </cell>
          <cell r="E543">
            <v>84.724736431743437</v>
          </cell>
          <cell r="F543">
            <v>90.877929580417543</v>
          </cell>
          <cell r="G543">
            <v>589.98</v>
          </cell>
          <cell r="H543">
            <v>499.85899999999998</v>
          </cell>
          <cell r="I543">
            <v>10.5</v>
          </cell>
          <cell r="J543">
            <v>4</v>
          </cell>
        </row>
        <row r="544">
          <cell r="B544" t="str">
            <v>HEINEKEN C 6RH PILSEN</v>
          </cell>
          <cell r="E544">
            <v>86.400801358648664</v>
          </cell>
          <cell r="F544">
            <v>92.77938400928717</v>
          </cell>
          <cell r="G544">
            <v>589.99800000000005</v>
          </cell>
          <cell r="H544">
            <v>509.76299999999998</v>
          </cell>
          <cell r="I544">
            <v>10.6</v>
          </cell>
          <cell r="J544">
            <v>4</v>
          </cell>
        </row>
        <row r="545">
          <cell r="B545" t="str">
            <v>ASAHI 2RP PILSEN</v>
          </cell>
          <cell r="E545">
            <v>84.074352794416242</v>
          </cell>
          <cell r="F545">
            <v>90.281184208769133</v>
          </cell>
          <cell r="G545">
            <v>589.99800000000005</v>
          </cell>
          <cell r="H545">
            <v>496.03699999999998</v>
          </cell>
          <cell r="I545">
            <v>10.6</v>
          </cell>
          <cell r="J545">
            <v>4</v>
          </cell>
        </row>
        <row r="546">
          <cell r="B546" t="str">
            <v>GLOBE PILSEN</v>
          </cell>
          <cell r="E546">
            <v>85.449152115090499</v>
          </cell>
          <cell r="F546">
            <v>91.86023071723055</v>
          </cell>
          <cell r="G546">
            <v>595.01</v>
          </cell>
          <cell r="H546">
            <v>508.43099999999998</v>
          </cell>
          <cell r="I546">
            <v>10.7</v>
          </cell>
          <cell r="J546">
            <v>4</v>
          </cell>
        </row>
        <row r="547">
          <cell r="B547" t="str">
            <v>HEINEKEN C 6RH PILSEN</v>
          </cell>
          <cell r="E547">
            <v>85.909680262366223</v>
          </cell>
          <cell r="F547">
            <v>92.458848712860515</v>
          </cell>
          <cell r="G547">
            <v>590.01499999999999</v>
          </cell>
          <cell r="H547">
            <v>506.88</v>
          </cell>
          <cell r="I547">
            <v>10.8</v>
          </cell>
          <cell r="J547">
            <v>4</v>
          </cell>
        </row>
        <row r="548">
          <cell r="B548" t="str">
            <v>HEINEKEN A 2RP PILSEN</v>
          </cell>
          <cell r="E548">
            <v>84.354229651675752</v>
          </cell>
          <cell r="F548">
            <v>90.784821149785571</v>
          </cell>
          <cell r="G548">
            <v>595.04899999999998</v>
          </cell>
          <cell r="H548">
            <v>501.94900000000001</v>
          </cell>
          <cell r="I548">
            <v>10.8</v>
          </cell>
          <cell r="J548">
            <v>4</v>
          </cell>
        </row>
        <row r="549">
          <cell r="B549" t="str">
            <v>ASAHI 2RP PILSEN</v>
          </cell>
          <cell r="E549">
            <v>83.124750005084664</v>
          </cell>
          <cell r="F549">
            <v>89.562020207498634</v>
          </cell>
          <cell r="G549">
            <v>590.01199999999994</v>
          </cell>
          <cell r="H549">
            <v>490.44600000000003</v>
          </cell>
          <cell r="I549">
            <v>10.9</v>
          </cell>
          <cell r="J549">
            <v>4</v>
          </cell>
        </row>
        <row r="550">
          <cell r="B550" t="str">
            <v>HEINEKEN A 2RP PILSEN</v>
          </cell>
          <cell r="E550">
            <v>83.588780548159278</v>
          </cell>
          <cell r="F550">
            <v>90.163179018239219</v>
          </cell>
          <cell r="G550">
            <v>590.01099999999997</v>
          </cell>
          <cell r="H550">
            <v>493.18299999999999</v>
          </cell>
          <cell r="I550">
            <v>11</v>
          </cell>
          <cell r="J550">
            <v>4</v>
          </cell>
        </row>
        <row r="551">
          <cell r="B551" t="str">
            <v>GLOBE PILSEN</v>
          </cell>
          <cell r="E551">
            <v>84.925368869885858</v>
          </cell>
          <cell r="F551">
            <v>91.707934887615778</v>
          </cell>
          <cell r="G551">
            <v>594.99300000000005</v>
          </cell>
          <cell r="H551">
            <v>505.3</v>
          </cell>
          <cell r="I551">
            <v>11.1</v>
          </cell>
          <cell r="J551">
            <v>4</v>
          </cell>
        </row>
        <row r="552">
          <cell r="B552" t="str">
            <v>HEINEKEN C 6RH PILSEN</v>
          </cell>
          <cell r="E552">
            <v>84.378599262043522</v>
          </cell>
          <cell r="F552">
            <v>91.117497515817533</v>
          </cell>
          <cell r="G552">
            <v>579.98</v>
          </cell>
          <cell r="H552">
            <v>489.37900000000002</v>
          </cell>
          <cell r="I552">
            <v>11.1</v>
          </cell>
          <cell r="J552">
            <v>4</v>
          </cell>
        </row>
        <row r="553">
          <cell r="B553" t="str">
            <v>HEINEKEN C 6RH PILSEN</v>
          </cell>
          <cell r="E553">
            <v>83.646326156222855</v>
          </cell>
          <cell r="F553">
            <v>90.326741406044903</v>
          </cell>
          <cell r="G553">
            <v>579.99199999999996</v>
          </cell>
          <cell r="H553">
            <v>485.142</v>
          </cell>
          <cell r="I553">
            <v>11.1</v>
          </cell>
          <cell r="J553">
            <v>4</v>
          </cell>
        </row>
        <row r="554">
          <cell r="B554" t="str">
            <v>HEINEKEN C 6RH PILSEN</v>
          </cell>
          <cell r="E554">
            <v>82.44221245207676</v>
          </cell>
          <cell r="F554">
            <v>89.026461140600333</v>
          </cell>
          <cell r="G554">
            <v>590.00599999999997</v>
          </cell>
          <cell r="H554">
            <v>486.41399999999999</v>
          </cell>
          <cell r="I554">
            <v>11.1</v>
          </cell>
          <cell r="J554">
            <v>4</v>
          </cell>
        </row>
        <row r="555">
          <cell r="B555" t="str">
            <v>ASAHI 2RP PILSEN</v>
          </cell>
          <cell r="E555">
            <v>85.007618476203064</v>
          </cell>
          <cell r="F555">
            <v>91.900128082381698</v>
          </cell>
          <cell r="G555">
            <v>590.01300000000003</v>
          </cell>
          <cell r="H555">
            <v>501.55599999999998</v>
          </cell>
          <cell r="I555">
            <v>11.2</v>
          </cell>
          <cell r="J555">
            <v>4</v>
          </cell>
        </row>
        <row r="556">
          <cell r="B556" t="str">
            <v>HEINEKEN A 2RP PILSEN</v>
          </cell>
          <cell r="E556">
            <v>84.570352555139181</v>
          </cell>
          <cell r="F556">
            <v>91.427408167718042</v>
          </cell>
          <cell r="G556">
            <v>590.00699999999995</v>
          </cell>
          <cell r="H556">
            <v>498.971</v>
          </cell>
          <cell r="I556">
            <v>11.2</v>
          </cell>
          <cell r="J556">
            <v>4</v>
          </cell>
        </row>
        <row r="557">
          <cell r="B557" t="str">
            <v>HEINEKEN A 2RP PILSEN</v>
          </cell>
          <cell r="E557">
            <v>84.017203476998176</v>
          </cell>
          <cell r="F557">
            <v>90.829409164322342</v>
          </cell>
          <cell r="G557">
            <v>594.99599999999998</v>
          </cell>
          <cell r="H557">
            <v>499.899</v>
          </cell>
          <cell r="I557">
            <v>11.2</v>
          </cell>
          <cell r="J557">
            <v>4</v>
          </cell>
        </row>
        <row r="558">
          <cell r="B558" t="str">
            <v>HEINEKEN C 6RH PILSEN</v>
          </cell>
          <cell r="E558">
            <v>83.809226599447939</v>
          </cell>
          <cell r="F558">
            <v>90.604569296700461</v>
          </cell>
          <cell r="G558">
            <v>579.99699999999996</v>
          </cell>
          <cell r="H558">
            <v>486.09100000000001</v>
          </cell>
          <cell r="I558">
            <v>11.2</v>
          </cell>
          <cell r="J558">
            <v>4</v>
          </cell>
        </row>
        <row r="559">
          <cell r="B559" t="str">
            <v>GLOBE PILSEN</v>
          </cell>
          <cell r="E559">
            <v>83.327730753457345</v>
          </cell>
          <cell r="F559">
            <v>90.084033246980908</v>
          </cell>
          <cell r="G559">
            <v>594.96400000000006</v>
          </cell>
          <cell r="H559">
            <v>495.77</v>
          </cell>
          <cell r="I559">
            <v>11.2</v>
          </cell>
          <cell r="J559">
            <v>4</v>
          </cell>
        </row>
        <row r="560">
          <cell r="B560" t="str">
            <v>HEINEKEN A 2RP PILSEN</v>
          </cell>
          <cell r="E560">
            <v>87.536354106076502</v>
          </cell>
          <cell r="F560">
            <v>94.740586180195535</v>
          </cell>
          <cell r="G560">
            <v>600.00099999999998</v>
          </cell>
          <cell r="H560">
            <v>525.21900000000005</v>
          </cell>
          <cell r="I560">
            <v>11.3</v>
          </cell>
          <cell r="J560">
            <v>4</v>
          </cell>
        </row>
        <row r="561">
          <cell r="B561" t="str">
            <v>HEINEKEN C 6RH PILSEN</v>
          </cell>
          <cell r="E561">
            <v>85.615571182329873</v>
          </cell>
          <cell r="F561">
            <v>92.661723038372799</v>
          </cell>
          <cell r="G561">
            <v>590.01300000000003</v>
          </cell>
          <cell r="H561">
            <v>505.14299999999997</v>
          </cell>
          <cell r="I561">
            <v>11.3</v>
          </cell>
          <cell r="J561">
            <v>4</v>
          </cell>
        </row>
        <row r="562">
          <cell r="B562" t="str">
            <v>ASAHI 2RP PILSEN</v>
          </cell>
          <cell r="E562">
            <v>83.213499981355483</v>
          </cell>
          <cell r="F562">
            <v>90.06196164836669</v>
          </cell>
          <cell r="G562">
            <v>589.98599999999999</v>
          </cell>
          <cell r="H562">
            <v>490.94799999999998</v>
          </cell>
          <cell r="I562">
            <v>11.3</v>
          </cell>
          <cell r="J562">
            <v>4</v>
          </cell>
        </row>
        <row r="563">
          <cell r="B563" t="str">
            <v>GLOBE PILSEN</v>
          </cell>
          <cell r="E563">
            <v>82.583149863027515</v>
          </cell>
          <cell r="F563">
            <v>89.379733786365733</v>
          </cell>
          <cell r="G563">
            <v>595.01</v>
          </cell>
          <cell r="H563">
            <v>491.37799999999999</v>
          </cell>
          <cell r="I563">
            <v>11.3</v>
          </cell>
          <cell r="J563">
            <v>4</v>
          </cell>
        </row>
        <row r="564">
          <cell r="B564" t="str">
            <v>ASAHI 2RP PILSEN</v>
          </cell>
          <cell r="E564">
            <v>85.835809373875648</v>
          </cell>
          <cell r="F564">
            <v>93.004940179368646</v>
          </cell>
          <cell r="G564">
            <v>592.00699999999995</v>
          </cell>
          <cell r="H564">
            <v>508.154</v>
          </cell>
          <cell r="I564">
            <v>11.4</v>
          </cell>
          <cell r="J564">
            <v>4</v>
          </cell>
        </row>
        <row r="565">
          <cell r="B565" t="str">
            <v>HEINEKEN C 6RH PILSEN</v>
          </cell>
          <cell r="E565">
            <v>85.423785696851368</v>
          </cell>
          <cell r="F565">
            <v>92.558503689590637</v>
          </cell>
          <cell r="G565">
            <v>589.96799999999996</v>
          </cell>
          <cell r="H565">
            <v>503.97300000000001</v>
          </cell>
          <cell r="I565">
            <v>11.4</v>
          </cell>
          <cell r="J565">
            <v>4</v>
          </cell>
        </row>
        <row r="566">
          <cell r="B566" t="str">
            <v>HEINEKEN C 6RH PILSEN</v>
          </cell>
          <cell r="E566">
            <v>84.334073994979761</v>
          </cell>
          <cell r="F566">
            <v>91.377777692077402</v>
          </cell>
          <cell r="G566">
            <v>590.01300000000003</v>
          </cell>
          <cell r="H566">
            <v>497.58199999999999</v>
          </cell>
          <cell r="I566">
            <v>11.4</v>
          </cell>
          <cell r="J566">
            <v>4</v>
          </cell>
        </row>
        <row r="567">
          <cell r="B567" t="str">
            <v>HEINEKEN A 2RP PILSEN</v>
          </cell>
          <cell r="E567">
            <v>83.859213918608688</v>
          </cell>
          <cell r="F567">
            <v>90.863256616099704</v>
          </cell>
          <cell r="G567">
            <v>595.00199999999995</v>
          </cell>
          <cell r="H567">
            <v>498.964</v>
          </cell>
          <cell r="I567">
            <v>11.4</v>
          </cell>
          <cell r="J567">
            <v>4</v>
          </cell>
        </row>
        <row r="568">
          <cell r="B568" t="str">
            <v>HEINEKEN C 6RH PILSEN</v>
          </cell>
          <cell r="E568">
            <v>83.544410730294473</v>
          </cell>
          <cell r="F568">
            <v>90.522160610702812</v>
          </cell>
          <cell r="G568">
            <v>580.04</v>
          </cell>
          <cell r="H568">
            <v>484.59100000000001</v>
          </cell>
          <cell r="I568">
            <v>11.4</v>
          </cell>
          <cell r="J568">
            <v>4</v>
          </cell>
        </row>
        <row r="569">
          <cell r="B569" t="str">
            <v>HEINEKEN C 6RH PILSEN</v>
          </cell>
          <cell r="E569">
            <v>83.191060520113311</v>
          </cell>
          <cell r="F569">
            <v>90.13929808048394</v>
          </cell>
          <cell r="G569">
            <v>579.98900000000003</v>
          </cell>
          <cell r="H569">
            <v>482.49900000000002</v>
          </cell>
          <cell r="I569">
            <v>11.4</v>
          </cell>
          <cell r="J569">
            <v>4</v>
          </cell>
        </row>
        <row r="570">
          <cell r="B570" t="str">
            <v>ASAHI 2RP PILSEN</v>
          </cell>
          <cell r="E570">
            <v>86.253571308527441</v>
          </cell>
          <cell r="F570">
            <v>93.563195995690791</v>
          </cell>
          <cell r="G570">
            <v>595.02</v>
          </cell>
          <cell r="H570">
            <v>513.226</v>
          </cell>
          <cell r="I570">
            <v>11.5</v>
          </cell>
          <cell r="J570">
            <v>4</v>
          </cell>
        </row>
        <row r="571">
          <cell r="B571" t="str">
            <v>CARLBERG 2RP PILSEN</v>
          </cell>
          <cell r="E571">
            <v>85.424670045516137</v>
          </cell>
          <cell r="F571">
            <v>92.664048862932773</v>
          </cell>
          <cell r="G571">
            <v>600.00699999999995</v>
          </cell>
          <cell r="H571">
            <v>512.55399999999997</v>
          </cell>
          <cell r="I571">
            <v>11.5</v>
          </cell>
          <cell r="J571">
            <v>4</v>
          </cell>
        </row>
        <row r="572">
          <cell r="B572" t="str">
            <v>HEINEKEN A 2RP PILSEN</v>
          </cell>
          <cell r="E572">
            <v>85.317289022591481</v>
          </cell>
          <cell r="F572">
            <v>92.547567753319584</v>
          </cell>
          <cell r="G572">
            <v>600.005</v>
          </cell>
          <cell r="H572">
            <v>511.90800000000002</v>
          </cell>
          <cell r="I572">
            <v>11.5</v>
          </cell>
          <cell r="J572">
            <v>4</v>
          </cell>
        </row>
        <row r="573">
          <cell r="B573" t="str">
            <v>HEINEKEN C 6RH PILSEN</v>
          </cell>
          <cell r="E573">
            <v>85.174840125726959</v>
          </cell>
          <cell r="F573">
            <v>92.393046916042792</v>
          </cell>
          <cell r="G573">
            <v>579.98699999999997</v>
          </cell>
          <cell r="H573">
            <v>494.00299999999999</v>
          </cell>
          <cell r="I573">
            <v>11.5</v>
          </cell>
          <cell r="J573">
            <v>4</v>
          </cell>
        </row>
        <row r="574">
          <cell r="B574" t="str">
            <v>CARLBERG 6RH PILSEN</v>
          </cell>
          <cell r="E574">
            <v>84.611773240047739</v>
          </cell>
          <cell r="F574">
            <v>91.7822624976789</v>
          </cell>
          <cell r="G574">
            <v>590.01599999999996</v>
          </cell>
          <cell r="H574">
            <v>499.22300000000001</v>
          </cell>
          <cell r="I574">
            <v>11.5</v>
          </cell>
          <cell r="J574">
            <v>4</v>
          </cell>
        </row>
        <row r="575">
          <cell r="B575" t="str">
            <v>HEINEKEN C 6RH PILSEN</v>
          </cell>
          <cell r="E575">
            <v>84.512931034482762</v>
          </cell>
          <cell r="F575">
            <v>91.675043834015199</v>
          </cell>
          <cell r="G575">
            <v>580</v>
          </cell>
          <cell r="H575">
            <v>490.17500000000001</v>
          </cell>
          <cell r="I575">
            <v>11.5</v>
          </cell>
          <cell r="J575">
            <v>4</v>
          </cell>
        </row>
        <row r="576">
          <cell r="B576" t="str">
            <v>HEINEKEN C 6RH PILSEN</v>
          </cell>
          <cell r="E576">
            <v>84.483341264422521</v>
          </cell>
          <cell r="F576">
            <v>91.642946456322719</v>
          </cell>
          <cell r="G576">
            <v>579.99599999999998</v>
          </cell>
          <cell r="H576">
            <v>490</v>
          </cell>
          <cell r="I576">
            <v>11.5</v>
          </cell>
          <cell r="J576">
            <v>4</v>
          </cell>
        </row>
        <row r="577">
          <cell r="B577" t="str">
            <v>HEINEKEN A 2RP PILSEN</v>
          </cell>
          <cell r="E577">
            <v>84.275347342987871</v>
          </cell>
          <cell r="F577">
            <v>91.417325931376695</v>
          </cell>
          <cell r="G577">
            <v>595.16099999999994</v>
          </cell>
          <cell r="H577">
            <v>501.57400000000001</v>
          </cell>
          <cell r="I577">
            <v>11.5</v>
          </cell>
          <cell r="J577">
            <v>4</v>
          </cell>
        </row>
        <row r="578">
          <cell r="B578" t="str">
            <v>ASAHI 2RP PILSEN</v>
          </cell>
          <cell r="E578">
            <v>83.676271186440673</v>
          </cell>
          <cell r="F578">
            <v>90.767480609020396</v>
          </cell>
          <cell r="G578">
            <v>590</v>
          </cell>
          <cell r="H578">
            <v>493.69</v>
          </cell>
          <cell r="I578">
            <v>11.5</v>
          </cell>
          <cell r="J578">
            <v>4</v>
          </cell>
        </row>
        <row r="579">
          <cell r="B579" t="str">
            <v>ASAHI 2RP PILSEN</v>
          </cell>
          <cell r="E579">
            <v>83.094265941922146</v>
          </cell>
          <cell r="F579">
            <v>90.136152886152814</v>
          </cell>
          <cell r="G579">
            <v>590.00099999999998</v>
          </cell>
          <cell r="H579">
            <v>490.25700000000001</v>
          </cell>
          <cell r="I579">
            <v>11.5</v>
          </cell>
          <cell r="J579">
            <v>4</v>
          </cell>
        </row>
        <row r="580">
          <cell r="B580" t="str">
            <v>HEINEKEN A 2RP PILSEN</v>
          </cell>
          <cell r="E580">
            <v>82.368413916533328</v>
          </cell>
          <cell r="F580">
            <v>89.348787977256507</v>
          </cell>
          <cell r="G580">
            <v>590.03200000000004</v>
          </cell>
          <cell r="H580">
            <v>486</v>
          </cell>
          <cell r="I580">
            <v>11.5</v>
          </cell>
          <cell r="J580">
            <v>4</v>
          </cell>
        </row>
        <row r="581">
          <cell r="B581" t="str">
            <v>ASAHI 2RP PILSEN</v>
          </cell>
          <cell r="E581">
            <v>85.501924337406095</v>
          </cell>
          <cell r="F581">
            <v>92.852768511210243</v>
          </cell>
          <cell r="G581">
            <v>595.01</v>
          </cell>
          <cell r="H581">
            <v>508.745</v>
          </cell>
          <cell r="I581">
            <v>11.6</v>
          </cell>
          <cell r="J581">
            <v>4</v>
          </cell>
        </row>
        <row r="582">
          <cell r="B582" t="str">
            <v>ASAHI 2RP PILSEN</v>
          </cell>
          <cell r="E582">
            <v>84.405206004633811</v>
          </cell>
          <cell r="F582">
            <v>91.661762176977902</v>
          </cell>
          <cell r="G582">
            <v>590.01099999999997</v>
          </cell>
          <cell r="H582">
            <v>498</v>
          </cell>
          <cell r="I582">
            <v>11.6</v>
          </cell>
          <cell r="J582">
            <v>4</v>
          </cell>
        </row>
        <row r="583">
          <cell r="B583" t="str">
            <v>GLOBE PILSEN</v>
          </cell>
          <cell r="E583">
            <v>83.532769713692971</v>
          </cell>
          <cell r="F583">
            <v>90.714320051069279</v>
          </cell>
          <cell r="G583">
            <v>589.99599999999998</v>
          </cell>
          <cell r="H583">
            <v>492.84</v>
          </cell>
          <cell r="I583">
            <v>11.6</v>
          </cell>
          <cell r="J583">
            <v>4</v>
          </cell>
        </row>
        <row r="584">
          <cell r="B584" t="str">
            <v>HEINEKEN C 6RH PILSEN</v>
          </cell>
          <cell r="E584">
            <v>85.539177052242295</v>
          </cell>
          <cell r="F584">
            <v>92.998425787262292</v>
          </cell>
          <cell r="G584">
            <v>590.00099999999998</v>
          </cell>
          <cell r="H584">
            <v>504.68200000000002</v>
          </cell>
          <cell r="I584">
            <v>11.7</v>
          </cell>
          <cell r="J584">
            <v>4</v>
          </cell>
        </row>
        <row r="585">
          <cell r="B585" t="str">
            <v>HEINEKEN A 2RP PILSEN</v>
          </cell>
          <cell r="E585">
            <v>85.471500799153901</v>
          </cell>
          <cell r="F585">
            <v>92.924847980960067</v>
          </cell>
          <cell r="G585">
            <v>589.99900000000002</v>
          </cell>
          <cell r="H585">
            <v>504.28100000000001</v>
          </cell>
          <cell r="I585">
            <v>11.7</v>
          </cell>
          <cell r="J585">
            <v>4</v>
          </cell>
        </row>
        <row r="586">
          <cell r="B586" t="str">
            <v>HEINEKEN C 6RH PILSEN</v>
          </cell>
          <cell r="E586">
            <v>84.861858975988667</v>
          </cell>
          <cell r="F586">
            <v>92.262043733804205</v>
          </cell>
          <cell r="G586">
            <v>590.01300000000003</v>
          </cell>
          <cell r="H586">
            <v>500.69600000000003</v>
          </cell>
          <cell r="I586">
            <v>11.7</v>
          </cell>
          <cell r="J586">
            <v>4</v>
          </cell>
        </row>
        <row r="587">
          <cell r="B587" t="str">
            <v>ASAHI 2RP PILSEN</v>
          </cell>
          <cell r="E587">
            <v>84.836219783795869</v>
          </cell>
          <cell r="F587">
            <v>92.234168734364701</v>
          </cell>
          <cell r="G587">
            <v>589.99800000000005</v>
          </cell>
          <cell r="H587">
            <v>500.53199999999998</v>
          </cell>
          <cell r="I587">
            <v>11.7</v>
          </cell>
          <cell r="J587">
            <v>4</v>
          </cell>
        </row>
        <row r="588">
          <cell r="B588" t="str">
            <v>HEINEKEN C 6RH PILSEN</v>
          </cell>
          <cell r="E588">
            <v>84.479608405452211</v>
          </cell>
          <cell r="F588">
            <v>91.846459874557326</v>
          </cell>
          <cell r="G588">
            <v>589.99800000000005</v>
          </cell>
          <cell r="H588">
            <v>498.428</v>
          </cell>
          <cell r="I588">
            <v>11.7</v>
          </cell>
          <cell r="J588">
            <v>4</v>
          </cell>
        </row>
        <row r="589">
          <cell r="B589" t="str">
            <v>HEINEKEN A 2RP PILSEN</v>
          </cell>
          <cell r="E589">
            <v>84.436479008387238</v>
          </cell>
          <cell r="F589">
            <v>91.799569476842279</v>
          </cell>
          <cell r="G589">
            <v>595.07100000000003</v>
          </cell>
          <cell r="H589">
            <v>502.45699999999999</v>
          </cell>
          <cell r="I589">
            <v>11.7</v>
          </cell>
          <cell r="J589">
            <v>4</v>
          </cell>
        </row>
        <row r="590">
          <cell r="B590" t="str">
            <v>HEINEKEN C 6RH PILSEN</v>
          </cell>
          <cell r="E590">
            <v>84.31694771166319</v>
          </cell>
          <cell r="F590">
            <v>91.669614726157022</v>
          </cell>
          <cell r="G590">
            <v>579.91899999999998</v>
          </cell>
          <cell r="H590">
            <v>488.97</v>
          </cell>
          <cell r="I590">
            <v>11.7</v>
          </cell>
          <cell r="J590">
            <v>4</v>
          </cell>
        </row>
        <row r="591">
          <cell r="B591" t="str">
            <v>HEINEKEN C 6RH PILSEN</v>
          </cell>
          <cell r="E591">
            <v>84.140317483305992</v>
          </cell>
          <cell r="F591">
            <v>91.477581861804936</v>
          </cell>
          <cell r="G591">
            <v>579.99900000000002</v>
          </cell>
          <cell r="H591">
            <v>488.01299999999998</v>
          </cell>
          <cell r="I591">
            <v>11.7</v>
          </cell>
          <cell r="J591">
            <v>4</v>
          </cell>
        </row>
        <row r="592">
          <cell r="B592" t="str">
            <v>ASAHI 2RP PILSEN</v>
          </cell>
          <cell r="E592">
            <v>83.332005660968974</v>
          </cell>
          <cell r="F592">
            <v>90.598783051563103</v>
          </cell>
          <cell r="G592">
            <v>590.005</v>
          </cell>
          <cell r="H592">
            <v>491.66300000000001</v>
          </cell>
          <cell r="I592">
            <v>11.7</v>
          </cell>
          <cell r="J592">
            <v>4</v>
          </cell>
        </row>
        <row r="593">
          <cell r="B593" t="str">
            <v>GLOBE PILSEN</v>
          </cell>
          <cell r="E593">
            <v>83.304050966835348</v>
          </cell>
          <cell r="F593">
            <v>90.568390632119971</v>
          </cell>
          <cell r="G593">
            <v>579.98500000000001</v>
          </cell>
          <cell r="H593">
            <v>483.15100000000001</v>
          </cell>
          <cell r="I593">
            <v>11.7</v>
          </cell>
          <cell r="J593">
            <v>4</v>
          </cell>
        </row>
        <row r="594">
          <cell r="B594" t="str">
            <v>GLOBE PILSEN</v>
          </cell>
          <cell r="E594">
            <v>81.92957983193277</v>
          </cell>
          <cell r="F594">
            <v>89.074061878432005</v>
          </cell>
          <cell r="G594">
            <v>595</v>
          </cell>
          <cell r="H594">
            <v>487.48099999999999</v>
          </cell>
          <cell r="I594">
            <v>11.7</v>
          </cell>
          <cell r="J594">
            <v>4</v>
          </cell>
        </row>
        <row r="595">
          <cell r="B595" t="str">
            <v>ASAHI 2RP PILSEN</v>
          </cell>
          <cell r="E595">
            <v>86.082325702798983</v>
          </cell>
          <cell r="F595">
            <v>93.695048383998909</v>
          </cell>
          <cell r="G595">
            <v>589.99800000000005</v>
          </cell>
          <cell r="H595">
            <v>507.88400000000001</v>
          </cell>
          <cell r="I595">
            <v>11.8</v>
          </cell>
          <cell r="J595">
            <v>4</v>
          </cell>
        </row>
        <row r="596">
          <cell r="B596" t="str">
            <v>HEINEKEN A 2RP PILSEN</v>
          </cell>
          <cell r="E596">
            <v>85.262579323439766</v>
          </cell>
          <cell r="F596">
            <v>92.80280742687323</v>
          </cell>
          <cell r="G596">
            <v>600.39</v>
          </cell>
          <cell r="H596">
            <v>511.90800000000002</v>
          </cell>
          <cell r="I596">
            <v>11.8</v>
          </cell>
          <cell r="J596">
            <v>4</v>
          </cell>
        </row>
        <row r="597">
          <cell r="B597" t="str">
            <v>HEINEKEN C 6RH PILSEN</v>
          </cell>
          <cell r="E597">
            <v>84.994313883900318</v>
          </cell>
          <cell r="F597">
            <v>92.51081783281667</v>
          </cell>
          <cell r="G597">
            <v>582.99900000000002</v>
          </cell>
          <cell r="H597">
            <v>495.51600000000002</v>
          </cell>
          <cell r="I597">
            <v>11.8</v>
          </cell>
          <cell r="J597">
            <v>4</v>
          </cell>
        </row>
        <row r="598">
          <cell r="B598" t="str">
            <v>HEINEKEN C 6RH PILSEN</v>
          </cell>
          <cell r="E598">
            <v>84.973613174436821</v>
          </cell>
          <cell r="F598">
            <v>92.488286448366622</v>
          </cell>
          <cell r="G598">
            <v>584.95100000000002</v>
          </cell>
          <cell r="H598">
            <v>497.05399999999997</v>
          </cell>
          <cell r="I598">
            <v>11.8</v>
          </cell>
          <cell r="J598">
            <v>4</v>
          </cell>
        </row>
        <row r="599">
          <cell r="B599" t="str">
            <v>HEINEKEN C 6RH PILSEN</v>
          </cell>
          <cell r="E599">
            <v>83.851790548112888</v>
          </cell>
          <cell r="F599">
            <v>91.267255018354177</v>
          </cell>
          <cell r="G599">
            <v>579.99</v>
          </cell>
          <cell r="H599">
            <v>486.33199999999999</v>
          </cell>
          <cell r="I599">
            <v>11.8</v>
          </cell>
          <cell r="J599">
            <v>4</v>
          </cell>
        </row>
        <row r="600">
          <cell r="B600" t="str">
            <v>ASAHI 2RP PILSEN</v>
          </cell>
          <cell r="E600">
            <v>83.205564755194501</v>
          </cell>
          <cell r="F600">
            <v>90.563880005653857</v>
          </cell>
          <cell r="G600">
            <v>589.99900000000002</v>
          </cell>
          <cell r="H600">
            <v>490.91199999999998</v>
          </cell>
          <cell r="I600">
            <v>11.8</v>
          </cell>
          <cell r="J600">
            <v>4</v>
          </cell>
        </row>
        <row r="601">
          <cell r="B601" t="str">
            <v>CARLBERG 2RP PILSEN</v>
          </cell>
          <cell r="E601">
            <v>85.35168358809922</v>
          </cell>
          <cell r="F601">
            <v>93.005239778178478</v>
          </cell>
          <cell r="G601">
            <v>600.02800000000002</v>
          </cell>
          <cell r="H601">
            <v>512.13400000000001</v>
          </cell>
          <cell r="I601">
            <v>11.9</v>
          </cell>
          <cell r="J601">
            <v>4</v>
          </cell>
        </row>
        <row r="602">
          <cell r="B602" t="str">
            <v>HEINEKEN C 6RH PILSEN</v>
          </cell>
          <cell r="E602">
            <v>85.022728274244344</v>
          </cell>
          <cell r="F602">
            <v>92.646786768756613</v>
          </cell>
          <cell r="G602">
            <v>590.01400000000001</v>
          </cell>
          <cell r="H602">
            <v>501.64600000000002</v>
          </cell>
          <cell r="I602">
            <v>11.9</v>
          </cell>
          <cell r="J602">
            <v>4</v>
          </cell>
        </row>
        <row r="603">
          <cell r="B603" t="str">
            <v>HEINEKEN C 6RH PILSEN</v>
          </cell>
          <cell r="E603">
            <v>83.893691311569881</v>
          </cell>
          <cell r="F603">
            <v>91.416508126114735</v>
          </cell>
          <cell r="G603">
            <v>589.98</v>
          </cell>
          <cell r="H603">
            <v>494.95600000000002</v>
          </cell>
          <cell r="I603">
            <v>11.9</v>
          </cell>
          <cell r="J603">
            <v>4</v>
          </cell>
        </row>
        <row r="604">
          <cell r="B604" t="str">
            <v>HEINEKEN C 6RH PILSEN</v>
          </cell>
          <cell r="E604">
            <v>83.827008089599374</v>
          </cell>
          <cell r="F604">
            <v>91.343845364376179</v>
          </cell>
          <cell r="G604">
            <v>580.00400000000002</v>
          </cell>
          <cell r="H604">
            <v>486.2</v>
          </cell>
          <cell r="I604">
            <v>11.9</v>
          </cell>
          <cell r="J604">
            <v>4</v>
          </cell>
        </row>
        <row r="605">
          <cell r="B605" t="str">
            <v>HEINEKEN C 6RH PILSEN</v>
          </cell>
          <cell r="E605">
            <v>83.387068409637138</v>
          </cell>
          <cell r="F605">
            <v>90.864455928775996</v>
          </cell>
          <cell r="G605">
            <v>580.00599999999997</v>
          </cell>
          <cell r="H605">
            <v>483.65</v>
          </cell>
          <cell r="I605">
            <v>11.9</v>
          </cell>
          <cell r="J605">
            <v>4</v>
          </cell>
        </row>
        <row r="606">
          <cell r="B606" t="str">
            <v>HEINEKEN C 6RH PILSEN</v>
          </cell>
          <cell r="E606">
            <v>83.226689702380639</v>
          </cell>
          <cell r="F606">
            <v>90.689695929949394</v>
          </cell>
          <cell r="G606">
            <v>579.96900000000005</v>
          </cell>
          <cell r="H606">
            <v>482.68900000000002</v>
          </cell>
          <cell r="I606">
            <v>11.9</v>
          </cell>
          <cell r="J606">
            <v>4</v>
          </cell>
        </row>
        <row r="607">
          <cell r="B607" t="str">
            <v>HEINEKEN C 6RH PILSEN</v>
          </cell>
          <cell r="E607">
            <v>85.777750333618073</v>
          </cell>
          <cell r="F607">
            <v>93.575727636674273</v>
          </cell>
          <cell r="G607">
            <v>583.00199999999995</v>
          </cell>
          <cell r="H607">
            <v>500.08600000000001</v>
          </cell>
          <cell r="I607">
            <v>12</v>
          </cell>
          <cell r="J607">
            <v>4</v>
          </cell>
        </row>
        <row r="608">
          <cell r="B608" t="str">
            <v>CARLBERG 6RH PILSEN</v>
          </cell>
          <cell r="E608">
            <v>85.15184076633912</v>
          </cell>
          <cell r="F608">
            <v>92.892917199642682</v>
          </cell>
          <cell r="G608">
            <v>590.02599999999995</v>
          </cell>
          <cell r="H608">
            <v>502.41800000000001</v>
          </cell>
          <cell r="I608">
            <v>12</v>
          </cell>
          <cell r="J608">
            <v>4</v>
          </cell>
        </row>
        <row r="609">
          <cell r="B609" t="str">
            <v>HEINEKEN A 2RP PILSEN</v>
          </cell>
          <cell r="E609">
            <v>84.934474132028015</v>
          </cell>
          <cell r="F609">
            <v>92.655789962212381</v>
          </cell>
          <cell r="G609">
            <v>589.99599999999998</v>
          </cell>
          <cell r="H609">
            <v>501.11</v>
          </cell>
          <cell r="I609">
            <v>12</v>
          </cell>
          <cell r="J609">
            <v>4</v>
          </cell>
        </row>
        <row r="610">
          <cell r="B610" t="str">
            <v>HEINEKEN C 6RH PILSEN</v>
          </cell>
          <cell r="E610">
            <v>84.284118700859807</v>
          </cell>
          <cell r="F610">
            <v>91.946311310028875</v>
          </cell>
          <cell r="G610">
            <v>590.02099999999996</v>
          </cell>
          <cell r="H610">
            <v>497.29399999999998</v>
          </cell>
          <cell r="I610">
            <v>12</v>
          </cell>
          <cell r="J610">
            <v>4</v>
          </cell>
        </row>
        <row r="611">
          <cell r="B611" t="str">
            <v>HEINEKEN C 6RH PILSEN</v>
          </cell>
          <cell r="E611">
            <v>83.911111724128418</v>
          </cell>
          <cell r="F611">
            <v>91.5393946081401</v>
          </cell>
          <cell r="G611">
            <v>580.00900000000001</v>
          </cell>
          <cell r="H611">
            <v>486.69200000000001</v>
          </cell>
          <cell r="I611">
            <v>12</v>
          </cell>
          <cell r="J611">
            <v>4</v>
          </cell>
        </row>
        <row r="612">
          <cell r="B612" t="str">
            <v>HEINEKEN C 6RH PILSEN</v>
          </cell>
          <cell r="E612">
            <v>83.711273108168342</v>
          </cell>
          <cell r="F612">
            <v>91.321388845274555</v>
          </cell>
          <cell r="G612">
            <v>589.99699999999996</v>
          </cell>
          <cell r="H612">
            <v>493.89400000000001</v>
          </cell>
          <cell r="I612">
            <v>12</v>
          </cell>
          <cell r="J612">
            <v>4</v>
          </cell>
        </row>
        <row r="613">
          <cell r="B613" t="str">
            <v>ASAHI 2RP PILSEN</v>
          </cell>
          <cell r="E613">
            <v>83.59434585854477</v>
          </cell>
          <cell r="F613">
            <v>91.193831845685196</v>
          </cell>
          <cell r="G613">
            <v>590.01</v>
          </cell>
          <cell r="H613">
            <v>493.21499999999997</v>
          </cell>
          <cell r="I613">
            <v>12</v>
          </cell>
          <cell r="J613">
            <v>4</v>
          </cell>
        </row>
        <row r="614">
          <cell r="B614" t="str">
            <v>HEINEKEN C 6RH PILSEN</v>
          </cell>
          <cell r="E614">
            <v>82.777471296072818</v>
          </cell>
          <cell r="F614">
            <v>90.302695959352164</v>
          </cell>
          <cell r="G614">
            <v>580.05999999999995</v>
          </cell>
          <cell r="H614">
            <v>480.15899999999999</v>
          </cell>
          <cell r="I614">
            <v>12</v>
          </cell>
          <cell r="J614">
            <v>4</v>
          </cell>
        </row>
        <row r="615">
          <cell r="B615" t="str">
            <v>HEINEKEN C 6RH PILSEN</v>
          </cell>
          <cell r="E615">
            <v>85.737409005008431</v>
          </cell>
          <cell r="F615">
            <v>93.638125875777121</v>
          </cell>
          <cell r="G615">
            <v>590.005</v>
          </cell>
          <cell r="H615">
            <v>505.85500000000002</v>
          </cell>
          <cell r="I615">
            <v>12.1</v>
          </cell>
          <cell r="J615">
            <v>4</v>
          </cell>
        </row>
        <row r="616">
          <cell r="B616" t="str">
            <v>HEINEKEN C 6RH PILSEN</v>
          </cell>
          <cell r="E616">
            <v>85.38841187895963</v>
          </cell>
          <cell r="F616">
            <v>93.256968605007103</v>
          </cell>
          <cell r="G616">
            <v>590.01800000000003</v>
          </cell>
          <cell r="H616">
            <v>503.80700000000002</v>
          </cell>
          <cell r="I616">
            <v>12.1</v>
          </cell>
          <cell r="J616">
            <v>4</v>
          </cell>
        </row>
        <row r="617">
          <cell r="B617" t="str">
            <v>ASAHI 2RP PILSEN</v>
          </cell>
          <cell r="E617">
            <v>85.084940533999102</v>
          </cell>
          <cell r="F617">
            <v>92.925532323821542</v>
          </cell>
          <cell r="G617">
            <v>590.00099999999998</v>
          </cell>
          <cell r="H617">
            <v>502.00200000000001</v>
          </cell>
          <cell r="I617">
            <v>12.1</v>
          </cell>
          <cell r="J617">
            <v>4</v>
          </cell>
        </row>
        <row r="618">
          <cell r="B618" t="str">
            <v>CARLBERG 6RH PILSEN</v>
          </cell>
          <cell r="E618">
            <v>85.071277607255382</v>
          </cell>
          <cell r="F618">
            <v>92.910610356046831</v>
          </cell>
          <cell r="G618">
            <v>590.01700000000005</v>
          </cell>
          <cell r="H618">
            <v>501.935</v>
          </cell>
          <cell r="I618">
            <v>12.1</v>
          </cell>
          <cell r="J618">
            <v>4</v>
          </cell>
        </row>
        <row r="619">
          <cell r="B619" t="str">
            <v>CARLBERG 6RH PILSEN</v>
          </cell>
          <cell r="E619">
            <v>84.461234437337524</v>
          </cell>
          <cell r="F619">
            <v>92.244351603918105</v>
          </cell>
          <cell r="G619">
            <v>590.03399999999999</v>
          </cell>
          <cell r="H619">
            <v>498.35</v>
          </cell>
          <cell r="I619">
            <v>12.1</v>
          </cell>
          <cell r="J619">
            <v>4</v>
          </cell>
        </row>
        <row r="620">
          <cell r="B620" t="str">
            <v>ASAHI 2RP PILSEN</v>
          </cell>
          <cell r="E620">
            <v>84.436252225794178</v>
          </cell>
          <cell r="F620">
            <v>92.217067277317852</v>
          </cell>
          <cell r="G620">
            <v>582.93799999999999</v>
          </cell>
          <cell r="H620">
            <v>492.21100000000001</v>
          </cell>
          <cell r="I620">
            <v>12.1</v>
          </cell>
          <cell r="J620">
            <v>4</v>
          </cell>
        </row>
        <row r="621">
          <cell r="B621" t="str">
            <v>HEINEKEN C 6RH PILSEN</v>
          </cell>
          <cell r="E621">
            <v>82.765356242058743</v>
          </cell>
          <cell r="F621">
            <v>90.392197943545369</v>
          </cell>
          <cell r="G621">
            <v>580.04100000000005</v>
          </cell>
          <cell r="H621">
            <v>480.07299999999998</v>
          </cell>
          <cell r="I621">
            <v>12.1</v>
          </cell>
          <cell r="J621">
            <v>4</v>
          </cell>
        </row>
        <row r="622">
          <cell r="B622" t="str">
            <v>HEINEKEN C 6RH PILSEN</v>
          </cell>
          <cell r="E622">
            <v>84.733611072504843</v>
          </cell>
          <cell r="F622">
            <v>92.647228507522371</v>
          </cell>
          <cell r="G622">
            <v>590.00199999999995</v>
          </cell>
          <cell r="H622">
            <v>499.93</v>
          </cell>
          <cell r="I622">
            <v>12.2</v>
          </cell>
          <cell r="J622">
            <v>4</v>
          </cell>
        </row>
        <row r="623">
          <cell r="B623" t="str">
            <v>HEINEKEN A 2RP PILSEN</v>
          </cell>
          <cell r="E623">
            <v>84.209063296631768</v>
          </cell>
          <cell r="F623">
            <v>92.073691076043858</v>
          </cell>
          <cell r="G623">
            <v>589.98400000000004</v>
          </cell>
          <cell r="H623">
            <v>496.82</v>
          </cell>
          <cell r="I623">
            <v>12.2</v>
          </cell>
          <cell r="J623">
            <v>4</v>
          </cell>
        </row>
        <row r="624">
          <cell r="B624" t="str">
            <v>HEINEKEN C 6RH PILSEN</v>
          </cell>
          <cell r="E624">
            <v>84.181540808543105</v>
          </cell>
          <cell r="F624">
            <v>92.043598150571029</v>
          </cell>
          <cell r="G624">
            <v>589.95000000000005</v>
          </cell>
          <cell r="H624">
            <v>496.62900000000002</v>
          </cell>
          <cell r="I624">
            <v>12.2</v>
          </cell>
          <cell r="J624">
            <v>4</v>
          </cell>
        </row>
        <row r="625">
          <cell r="B625" t="str">
            <v>HEINEKEN C 6RH PILSEN</v>
          </cell>
          <cell r="E625">
            <v>84.0964889897311</v>
          </cell>
          <cell r="F625">
            <v>91.950602995605763</v>
          </cell>
          <cell r="G625">
            <v>580.00400000000002</v>
          </cell>
          <cell r="H625">
            <v>487.76299999999998</v>
          </cell>
          <cell r="I625">
            <v>12.2</v>
          </cell>
          <cell r="J625">
            <v>4</v>
          </cell>
        </row>
        <row r="626">
          <cell r="B626" t="str">
            <v>HEINEKEN C 6RH PILSEN</v>
          </cell>
          <cell r="E626">
            <v>83.529253549150155</v>
          </cell>
          <cell r="F626">
            <v>91.330391124355543</v>
          </cell>
          <cell r="G626">
            <v>579.99800000000005</v>
          </cell>
          <cell r="H626">
            <v>484.46800000000002</v>
          </cell>
          <cell r="I626">
            <v>12.2</v>
          </cell>
          <cell r="J626">
            <v>4</v>
          </cell>
        </row>
        <row r="627">
          <cell r="B627" t="str">
            <v>HEINEKEN C 6RH PILSEN</v>
          </cell>
          <cell r="E627">
            <v>83.810787723473055</v>
          </cell>
          <cell r="F627">
            <v>91.742709480654682</v>
          </cell>
          <cell r="G627">
            <v>590.00400000000002</v>
          </cell>
          <cell r="H627">
            <v>494.48700000000002</v>
          </cell>
          <cell r="I627">
            <v>12.3</v>
          </cell>
          <cell r="J627">
            <v>4</v>
          </cell>
        </row>
        <row r="628">
          <cell r="B628" t="str">
            <v>HEINEKEN C 6RH PILSEN</v>
          </cell>
          <cell r="E628">
            <v>82.985806994434512</v>
          </cell>
          <cell r="F628">
            <v>90.839651898126732</v>
          </cell>
          <cell r="G628">
            <v>580.00400000000002</v>
          </cell>
          <cell r="H628">
            <v>481.32100000000003</v>
          </cell>
          <cell r="I628">
            <v>12.3</v>
          </cell>
          <cell r="J628">
            <v>4</v>
          </cell>
        </row>
        <row r="629">
          <cell r="B629" t="str">
            <v>HEINEKEN C 6RH PILSEN</v>
          </cell>
          <cell r="E629">
            <v>85.010982624377149</v>
          </cell>
          <cell r="F629">
            <v>93.162720684248939</v>
          </cell>
          <cell r="G629">
            <v>585.01499999999999</v>
          </cell>
          <cell r="H629">
            <v>497.327</v>
          </cell>
          <cell r="I629">
            <v>12.4</v>
          </cell>
          <cell r="J629">
            <v>4</v>
          </cell>
        </row>
        <row r="630">
          <cell r="B630" t="str">
            <v>HEINEKEN C 6RH PILSEN</v>
          </cell>
          <cell r="E630">
            <v>84.876048225670615</v>
          </cell>
          <cell r="F630">
            <v>93.01484737059792</v>
          </cell>
          <cell r="G630">
            <v>583.00900000000001</v>
          </cell>
          <cell r="H630">
            <v>494.83499999999998</v>
          </cell>
          <cell r="I630">
            <v>12.4</v>
          </cell>
          <cell r="J630">
            <v>4</v>
          </cell>
        </row>
        <row r="631">
          <cell r="B631" t="str">
            <v>HEINEKEN C 6RH PILSEN</v>
          </cell>
          <cell r="E631">
            <v>83.448243758372598</v>
          </cell>
          <cell r="F631">
            <v>91.45013014616174</v>
          </cell>
          <cell r="G631">
            <v>580.01700000000005</v>
          </cell>
          <cell r="H631">
            <v>484.01400000000001</v>
          </cell>
          <cell r="I631">
            <v>12.4</v>
          </cell>
          <cell r="J631">
            <v>4</v>
          </cell>
        </row>
        <row r="632">
          <cell r="B632" t="str">
            <v>HEINEKEN C 6RH PILSEN</v>
          </cell>
          <cell r="E632">
            <v>84.951671047881504</v>
          </cell>
          <cell r="F632">
            <v>93.204119092532849</v>
          </cell>
          <cell r="G632">
            <v>590.01900000000001</v>
          </cell>
          <cell r="H632">
            <v>501.23099999999999</v>
          </cell>
          <cell r="I632">
            <v>12.5</v>
          </cell>
          <cell r="J632">
            <v>4</v>
          </cell>
        </row>
        <row r="633">
          <cell r="B633" t="str">
            <v>HEINEKEN C 6RH PILSEN</v>
          </cell>
          <cell r="E633">
            <v>84.036711242182335</v>
          </cell>
          <cell r="F633">
            <v>92.200277477137192</v>
          </cell>
          <cell r="G633">
            <v>590.01</v>
          </cell>
          <cell r="H633">
            <v>495.82499999999999</v>
          </cell>
          <cell r="I633">
            <v>12.5</v>
          </cell>
          <cell r="J633">
            <v>4</v>
          </cell>
        </row>
        <row r="634">
          <cell r="B634" t="str">
            <v>HEINEKEN C 6RH PILSEN</v>
          </cell>
          <cell r="E634">
            <v>83.94801426421337</v>
          </cell>
          <cell r="F634">
            <v>92.102964221308369</v>
          </cell>
          <cell r="G634">
            <v>590.00800000000004</v>
          </cell>
          <cell r="H634">
            <v>495.3</v>
          </cell>
          <cell r="I634">
            <v>12.5</v>
          </cell>
          <cell r="J634">
            <v>4</v>
          </cell>
        </row>
        <row r="635">
          <cell r="B635" t="str">
            <v>HEINEKEN C 6RH PILSEN</v>
          </cell>
          <cell r="E635">
            <v>83.191353267438046</v>
          </cell>
          <cell r="F635">
            <v>91.272799013417725</v>
          </cell>
          <cell r="G635">
            <v>580.01099999999997</v>
          </cell>
          <cell r="H635">
            <v>482.51900000000001</v>
          </cell>
          <cell r="I635">
            <v>12.5</v>
          </cell>
          <cell r="J635">
            <v>4</v>
          </cell>
        </row>
        <row r="636">
          <cell r="B636" t="str">
            <v>ABI4 PILSEN</v>
          </cell>
          <cell r="E636">
            <v>82.012175673136099</v>
          </cell>
          <cell r="F636">
            <v>89.979072738526469</v>
          </cell>
          <cell r="G636">
            <v>580.00900000000001</v>
          </cell>
          <cell r="H636">
            <v>475.678</v>
          </cell>
          <cell r="I636">
            <v>12.5</v>
          </cell>
          <cell r="J636">
            <v>4</v>
          </cell>
        </row>
        <row r="637">
          <cell r="B637" t="str">
            <v>HEINEKEN C 6RH PILSEN</v>
          </cell>
          <cell r="E637">
            <v>87.104330478439138</v>
          </cell>
          <cell r="F637">
            <v>95.675237138788987</v>
          </cell>
          <cell r="G637">
            <v>589.98099999999999</v>
          </cell>
          <cell r="H637">
            <v>513.899</v>
          </cell>
          <cell r="I637">
            <v>12.6</v>
          </cell>
          <cell r="J637">
            <v>4</v>
          </cell>
        </row>
        <row r="638">
          <cell r="B638" t="str">
            <v>HEINEKEN C 6RH PILSEN</v>
          </cell>
          <cell r="E638">
            <v>83.931178688216562</v>
          </cell>
          <cell r="F638">
            <v>92.189853021382035</v>
          </cell>
          <cell r="G638">
            <v>580.11099999999999</v>
          </cell>
          <cell r="H638">
            <v>486.89400000000001</v>
          </cell>
          <cell r="I638">
            <v>12.6</v>
          </cell>
          <cell r="J638">
            <v>4</v>
          </cell>
        </row>
        <row r="639">
          <cell r="B639" t="str">
            <v>ABI4 PILSEN</v>
          </cell>
          <cell r="E639">
            <v>82.790226139490613</v>
          </cell>
          <cell r="F639">
            <v>90.936632830561777</v>
          </cell>
          <cell r="G639">
            <v>579.99599999999998</v>
          </cell>
          <cell r="H639">
            <v>480.18</v>
          </cell>
          <cell r="I639">
            <v>12.6</v>
          </cell>
          <cell r="J639">
            <v>4</v>
          </cell>
        </row>
        <row r="640">
          <cell r="B640" t="str">
            <v>CARLBERG 2RP PILSEN</v>
          </cell>
          <cell r="E640">
            <v>84.977620998331048</v>
          </cell>
          <cell r="F640">
            <v>93.446181166549607</v>
          </cell>
          <cell r="G640">
            <v>580.00800000000004</v>
          </cell>
          <cell r="H640">
            <v>492.87700000000001</v>
          </cell>
          <cell r="I640">
            <v>12.7</v>
          </cell>
          <cell r="J640">
            <v>4</v>
          </cell>
        </row>
        <row r="641">
          <cell r="B641" t="str">
            <v>ABI4 PILSEN</v>
          </cell>
          <cell r="E641">
            <v>84.624041735663951</v>
          </cell>
          <cell r="F641">
            <v>93.057365482517071</v>
          </cell>
          <cell r="G641">
            <v>589.99900000000002</v>
          </cell>
          <cell r="H641">
            <v>499.28100000000001</v>
          </cell>
          <cell r="I641">
            <v>12.7</v>
          </cell>
          <cell r="J641">
            <v>4</v>
          </cell>
        </row>
        <row r="642">
          <cell r="B642" t="str">
            <v>GLOBE PILSEN</v>
          </cell>
          <cell r="E642">
            <v>85.607395494545486</v>
          </cell>
          <cell r="F642">
            <v>94.246673938949172</v>
          </cell>
          <cell r="G642">
            <v>585.11300000000006</v>
          </cell>
          <cell r="H642">
            <v>500.9</v>
          </cell>
          <cell r="I642">
            <v>12.8</v>
          </cell>
          <cell r="J642">
            <v>4</v>
          </cell>
        </row>
        <row r="643">
          <cell r="B643" t="str">
            <v>HEINEKEN C 6RH PILSEN</v>
          </cell>
          <cell r="E643">
            <v>83.421815618957893</v>
          </cell>
          <cell r="F643">
            <v>91.840530956650895</v>
          </cell>
          <cell r="G643">
            <v>585.99300000000005</v>
          </cell>
          <cell r="H643">
            <v>488.846</v>
          </cell>
          <cell r="I643">
            <v>12.8</v>
          </cell>
          <cell r="J643">
            <v>4</v>
          </cell>
        </row>
        <row r="644">
          <cell r="B644" t="str">
            <v>ABI4 PILSEN</v>
          </cell>
          <cell r="E644">
            <v>82.53741379310344</v>
          </cell>
          <cell r="F644">
            <v>90.866877570389121</v>
          </cell>
          <cell r="G644">
            <v>580</v>
          </cell>
          <cell r="H644">
            <v>478.71699999999998</v>
          </cell>
          <cell r="I644">
            <v>12.8</v>
          </cell>
          <cell r="J644">
            <v>4</v>
          </cell>
        </row>
        <row r="645">
          <cell r="B645" t="str">
            <v>GLOBE PILSEN</v>
          </cell>
          <cell r="E645">
            <v>84.451486541472121</v>
          </cell>
          <cell r="F645">
            <v>93.080857726536451</v>
          </cell>
          <cell r="G645">
            <v>580.00400000000002</v>
          </cell>
          <cell r="H645">
            <v>489.822</v>
          </cell>
          <cell r="I645">
            <v>12.9</v>
          </cell>
          <cell r="J645">
            <v>4</v>
          </cell>
        </row>
        <row r="646">
          <cell r="B646" t="str">
            <v>ASAHI 2RP PILSEN</v>
          </cell>
          <cell r="E646">
            <v>82.935374249354737</v>
          </cell>
          <cell r="F646">
            <v>91.409826956808899</v>
          </cell>
          <cell r="G646">
            <v>580.00099999999998</v>
          </cell>
          <cell r="H646">
            <v>481.02600000000001</v>
          </cell>
          <cell r="I646">
            <v>12.9</v>
          </cell>
          <cell r="J646">
            <v>4</v>
          </cell>
        </row>
        <row r="647">
          <cell r="B647" t="str">
            <v>HEINEKEN C 6RH PILSEN</v>
          </cell>
          <cell r="E647">
            <v>85.802906556735437</v>
          </cell>
          <cell r="F647">
            <v>94.679069303983937</v>
          </cell>
          <cell r="G647">
            <v>579.99900000000002</v>
          </cell>
          <cell r="H647">
            <v>497.65600000000001</v>
          </cell>
          <cell r="I647">
            <v>13</v>
          </cell>
          <cell r="J647">
            <v>4</v>
          </cell>
        </row>
        <row r="648">
          <cell r="B648" t="str">
            <v>CARLBERG 2RP PILSEN</v>
          </cell>
          <cell r="E648">
            <v>85.559187726938873</v>
          </cell>
          <cell r="F648">
            <v>94.410138181449796</v>
          </cell>
          <cell r="G648">
            <v>580.00199999999995</v>
          </cell>
          <cell r="H648">
            <v>496.245</v>
          </cell>
          <cell r="I648">
            <v>13</v>
          </cell>
          <cell r="J648">
            <v>4</v>
          </cell>
        </row>
        <row r="649">
          <cell r="B649" t="str">
            <v>HEINEKEN C 6RH PILSEN</v>
          </cell>
          <cell r="E649">
            <v>84.443000974342326</v>
          </cell>
          <cell r="F649">
            <v>93.178483833757042</v>
          </cell>
          <cell r="G649">
            <v>585.01</v>
          </cell>
          <cell r="H649">
            <v>494</v>
          </cell>
          <cell r="I649">
            <v>13</v>
          </cell>
          <cell r="J649">
            <v>4</v>
          </cell>
        </row>
        <row r="650">
          <cell r="B650" t="str">
            <v>HEINEKEN C 6RH PILSEN</v>
          </cell>
          <cell r="E650">
            <v>82.870925918263197</v>
          </cell>
          <cell r="F650">
            <v>91.443780323600777</v>
          </cell>
          <cell r="G650">
            <v>580.00800000000004</v>
          </cell>
          <cell r="H650">
            <v>480.65800000000002</v>
          </cell>
          <cell r="I650">
            <v>13</v>
          </cell>
          <cell r="J650">
            <v>4</v>
          </cell>
        </row>
        <row r="651">
          <cell r="B651" t="str">
            <v>HEINEKEN C 6RH PILSEN</v>
          </cell>
          <cell r="E651">
            <v>82.741457191131346</v>
          </cell>
          <cell r="F651">
            <v>91.300918279869052</v>
          </cell>
          <cell r="G651">
            <v>580.02</v>
          </cell>
          <cell r="H651">
            <v>479.91699999999997</v>
          </cell>
          <cell r="I651">
            <v>13</v>
          </cell>
          <cell r="J651">
            <v>4</v>
          </cell>
        </row>
        <row r="652">
          <cell r="B652" t="str">
            <v>HEINEKEN C 6RH PILSEN</v>
          </cell>
          <cell r="E652">
            <v>82.542405151224614</v>
          </cell>
          <cell r="F652">
            <v>91.081274649627147</v>
          </cell>
          <cell r="G652">
            <v>583.00699999999995</v>
          </cell>
          <cell r="H652">
            <v>481.22800000000001</v>
          </cell>
          <cell r="I652">
            <v>13</v>
          </cell>
          <cell r="J652">
            <v>4</v>
          </cell>
        </row>
        <row r="653">
          <cell r="B653" t="str">
            <v>ASAHI 2RP PILSEN</v>
          </cell>
          <cell r="E653">
            <v>85.491935690658735</v>
          </cell>
          <cell r="F653">
            <v>94.444485918334166</v>
          </cell>
          <cell r="G653">
            <v>584.98500000000001</v>
          </cell>
          <cell r="H653">
            <v>500.11500000000001</v>
          </cell>
          <cell r="I653">
            <v>13.1</v>
          </cell>
          <cell r="J653">
            <v>4</v>
          </cell>
        </row>
        <row r="654">
          <cell r="B654" t="str">
            <v>GLOBE PILSEN</v>
          </cell>
          <cell r="E654">
            <v>85.44246471868945</v>
          </cell>
          <cell r="F654">
            <v>94.389834441820312</v>
          </cell>
          <cell r="G654">
            <v>585.154</v>
          </cell>
          <cell r="H654">
            <v>499.97</v>
          </cell>
          <cell r="I654">
            <v>13.1</v>
          </cell>
          <cell r="J654">
            <v>4</v>
          </cell>
        </row>
        <row r="655">
          <cell r="B655" t="str">
            <v>HEINEKEN A 2RP PILSEN</v>
          </cell>
          <cell r="E655">
            <v>85.179069294372454</v>
          </cell>
          <cell r="F655">
            <v>94.09885675787983</v>
          </cell>
          <cell r="G655">
            <v>584.99699999999996</v>
          </cell>
          <cell r="H655">
            <v>498.29500000000002</v>
          </cell>
          <cell r="I655">
            <v>13.1</v>
          </cell>
          <cell r="J655">
            <v>4</v>
          </cell>
        </row>
        <row r="656">
          <cell r="B656" t="str">
            <v>ASAHI 2RP PILSEN</v>
          </cell>
          <cell r="E656">
            <v>83.491116609053222</v>
          </cell>
          <cell r="F656">
            <v>92.234144930599655</v>
          </cell>
          <cell r="G656">
            <v>580.01499999999999</v>
          </cell>
          <cell r="H656">
            <v>484.26100000000002</v>
          </cell>
          <cell r="I656">
            <v>13.1</v>
          </cell>
          <cell r="J656">
            <v>4</v>
          </cell>
        </row>
        <row r="657">
          <cell r="B657" t="str">
            <v>ASAHI 2RP PILSEN</v>
          </cell>
          <cell r="E657">
            <v>83.146817098001634</v>
          </cell>
          <cell r="F657">
            <v>91.853791040370041</v>
          </cell>
          <cell r="G657">
            <v>580.02099999999996</v>
          </cell>
          <cell r="H657">
            <v>482.26900000000001</v>
          </cell>
          <cell r="I657">
            <v>13.1</v>
          </cell>
          <cell r="J657">
            <v>4</v>
          </cell>
        </row>
        <row r="658">
          <cell r="B658" t="str">
            <v>ASAHI 2RP PILSEN</v>
          </cell>
          <cell r="E658">
            <v>84.214574843420934</v>
          </cell>
          <cell r="F658">
            <v>93.140543605626831</v>
          </cell>
          <cell r="G658">
            <v>585.00800000000004</v>
          </cell>
          <cell r="H658">
            <v>492.66199999999998</v>
          </cell>
          <cell r="I658">
            <v>13.2</v>
          </cell>
          <cell r="J658">
            <v>4</v>
          </cell>
        </row>
        <row r="659">
          <cell r="B659" t="str">
            <v>GLOBE PILSEN</v>
          </cell>
          <cell r="E659">
            <v>83.854249281039444</v>
          </cell>
          <cell r="F659">
            <v>92.742026854605825</v>
          </cell>
          <cell r="G659">
            <v>580.00400000000002</v>
          </cell>
          <cell r="H659">
            <v>486.358</v>
          </cell>
          <cell r="I659">
            <v>13.2</v>
          </cell>
          <cell r="J659">
            <v>4</v>
          </cell>
        </row>
        <row r="660">
          <cell r="B660" t="str">
            <v>HEINEKEN C 6RH PILSEN</v>
          </cell>
          <cell r="E660">
            <v>83.130779005153371</v>
          </cell>
          <cell r="F660">
            <v>91.941875397404644</v>
          </cell>
          <cell r="G660">
            <v>580.00900000000001</v>
          </cell>
          <cell r="H660">
            <v>482.166</v>
          </cell>
          <cell r="I660">
            <v>13.2</v>
          </cell>
          <cell r="J660">
            <v>4</v>
          </cell>
        </row>
        <row r="661">
          <cell r="B661" t="str">
            <v>ASAHI 2RP PILSEN</v>
          </cell>
          <cell r="E661">
            <v>85.370571835954266</v>
          </cell>
          <cell r="F661">
            <v>94.527968814897463</v>
          </cell>
          <cell r="G661">
            <v>580.00900000000001</v>
          </cell>
          <cell r="H661">
            <v>495.15699999999998</v>
          </cell>
          <cell r="I661">
            <v>13.3</v>
          </cell>
          <cell r="J661">
            <v>4</v>
          </cell>
        </row>
        <row r="662">
          <cell r="B662" t="str">
            <v>ASAHI 2RP PILSEN</v>
          </cell>
          <cell r="E662">
            <v>84.537612866184716</v>
          </cell>
          <cell r="F662">
            <v>93.605661305118034</v>
          </cell>
          <cell r="G662">
            <v>580.00099999999998</v>
          </cell>
          <cell r="H662">
            <v>490.31900000000002</v>
          </cell>
          <cell r="I662">
            <v>13.3</v>
          </cell>
          <cell r="J662">
            <v>4</v>
          </cell>
        </row>
        <row r="663">
          <cell r="B663" t="str">
            <v>GLOBE PILSEN</v>
          </cell>
          <cell r="E663">
            <v>83.958941123991863</v>
          </cell>
          <cell r="F663">
            <v>92.964917507534238</v>
          </cell>
          <cell r="G663">
            <v>585.11099999999999</v>
          </cell>
          <cell r="H663">
            <v>491.25299999999999</v>
          </cell>
          <cell r="I663">
            <v>13.3</v>
          </cell>
          <cell r="J663">
            <v>4</v>
          </cell>
        </row>
        <row r="664">
          <cell r="B664" t="str">
            <v>HEINEKEN C 6RH PILSEN</v>
          </cell>
          <cell r="E664">
            <v>83.085867188954722</v>
          </cell>
          <cell r="F664">
            <v>91.998192043133258</v>
          </cell>
          <cell r="G664">
            <v>580.01199999999994</v>
          </cell>
          <cell r="H664">
            <v>481.90800000000002</v>
          </cell>
          <cell r="I664">
            <v>13.3</v>
          </cell>
          <cell r="J664">
            <v>4</v>
          </cell>
        </row>
        <row r="665">
          <cell r="B665" t="str">
            <v>HEINEKEN C 6RH PILSEN</v>
          </cell>
          <cell r="E665">
            <v>82.670291929021175</v>
          </cell>
          <cell r="F665">
            <v>91.538039506182614</v>
          </cell>
          <cell r="G665">
            <v>580.00400000000002</v>
          </cell>
          <cell r="H665">
            <v>479.49099999999999</v>
          </cell>
          <cell r="I665">
            <v>13.3</v>
          </cell>
          <cell r="J665">
            <v>4</v>
          </cell>
        </row>
        <row r="666">
          <cell r="B666" t="str">
            <v>GLOBE PILSEN</v>
          </cell>
          <cell r="E666">
            <v>82.527025396113856</v>
          </cell>
          <cell r="F666">
            <v>91.37940528289424</v>
          </cell>
          <cell r="G666">
            <v>580.01</v>
          </cell>
          <cell r="H666">
            <v>478.66500000000002</v>
          </cell>
          <cell r="I666">
            <v>13.3</v>
          </cell>
          <cell r="J666">
            <v>4</v>
          </cell>
        </row>
        <row r="667">
          <cell r="B667" t="str">
            <v>HEINEKEN A 2RP PILSEN</v>
          </cell>
          <cell r="E667">
            <v>84.097421697465833</v>
          </cell>
          <cell r="F667">
            <v>93.225779248922862</v>
          </cell>
          <cell r="G667">
            <v>579.99400000000003</v>
          </cell>
          <cell r="H667">
            <v>487.76</v>
          </cell>
          <cell r="I667">
            <v>13.4</v>
          </cell>
          <cell r="J667">
            <v>4</v>
          </cell>
        </row>
        <row r="668">
          <cell r="B668" t="str">
            <v>GLOBE PILSEN</v>
          </cell>
          <cell r="E668">
            <v>83.80900819506779</v>
          </cell>
          <cell r="F668">
            <v>92.906059892915792</v>
          </cell>
          <cell r="G668">
            <v>579.98299999999995</v>
          </cell>
          <cell r="H668">
            <v>486.07799999999997</v>
          </cell>
          <cell r="I668">
            <v>13.4</v>
          </cell>
          <cell r="J668">
            <v>4</v>
          </cell>
        </row>
        <row r="669">
          <cell r="B669" t="str">
            <v>CARLBERG 2RP PILSEN</v>
          </cell>
          <cell r="E669">
            <v>81.699232590176251</v>
          </cell>
          <cell r="F669">
            <v>90.567278621904407</v>
          </cell>
          <cell r="G669">
            <v>580.00300000000004</v>
          </cell>
          <cell r="H669">
            <v>473.858</v>
          </cell>
          <cell r="I669">
            <v>13.4</v>
          </cell>
          <cell r="J669">
            <v>4</v>
          </cell>
        </row>
        <row r="670">
          <cell r="B670" t="str">
            <v>HEINEKEN A 2RP PILSEN</v>
          </cell>
          <cell r="E670">
            <v>84.566683678395577</v>
          </cell>
          <cell r="F670">
            <v>93.854354140184697</v>
          </cell>
          <cell r="G670">
            <v>579.99199999999996</v>
          </cell>
          <cell r="H670">
            <v>490.48</v>
          </cell>
          <cell r="I670">
            <v>13.5</v>
          </cell>
          <cell r="J670">
            <v>4</v>
          </cell>
        </row>
        <row r="671">
          <cell r="B671" t="str">
            <v>ASAHI 2RP PILSEN</v>
          </cell>
          <cell r="E671">
            <v>84.288824946166869</v>
          </cell>
          <cell r="F671">
            <v>93.545979131005993</v>
          </cell>
          <cell r="G671">
            <v>580.03300000000002</v>
          </cell>
          <cell r="H671">
            <v>488.90300000000002</v>
          </cell>
          <cell r="I671">
            <v>13.5</v>
          </cell>
          <cell r="J671">
            <v>4</v>
          </cell>
        </row>
        <row r="672">
          <cell r="B672" t="str">
            <v>HEINEKEN A 2RP PILSEN</v>
          </cell>
          <cell r="E672">
            <v>84.038585874259709</v>
          </cell>
          <cell r="F672">
            <v>93.268257155247767</v>
          </cell>
          <cell r="G672">
            <v>580.005</v>
          </cell>
          <cell r="H672">
            <v>487.428</v>
          </cell>
          <cell r="I672">
            <v>13.5</v>
          </cell>
          <cell r="J672">
            <v>4</v>
          </cell>
        </row>
        <row r="673">
          <cell r="B673" t="str">
            <v>ASAHI 2RP PILSEN</v>
          </cell>
          <cell r="E673">
            <v>83.87293078337926</v>
          </cell>
          <cell r="F673">
            <v>93.084408730686818</v>
          </cell>
          <cell r="G673">
            <v>585.00400000000002</v>
          </cell>
          <cell r="H673">
            <v>490.66</v>
          </cell>
          <cell r="I673">
            <v>13.5</v>
          </cell>
          <cell r="J673">
            <v>4</v>
          </cell>
        </row>
        <row r="674">
          <cell r="B674" t="str">
            <v>HEINEKEN C 6RH PILSEN</v>
          </cell>
          <cell r="E674">
            <v>83.271034482758623</v>
          </cell>
          <cell r="F674">
            <v>92.416408212078935</v>
          </cell>
          <cell r="G674">
            <v>580</v>
          </cell>
          <cell r="H674">
            <v>482.97199999999998</v>
          </cell>
          <cell r="I674">
            <v>13.5</v>
          </cell>
          <cell r="J674">
            <v>4</v>
          </cell>
        </row>
        <row r="675">
          <cell r="B675" t="str">
            <v>HEINEKEN C 6RH PILSEN</v>
          </cell>
          <cell r="E675">
            <v>84.837461100143969</v>
          </cell>
          <cell r="F675">
            <v>94.263845666826626</v>
          </cell>
          <cell r="G675">
            <v>580.01499999999999</v>
          </cell>
          <cell r="H675">
            <v>492.07</v>
          </cell>
          <cell r="I675">
            <v>13.6</v>
          </cell>
          <cell r="J675">
            <v>4</v>
          </cell>
        </row>
        <row r="676">
          <cell r="B676" t="str">
            <v>CARLBERG 6RH PILSEN</v>
          </cell>
          <cell r="E676">
            <v>84.727212540430202</v>
          </cell>
          <cell r="F676">
            <v>94.141347267144653</v>
          </cell>
          <cell r="G676">
            <v>580.01199999999994</v>
          </cell>
          <cell r="H676">
            <v>491.428</v>
          </cell>
          <cell r="I676">
            <v>13.6</v>
          </cell>
          <cell r="J676">
            <v>4</v>
          </cell>
        </row>
        <row r="677">
          <cell r="B677" t="str">
            <v>GLOBE PILSEN</v>
          </cell>
          <cell r="E677">
            <v>84.690254958386291</v>
          </cell>
          <cell r="F677">
            <v>94.100283287095877</v>
          </cell>
          <cell r="G677">
            <v>579.97699999999998</v>
          </cell>
          <cell r="H677">
            <v>491.18400000000003</v>
          </cell>
          <cell r="I677">
            <v>13.6</v>
          </cell>
          <cell r="J677">
            <v>4</v>
          </cell>
        </row>
        <row r="678">
          <cell r="B678" t="str">
            <v>GLOBE PILSEN</v>
          </cell>
          <cell r="E678">
            <v>84.306693492831641</v>
          </cell>
          <cell r="F678">
            <v>93.674103880924037</v>
          </cell>
          <cell r="G678">
            <v>585.00099999999998</v>
          </cell>
          <cell r="H678">
            <v>493.19499999999999</v>
          </cell>
          <cell r="I678">
            <v>13.6</v>
          </cell>
          <cell r="J678">
            <v>4</v>
          </cell>
        </row>
        <row r="679">
          <cell r="B679" t="str">
            <v>HEINEKEN C 6RH PILSEN</v>
          </cell>
          <cell r="E679">
            <v>84.174646469174462</v>
          </cell>
          <cell r="F679">
            <v>93.527384965749391</v>
          </cell>
          <cell r="G679">
            <v>580.00599999999997</v>
          </cell>
          <cell r="H679">
            <v>488.21800000000002</v>
          </cell>
          <cell r="I679">
            <v>13.6</v>
          </cell>
          <cell r="J679">
            <v>4</v>
          </cell>
        </row>
        <row r="680">
          <cell r="B680" t="str">
            <v>HEINEKEN C 6RH PILSEN</v>
          </cell>
          <cell r="E680">
            <v>81.971113643691268</v>
          </cell>
          <cell r="F680">
            <v>91.079015159656961</v>
          </cell>
          <cell r="G680">
            <v>579.99699999999996</v>
          </cell>
          <cell r="H680">
            <v>475.43</v>
          </cell>
          <cell r="I680">
            <v>13.6</v>
          </cell>
          <cell r="J680">
            <v>4</v>
          </cell>
        </row>
        <row r="681">
          <cell r="B681" t="str">
            <v>ASAHI 2RP PILSEN</v>
          </cell>
          <cell r="E681">
            <v>85.801454855178278</v>
          </cell>
          <cell r="F681">
            <v>95.445419074126477</v>
          </cell>
          <cell r="G681">
            <v>579.98900000000003</v>
          </cell>
          <cell r="H681">
            <v>497.63900000000001</v>
          </cell>
          <cell r="I681">
            <v>13.7</v>
          </cell>
          <cell r="J681">
            <v>4</v>
          </cell>
        </row>
        <row r="682">
          <cell r="B682" t="str">
            <v>HEINEKEN C 6RH PILSEN</v>
          </cell>
          <cell r="E682">
            <v>85.718103448275855</v>
          </cell>
          <cell r="F682">
            <v>95.352699084988217</v>
          </cell>
          <cell r="G682">
            <v>580</v>
          </cell>
          <cell r="H682">
            <v>497.16500000000002</v>
          </cell>
          <cell r="I682">
            <v>13.7</v>
          </cell>
          <cell r="J682">
            <v>4</v>
          </cell>
        </row>
        <row r="683">
          <cell r="B683" t="str">
            <v>HEINEKEN C 6RH PILSEN</v>
          </cell>
          <cell r="E683">
            <v>83.360746748320707</v>
          </cell>
          <cell r="F683">
            <v>92.73037876985849</v>
          </cell>
          <cell r="G683">
            <v>580.00800000000004</v>
          </cell>
          <cell r="H683">
            <v>483.49900000000002</v>
          </cell>
          <cell r="I683">
            <v>13.7</v>
          </cell>
          <cell r="J683">
            <v>4</v>
          </cell>
        </row>
        <row r="684">
          <cell r="B684" t="str">
            <v>ABI4 PILSEN</v>
          </cell>
          <cell r="E684">
            <v>83.077151197173748</v>
          </cell>
          <cell r="F684">
            <v>92.414907473101721</v>
          </cell>
          <cell r="G684">
            <v>579.99099999999999</v>
          </cell>
          <cell r="H684">
            <v>481.84</v>
          </cell>
          <cell r="I684">
            <v>13.7</v>
          </cell>
          <cell r="J684">
            <v>4</v>
          </cell>
        </row>
        <row r="685">
          <cell r="B685" t="str">
            <v>CARLBERG 6RH PILSEN</v>
          </cell>
          <cell r="E685">
            <v>82.757336524088416</v>
          </cell>
          <cell r="F685">
            <v>92.05914607546336</v>
          </cell>
          <cell r="G685">
            <v>580.00900000000001</v>
          </cell>
          <cell r="H685">
            <v>480</v>
          </cell>
          <cell r="I685">
            <v>13.7</v>
          </cell>
          <cell r="J685">
            <v>4</v>
          </cell>
        </row>
        <row r="686">
          <cell r="B686" t="str">
            <v>HEINEKEN C 6RH PILSEN</v>
          </cell>
          <cell r="E686">
            <v>82.128386649609126</v>
          </cell>
          <cell r="F686">
            <v>91.359503109646312</v>
          </cell>
          <cell r="G686">
            <v>579.99800000000005</v>
          </cell>
          <cell r="H686">
            <v>476.34300000000002</v>
          </cell>
          <cell r="I686">
            <v>13.7</v>
          </cell>
          <cell r="J686">
            <v>4</v>
          </cell>
        </row>
        <row r="687">
          <cell r="B687" t="str">
            <v>HEINEKEN C 6RH PILSEN</v>
          </cell>
          <cell r="E687">
            <v>81.499093109702685</v>
          </cell>
          <cell r="F687">
            <v>90.659477850885963</v>
          </cell>
          <cell r="G687">
            <v>580.00400000000002</v>
          </cell>
          <cell r="H687">
            <v>472.69799999999998</v>
          </cell>
          <cell r="I687">
            <v>13.7</v>
          </cell>
          <cell r="J687">
            <v>4</v>
          </cell>
        </row>
        <row r="688">
          <cell r="B688" t="str">
            <v>HEINEKEN A 2RP PILSEN</v>
          </cell>
          <cell r="E688">
            <v>81.441679712553707</v>
          </cell>
          <cell r="F688">
            <v>90.595611267730661</v>
          </cell>
          <cell r="G688">
            <v>580.00400000000002</v>
          </cell>
          <cell r="H688">
            <v>472.36500000000001</v>
          </cell>
          <cell r="I688">
            <v>13.7</v>
          </cell>
          <cell r="J688">
            <v>4</v>
          </cell>
        </row>
        <row r="689">
          <cell r="B689" t="str">
            <v>GLOBE PILSEN</v>
          </cell>
          <cell r="E689">
            <v>82.025561760461514</v>
          </cell>
          <cell r="F689">
            <v>91.350973654342312</v>
          </cell>
          <cell r="G689">
            <v>580.00699999999995</v>
          </cell>
          <cell r="H689">
            <v>475.75400000000002</v>
          </cell>
          <cell r="I689">
            <v>13.8</v>
          </cell>
          <cell r="J689">
            <v>4</v>
          </cell>
        </row>
        <row r="690">
          <cell r="B690" t="str">
            <v>HEINEKEN C 6RH PILSEN</v>
          </cell>
          <cell r="E690">
            <v>81.655359097923252</v>
          </cell>
          <cell r="F690">
            <v>90.938682986086235</v>
          </cell>
          <cell r="G690">
            <v>579.995</v>
          </cell>
          <cell r="H690">
            <v>473.59699999999998</v>
          </cell>
          <cell r="I690">
            <v>13.8</v>
          </cell>
          <cell r="J690">
            <v>4</v>
          </cell>
        </row>
        <row r="691">
          <cell r="B691" t="str">
            <v>HEINEKEN C 6RH PILSEN</v>
          </cell>
          <cell r="E691">
            <v>84.587626377567204</v>
          </cell>
          <cell r="F691">
            <v>94.313729758959951</v>
          </cell>
          <cell r="G691">
            <v>580.00800000000004</v>
          </cell>
          <cell r="H691">
            <v>490.61500000000001</v>
          </cell>
          <cell r="I691">
            <v>13.9</v>
          </cell>
          <cell r="J691">
            <v>4</v>
          </cell>
        </row>
        <row r="692">
          <cell r="B692" t="str">
            <v>HEINEKEN C 6RH PILSEN</v>
          </cell>
          <cell r="E692">
            <v>83.833148855027645</v>
          </cell>
          <cell r="F692">
            <v>93.472500465536029</v>
          </cell>
          <cell r="G692">
            <v>580.01400000000001</v>
          </cell>
          <cell r="H692">
            <v>486.24400000000003</v>
          </cell>
          <cell r="I692">
            <v>13.9</v>
          </cell>
          <cell r="J692">
            <v>4</v>
          </cell>
        </row>
        <row r="693">
          <cell r="B693" t="str">
            <v>HEINEKEN C 6RH PILSEN</v>
          </cell>
          <cell r="E693">
            <v>83.663413280092968</v>
          </cell>
          <cell r="F693">
            <v>93.283248256549655</v>
          </cell>
          <cell r="G693">
            <v>580.01099999999997</v>
          </cell>
          <cell r="H693">
            <v>485.25700000000001</v>
          </cell>
          <cell r="I693">
            <v>13.9</v>
          </cell>
          <cell r="J693">
            <v>4</v>
          </cell>
        </row>
        <row r="694">
          <cell r="B694" t="str">
            <v>HEINEKEN C 6RH PILSEN</v>
          </cell>
          <cell r="E694">
            <v>83.470255079610013</v>
          </cell>
          <cell r="F694">
            <v>93.067880228136602</v>
          </cell>
          <cell r="G694">
            <v>580.01499999999999</v>
          </cell>
          <cell r="H694">
            <v>484.14</v>
          </cell>
          <cell r="I694">
            <v>13.9</v>
          </cell>
          <cell r="J694">
            <v>4</v>
          </cell>
        </row>
        <row r="695">
          <cell r="B695" t="str">
            <v>HEINEKEN C 6RH PILSEN</v>
          </cell>
          <cell r="E695">
            <v>82.964974439875533</v>
          </cell>
          <cell r="F695">
            <v>92.50450111763125</v>
          </cell>
          <cell r="G695">
            <v>580.005</v>
          </cell>
          <cell r="H695">
            <v>481.20100000000002</v>
          </cell>
          <cell r="I695">
            <v>13.9</v>
          </cell>
          <cell r="J695">
            <v>4</v>
          </cell>
        </row>
        <row r="696">
          <cell r="B696" t="str">
            <v>HEINEKEN C 6RH PILSEN</v>
          </cell>
          <cell r="E696">
            <v>81.695201641407607</v>
          </cell>
          <cell r="F696">
            <v>91.088726568816853</v>
          </cell>
          <cell r="G696">
            <v>579.99</v>
          </cell>
          <cell r="H696">
            <v>473.82400000000001</v>
          </cell>
          <cell r="I696">
            <v>13.9</v>
          </cell>
          <cell r="J696">
            <v>4</v>
          </cell>
        </row>
        <row r="697">
          <cell r="B697" t="str">
            <v>HEINEKEN C 6RH PILSEN</v>
          </cell>
          <cell r="E697">
            <v>85.684876948700179</v>
          </cell>
          <cell r="F697">
            <v>95.648234733432773</v>
          </cell>
          <cell r="G697">
            <v>580.00199999999995</v>
          </cell>
          <cell r="H697">
            <v>496.97399999999999</v>
          </cell>
          <cell r="I697">
            <v>14</v>
          </cell>
          <cell r="J697">
            <v>4</v>
          </cell>
        </row>
        <row r="698">
          <cell r="B698" t="str">
            <v>HEINEKEN C 6RH PILSEN</v>
          </cell>
          <cell r="E698">
            <v>84.633302356375253</v>
          </cell>
          <cell r="F698">
            <v>94.474384025721221</v>
          </cell>
          <cell r="G698">
            <v>580.00099999999998</v>
          </cell>
          <cell r="H698">
            <v>490.87400000000002</v>
          </cell>
          <cell r="I698">
            <v>14</v>
          </cell>
          <cell r="J698">
            <v>4</v>
          </cell>
        </row>
        <row r="699">
          <cell r="B699" t="str">
            <v>HEINEKEN A 2RP PILSEN</v>
          </cell>
          <cell r="E699">
            <v>84.464592179305725</v>
          </cell>
          <cell r="F699">
            <v>94.28605638620175</v>
          </cell>
          <cell r="G699">
            <v>585.01199999999994</v>
          </cell>
          <cell r="H699">
            <v>494.12799999999999</v>
          </cell>
          <cell r="I699">
            <v>14</v>
          </cell>
          <cell r="J699">
            <v>4</v>
          </cell>
        </row>
        <row r="700">
          <cell r="B700" t="str">
            <v>HEINEKEN C 6RH PILSEN</v>
          </cell>
          <cell r="E700">
            <v>84.270116220731452</v>
          </cell>
          <cell r="F700">
            <v>94.068966944072315</v>
          </cell>
          <cell r="G700">
            <v>580.01700000000005</v>
          </cell>
          <cell r="H700">
            <v>488.78100000000001</v>
          </cell>
          <cell r="I700">
            <v>14</v>
          </cell>
          <cell r="J700">
            <v>4</v>
          </cell>
        </row>
        <row r="701">
          <cell r="B701" t="str">
            <v>CARLBERG 2RP PILSEN</v>
          </cell>
          <cell r="E701">
            <v>83.039278060252443</v>
          </cell>
          <cell r="F701">
            <v>92.695008067258541</v>
          </cell>
          <cell r="G701">
            <v>579.99300000000005</v>
          </cell>
          <cell r="H701">
            <v>481.62200000000001</v>
          </cell>
          <cell r="I701">
            <v>14</v>
          </cell>
          <cell r="J701">
            <v>4</v>
          </cell>
        </row>
        <row r="702">
          <cell r="B702" t="str">
            <v>GLOBE PILSEN</v>
          </cell>
          <cell r="E702">
            <v>82.704769653903938</v>
          </cell>
          <cell r="F702">
            <v>92.418320181291818</v>
          </cell>
          <cell r="G702">
            <v>585.01099999999997</v>
          </cell>
          <cell r="H702">
            <v>483.83199999999999</v>
          </cell>
          <cell r="I702">
            <v>14.09</v>
          </cell>
          <cell r="J702">
            <v>4</v>
          </cell>
        </row>
        <row r="703">
          <cell r="B703" t="str">
            <v>HEINEKEN C 6RH PILSEN</v>
          </cell>
          <cell r="E703">
            <v>84.832064108907886</v>
          </cell>
          <cell r="F703">
            <v>94.80649772357576</v>
          </cell>
          <cell r="G703">
            <v>580.01300000000003</v>
          </cell>
          <cell r="H703">
            <v>492.03699999999998</v>
          </cell>
          <cell r="I703">
            <v>14.1</v>
          </cell>
          <cell r="J703">
            <v>4</v>
          </cell>
        </row>
        <row r="704">
          <cell r="B704" t="str">
            <v>HEINEKEN C 6RH PILSEN</v>
          </cell>
          <cell r="E704">
            <v>84.276126723292307</v>
          </cell>
          <cell r="F704">
            <v>94.185194009732967</v>
          </cell>
          <cell r="G704">
            <v>580.06700000000001</v>
          </cell>
          <cell r="H704">
            <v>488.858</v>
          </cell>
          <cell r="I704">
            <v>14.1</v>
          </cell>
          <cell r="J704">
            <v>4</v>
          </cell>
        </row>
        <row r="705">
          <cell r="B705" t="str">
            <v>HEINEKEN C 6RH PILSEN</v>
          </cell>
          <cell r="E705">
            <v>84.178538854511316</v>
          </cell>
          <cell r="F705">
            <v>94.076131897940485</v>
          </cell>
          <cell r="G705">
            <v>579.99699999999996</v>
          </cell>
          <cell r="H705">
            <v>488.233</v>
          </cell>
          <cell r="I705">
            <v>14.1</v>
          </cell>
          <cell r="J705">
            <v>4</v>
          </cell>
        </row>
        <row r="706">
          <cell r="B706" t="str">
            <v>HEINEKEN A 2RP PILSEN</v>
          </cell>
          <cell r="E706">
            <v>83.772760528133134</v>
          </cell>
          <cell r="F706">
            <v>93.841131980172477</v>
          </cell>
          <cell r="G706">
            <v>585.00400000000002</v>
          </cell>
          <cell r="H706">
            <v>490.07400000000001</v>
          </cell>
          <cell r="I706">
            <v>14.3</v>
          </cell>
          <cell r="J706">
            <v>4</v>
          </cell>
        </row>
        <row r="707">
          <cell r="B707" t="str">
            <v>HEINEKEN C 6RH PILSEN</v>
          </cell>
          <cell r="E707">
            <v>83.54916852731489</v>
          </cell>
          <cell r="F707">
            <v>93.590667195125206</v>
          </cell>
          <cell r="G707">
            <v>579.995</v>
          </cell>
          <cell r="H707">
            <v>484.58100000000002</v>
          </cell>
          <cell r="I707">
            <v>14.3</v>
          </cell>
          <cell r="J707">
            <v>4</v>
          </cell>
        </row>
        <row r="708">
          <cell r="B708" t="str">
            <v>ABI4 PILSEN</v>
          </cell>
          <cell r="E708">
            <v>82.276075978393365</v>
          </cell>
          <cell r="F708">
            <v>92.164565856776719</v>
          </cell>
          <cell r="G708">
            <v>580.00699999999995</v>
          </cell>
          <cell r="H708">
            <v>477.20699999999999</v>
          </cell>
          <cell r="I708">
            <v>14.3</v>
          </cell>
          <cell r="J708">
            <v>4</v>
          </cell>
        </row>
        <row r="709">
          <cell r="B709" t="str">
            <v>ASAHI 2RP PILSEN</v>
          </cell>
          <cell r="E709">
            <v>85.013739130434786</v>
          </cell>
          <cell r="F709">
            <v>95.342511174319384</v>
          </cell>
          <cell r="G709">
            <v>575</v>
          </cell>
          <cell r="H709">
            <v>488.82900000000001</v>
          </cell>
          <cell r="I709">
            <v>14.4</v>
          </cell>
          <cell r="J709">
            <v>4</v>
          </cell>
        </row>
        <row r="710">
          <cell r="B710" t="str">
            <v>HEINEKEN C 6RH PILSEN</v>
          </cell>
          <cell r="E710">
            <v>83.734995844870568</v>
          </cell>
          <cell r="F710">
            <v>93.908406554995054</v>
          </cell>
          <cell r="G710">
            <v>580.00599999999997</v>
          </cell>
          <cell r="H710">
            <v>485.66800000000001</v>
          </cell>
          <cell r="I710">
            <v>14.4</v>
          </cell>
          <cell r="J710">
            <v>4</v>
          </cell>
        </row>
        <row r="711">
          <cell r="B711" t="str">
            <v>GLOBE PILSEN</v>
          </cell>
          <cell r="E711">
            <v>84.872148318284928</v>
          </cell>
          <cell r="F711">
            <v>90.927686213903939</v>
          </cell>
          <cell r="G711">
            <v>599.95299999999997</v>
          </cell>
          <cell r="H711">
            <v>509.19299999999998</v>
          </cell>
          <cell r="I711">
            <v>10.3</v>
          </cell>
          <cell r="J711">
            <v>3.9</v>
          </cell>
        </row>
        <row r="712">
          <cell r="B712" t="str">
            <v>HEINEKEN A 2RP PILSEN</v>
          </cell>
          <cell r="E712">
            <v>83.674766488196013</v>
          </cell>
          <cell r="F712">
            <v>89.744922539237024</v>
          </cell>
          <cell r="G712">
            <v>590.01300000000003</v>
          </cell>
          <cell r="H712">
            <v>493.69200000000001</v>
          </cell>
          <cell r="I712">
            <v>10.4</v>
          </cell>
          <cell r="J712">
            <v>3.9</v>
          </cell>
        </row>
        <row r="713">
          <cell r="B713" t="str">
            <v>GLOBE PILSEN</v>
          </cell>
          <cell r="E713">
            <v>82.712425168984197</v>
          </cell>
          <cell r="F713">
            <v>89.010795730564169</v>
          </cell>
          <cell r="G713">
            <v>589.99599999999998</v>
          </cell>
          <cell r="H713">
            <v>488</v>
          </cell>
          <cell r="I713">
            <v>10.7</v>
          </cell>
          <cell r="J713">
            <v>3.9</v>
          </cell>
        </row>
        <row r="714">
          <cell r="B714" t="str">
            <v>HEINEKEN A 2RP PILSEN</v>
          </cell>
          <cell r="E714">
            <v>84.335389321187876</v>
          </cell>
          <cell r="F714">
            <v>90.859090961503981</v>
          </cell>
          <cell r="G714">
            <v>595.01</v>
          </cell>
          <cell r="H714">
            <v>501.80399999999997</v>
          </cell>
          <cell r="I714">
            <v>10.8</v>
          </cell>
          <cell r="J714">
            <v>3.9</v>
          </cell>
        </row>
        <row r="715">
          <cell r="B715" t="str">
            <v>HEINEKEN A 2RP PILSEN</v>
          </cell>
          <cell r="E715">
            <v>83.963269504881268</v>
          </cell>
          <cell r="F715">
            <v>90.458186092142256</v>
          </cell>
          <cell r="G715">
            <v>594.928</v>
          </cell>
          <cell r="H715">
            <v>499.52100000000002</v>
          </cell>
          <cell r="I715">
            <v>10.8</v>
          </cell>
          <cell r="J715">
            <v>3.9</v>
          </cell>
        </row>
        <row r="716">
          <cell r="B716" t="str">
            <v>ASAHI 2RP PILSEN</v>
          </cell>
          <cell r="E716">
            <v>83.85956289246883</v>
          </cell>
          <cell r="F716">
            <v>90.44785627347089</v>
          </cell>
          <cell r="G716">
            <v>590.01499999999999</v>
          </cell>
          <cell r="H716">
            <v>494.78399999999999</v>
          </cell>
          <cell r="I716">
            <v>10.9</v>
          </cell>
          <cell r="J716">
            <v>3.9</v>
          </cell>
        </row>
        <row r="717">
          <cell r="B717" t="str">
            <v>CARLBERG 2RP PILSEN</v>
          </cell>
          <cell r="E717">
            <v>87.051758964820721</v>
          </cell>
          <cell r="F717">
            <v>93.996337488980558</v>
          </cell>
          <cell r="G717">
            <v>600.01199999999994</v>
          </cell>
          <cell r="H717">
            <v>522.32100000000003</v>
          </cell>
          <cell r="I717">
            <v>11</v>
          </cell>
          <cell r="J717">
            <v>3.9</v>
          </cell>
        </row>
        <row r="718">
          <cell r="B718" t="str">
            <v>HEINEKEN C 6RH PILSEN</v>
          </cell>
          <cell r="E718">
            <v>85.275063901337688</v>
          </cell>
          <cell r="F718">
            <v>92.077906077736543</v>
          </cell>
          <cell r="G718">
            <v>589.97199999999998</v>
          </cell>
          <cell r="H718">
            <v>503.09899999999999</v>
          </cell>
          <cell r="I718">
            <v>11</v>
          </cell>
          <cell r="J718">
            <v>3.9</v>
          </cell>
        </row>
        <row r="719">
          <cell r="B719" t="str">
            <v>HEINEKEN A 2RP PILSEN</v>
          </cell>
          <cell r="E719">
            <v>84.389802114785851</v>
          </cell>
          <cell r="F719">
            <v>91.122022283493493</v>
          </cell>
          <cell r="G719">
            <v>595.14300000000003</v>
          </cell>
          <cell r="H719">
            <v>502.24</v>
          </cell>
          <cell r="I719">
            <v>11</v>
          </cell>
          <cell r="J719">
            <v>3.9</v>
          </cell>
        </row>
        <row r="720">
          <cell r="B720" t="str">
            <v>HEINEKEN A 2RP PILSEN</v>
          </cell>
          <cell r="E720">
            <v>86.026899551674134</v>
          </cell>
          <cell r="F720">
            <v>93.098930708512199</v>
          </cell>
          <cell r="G720">
            <v>600.01</v>
          </cell>
          <cell r="H720">
            <v>516.16999999999996</v>
          </cell>
          <cell r="I720">
            <v>11.2</v>
          </cell>
          <cell r="J720">
            <v>3.9</v>
          </cell>
        </row>
        <row r="721">
          <cell r="B721" t="str">
            <v>HEINEKEN C 6RH PILSEN</v>
          </cell>
          <cell r="E721">
            <v>85.837286676259779</v>
          </cell>
          <cell r="F721">
            <v>92.893730288159517</v>
          </cell>
          <cell r="G721">
            <v>590.00699999999995</v>
          </cell>
          <cell r="H721">
            <v>506.44600000000003</v>
          </cell>
          <cell r="I721">
            <v>11.2</v>
          </cell>
          <cell r="J721">
            <v>3.9</v>
          </cell>
        </row>
        <row r="722">
          <cell r="B722" t="str">
            <v>HEINEKEN C 6RH PILSEN</v>
          </cell>
          <cell r="E722">
            <v>85.397118644067803</v>
          </cell>
          <cell r="F722">
            <v>92.417377271339134</v>
          </cell>
          <cell r="G722">
            <v>590</v>
          </cell>
          <cell r="H722">
            <v>503.84300000000002</v>
          </cell>
          <cell r="I722">
            <v>11.2</v>
          </cell>
          <cell r="J722">
            <v>3.9</v>
          </cell>
        </row>
        <row r="723">
          <cell r="B723" t="str">
            <v>GLOBE PILSEN</v>
          </cell>
          <cell r="E723">
            <v>83.4751231907928</v>
          </cell>
          <cell r="F723">
            <v>90.33737993958546</v>
          </cell>
          <cell r="G723">
            <v>595.01199999999994</v>
          </cell>
          <cell r="H723">
            <v>496.68700000000001</v>
          </cell>
          <cell r="I723">
            <v>11.2</v>
          </cell>
          <cell r="J723">
            <v>3.9</v>
          </cell>
        </row>
        <row r="724">
          <cell r="B724" t="str">
            <v>HEINEKEN C 6RH PILSEN</v>
          </cell>
          <cell r="E724">
            <v>83.083564940931439</v>
          </cell>
          <cell r="F724">
            <v>89.913632779544045</v>
          </cell>
          <cell r="G724">
            <v>580.00400000000002</v>
          </cell>
          <cell r="H724">
            <v>481.88799999999998</v>
          </cell>
          <cell r="I724">
            <v>11.2</v>
          </cell>
          <cell r="J724">
            <v>3.9</v>
          </cell>
        </row>
        <row r="725">
          <cell r="B725" t="str">
            <v>GLOBE PILSEN</v>
          </cell>
          <cell r="E725">
            <v>83.050847457627114</v>
          </cell>
          <cell r="F725">
            <v>89.878225683310433</v>
          </cell>
          <cell r="G725">
            <v>590</v>
          </cell>
          <cell r="H725">
            <v>490</v>
          </cell>
          <cell r="I725">
            <v>11.2</v>
          </cell>
          <cell r="J725">
            <v>3.9</v>
          </cell>
        </row>
        <row r="726">
          <cell r="B726" t="str">
            <v>ASAHI 2RP PILSEN</v>
          </cell>
          <cell r="E726">
            <v>82.928962341380085</v>
          </cell>
          <cell r="F726">
            <v>89.746320732056589</v>
          </cell>
          <cell r="G726">
            <v>590.01099999999997</v>
          </cell>
          <cell r="H726">
            <v>489.29</v>
          </cell>
          <cell r="I726">
            <v>11.2</v>
          </cell>
          <cell r="J726">
            <v>3.9</v>
          </cell>
        </row>
        <row r="727">
          <cell r="B727" t="str">
            <v>GLOBE PILSEN</v>
          </cell>
          <cell r="E727">
            <v>82.882162125821466</v>
          </cell>
          <cell r="F727">
            <v>89.695673201480204</v>
          </cell>
          <cell r="G727">
            <v>594.97</v>
          </cell>
          <cell r="H727">
            <v>493.12400000000002</v>
          </cell>
          <cell r="I727">
            <v>11.2</v>
          </cell>
          <cell r="J727">
            <v>3.9</v>
          </cell>
        </row>
        <row r="728">
          <cell r="B728" t="str">
            <v>HEINEKEN C 6RH PILSEN</v>
          </cell>
          <cell r="E728">
            <v>84.239001127558993</v>
          </cell>
          <cell r="F728">
            <v>91.266832112270777</v>
          </cell>
          <cell r="G728">
            <v>580.01400000000001</v>
          </cell>
          <cell r="H728">
            <v>488.59800000000001</v>
          </cell>
          <cell r="I728">
            <v>11.3</v>
          </cell>
          <cell r="J728">
            <v>3.9</v>
          </cell>
        </row>
        <row r="729">
          <cell r="B729" t="str">
            <v>HEINEKEN C 6RH PILSEN</v>
          </cell>
          <cell r="E729">
            <v>86.182308174714819</v>
          </cell>
          <cell r="F729">
            <v>93.477650288827249</v>
          </cell>
          <cell r="G729">
            <v>589.99</v>
          </cell>
          <cell r="H729">
            <v>508.46699999999998</v>
          </cell>
          <cell r="I729">
            <v>11.4</v>
          </cell>
          <cell r="J729">
            <v>3.9</v>
          </cell>
        </row>
        <row r="730">
          <cell r="B730" t="str">
            <v>HEINEKEN A 2RP PILSEN</v>
          </cell>
          <cell r="E730">
            <v>84.425450126355713</v>
          </cell>
          <cell r="F730">
            <v>91.572074008383581</v>
          </cell>
          <cell r="G730">
            <v>590.00099999999998</v>
          </cell>
          <cell r="H730">
            <v>498.11099999999999</v>
          </cell>
          <cell r="I730">
            <v>11.4</v>
          </cell>
          <cell r="J730">
            <v>3.9</v>
          </cell>
        </row>
        <row r="731">
          <cell r="B731" t="str">
            <v>HEINEKEN A 2RP PILSEN</v>
          </cell>
          <cell r="E731">
            <v>84.004467826900523</v>
          </cell>
          <cell r="F731">
            <v>91.115455509764558</v>
          </cell>
          <cell r="G731">
            <v>589.99599999999998</v>
          </cell>
          <cell r="H731">
            <v>495.62299999999999</v>
          </cell>
          <cell r="I731">
            <v>11.4</v>
          </cell>
          <cell r="J731">
            <v>3.9</v>
          </cell>
        </row>
        <row r="732">
          <cell r="B732" t="str">
            <v>ASAHI 2RP PILSEN</v>
          </cell>
          <cell r="E732">
            <v>83.942812105392505</v>
          </cell>
          <cell r="F732">
            <v>91.04858062447201</v>
          </cell>
          <cell r="G732">
            <v>589.98500000000001</v>
          </cell>
          <cell r="H732">
            <v>495.25</v>
          </cell>
          <cell r="I732">
            <v>11.4</v>
          </cell>
          <cell r="J732">
            <v>3.9</v>
          </cell>
        </row>
        <row r="733">
          <cell r="B733" t="str">
            <v>ASAHI 2RP PILSEN</v>
          </cell>
          <cell r="E733">
            <v>83.097288135593217</v>
          </cell>
          <cell r="F733">
            <v>90.131482955197612</v>
          </cell>
          <cell r="G733">
            <v>590</v>
          </cell>
          <cell r="H733">
            <v>490.274</v>
          </cell>
          <cell r="I733">
            <v>11.4</v>
          </cell>
          <cell r="J733">
            <v>3.9</v>
          </cell>
        </row>
        <row r="734">
          <cell r="B734" t="str">
            <v>GLOBE PILSEN</v>
          </cell>
          <cell r="E734">
            <v>86.398433626608181</v>
          </cell>
          <cell r="F734">
            <v>93.817960130136129</v>
          </cell>
          <cell r="G734">
            <v>595.005</v>
          </cell>
          <cell r="H734">
            <v>514.07500000000005</v>
          </cell>
          <cell r="I734">
            <v>11.5</v>
          </cell>
          <cell r="J734">
            <v>3.9</v>
          </cell>
        </row>
        <row r="735">
          <cell r="B735" t="str">
            <v>HEINEKEN C 6RH PILSEN</v>
          </cell>
          <cell r="E735">
            <v>85.408556024656917</v>
          </cell>
          <cell r="F735">
            <v>92.743076090051176</v>
          </cell>
          <cell r="G735">
            <v>590.01700000000005</v>
          </cell>
          <cell r="H735">
            <v>503.92500000000001</v>
          </cell>
          <cell r="I735">
            <v>11.5</v>
          </cell>
          <cell r="J735">
            <v>3.9</v>
          </cell>
        </row>
        <row r="736">
          <cell r="B736" t="str">
            <v>HEINEKEN C 6RH PILSEN</v>
          </cell>
          <cell r="E736">
            <v>84.494862694449807</v>
          </cell>
          <cell r="F736">
            <v>91.750918699848881</v>
          </cell>
          <cell r="G736">
            <v>589.99800000000005</v>
          </cell>
          <cell r="H736">
            <v>498.51799999999997</v>
          </cell>
          <cell r="I736">
            <v>11.5</v>
          </cell>
          <cell r="J736">
            <v>3.9</v>
          </cell>
        </row>
        <row r="737">
          <cell r="B737" t="str">
            <v>HEINEKEN C 6RH PILSEN</v>
          </cell>
          <cell r="E737">
            <v>84.224192330371281</v>
          </cell>
          <cell r="F737">
            <v>91.457004327103746</v>
          </cell>
          <cell r="G737">
            <v>580.00199999999995</v>
          </cell>
          <cell r="H737">
            <v>488.50200000000001</v>
          </cell>
          <cell r="I737">
            <v>11.5</v>
          </cell>
          <cell r="J737">
            <v>3.9</v>
          </cell>
        </row>
        <row r="738">
          <cell r="B738" t="str">
            <v>CARLBERG 2RP PILSEN</v>
          </cell>
          <cell r="E738">
            <v>86.321845649090008</v>
          </cell>
          <cell r="F738">
            <v>93.840829942053745</v>
          </cell>
          <cell r="G738">
            <v>594.95600000000002</v>
          </cell>
          <cell r="H738">
            <v>513.577</v>
          </cell>
          <cell r="I738">
            <v>11.6</v>
          </cell>
          <cell r="J738">
            <v>3.9</v>
          </cell>
        </row>
        <row r="739">
          <cell r="B739" t="str">
            <v>HEINEKEN A 2RP PILSEN</v>
          </cell>
          <cell r="E739">
            <v>85.543626597468247</v>
          </cell>
          <cell r="F739">
            <v>92.994824841817874</v>
          </cell>
          <cell r="G739">
            <v>595.00400000000002</v>
          </cell>
          <cell r="H739">
            <v>508.988</v>
          </cell>
          <cell r="I739">
            <v>11.6</v>
          </cell>
          <cell r="J739">
            <v>3.9</v>
          </cell>
        </row>
        <row r="740">
          <cell r="B740" t="str">
            <v>ASAHI 2RP PILSEN</v>
          </cell>
          <cell r="E740">
            <v>85.542834862169457</v>
          </cell>
          <cell r="F740">
            <v>92.993964143150279</v>
          </cell>
          <cell r="G740">
            <v>595.00599999999997</v>
          </cell>
          <cell r="H740">
            <v>508.98500000000001</v>
          </cell>
          <cell r="I740">
            <v>11.6</v>
          </cell>
          <cell r="J740">
            <v>3.9</v>
          </cell>
        </row>
        <row r="741">
          <cell r="B741" t="str">
            <v>HEINEKEN C 6RH PILSEN</v>
          </cell>
          <cell r="E741">
            <v>84.363280866097341</v>
          </cell>
          <cell r="F741">
            <v>91.711666190406717</v>
          </cell>
          <cell r="G741">
            <v>579.98099999999999</v>
          </cell>
          <cell r="H741">
            <v>489.291</v>
          </cell>
          <cell r="I741">
            <v>11.6</v>
          </cell>
          <cell r="J741">
            <v>3.9</v>
          </cell>
        </row>
        <row r="742">
          <cell r="B742" t="str">
            <v>ABI4 PILSEN</v>
          </cell>
          <cell r="E742">
            <v>84.05288348804811</v>
          </cell>
          <cell r="F742">
            <v>91.374231936667698</v>
          </cell>
          <cell r="G742">
            <v>579.99199999999996</v>
          </cell>
          <cell r="H742">
            <v>487.5</v>
          </cell>
          <cell r="I742">
            <v>11.6</v>
          </cell>
          <cell r="J742">
            <v>3.9</v>
          </cell>
        </row>
        <row r="743">
          <cell r="B743" t="str">
            <v>HEINEKEN C 6RH PILSEN</v>
          </cell>
          <cell r="E743">
            <v>84.027503590535829</v>
          </cell>
          <cell r="F743">
            <v>91.346641346725022</v>
          </cell>
          <cell r="G743">
            <v>579.99699999999996</v>
          </cell>
          <cell r="H743">
            <v>487.35700000000003</v>
          </cell>
          <cell r="I743">
            <v>11.6</v>
          </cell>
          <cell r="J743">
            <v>3.9</v>
          </cell>
        </row>
        <row r="744">
          <cell r="B744" t="str">
            <v>HEINEKEN C 6RH PILSEN</v>
          </cell>
          <cell r="E744">
            <v>82.693109514883005</v>
          </cell>
          <cell r="F744">
            <v>89.896016112898835</v>
          </cell>
          <cell r="G744">
            <v>590.00199999999995</v>
          </cell>
          <cell r="H744">
            <v>487.89100000000002</v>
          </cell>
          <cell r="I744">
            <v>11.6</v>
          </cell>
          <cell r="J744">
            <v>3.9</v>
          </cell>
        </row>
        <row r="745">
          <cell r="B745" t="str">
            <v>ASAHI 2RP PILSEN</v>
          </cell>
          <cell r="E745">
            <v>82.655434703657605</v>
          </cell>
          <cell r="F745">
            <v>89.855059672188858</v>
          </cell>
          <cell r="G745">
            <v>592.00099999999998</v>
          </cell>
          <cell r="H745">
            <v>489.32100000000003</v>
          </cell>
          <cell r="I745">
            <v>11.6</v>
          </cell>
          <cell r="J745">
            <v>3.9</v>
          </cell>
        </row>
        <row r="746">
          <cell r="B746" t="str">
            <v>ASAHI 2RP PILSEN</v>
          </cell>
          <cell r="E746">
            <v>86.497231929959469</v>
          </cell>
          <cell r="F746">
            <v>94.137984014372648</v>
          </cell>
          <cell r="G746">
            <v>580.00699999999995</v>
          </cell>
          <cell r="H746">
            <v>501.69</v>
          </cell>
          <cell r="I746">
            <v>11.7</v>
          </cell>
          <cell r="J746">
            <v>3.9</v>
          </cell>
        </row>
        <row r="747">
          <cell r="B747" t="str">
            <v>HEINEKEN C 6RH PILSEN</v>
          </cell>
          <cell r="E747">
            <v>86.305570009440686</v>
          </cell>
          <cell r="F747">
            <v>93.929391595778611</v>
          </cell>
          <cell r="G747">
            <v>589.99900000000002</v>
          </cell>
          <cell r="H747">
            <v>509.202</v>
          </cell>
          <cell r="I747">
            <v>11.7</v>
          </cell>
          <cell r="J747">
            <v>3.9</v>
          </cell>
        </row>
        <row r="748">
          <cell r="B748" t="str">
            <v>CARLBERG 2RP PILSEN</v>
          </cell>
          <cell r="E748">
            <v>84.794434703768644</v>
          </cell>
          <cell r="F748">
            <v>92.284769819163827</v>
          </cell>
          <cell r="G748">
            <v>600.00400000000002</v>
          </cell>
          <cell r="H748">
            <v>508.77</v>
          </cell>
          <cell r="I748">
            <v>11.7</v>
          </cell>
          <cell r="J748">
            <v>3.9</v>
          </cell>
        </row>
        <row r="749">
          <cell r="B749" t="str">
            <v>ABI4 PILSEN</v>
          </cell>
          <cell r="E749">
            <v>84.716649718036436</v>
          </cell>
          <cell r="F749">
            <v>92.200113679539101</v>
          </cell>
          <cell r="G749">
            <v>594.93499999999995</v>
          </cell>
          <cell r="H749">
            <v>504.00900000000001</v>
          </cell>
          <cell r="I749">
            <v>11.7</v>
          </cell>
          <cell r="J749">
            <v>3.9</v>
          </cell>
        </row>
        <row r="750">
          <cell r="B750" t="str">
            <v>HEINEKEN C 6RH PILSEN</v>
          </cell>
          <cell r="E750">
            <v>84.406088254868095</v>
          </cell>
          <cell r="F750">
            <v>91.862118700937984</v>
          </cell>
          <cell r="G750">
            <v>580.00199999999995</v>
          </cell>
          <cell r="H750">
            <v>489.55700000000002</v>
          </cell>
          <cell r="I750">
            <v>11.7</v>
          </cell>
          <cell r="J750">
            <v>3.9</v>
          </cell>
        </row>
        <row r="751">
          <cell r="B751" t="str">
            <v>HEINEKEN C 6RH PILSEN</v>
          </cell>
          <cell r="E751">
            <v>84.321774635044221</v>
          </cell>
          <cell r="F751">
            <v>91.770357218887312</v>
          </cell>
          <cell r="G751">
            <v>590.00300000000004</v>
          </cell>
          <cell r="H751">
            <v>497.50099999999998</v>
          </cell>
          <cell r="I751">
            <v>11.7</v>
          </cell>
          <cell r="J751">
            <v>3.9</v>
          </cell>
        </row>
        <row r="752">
          <cell r="B752" t="str">
            <v>HEINEKEN C 6RH PILSEN</v>
          </cell>
          <cell r="E752">
            <v>84.220816501756019</v>
          </cell>
          <cell r="F752">
            <v>91.660480926599675</v>
          </cell>
          <cell r="G752">
            <v>580.01099999999997</v>
          </cell>
          <cell r="H752">
            <v>488.49</v>
          </cell>
          <cell r="I752">
            <v>11.7</v>
          </cell>
          <cell r="J752">
            <v>3.9</v>
          </cell>
        </row>
        <row r="753">
          <cell r="B753" t="str">
            <v>ASAHI 2RP PILSEN</v>
          </cell>
          <cell r="E753">
            <v>82.896338052995361</v>
          </cell>
          <cell r="F753">
            <v>90.219004381572518</v>
          </cell>
          <cell r="G753">
            <v>590.01400000000001</v>
          </cell>
          <cell r="H753">
            <v>489.1</v>
          </cell>
          <cell r="I753">
            <v>11.7</v>
          </cell>
          <cell r="J753">
            <v>3.9</v>
          </cell>
        </row>
        <row r="754">
          <cell r="B754" t="str">
            <v>HEINEKEN C 6RH PILSEN</v>
          </cell>
          <cell r="E754">
            <v>82.676544929775133</v>
          </cell>
          <cell r="F754">
            <v>89.979795784273946</v>
          </cell>
          <cell r="G754">
            <v>579.99400000000003</v>
          </cell>
          <cell r="H754">
            <v>479.51900000000001</v>
          </cell>
          <cell r="I754">
            <v>11.7</v>
          </cell>
          <cell r="J754">
            <v>3.9</v>
          </cell>
        </row>
        <row r="755">
          <cell r="B755" t="str">
            <v>HEINEKEN A 2RP PILSEN</v>
          </cell>
          <cell r="E755">
            <v>82.474674115140616</v>
          </cell>
          <cell r="F755">
            <v>89.760092666647949</v>
          </cell>
          <cell r="G755">
            <v>590.00900000000001</v>
          </cell>
          <cell r="H755">
            <v>486.608</v>
          </cell>
          <cell r="I755">
            <v>11.7</v>
          </cell>
          <cell r="J755">
            <v>3.9</v>
          </cell>
        </row>
        <row r="756">
          <cell r="B756" t="str">
            <v>HEINEKEN C 6RH PILSEN</v>
          </cell>
          <cell r="E756">
            <v>85.274781149631792</v>
          </cell>
          <cell r="F756">
            <v>92.912771751469563</v>
          </cell>
          <cell r="G756">
            <v>590.01499999999999</v>
          </cell>
          <cell r="H756">
            <v>503.13400000000001</v>
          </cell>
          <cell r="I756">
            <v>11.8</v>
          </cell>
          <cell r="J756">
            <v>3.9</v>
          </cell>
        </row>
        <row r="757">
          <cell r="B757" t="str">
            <v>HEINEKEN C 6RH PILSEN</v>
          </cell>
          <cell r="E757">
            <v>85.080792546258294</v>
          </cell>
          <cell r="F757">
            <v>92.701407751648773</v>
          </cell>
          <cell r="G757">
            <v>580.00400000000002</v>
          </cell>
          <cell r="H757">
            <v>493.47199999999998</v>
          </cell>
          <cell r="I757">
            <v>11.8</v>
          </cell>
          <cell r="J757">
            <v>3.9</v>
          </cell>
        </row>
        <row r="758">
          <cell r="B758" t="str">
            <v>HEINEKEN C 6RH PILSEN</v>
          </cell>
          <cell r="E758">
            <v>84.87977342795304</v>
          </cell>
          <cell r="F758">
            <v>92.482383519572423</v>
          </cell>
          <cell r="G758">
            <v>590.01099999999997</v>
          </cell>
          <cell r="H758">
            <v>500.8</v>
          </cell>
          <cell r="I758">
            <v>11.8</v>
          </cell>
          <cell r="J758">
            <v>3.9</v>
          </cell>
        </row>
        <row r="759">
          <cell r="B759" t="str">
            <v>HEINEKEN C 6RH PILSEN</v>
          </cell>
          <cell r="E759">
            <v>84.519854276113321</v>
          </cell>
          <cell r="F759">
            <v>92.090226711275392</v>
          </cell>
          <cell r="G759">
            <v>580.00099999999998</v>
          </cell>
          <cell r="H759">
            <v>490.21600000000001</v>
          </cell>
          <cell r="I759">
            <v>11.8</v>
          </cell>
          <cell r="J759">
            <v>3.9</v>
          </cell>
        </row>
        <row r="760">
          <cell r="B760" t="str">
            <v>ABI4 PILSEN</v>
          </cell>
          <cell r="E760">
            <v>84.444988373516097</v>
          </cell>
          <cell r="F760">
            <v>92.008655132595209</v>
          </cell>
          <cell r="G760">
            <v>580.14099999999996</v>
          </cell>
          <cell r="H760">
            <v>489.9</v>
          </cell>
          <cell r="I760">
            <v>11.8</v>
          </cell>
          <cell r="J760">
            <v>3.9</v>
          </cell>
        </row>
        <row r="761">
          <cell r="B761" t="str">
            <v>HEINEKEN C 6RH PILSEN</v>
          </cell>
          <cell r="E761">
            <v>84.373691748375023</v>
          </cell>
          <cell r="F761">
            <v>91.930972528558257</v>
          </cell>
          <cell r="G761">
            <v>590.005</v>
          </cell>
          <cell r="H761">
            <v>497.80900000000003</v>
          </cell>
          <cell r="I761">
            <v>11.8</v>
          </cell>
          <cell r="J761">
            <v>3.9</v>
          </cell>
        </row>
        <row r="762">
          <cell r="B762" t="str">
            <v>ABI4 PILSEN</v>
          </cell>
          <cell r="E762">
            <v>83.928137311528545</v>
          </cell>
          <cell r="F762">
            <v>91.445510154624642</v>
          </cell>
          <cell r="G762">
            <v>579.995</v>
          </cell>
          <cell r="H762">
            <v>486.779</v>
          </cell>
          <cell r="I762">
            <v>11.8</v>
          </cell>
          <cell r="J762">
            <v>3.9</v>
          </cell>
        </row>
        <row r="763">
          <cell r="B763" t="str">
            <v>HEINEKEN C 6RH PILSEN</v>
          </cell>
          <cell r="E763">
            <v>82.771390936739252</v>
          </cell>
          <cell r="F763">
            <v>90.185154977558298</v>
          </cell>
          <cell r="G763">
            <v>580.01199999999994</v>
          </cell>
          <cell r="H763">
            <v>480.084</v>
          </cell>
          <cell r="I763">
            <v>11.8</v>
          </cell>
          <cell r="J763">
            <v>3.9</v>
          </cell>
        </row>
        <row r="764">
          <cell r="B764" t="str">
            <v>HEINEKEN C 6RH PILSEN</v>
          </cell>
          <cell r="E764">
            <v>85.51129477611309</v>
          </cell>
          <cell r="F764">
            <v>93.276225062252763</v>
          </cell>
          <cell r="G764">
            <v>589.96299999999997</v>
          </cell>
          <cell r="H764">
            <v>504.48500000000001</v>
          </cell>
          <cell r="I764">
            <v>11.9</v>
          </cell>
          <cell r="J764">
            <v>3.9</v>
          </cell>
        </row>
        <row r="765">
          <cell r="B765" t="str">
            <v>HEINEKEN C 6RH PILSEN</v>
          </cell>
          <cell r="E765">
            <v>84.778081947417519</v>
          </cell>
          <cell r="F765">
            <v>92.476432181008221</v>
          </cell>
          <cell r="G765">
            <v>583.00800000000004</v>
          </cell>
          <cell r="H765">
            <v>494.26299999999998</v>
          </cell>
          <cell r="I765">
            <v>11.9</v>
          </cell>
          <cell r="J765">
            <v>3.9</v>
          </cell>
        </row>
        <row r="766">
          <cell r="B766" t="str">
            <v>ASAHI 2RP PILSEN</v>
          </cell>
          <cell r="E766">
            <v>84.641770150061419</v>
          </cell>
          <cell r="F766">
            <v>92.327742467887646</v>
          </cell>
          <cell r="G766">
            <v>595.02300000000002</v>
          </cell>
          <cell r="H766">
            <v>503.63799999999998</v>
          </cell>
          <cell r="I766">
            <v>11.9</v>
          </cell>
          <cell r="J766">
            <v>3.9</v>
          </cell>
        </row>
        <row r="767">
          <cell r="B767" t="str">
            <v>HEINEKEN C 6RH PILSEN</v>
          </cell>
          <cell r="E767">
            <v>84.463468829819504</v>
          </cell>
          <cell r="F767">
            <v>92.133250335364977</v>
          </cell>
          <cell r="G767">
            <v>590.00300000000004</v>
          </cell>
          <cell r="H767">
            <v>498.33699999999999</v>
          </cell>
          <cell r="I767">
            <v>11.9</v>
          </cell>
          <cell r="J767">
            <v>3.9</v>
          </cell>
        </row>
        <row r="768">
          <cell r="B768" t="str">
            <v>HEINEKEN C 6RH PILSEN</v>
          </cell>
          <cell r="E768">
            <v>83.975641008257512</v>
          </cell>
          <cell r="F768">
            <v>91.601124868258196</v>
          </cell>
          <cell r="G768">
            <v>590.00800000000004</v>
          </cell>
          <cell r="H768">
            <v>495.46300000000002</v>
          </cell>
          <cell r="I768">
            <v>11.9</v>
          </cell>
          <cell r="J768">
            <v>3.9</v>
          </cell>
        </row>
        <row r="769">
          <cell r="B769" t="str">
            <v>HEINEKEN C 6RH PILSEN</v>
          </cell>
          <cell r="E769">
            <v>83.796807947545091</v>
          </cell>
          <cell r="F769">
            <v>91.406052710091757</v>
          </cell>
          <cell r="G769">
            <v>580.00300000000004</v>
          </cell>
          <cell r="H769">
            <v>486.024</v>
          </cell>
          <cell r="I769">
            <v>11.9</v>
          </cell>
          <cell r="J769">
            <v>3.9</v>
          </cell>
        </row>
        <row r="770">
          <cell r="B770" t="str">
            <v>GLOBE PILSEN</v>
          </cell>
          <cell r="E770">
            <v>83.789276011274126</v>
          </cell>
          <cell r="F770">
            <v>91.397836829550997</v>
          </cell>
          <cell r="G770">
            <v>590.02300000000002</v>
          </cell>
          <cell r="H770">
            <v>494.37599999999998</v>
          </cell>
          <cell r="I770">
            <v>11.9</v>
          </cell>
          <cell r="J770">
            <v>3.9</v>
          </cell>
        </row>
        <row r="771">
          <cell r="B771" t="str">
            <v>HEINEKEN C 6RH PILSEN</v>
          </cell>
          <cell r="E771">
            <v>83.779123798883077</v>
          </cell>
          <cell r="F771">
            <v>91.386762736352594</v>
          </cell>
          <cell r="G771">
            <v>579.98099999999999</v>
          </cell>
          <cell r="H771">
            <v>485.90300000000002</v>
          </cell>
          <cell r="I771">
            <v>11.9</v>
          </cell>
          <cell r="J771">
            <v>3.9</v>
          </cell>
        </row>
        <row r="772">
          <cell r="B772" t="str">
            <v>HEINEKEN C 6RH PILSEN</v>
          </cell>
          <cell r="E772">
            <v>83.340890635209902</v>
          </cell>
          <cell r="F772">
            <v>90.908735414797633</v>
          </cell>
          <cell r="G772">
            <v>580.01300000000003</v>
          </cell>
          <cell r="H772">
            <v>483.38799999999998</v>
          </cell>
          <cell r="I772">
            <v>11.9</v>
          </cell>
          <cell r="J772">
            <v>3.9</v>
          </cell>
        </row>
        <row r="773">
          <cell r="B773" t="str">
            <v>ASAHI 2RP PILSEN</v>
          </cell>
          <cell r="E773">
            <v>83.2087332484776</v>
          </cell>
          <cell r="F773">
            <v>90.764577357306436</v>
          </cell>
          <cell r="G773">
            <v>590.02099999999996</v>
          </cell>
          <cell r="H773">
            <v>490.94900000000001</v>
          </cell>
          <cell r="I773">
            <v>11.9</v>
          </cell>
          <cell r="J773">
            <v>3.9</v>
          </cell>
        </row>
        <row r="774">
          <cell r="B774" t="str">
            <v>ABI4 PILSEN</v>
          </cell>
          <cell r="E774">
            <v>82.893443449689457</v>
          </cell>
          <cell r="F774">
            <v>90.420657383826992</v>
          </cell>
          <cell r="G774">
            <v>584.95699999999999</v>
          </cell>
          <cell r="H774">
            <v>484.89100000000002</v>
          </cell>
          <cell r="I774">
            <v>11.9</v>
          </cell>
          <cell r="J774">
            <v>3.9</v>
          </cell>
        </row>
        <row r="775">
          <cell r="B775" t="str">
            <v>HEINEKEN C 6RH PILSEN</v>
          </cell>
          <cell r="E775">
            <v>83.274454530564384</v>
          </cell>
          <cell r="F775">
            <v>90.939489549854983</v>
          </cell>
          <cell r="G775">
            <v>580.005</v>
          </cell>
          <cell r="H775">
            <v>482.99599999999998</v>
          </cell>
          <cell r="I775">
            <v>12</v>
          </cell>
          <cell r="J775">
            <v>3.9</v>
          </cell>
        </row>
        <row r="776">
          <cell r="B776" t="str">
            <v>HEINEKEN C 6RH PILSEN</v>
          </cell>
          <cell r="E776">
            <v>82.892310647837647</v>
          </cell>
          <cell r="F776">
            <v>90.522171059740884</v>
          </cell>
          <cell r="G776">
            <v>583.00099999999998</v>
          </cell>
          <cell r="H776">
            <v>483.26299999999998</v>
          </cell>
          <cell r="I776">
            <v>12</v>
          </cell>
          <cell r="J776">
            <v>3.9</v>
          </cell>
        </row>
        <row r="777">
          <cell r="B777" t="str">
            <v>ABI4 PILSEN</v>
          </cell>
          <cell r="E777">
            <v>82.435766789606816</v>
          </cell>
          <cell r="F777">
            <v>90.023604414559259</v>
          </cell>
          <cell r="G777">
            <v>579.95699999999999</v>
          </cell>
          <cell r="H777">
            <v>478.09199999999998</v>
          </cell>
          <cell r="I777">
            <v>12</v>
          </cell>
          <cell r="J777">
            <v>3.9</v>
          </cell>
        </row>
        <row r="778">
          <cell r="B778" t="str">
            <v>HEINEKEN A 2RP PILSEN</v>
          </cell>
          <cell r="E778">
            <v>85.941072940486279</v>
          </cell>
          <cell r="F778">
            <v>93.958328891703431</v>
          </cell>
          <cell r="G778">
            <v>599.99599999999998</v>
          </cell>
          <cell r="H778">
            <v>515.64300000000003</v>
          </cell>
          <cell r="I778">
            <v>12.1</v>
          </cell>
          <cell r="J778">
            <v>3.9</v>
          </cell>
        </row>
        <row r="779">
          <cell r="B779" t="str">
            <v>HEINEKEN C 6RH PILSEN</v>
          </cell>
          <cell r="E779">
            <v>85.385166868073284</v>
          </cell>
          <cell r="F779">
            <v>93.350563549736549</v>
          </cell>
          <cell r="G779">
            <v>590.01700000000005</v>
          </cell>
          <cell r="H779">
            <v>503.78699999999998</v>
          </cell>
          <cell r="I779">
            <v>12.1</v>
          </cell>
          <cell r="J779">
            <v>3.9</v>
          </cell>
        </row>
        <row r="780">
          <cell r="B780" t="str">
            <v>HEINEKEN C 6RH PILSEN</v>
          </cell>
          <cell r="E780">
            <v>85.313030714941888</v>
          </cell>
          <cell r="F780">
            <v>93.271697971625883</v>
          </cell>
          <cell r="G780">
            <v>590.00599999999997</v>
          </cell>
          <cell r="H780">
            <v>503.35199999999998</v>
          </cell>
          <cell r="I780">
            <v>12.1</v>
          </cell>
          <cell r="J780">
            <v>3.9</v>
          </cell>
        </row>
        <row r="781">
          <cell r="B781" t="str">
            <v>HEINEKEN C 6RH PILSEN</v>
          </cell>
          <cell r="E781">
            <v>84.208539009684529</v>
          </cell>
          <cell r="F781">
            <v>92.064170635161375</v>
          </cell>
          <cell r="G781">
            <v>579.99699999999996</v>
          </cell>
          <cell r="H781">
            <v>488.40699999999998</v>
          </cell>
          <cell r="I781">
            <v>12.1</v>
          </cell>
          <cell r="J781">
            <v>3.9</v>
          </cell>
        </row>
        <row r="782">
          <cell r="B782" t="str">
            <v>GLOBE PILSEN</v>
          </cell>
          <cell r="E782">
            <v>83.381246186182111</v>
          </cell>
          <cell r="F782">
            <v>91.159701461798647</v>
          </cell>
          <cell r="G782">
            <v>589.96</v>
          </cell>
          <cell r="H782">
            <v>491.916</v>
          </cell>
          <cell r="I782">
            <v>12.1</v>
          </cell>
          <cell r="J782">
            <v>3.9</v>
          </cell>
        </row>
        <row r="783">
          <cell r="B783" t="str">
            <v>HEINEKEN C 6RH PILSEN</v>
          </cell>
          <cell r="E783">
            <v>83.26264392191753</v>
          </cell>
          <cell r="F783">
            <v>91.030035050014504</v>
          </cell>
          <cell r="G783">
            <v>580.00199999999995</v>
          </cell>
          <cell r="H783">
            <v>482.92500000000001</v>
          </cell>
          <cell r="I783">
            <v>12.1</v>
          </cell>
          <cell r="J783">
            <v>3.9</v>
          </cell>
        </row>
        <row r="784">
          <cell r="B784" t="str">
            <v>HEINEKEN C 6RH PILSEN</v>
          </cell>
          <cell r="E784">
            <v>83.122116240094343</v>
          </cell>
          <cell r="F784">
            <v>90.876397846109981</v>
          </cell>
          <cell r="G784">
            <v>579.97199999999998</v>
          </cell>
          <cell r="H784">
            <v>482.08499999999998</v>
          </cell>
          <cell r="I784">
            <v>12.1</v>
          </cell>
          <cell r="J784">
            <v>3.9</v>
          </cell>
        </row>
        <row r="785">
          <cell r="B785" t="str">
            <v>HEINEKEN C 6RH PILSEN</v>
          </cell>
          <cell r="E785">
            <v>84.918647992175849</v>
          </cell>
          <cell r="F785">
            <v>92.94626505749541</v>
          </cell>
          <cell r="G785">
            <v>589.96699999999998</v>
          </cell>
          <cell r="H785">
            <v>500.99200000000002</v>
          </cell>
          <cell r="I785">
            <v>12.2</v>
          </cell>
          <cell r="J785">
            <v>3.9</v>
          </cell>
        </row>
        <row r="786">
          <cell r="B786" t="str">
            <v>HEINEKEN C 6RH PILSEN</v>
          </cell>
          <cell r="E786">
            <v>84.702175430652247</v>
          </cell>
          <cell r="F786">
            <v>92.709328688902986</v>
          </cell>
          <cell r="G786">
            <v>583.01099999999997</v>
          </cell>
          <cell r="H786">
            <v>493.82299999999998</v>
          </cell>
          <cell r="I786">
            <v>12.2</v>
          </cell>
          <cell r="J786">
            <v>3.9</v>
          </cell>
        </row>
        <row r="787">
          <cell r="B787" t="str">
            <v>HEINEKEN C 6RH PILSEN</v>
          </cell>
          <cell r="E787">
            <v>83.663532774830458</v>
          </cell>
          <cell r="F787">
            <v>91.572499996141318</v>
          </cell>
          <cell r="G787">
            <v>580.00300000000004</v>
          </cell>
          <cell r="H787">
            <v>485.25099999999998</v>
          </cell>
          <cell r="I787">
            <v>12.2</v>
          </cell>
          <cell r="J787">
            <v>3.9</v>
          </cell>
        </row>
        <row r="788">
          <cell r="B788" t="str">
            <v>HEINEKEN C 6RH PILSEN</v>
          </cell>
          <cell r="E788">
            <v>83.445719359649644</v>
          </cell>
          <cell r="F788">
            <v>91.334096018933153</v>
          </cell>
          <cell r="G788">
            <v>579.995</v>
          </cell>
          <cell r="H788">
            <v>483.98099999999999</v>
          </cell>
          <cell r="I788">
            <v>12.2</v>
          </cell>
          <cell r="J788">
            <v>3.9</v>
          </cell>
        </row>
        <row r="789">
          <cell r="B789" t="str">
            <v>HEINEKEN C 6RH PILSEN</v>
          </cell>
          <cell r="E789">
            <v>82.882073633721035</v>
          </cell>
          <cell r="F789">
            <v>90.717167154904232</v>
          </cell>
          <cell r="G789">
            <v>580.00599999999997</v>
          </cell>
          <cell r="H789">
            <v>480.721</v>
          </cell>
          <cell r="I789">
            <v>12.2</v>
          </cell>
          <cell r="J789">
            <v>3.9</v>
          </cell>
        </row>
        <row r="790">
          <cell r="B790" t="str">
            <v>HEINEKEN C 6RH PILSEN</v>
          </cell>
          <cell r="E790">
            <v>82.487974698562397</v>
          </cell>
          <cell r="F790">
            <v>90.285812853437875</v>
          </cell>
          <cell r="G790">
            <v>590.00599999999997</v>
          </cell>
          <cell r="H790">
            <v>486.68400000000003</v>
          </cell>
          <cell r="I790">
            <v>12.2</v>
          </cell>
          <cell r="J790">
            <v>3.9</v>
          </cell>
        </row>
        <row r="791">
          <cell r="B791" t="str">
            <v>HEINEKEN C 6RH PILSEN</v>
          </cell>
          <cell r="E791">
            <v>84.930473761365263</v>
          </cell>
          <cell r="F791">
            <v>93.065205569751441</v>
          </cell>
          <cell r="G791">
            <v>590.06500000000005</v>
          </cell>
          <cell r="H791">
            <v>501.14499999999998</v>
          </cell>
          <cell r="I791">
            <v>12.3</v>
          </cell>
          <cell r="J791">
            <v>3.9</v>
          </cell>
        </row>
        <row r="792">
          <cell r="B792" t="str">
            <v>HEINEKEN C 6RH PILSEN</v>
          </cell>
          <cell r="E792">
            <v>83.311465630350185</v>
          </cell>
          <cell r="F792">
            <v>91.291127104636857</v>
          </cell>
          <cell r="G792">
            <v>580.00300000000004</v>
          </cell>
          <cell r="H792">
            <v>483.209</v>
          </cell>
          <cell r="I792">
            <v>12.3</v>
          </cell>
          <cell r="J792">
            <v>3.9</v>
          </cell>
        </row>
        <row r="793">
          <cell r="B793" t="str">
            <v>HEINEKEN C 6RH PILSEN</v>
          </cell>
          <cell r="E793">
            <v>82.384391643405053</v>
          </cell>
          <cell r="F793">
            <v>90.275256977551038</v>
          </cell>
          <cell r="G793">
            <v>579.99699999999996</v>
          </cell>
          <cell r="H793">
            <v>477.827</v>
          </cell>
          <cell r="I793">
            <v>12.3</v>
          </cell>
          <cell r="J793">
            <v>3.9</v>
          </cell>
        </row>
        <row r="794">
          <cell r="B794" t="str">
            <v>HEINEKEN C 6RH PILSEN</v>
          </cell>
          <cell r="E794">
            <v>85.054515932753802</v>
          </cell>
          <cell r="F794">
            <v>93.307522615726498</v>
          </cell>
          <cell r="G794">
            <v>590.01099999999997</v>
          </cell>
          <cell r="H794">
            <v>501.83100000000002</v>
          </cell>
          <cell r="I794">
            <v>12.4</v>
          </cell>
          <cell r="J794">
            <v>3.9</v>
          </cell>
        </row>
        <row r="795">
          <cell r="B795" t="str">
            <v>HEINEKEN C 6RH PILSEN</v>
          </cell>
          <cell r="E795">
            <v>84.702320714910556</v>
          </cell>
          <cell r="F795">
            <v>92.921153204371038</v>
          </cell>
          <cell r="G795">
            <v>583.01</v>
          </cell>
          <cell r="H795">
            <v>493.82299999999998</v>
          </cell>
          <cell r="I795">
            <v>12.4</v>
          </cell>
          <cell r="J795">
            <v>3.9</v>
          </cell>
        </row>
        <row r="796">
          <cell r="B796" t="str">
            <v>HEINEKEN C 6RH PILSEN</v>
          </cell>
          <cell r="E796">
            <v>84.579205613416605</v>
          </cell>
          <cell r="F796">
            <v>92.786092002846317</v>
          </cell>
          <cell r="G796">
            <v>590.01499999999999</v>
          </cell>
          <cell r="H796">
            <v>499.03</v>
          </cell>
          <cell r="I796">
            <v>12.4</v>
          </cell>
          <cell r="J796">
            <v>3.9</v>
          </cell>
        </row>
        <row r="797">
          <cell r="B797" t="str">
            <v>GLOBE PILSEN</v>
          </cell>
          <cell r="E797">
            <v>84.48485095016305</v>
          </cell>
          <cell r="F797">
            <v>92.682581921354668</v>
          </cell>
          <cell r="G797">
            <v>590.00400000000002</v>
          </cell>
          <cell r="H797">
            <v>498.464</v>
          </cell>
          <cell r="I797">
            <v>12.4</v>
          </cell>
          <cell r="J797">
            <v>3.9</v>
          </cell>
        </row>
        <row r="798">
          <cell r="B798" t="str">
            <v>HEINEKEN C 6RH PILSEN</v>
          </cell>
          <cell r="E798">
            <v>83.579124710380853</v>
          </cell>
          <cell r="F798">
            <v>91.688971286159813</v>
          </cell>
          <cell r="G798">
            <v>589.99900000000002</v>
          </cell>
          <cell r="H798">
            <v>493.11599999999999</v>
          </cell>
          <cell r="I798">
            <v>12.4</v>
          </cell>
          <cell r="J798">
            <v>3.9</v>
          </cell>
        </row>
        <row r="799">
          <cell r="B799" t="str">
            <v>HEINEKEN C 6RH PILSEN</v>
          </cell>
          <cell r="E799">
            <v>83.50201443005389</v>
          </cell>
          <cell r="F799">
            <v>91.604378843928984</v>
          </cell>
          <cell r="G799">
            <v>585.029</v>
          </cell>
          <cell r="H799">
            <v>488.51100000000002</v>
          </cell>
          <cell r="I799">
            <v>12.4</v>
          </cell>
          <cell r="J799">
            <v>3.9</v>
          </cell>
        </row>
        <row r="800">
          <cell r="B800" t="str">
            <v>CARLBERG 6RH PILSEN</v>
          </cell>
          <cell r="E800">
            <v>83.421241745874624</v>
          </cell>
          <cell r="F800">
            <v>91.515768627609035</v>
          </cell>
          <cell r="G800">
            <v>590.00800000000004</v>
          </cell>
          <cell r="H800">
            <v>492.19200000000001</v>
          </cell>
          <cell r="I800">
            <v>12.4</v>
          </cell>
          <cell r="J800">
            <v>3.9</v>
          </cell>
        </row>
        <row r="801">
          <cell r="B801" t="str">
            <v>HEINEKEN C 6RH PILSEN</v>
          </cell>
          <cell r="E801">
            <v>83.258247773726097</v>
          </cell>
          <cell r="F801">
            <v>91.336959030309089</v>
          </cell>
          <cell r="G801">
            <v>580.005</v>
          </cell>
          <cell r="H801">
            <v>482.90199999999999</v>
          </cell>
          <cell r="I801">
            <v>12.4</v>
          </cell>
          <cell r="J801">
            <v>3.9</v>
          </cell>
        </row>
        <row r="802">
          <cell r="B802" t="str">
            <v>GLOBE PILSEN</v>
          </cell>
          <cell r="E802">
            <v>85.469939367625017</v>
          </cell>
          <cell r="F802">
            <v>93.87041340832873</v>
          </cell>
          <cell r="G802">
            <v>585.00099999999998</v>
          </cell>
          <cell r="H802">
            <v>500</v>
          </cell>
          <cell r="I802">
            <v>12.5</v>
          </cell>
          <cell r="J802">
            <v>3.9</v>
          </cell>
        </row>
        <row r="803">
          <cell r="B803" t="str">
            <v>HEINEKEN C 6RH PILSEN</v>
          </cell>
          <cell r="E803">
            <v>84.773021565663072</v>
          </cell>
          <cell r="F803">
            <v>93.104998542402527</v>
          </cell>
          <cell r="G803">
            <v>590.01199999999994</v>
          </cell>
          <cell r="H803">
            <v>500.17099999999999</v>
          </cell>
          <cell r="I803">
            <v>12.5</v>
          </cell>
          <cell r="J803">
            <v>3.9</v>
          </cell>
        </row>
        <row r="804">
          <cell r="B804" t="str">
            <v>HEINEKEN C 6RH PILSEN</v>
          </cell>
          <cell r="E804">
            <v>84.655084745762707</v>
          </cell>
          <cell r="F804">
            <v>92.975470217917675</v>
          </cell>
          <cell r="G804">
            <v>590</v>
          </cell>
          <cell r="H804">
            <v>499.46499999999997</v>
          </cell>
          <cell r="I804">
            <v>12.5</v>
          </cell>
          <cell r="J804">
            <v>3.9</v>
          </cell>
        </row>
        <row r="805">
          <cell r="B805" t="str">
            <v>GLOBE PILSEN</v>
          </cell>
          <cell r="E805">
            <v>84.327859849897294</v>
          </cell>
          <cell r="F805">
            <v>92.616083789430064</v>
          </cell>
          <cell r="G805">
            <v>589.99599999999998</v>
          </cell>
          <cell r="H805">
            <v>497.53100000000001</v>
          </cell>
          <cell r="I805">
            <v>12.5</v>
          </cell>
          <cell r="J805">
            <v>3.9</v>
          </cell>
        </row>
        <row r="806">
          <cell r="B806" t="str">
            <v>HEINEKEN C 6RH PILSEN</v>
          </cell>
          <cell r="E806">
            <v>84.961386427278342</v>
          </cell>
          <cell r="F806">
            <v>93.418641140291172</v>
          </cell>
          <cell r="G806">
            <v>589.94799999999998</v>
          </cell>
          <cell r="H806">
            <v>501.22800000000001</v>
          </cell>
          <cell r="I806">
            <v>12.6</v>
          </cell>
          <cell r="J806">
            <v>3.9</v>
          </cell>
        </row>
        <row r="807">
          <cell r="B807" t="str">
            <v>HEINEKEN C 6RH PILSEN</v>
          </cell>
          <cell r="E807">
            <v>84.065331830742394</v>
          </cell>
          <cell r="F807">
            <v>92.4333911777385</v>
          </cell>
          <cell r="G807">
            <v>582.99300000000005</v>
          </cell>
          <cell r="H807">
            <v>490.09500000000003</v>
          </cell>
          <cell r="I807">
            <v>12.6</v>
          </cell>
          <cell r="J807">
            <v>3.9</v>
          </cell>
        </row>
        <row r="808">
          <cell r="B808" t="str">
            <v>HEINEKEN C 6RH PILSEN</v>
          </cell>
          <cell r="E808">
            <v>83.816842339985769</v>
          </cell>
          <cell r="F808">
            <v>92.160166463073594</v>
          </cell>
          <cell r="G808">
            <v>582.995</v>
          </cell>
          <cell r="H808">
            <v>488.64800000000002</v>
          </cell>
          <cell r="I808">
            <v>12.6</v>
          </cell>
          <cell r="J808">
            <v>3.9</v>
          </cell>
        </row>
        <row r="809">
          <cell r="B809" t="str">
            <v>HEINEKEN C 6RH PILSEN</v>
          </cell>
          <cell r="E809">
            <v>83.362068965517238</v>
          </cell>
          <cell r="F809">
            <v>91.660123885425705</v>
          </cell>
          <cell r="G809">
            <v>580</v>
          </cell>
          <cell r="H809">
            <v>483.5</v>
          </cell>
          <cell r="I809">
            <v>12.6</v>
          </cell>
          <cell r="J809">
            <v>3.9</v>
          </cell>
        </row>
        <row r="810">
          <cell r="B810" t="str">
            <v>HEINEKEN C 6RH PILSEN</v>
          </cell>
          <cell r="E810">
            <v>85.609589087531617</v>
          </cell>
          <cell r="F810">
            <v>94.239192569436298</v>
          </cell>
          <cell r="G810">
            <v>590.00400000000002</v>
          </cell>
          <cell r="H810">
            <v>505.1</v>
          </cell>
          <cell r="I810">
            <v>12.7</v>
          </cell>
          <cell r="J810">
            <v>3.9</v>
          </cell>
        </row>
        <row r="811">
          <cell r="B811" t="str">
            <v>HEINEKEN C 6RH PILSEN</v>
          </cell>
          <cell r="E811">
            <v>83.46433749937502</v>
          </cell>
          <cell r="F811">
            <v>91.877695689460921</v>
          </cell>
          <cell r="G811">
            <v>580.00699999999995</v>
          </cell>
          <cell r="H811">
            <v>484.09899999999999</v>
          </cell>
          <cell r="I811">
            <v>12.7</v>
          </cell>
          <cell r="J811">
            <v>3.9</v>
          </cell>
        </row>
        <row r="812">
          <cell r="B812" t="str">
            <v>GLOBE PILSEN</v>
          </cell>
          <cell r="E812">
            <v>83.433845122956001</v>
          </cell>
          <cell r="F812">
            <v>91.844129625613661</v>
          </cell>
          <cell r="G812">
            <v>585.00599999999997</v>
          </cell>
          <cell r="H812">
            <v>488.09300000000002</v>
          </cell>
          <cell r="I812">
            <v>12.7</v>
          </cell>
          <cell r="J812">
            <v>3.9</v>
          </cell>
        </row>
        <row r="813">
          <cell r="B813" t="str">
            <v>HEINEKEN C 6RH PILSEN</v>
          </cell>
          <cell r="E813">
            <v>83.406377799080019</v>
          </cell>
          <cell r="F813">
            <v>91.813893545149952</v>
          </cell>
          <cell r="G813">
            <v>580.01199999999994</v>
          </cell>
          <cell r="H813">
            <v>483.767</v>
          </cell>
          <cell r="I813">
            <v>12.7</v>
          </cell>
          <cell r="J813">
            <v>3.9</v>
          </cell>
        </row>
        <row r="814">
          <cell r="B814" t="str">
            <v>HEINEKEN C 6RH PILSEN</v>
          </cell>
          <cell r="E814">
            <v>83.374367250106886</v>
          </cell>
          <cell r="F814">
            <v>91.883907026780648</v>
          </cell>
          <cell r="G814">
            <v>580.00800000000004</v>
          </cell>
          <cell r="H814">
            <v>483.57799999999997</v>
          </cell>
          <cell r="I814">
            <v>12.8</v>
          </cell>
          <cell r="J814">
            <v>3.9</v>
          </cell>
        </row>
        <row r="815">
          <cell r="B815" t="str">
            <v>GLOBE PILSEN</v>
          </cell>
          <cell r="E815">
            <v>83.933812531516821</v>
          </cell>
          <cell r="F815">
            <v>92.606651943499045</v>
          </cell>
          <cell r="G815">
            <v>585.005</v>
          </cell>
          <cell r="H815">
            <v>491.017</v>
          </cell>
          <cell r="I815">
            <v>12.9</v>
          </cell>
          <cell r="J815">
            <v>3.9</v>
          </cell>
        </row>
        <row r="816">
          <cell r="B816" t="str">
            <v>HEINEKEN C 6RH PILSEN</v>
          </cell>
          <cell r="E816">
            <v>83.167961765978689</v>
          </cell>
          <cell r="F816">
            <v>91.761666196447209</v>
          </cell>
          <cell r="G816">
            <v>580.00699999999995</v>
          </cell>
          <cell r="H816">
            <v>482.38</v>
          </cell>
          <cell r="I816">
            <v>12.9</v>
          </cell>
          <cell r="J816">
            <v>3.9</v>
          </cell>
        </row>
        <row r="817">
          <cell r="B817" t="str">
            <v>ASAHI 2RP PILSEN</v>
          </cell>
          <cell r="E817">
            <v>84.710567830142324</v>
          </cell>
          <cell r="F817">
            <v>93.571098488237666</v>
          </cell>
          <cell r="G817">
            <v>580.01499999999999</v>
          </cell>
          <cell r="H817">
            <v>491.334</v>
          </cell>
          <cell r="I817">
            <v>13</v>
          </cell>
          <cell r="J817">
            <v>3.9</v>
          </cell>
        </row>
        <row r="818">
          <cell r="B818" t="str">
            <v>HEINEKEN A 2RP PILSEN</v>
          </cell>
          <cell r="E818">
            <v>84.698763258433701</v>
          </cell>
          <cell r="F818">
            <v>93.558059185465268</v>
          </cell>
          <cell r="G818">
            <v>585.005</v>
          </cell>
          <cell r="H818">
            <v>495.49200000000002</v>
          </cell>
          <cell r="I818">
            <v>13</v>
          </cell>
          <cell r="J818">
            <v>3.9</v>
          </cell>
        </row>
        <row r="819">
          <cell r="B819" t="str">
            <v>GLOBE PILSEN</v>
          </cell>
          <cell r="E819">
            <v>84.111044067900906</v>
          </cell>
          <cell r="F819">
            <v>92.908865918681343</v>
          </cell>
          <cell r="G819">
            <v>585.029</v>
          </cell>
          <cell r="H819">
            <v>492.07400000000001</v>
          </cell>
          <cell r="I819">
            <v>13</v>
          </cell>
          <cell r="J819">
            <v>3.9</v>
          </cell>
        </row>
        <row r="820">
          <cell r="B820" t="str">
            <v>HEINEKEN C 6RH PILSEN</v>
          </cell>
          <cell r="E820">
            <v>84.093522686716923</v>
          </cell>
          <cell r="F820">
            <v>92.889511841304568</v>
          </cell>
          <cell r="G820">
            <v>580.00900000000001</v>
          </cell>
          <cell r="H820">
            <v>487.75</v>
          </cell>
          <cell r="I820">
            <v>13</v>
          </cell>
          <cell r="J820">
            <v>3.9</v>
          </cell>
        </row>
        <row r="821">
          <cell r="B821" t="str">
            <v>CARLBERG 2RP PILSEN</v>
          </cell>
          <cell r="E821">
            <v>83.701146888642157</v>
          </cell>
          <cell r="F821">
            <v>92.509260678533749</v>
          </cell>
          <cell r="G821">
            <v>580.00400000000002</v>
          </cell>
          <cell r="H821">
            <v>485.47</v>
          </cell>
          <cell r="I821">
            <v>13.05</v>
          </cell>
          <cell r="J821">
            <v>3.9</v>
          </cell>
        </row>
        <row r="822">
          <cell r="B822" t="str">
            <v>HEINEKEN C 6RH PILSEN</v>
          </cell>
          <cell r="E822">
            <v>85.905194411111566</v>
          </cell>
          <cell r="F822">
            <v>95.219021717506592</v>
          </cell>
          <cell r="G822">
            <v>580.00800000000004</v>
          </cell>
          <cell r="H822">
            <v>498.25700000000001</v>
          </cell>
          <cell r="I822">
            <v>13.3</v>
          </cell>
          <cell r="J822">
            <v>3.9</v>
          </cell>
        </row>
        <row r="823">
          <cell r="B823" t="str">
            <v>CARLBERG 6RH PILSEN</v>
          </cell>
          <cell r="E823">
            <v>85.420125688571645</v>
          </cell>
          <cell r="F823">
            <v>94.681361922396022</v>
          </cell>
          <cell r="G823">
            <v>580.005</v>
          </cell>
          <cell r="H823">
            <v>495.44099999999997</v>
          </cell>
          <cell r="I823">
            <v>13.3</v>
          </cell>
          <cell r="J823">
            <v>3.9</v>
          </cell>
        </row>
        <row r="824">
          <cell r="B824" t="str">
            <v>ASAHI 2RP PILSEN</v>
          </cell>
          <cell r="E824">
            <v>84.482904280869448</v>
          </cell>
          <cell r="F824">
            <v>93.642527121009849</v>
          </cell>
          <cell r="G824">
            <v>579.99900000000002</v>
          </cell>
          <cell r="H824">
            <v>490</v>
          </cell>
          <cell r="I824">
            <v>13.3</v>
          </cell>
          <cell r="J824">
            <v>3.9</v>
          </cell>
        </row>
        <row r="825">
          <cell r="B825" t="str">
            <v>ASAHI 2RP PILSEN</v>
          </cell>
          <cell r="E825">
            <v>84.387752814993988</v>
          </cell>
          <cell r="F825">
            <v>93.537059348568874</v>
          </cell>
          <cell r="G825">
            <v>580.01900000000001</v>
          </cell>
          <cell r="H825">
            <v>489.46499999999997</v>
          </cell>
          <cell r="I825">
            <v>13.3</v>
          </cell>
          <cell r="J825">
            <v>3.9</v>
          </cell>
        </row>
        <row r="826">
          <cell r="B826" t="str">
            <v>CARLBERG 6RH PILSEN</v>
          </cell>
          <cell r="E826">
            <v>84.934853560597318</v>
          </cell>
          <cell r="F826">
            <v>94.252187380755231</v>
          </cell>
          <cell r="G826">
            <v>580.00099999999998</v>
          </cell>
          <cell r="H826">
            <v>492.62299999999999</v>
          </cell>
          <cell r="I826">
            <v>13.4</v>
          </cell>
          <cell r="J826">
            <v>3.9</v>
          </cell>
        </row>
        <row r="827">
          <cell r="B827" t="str">
            <v>CARLBERG 6RH PILSEN</v>
          </cell>
          <cell r="E827">
            <v>84.756095458448115</v>
          </cell>
          <cell r="F827">
            <v>94.05381955608388</v>
          </cell>
          <cell r="G827">
            <v>580.02200000000005</v>
          </cell>
          <cell r="H827">
            <v>491.60399999999998</v>
          </cell>
          <cell r="I827">
            <v>13.4</v>
          </cell>
          <cell r="J827">
            <v>3.9</v>
          </cell>
        </row>
        <row r="828">
          <cell r="B828" t="str">
            <v>HEINEKEN C 6RH PILSEN</v>
          </cell>
          <cell r="E828">
            <v>83.484280307928387</v>
          </cell>
          <cell r="F828">
            <v>92.642486577273871</v>
          </cell>
          <cell r="G828">
            <v>580.005</v>
          </cell>
          <cell r="H828">
            <v>484.21300000000002</v>
          </cell>
          <cell r="I828">
            <v>13.4</v>
          </cell>
          <cell r="J828">
            <v>3.9</v>
          </cell>
        </row>
        <row r="829">
          <cell r="B829" t="str">
            <v>CARLBERG 6RH PILSEN</v>
          </cell>
          <cell r="E829">
            <v>82.671418521890246</v>
          </cell>
          <cell r="F829">
            <v>91.740454041035264</v>
          </cell>
          <cell r="G829">
            <v>579.98400000000004</v>
          </cell>
          <cell r="H829">
            <v>479.48099999999999</v>
          </cell>
          <cell r="I829">
            <v>13.4</v>
          </cell>
          <cell r="J829">
            <v>3.9</v>
          </cell>
        </row>
        <row r="830">
          <cell r="B830" t="str">
            <v>ASAHI 2RP PILSEN</v>
          </cell>
          <cell r="E830">
            <v>82.212770212721935</v>
          </cell>
          <cell r="F830">
            <v>91.231492118274588</v>
          </cell>
          <cell r="G830">
            <v>580.00599999999997</v>
          </cell>
          <cell r="H830">
            <v>476.839</v>
          </cell>
          <cell r="I830">
            <v>13.4</v>
          </cell>
          <cell r="J830">
            <v>3.9</v>
          </cell>
        </row>
        <row r="831">
          <cell r="B831" t="str">
            <v>HEINEKEN C 6RH PILSEN</v>
          </cell>
          <cell r="E831">
            <v>85.289092335410899</v>
          </cell>
          <cell r="F831">
            <v>94.754702583040313</v>
          </cell>
          <cell r="G831">
            <v>580.005</v>
          </cell>
          <cell r="H831">
            <v>494.68099999999998</v>
          </cell>
          <cell r="I831">
            <v>13.5</v>
          </cell>
          <cell r="J831">
            <v>3.9</v>
          </cell>
        </row>
        <row r="832">
          <cell r="B832" t="str">
            <v>HEINEKEN C 6RH PILSEN</v>
          </cell>
          <cell r="E832">
            <v>84.032903505006047</v>
          </cell>
          <cell r="F832">
            <v>93.359098576081848</v>
          </cell>
          <cell r="G832">
            <v>579.99900000000002</v>
          </cell>
          <cell r="H832">
            <v>487.39</v>
          </cell>
          <cell r="I832">
            <v>13.5</v>
          </cell>
          <cell r="J832">
            <v>3.9</v>
          </cell>
        </row>
        <row r="833">
          <cell r="B833" t="str">
            <v>CARLBERG 6RH PILSEN</v>
          </cell>
          <cell r="E833">
            <v>82.993796615897082</v>
          </cell>
          <cell r="F833">
            <v>92.204668841476419</v>
          </cell>
          <cell r="G833">
            <v>580.00599999999997</v>
          </cell>
          <cell r="H833">
            <v>481.36900000000003</v>
          </cell>
          <cell r="I833">
            <v>13.5</v>
          </cell>
          <cell r="J833">
            <v>3.9</v>
          </cell>
        </row>
        <row r="834">
          <cell r="B834" t="str">
            <v>HEINEKEN C 6RH PILSEN</v>
          </cell>
          <cell r="E834">
            <v>85.639778967422686</v>
          </cell>
          <cell r="F834">
            <v>95.254430078348605</v>
          </cell>
          <cell r="G834">
            <v>580.005</v>
          </cell>
          <cell r="H834">
            <v>496.71499999999997</v>
          </cell>
          <cell r="I834">
            <v>13.6</v>
          </cell>
          <cell r="J834">
            <v>3.9</v>
          </cell>
        </row>
        <row r="835">
          <cell r="B835" t="str">
            <v>HEINEKEN C 6RH PILSEN</v>
          </cell>
          <cell r="E835">
            <v>83.808867012060034</v>
          </cell>
          <cell r="F835">
            <v>93.217964350219546</v>
          </cell>
          <cell r="G835">
            <v>580.01499999999999</v>
          </cell>
          <cell r="H835">
            <v>486.10399999999998</v>
          </cell>
          <cell r="I835">
            <v>13.6</v>
          </cell>
          <cell r="J835">
            <v>3.9</v>
          </cell>
        </row>
        <row r="836">
          <cell r="B836" t="str">
            <v>ASAHI 2RP PILSEN</v>
          </cell>
          <cell r="E836">
            <v>83.471980607197466</v>
          </cell>
          <cell r="F836">
            <v>92.843256207774033</v>
          </cell>
          <cell r="G836">
            <v>580.00900000000001</v>
          </cell>
          <cell r="H836">
            <v>484.14499999999998</v>
          </cell>
          <cell r="I836">
            <v>13.6</v>
          </cell>
          <cell r="J836">
            <v>3.9</v>
          </cell>
        </row>
        <row r="837">
          <cell r="B837" t="str">
            <v>HEINEKEN A 2RP PILSEN</v>
          </cell>
          <cell r="E837">
            <v>82.450130170169473</v>
          </cell>
          <cell r="F837">
            <v>91.706684136033417</v>
          </cell>
          <cell r="G837">
            <v>580.01</v>
          </cell>
          <cell r="H837">
            <v>478.21899999999999</v>
          </cell>
          <cell r="I837">
            <v>13.6</v>
          </cell>
          <cell r="J837">
            <v>3.9</v>
          </cell>
        </row>
        <row r="838">
          <cell r="B838" t="str">
            <v>ASAHI 2RP PILSEN</v>
          </cell>
          <cell r="E838">
            <v>82.333275285654935</v>
          </cell>
          <cell r="F838">
            <v>91.576710126752758</v>
          </cell>
          <cell r="G838">
            <v>579.98299999999995</v>
          </cell>
          <cell r="H838">
            <v>477.51900000000001</v>
          </cell>
          <cell r="I838">
            <v>13.6</v>
          </cell>
          <cell r="J838">
            <v>3.9</v>
          </cell>
        </row>
        <row r="839">
          <cell r="B839" t="str">
            <v>HEINEKEN C 6RH PILSEN</v>
          </cell>
          <cell r="E839">
            <v>81.584745762711862</v>
          </cell>
          <cell r="F839">
            <v>90.744144303201509</v>
          </cell>
          <cell r="G839">
            <v>590</v>
          </cell>
          <cell r="H839">
            <v>481.35</v>
          </cell>
          <cell r="I839">
            <v>13.6</v>
          </cell>
          <cell r="J839">
            <v>3.9</v>
          </cell>
        </row>
        <row r="840">
          <cell r="B840" t="str">
            <v>CARLBERG 2RP PILSEN</v>
          </cell>
          <cell r="E840">
            <v>85.581502005179317</v>
          </cell>
          <cell r="F840">
            <v>95.299911271120891</v>
          </cell>
          <cell r="G840">
            <v>579.99800000000005</v>
          </cell>
          <cell r="H840">
            <v>496.37099999999998</v>
          </cell>
          <cell r="I840">
            <v>13.7</v>
          </cell>
          <cell r="J840">
            <v>3.9</v>
          </cell>
        </row>
        <row r="841">
          <cell r="B841" t="str">
            <v>HEINEKEN C 6RH PILSEN</v>
          </cell>
          <cell r="E841">
            <v>84.283137993220848</v>
          </cell>
          <cell r="F841">
            <v>93.854108472172911</v>
          </cell>
          <cell r="G841">
            <v>580.01400000000001</v>
          </cell>
          <cell r="H841">
            <v>488.85399999999998</v>
          </cell>
          <cell r="I841">
            <v>13.7</v>
          </cell>
          <cell r="J841">
            <v>3.9</v>
          </cell>
        </row>
        <row r="842">
          <cell r="B842" t="str">
            <v>ASAHI 2RP PILSEN</v>
          </cell>
          <cell r="E842">
            <v>85.73204919515284</v>
          </cell>
          <cell r="F842">
            <v>95.578305425222595</v>
          </cell>
          <cell r="G842">
            <v>575.01599999999996</v>
          </cell>
          <cell r="H842">
            <v>492.97300000000001</v>
          </cell>
          <cell r="I842">
            <v>13.8</v>
          </cell>
          <cell r="J842">
            <v>3.9</v>
          </cell>
        </row>
        <row r="843">
          <cell r="B843" t="str">
            <v>HEINEKEN C 6RH PILSEN</v>
          </cell>
          <cell r="E843">
            <v>84.147289695134873</v>
          </cell>
          <cell r="F843">
            <v>93.811537583555221</v>
          </cell>
          <cell r="G843">
            <v>580.02700000000004</v>
          </cell>
          <cell r="H843">
            <v>488.077</v>
          </cell>
          <cell r="I843">
            <v>13.8</v>
          </cell>
          <cell r="J843">
            <v>3.9</v>
          </cell>
        </row>
        <row r="844">
          <cell r="B844" t="str">
            <v>ABI4 PILSEN</v>
          </cell>
          <cell r="E844">
            <v>83.75565213044159</v>
          </cell>
          <cell r="F844">
            <v>93.374920762592069</v>
          </cell>
          <cell r="G844">
            <v>580.09100000000001</v>
          </cell>
          <cell r="H844">
            <v>485.85899999999998</v>
          </cell>
          <cell r="I844">
            <v>13.8</v>
          </cell>
          <cell r="J844">
            <v>3.9</v>
          </cell>
        </row>
        <row r="845">
          <cell r="B845" t="str">
            <v>HEINEKEN C 6RH PILSEN</v>
          </cell>
          <cell r="E845">
            <v>81.96305542720394</v>
          </cell>
          <cell r="F845">
            <v>91.376445783692574</v>
          </cell>
          <cell r="G845">
            <v>580.00400000000002</v>
          </cell>
          <cell r="H845">
            <v>475.38900000000001</v>
          </cell>
          <cell r="I845">
            <v>13.8</v>
          </cell>
          <cell r="J845">
            <v>3.9</v>
          </cell>
        </row>
        <row r="846">
          <cell r="B846" t="str">
            <v>ASAHI 2RP PILSEN</v>
          </cell>
          <cell r="E846">
            <v>84.093358137802738</v>
          </cell>
          <cell r="F846">
            <v>93.860298688070188</v>
          </cell>
          <cell r="G846">
            <v>580.00300000000004</v>
          </cell>
          <cell r="H846">
            <v>487.74400000000003</v>
          </cell>
          <cell r="I846">
            <v>13.9</v>
          </cell>
          <cell r="J846">
            <v>3.9</v>
          </cell>
        </row>
        <row r="847">
          <cell r="B847" t="str">
            <v>ASAHI 2RP PILSEN</v>
          </cell>
          <cell r="E847">
            <v>82.868053999068977</v>
          </cell>
          <cell r="F847">
            <v>92.492682802677464</v>
          </cell>
          <cell r="G847">
            <v>580.01</v>
          </cell>
          <cell r="H847">
            <v>480.64299999999997</v>
          </cell>
          <cell r="I847">
            <v>13.9</v>
          </cell>
          <cell r="J847">
            <v>3.9</v>
          </cell>
        </row>
        <row r="848">
          <cell r="B848" t="str">
            <v>HEINEKEN C 6RH PILSEN</v>
          </cell>
          <cell r="E848">
            <v>84.784329141816713</v>
          </cell>
          <cell r="F848">
            <v>94.741558494518443</v>
          </cell>
          <cell r="G848">
            <v>579.98099999999999</v>
          </cell>
          <cell r="H848">
            <v>491.733</v>
          </cell>
          <cell r="I848">
            <v>14</v>
          </cell>
          <cell r="J848">
            <v>3.9</v>
          </cell>
        </row>
        <row r="849">
          <cell r="B849" t="str">
            <v>ASAHI 2RP PILSEN</v>
          </cell>
          <cell r="E849">
            <v>84.282708175569525</v>
          </cell>
          <cell r="F849">
            <v>94.181026228746873</v>
          </cell>
          <cell r="G849">
            <v>584.99900000000002</v>
          </cell>
          <cell r="H849">
            <v>493.053</v>
          </cell>
          <cell r="I849">
            <v>14</v>
          </cell>
          <cell r="J849">
            <v>3.9</v>
          </cell>
        </row>
        <row r="850">
          <cell r="B850" t="str">
            <v>HEINEKEN C 6RH PILSEN</v>
          </cell>
          <cell r="E850">
            <v>83.792670037913581</v>
          </cell>
          <cell r="F850">
            <v>93.633437100505773</v>
          </cell>
          <cell r="G850">
            <v>580.00300000000004</v>
          </cell>
          <cell r="H850">
            <v>486</v>
          </cell>
          <cell r="I850">
            <v>14</v>
          </cell>
          <cell r="J850">
            <v>3.9</v>
          </cell>
        </row>
        <row r="851">
          <cell r="B851" t="str">
            <v>CARLBERG 6RH PILSEN</v>
          </cell>
          <cell r="E851">
            <v>83.705688063272717</v>
          </cell>
          <cell r="F851">
            <v>93.536239800936158</v>
          </cell>
          <cell r="G851">
            <v>580.09199999999998</v>
          </cell>
          <cell r="H851">
            <v>485.57</v>
          </cell>
          <cell r="I851">
            <v>14</v>
          </cell>
          <cell r="J851">
            <v>3.9</v>
          </cell>
        </row>
        <row r="852">
          <cell r="B852" t="str">
            <v>GLOBE PILSEN</v>
          </cell>
          <cell r="E852">
            <v>83.330912123765401</v>
          </cell>
          <cell r="F852">
            <v>93.117449477835521</v>
          </cell>
          <cell r="G852">
            <v>585.10699999999997</v>
          </cell>
          <cell r="H852">
            <v>487.57499999999999</v>
          </cell>
          <cell r="I852">
            <v>14</v>
          </cell>
          <cell r="J852">
            <v>3.9</v>
          </cell>
        </row>
        <row r="853">
          <cell r="B853" t="str">
            <v>CARLBERG 6RH PILSEN</v>
          </cell>
          <cell r="E853">
            <v>82.757764574849233</v>
          </cell>
          <cell r="F853">
            <v>92.47699041445361</v>
          </cell>
          <cell r="G853">
            <v>580.00599999999997</v>
          </cell>
          <cell r="H853">
            <v>480</v>
          </cell>
          <cell r="I853">
            <v>14</v>
          </cell>
          <cell r="J853">
            <v>3.9</v>
          </cell>
        </row>
        <row r="854">
          <cell r="B854" t="str">
            <v>HEINEKEN C 6RH PILSEN</v>
          </cell>
          <cell r="E854">
            <v>82.126293503260257</v>
          </cell>
          <cell r="F854">
            <v>91.77135820538733</v>
          </cell>
          <cell r="G854">
            <v>580.01400000000001</v>
          </cell>
          <cell r="H854">
            <v>476.34399999999999</v>
          </cell>
          <cell r="I854">
            <v>14</v>
          </cell>
          <cell r="J854">
            <v>3.9</v>
          </cell>
        </row>
        <row r="855">
          <cell r="B855" t="str">
            <v>HEINEKEN C 6RH PILSEN</v>
          </cell>
          <cell r="E855">
            <v>84.64639219871485</v>
          </cell>
          <cell r="F855">
            <v>94.697535393440006</v>
          </cell>
          <cell r="G855">
            <v>580.00699999999995</v>
          </cell>
          <cell r="H855">
            <v>490.95499999999998</v>
          </cell>
          <cell r="I855">
            <v>14.1</v>
          </cell>
          <cell r="J855">
            <v>3.9</v>
          </cell>
        </row>
        <row r="856">
          <cell r="B856" t="str">
            <v>HEINEKEN C 6RH PILSEN</v>
          </cell>
          <cell r="E856">
            <v>83.79087581613706</v>
          </cell>
          <cell r="F856">
            <v>93.74043266508464</v>
          </cell>
          <cell r="G856">
            <v>580.01900000000001</v>
          </cell>
          <cell r="H856">
            <v>486.00299999999999</v>
          </cell>
          <cell r="I856">
            <v>14.1</v>
          </cell>
          <cell r="J856">
            <v>3.9</v>
          </cell>
        </row>
        <row r="857">
          <cell r="B857" t="str">
            <v>HEINEKEN C 6RH PILSEN</v>
          </cell>
          <cell r="E857">
            <v>83.576922347488917</v>
          </cell>
          <cell r="F857">
            <v>93.501073778739055</v>
          </cell>
          <cell r="G857">
            <v>580.00699999999995</v>
          </cell>
          <cell r="H857">
            <v>484.75200000000001</v>
          </cell>
          <cell r="I857">
            <v>14.1</v>
          </cell>
          <cell r="J857">
            <v>3.9</v>
          </cell>
        </row>
        <row r="858">
          <cell r="B858" t="str">
            <v>HEINEKEN C 6RH PILSEN</v>
          </cell>
          <cell r="E858">
            <v>82.274007037846104</v>
          </cell>
          <cell r="F858">
            <v>92.043446755960531</v>
          </cell>
          <cell r="G858">
            <v>580.00699999999995</v>
          </cell>
          <cell r="H858">
            <v>477.19499999999999</v>
          </cell>
          <cell r="I858">
            <v>14.1</v>
          </cell>
          <cell r="J858">
            <v>3.9</v>
          </cell>
        </row>
        <row r="859">
          <cell r="B859" t="str">
            <v>HEINEKEN C 6RH PILSEN</v>
          </cell>
          <cell r="E859">
            <v>84.644014618673282</v>
          </cell>
          <cell r="F859">
            <v>94.80524248082169</v>
          </cell>
          <cell r="G859">
            <v>580.08000000000004</v>
          </cell>
          <cell r="H859">
            <v>491.00299999999999</v>
          </cell>
          <cell r="I859">
            <v>14.2</v>
          </cell>
          <cell r="J859">
            <v>3.9</v>
          </cell>
        </row>
        <row r="860">
          <cell r="B860" t="str">
            <v>HEINEKEN C 6RH PILSEN</v>
          </cell>
          <cell r="E860">
            <v>84.310351664531652</v>
          </cell>
          <cell r="F860">
            <v>94.431524416800599</v>
          </cell>
          <cell r="G860">
            <v>580.01300000000003</v>
          </cell>
          <cell r="H860">
            <v>489.01100000000002</v>
          </cell>
          <cell r="I860">
            <v>14.2</v>
          </cell>
          <cell r="J860">
            <v>3.9</v>
          </cell>
        </row>
        <row r="861">
          <cell r="B861" t="str">
            <v>HEINEKEN C 6RH PILSEN</v>
          </cell>
          <cell r="E861">
            <v>84.070514201974049</v>
          </cell>
          <cell r="F861">
            <v>94.162895277502415</v>
          </cell>
          <cell r="G861">
            <v>580.02499999999998</v>
          </cell>
          <cell r="H861">
            <v>487.63</v>
          </cell>
          <cell r="I861">
            <v>14.2</v>
          </cell>
          <cell r="J861">
            <v>3.9</v>
          </cell>
        </row>
        <row r="862">
          <cell r="B862" t="str">
            <v>CARLBERG 6RH PILSEN</v>
          </cell>
          <cell r="E862">
            <v>82.629849418466321</v>
          </cell>
          <cell r="F862">
            <v>92.549283556114375</v>
          </cell>
          <cell r="G862">
            <v>580.01800000000003</v>
          </cell>
          <cell r="H862">
            <v>479.26799999999997</v>
          </cell>
          <cell r="I862">
            <v>14.2</v>
          </cell>
          <cell r="J862">
            <v>3.9</v>
          </cell>
        </row>
        <row r="863">
          <cell r="B863" t="str">
            <v>CARLBERG 6RH PILSEN</v>
          </cell>
          <cell r="E863">
            <v>83.66519714417241</v>
          </cell>
          <cell r="F863">
            <v>93.818266575903948</v>
          </cell>
          <cell r="G863">
            <v>580.00699999999995</v>
          </cell>
          <cell r="H863">
            <v>485.26400000000001</v>
          </cell>
          <cell r="I863">
            <v>14.3</v>
          </cell>
          <cell r="J863">
            <v>3.9</v>
          </cell>
        </row>
        <row r="864">
          <cell r="B864" t="str">
            <v>GLOBE PILSEN</v>
          </cell>
          <cell r="E864">
            <v>82.650636892159369</v>
          </cell>
          <cell r="F864">
            <v>92.680585826563771</v>
          </cell>
          <cell r="G864">
            <v>580.00400000000002</v>
          </cell>
          <cell r="H864">
            <v>479.37700000000001</v>
          </cell>
          <cell r="I864">
            <v>14.3</v>
          </cell>
          <cell r="J864">
            <v>3.9</v>
          </cell>
        </row>
        <row r="865">
          <cell r="B865" t="str">
            <v>ABI4 PILSEN</v>
          </cell>
          <cell r="E865">
            <v>83.076273231957515</v>
          </cell>
          <cell r="F865">
            <v>93.266703943821454</v>
          </cell>
          <cell r="G865">
            <v>580.02</v>
          </cell>
          <cell r="H865">
            <v>481.85899999999998</v>
          </cell>
          <cell r="I865">
            <v>14.4</v>
          </cell>
          <cell r="J865">
            <v>3.9</v>
          </cell>
        </row>
        <row r="866">
          <cell r="B866" t="str">
            <v>GLOBE PILSEN</v>
          </cell>
          <cell r="E866">
            <v>82.760453881893596</v>
          </cell>
          <cell r="F866">
            <v>92.912145070677283</v>
          </cell>
          <cell r="G866">
            <v>584.99800000000005</v>
          </cell>
          <cell r="H866">
            <v>484.14699999999999</v>
          </cell>
          <cell r="I866">
            <v>14.4</v>
          </cell>
          <cell r="J866">
            <v>3.9</v>
          </cell>
        </row>
        <row r="867">
          <cell r="B867" t="str">
            <v>CARLBERG 6RH PILSEN</v>
          </cell>
          <cell r="E867">
            <v>84.740461818827583</v>
          </cell>
          <cell r="F867">
            <v>95.246296851337192</v>
          </cell>
          <cell r="G867">
            <v>580.01099999999997</v>
          </cell>
          <cell r="H867">
            <v>491.50400000000002</v>
          </cell>
          <cell r="I867">
            <v>14.5</v>
          </cell>
          <cell r="J867">
            <v>3.9</v>
          </cell>
        </row>
        <row r="868">
          <cell r="B868" t="str">
            <v>HEINEKEN A 2RP PILSEN</v>
          </cell>
          <cell r="E868">
            <v>84.055077417956113</v>
          </cell>
          <cell r="F868">
            <v>90.347468688350602</v>
          </cell>
          <cell r="G868">
            <v>595.01700000000005</v>
          </cell>
          <cell r="H868">
            <v>500.142</v>
          </cell>
          <cell r="I868">
            <v>10.5</v>
          </cell>
          <cell r="J868">
            <v>3.8</v>
          </cell>
        </row>
        <row r="869">
          <cell r="B869" t="str">
            <v>ABI4 PILSEN</v>
          </cell>
          <cell r="E869">
            <v>84.04026728616337</v>
          </cell>
          <cell r="F869">
            <v>90.53386016717711</v>
          </cell>
          <cell r="G869">
            <v>584.99099999999999</v>
          </cell>
          <cell r="H869">
            <v>491.62799999999999</v>
          </cell>
          <cell r="I869">
            <v>10.7</v>
          </cell>
          <cell r="J869">
            <v>3.8</v>
          </cell>
        </row>
        <row r="870">
          <cell r="B870" t="str">
            <v>ASAHI 2RP PILSEN</v>
          </cell>
          <cell r="E870">
            <v>84.400497622058097</v>
          </cell>
          <cell r="F870">
            <v>91.228403047662795</v>
          </cell>
          <cell r="G870">
            <v>590.00599999999997</v>
          </cell>
          <cell r="H870">
            <v>497.96800000000002</v>
          </cell>
          <cell r="I870">
            <v>11</v>
          </cell>
          <cell r="J870">
            <v>3.8</v>
          </cell>
        </row>
        <row r="871">
          <cell r="B871" t="str">
            <v>HEINEKEN C 6RH PILSEN</v>
          </cell>
          <cell r="E871">
            <v>84.353115205180458</v>
          </cell>
          <cell r="F871">
            <v>91.177187446498436</v>
          </cell>
          <cell r="G871">
            <v>580.02599999999995</v>
          </cell>
          <cell r="H871">
            <v>489.27</v>
          </cell>
          <cell r="I871">
            <v>11</v>
          </cell>
          <cell r="J871">
            <v>3.8</v>
          </cell>
        </row>
        <row r="872">
          <cell r="B872" t="str">
            <v>HEINEKEN C 6RH PILSEN</v>
          </cell>
          <cell r="E872">
            <v>83.888346585863516</v>
          </cell>
          <cell r="F872">
            <v>90.674819568090683</v>
          </cell>
          <cell r="G872">
            <v>590.07600000000002</v>
          </cell>
          <cell r="H872">
            <v>495.005</v>
          </cell>
          <cell r="I872">
            <v>11</v>
          </cell>
          <cell r="J872">
            <v>3.8</v>
          </cell>
        </row>
        <row r="873">
          <cell r="B873" t="str">
            <v>HEINEKEN C 6RH PILSEN</v>
          </cell>
          <cell r="E873">
            <v>83.329310136731209</v>
          </cell>
          <cell r="F873">
            <v>90.07055769835442</v>
          </cell>
          <cell r="G873">
            <v>579.97</v>
          </cell>
          <cell r="H873">
            <v>483.28500000000003</v>
          </cell>
          <cell r="I873">
            <v>11</v>
          </cell>
          <cell r="J873">
            <v>3.8</v>
          </cell>
        </row>
        <row r="874">
          <cell r="B874" t="str">
            <v>HEINEKEN C 6RH PILSEN</v>
          </cell>
          <cell r="E874">
            <v>84.497226690666949</v>
          </cell>
          <cell r="F874">
            <v>91.43569412420878</v>
          </cell>
          <cell r="G874">
            <v>579.99300000000005</v>
          </cell>
          <cell r="H874">
            <v>490.07799999999997</v>
          </cell>
          <cell r="I874">
            <v>11.1</v>
          </cell>
          <cell r="J874">
            <v>3.8</v>
          </cell>
        </row>
        <row r="875">
          <cell r="B875" t="str">
            <v>ASAHI 2RP PILSEN</v>
          </cell>
          <cell r="E875">
            <v>84.227992833910463</v>
          </cell>
          <cell r="F875">
            <v>91.144352200474529</v>
          </cell>
          <cell r="G875">
            <v>590.00099999999998</v>
          </cell>
          <cell r="H875">
            <v>496.94600000000003</v>
          </cell>
          <cell r="I875">
            <v>11.1</v>
          </cell>
          <cell r="J875">
            <v>3.8</v>
          </cell>
        </row>
        <row r="876">
          <cell r="B876" t="str">
            <v>HEINEKEN A 2RP PILSEN</v>
          </cell>
          <cell r="E876">
            <v>83.426245405516241</v>
          </cell>
          <cell r="F876">
            <v>90.27676949393323</v>
          </cell>
          <cell r="G876">
            <v>595.00699999999995</v>
          </cell>
          <cell r="H876">
            <v>496.392</v>
          </cell>
          <cell r="I876">
            <v>11.1</v>
          </cell>
          <cell r="J876">
            <v>3.8</v>
          </cell>
        </row>
        <row r="877">
          <cell r="B877" t="str">
            <v>HEINEKEN C 6RH PILSEN</v>
          </cell>
          <cell r="E877">
            <v>85.689758326539675</v>
          </cell>
          <cell r="F877">
            <v>92.83057152041799</v>
          </cell>
          <cell r="G877">
            <v>590.01099999999997</v>
          </cell>
          <cell r="H877">
            <v>505.57900000000001</v>
          </cell>
          <cell r="I877">
            <v>11.2</v>
          </cell>
          <cell r="J877">
            <v>3.8</v>
          </cell>
        </row>
        <row r="878">
          <cell r="B878" t="str">
            <v>ASAHI 2RP PILSEN</v>
          </cell>
          <cell r="E878">
            <v>83.518247333916378</v>
          </cell>
          <cell r="F878">
            <v>90.478101278409412</v>
          </cell>
          <cell r="G878">
            <v>590.00400000000002</v>
          </cell>
          <cell r="H878">
            <v>492.76100000000002</v>
          </cell>
          <cell r="I878">
            <v>11.2</v>
          </cell>
          <cell r="J878">
            <v>3.8</v>
          </cell>
        </row>
        <row r="879">
          <cell r="B879" t="str">
            <v>HEINEKEN C 6RH PILSEN</v>
          </cell>
          <cell r="E879">
            <v>85.763535192432528</v>
          </cell>
          <cell r="F879">
            <v>93.015243354137638</v>
          </cell>
          <cell r="G879">
            <v>589.99900000000002</v>
          </cell>
          <cell r="H879">
            <v>506.00400000000002</v>
          </cell>
          <cell r="I879">
            <v>11.3</v>
          </cell>
          <cell r="J879">
            <v>3.8</v>
          </cell>
        </row>
        <row r="880">
          <cell r="B880" t="str">
            <v>ASAHI 2RP PILSEN</v>
          </cell>
          <cell r="E880">
            <v>84.002474534329934</v>
          </cell>
          <cell r="F880">
            <v>91.105276777931664</v>
          </cell>
          <cell r="G880">
            <v>590.01</v>
          </cell>
          <cell r="H880">
            <v>495.62299999999999</v>
          </cell>
          <cell r="I880">
            <v>11.3</v>
          </cell>
          <cell r="J880">
            <v>3.8</v>
          </cell>
        </row>
        <row r="881">
          <cell r="B881" t="str">
            <v>GLOBE PILSEN</v>
          </cell>
          <cell r="E881">
            <v>83.918757667938351</v>
          </cell>
          <cell r="F881">
            <v>91.01448125880124</v>
          </cell>
          <cell r="G881">
            <v>595.01</v>
          </cell>
          <cell r="H881">
            <v>499.32499999999999</v>
          </cell>
          <cell r="I881">
            <v>11.3</v>
          </cell>
          <cell r="J881">
            <v>3.8</v>
          </cell>
        </row>
        <row r="882">
          <cell r="B882" t="str">
            <v>HEINEKEN A 2RP PILSEN</v>
          </cell>
          <cell r="E882">
            <v>84.377301891509049</v>
          </cell>
          <cell r="F882">
            <v>91.615083995069639</v>
          </cell>
          <cell r="G882">
            <v>600.04999999999995</v>
          </cell>
          <cell r="H882">
            <v>506.30599999999998</v>
          </cell>
          <cell r="I882">
            <v>11.4</v>
          </cell>
          <cell r="J882">
            <v>3.8</v>
          </cell>
        </row>
        <row r="883">
          <cell r="B883" t="str">
            <v>GLOBE PILSEN</v>
          </cell>
          <cell r="E883">
            <v>83.135049757314476</v>
          </cell>
          <cell r="F883">
            <v>90.266272987061541</v>
          </cell>
          <cell r="G883">
            <v>590.06399999999996</v>
          </cell>
          <cell r="H883">
            <v>490.55</v>
          </cell>
          <cell r="I883">
            <v>11.4</v>
          </cell>
          <cell r="J883">
            <v>3.8</v>
          </cell>
        </row>
        <row r="884">
          <cell r="B884" t="str">
            <v>ASAHI 2RP PILSEN</v>
          </cell>
          <cell r="E884">
            <v>82.339614904347911</v>
          </cell>
          <cell r="F884">
            <v>89.402606702012079</v>
          </cell>
          <cell r="G884">
            <v>595.02099999999996</v>
          </cell>
          <cell r="H884">
            <v>489.93799999999999</v>
          </cell>
          <cell r="I884">
            <v>11.4</v>
          </cell>
          <cell r="J884">
            <v>3.8</v>
          </cell>
        </row>
        <row r="885">
          <cell r="B885" t="str">
            <v>ASAHI 2RP PILSEN</v>
          </cell>
          <cell r="E885">
            <v>86.227325723272159</v>
          </cell>
          <cell r="F885">
            <v>93.729590221229159</v>
          </cell>
          <cell r="G885">
            <v>590.096</v>
          </cell>
          <cell r="H885">
            <v>508.82400000000001</v>
          </cell>
          <cell r="I885">
            <v>11.5</v>
          </cell>
          <cell r="J885">
            <v>3.8</v>
          </cell>
        </row>
        <row r="886">
          <cell r="B886" t="str">
            <v>HEINEKEN C 6RH PILSEN</v>
          </cell>
          <cell r="E886">
            <v>85.918278797164788</v>
          </cell>
          <cell r="F886">
            <v>93.393654466522619</v>
          </cell>
          <cell r="G886">
            <v>590.00599999999997</v>
          </cell>
          <cell r="H886">
            <v>506.923</v>
          </cell>
          <cell r="I886">
            <v>11.5</v>
          </cell>
          <cell r="J886">
            <v>3.8</v>
          </cell>
        </row>
        <row r="887">
          <cell r="B887" t="str">
            <v>HEINEKEN C 6RH PILSEN</v>
          </cell>
          <cell r="E887">
            <v>85.817004226357099</v>
          </cell>
          <cell r="F887">
            <v>93.283568435881946</v>
          </cell>
          <cell r="G887">
            <v>583.00800000000004</v>
          </cell>
          <cell r="H887">
            <v>500.32</v>
          </cell>
          <cell r="I887">
            <v>11.5</v>
          </cell>
          <cell r="J887">
            <v>3.8</v>
          </cell>
        </row>
        <row r="888">
          <cell r="B888" t="str">
            <v>HEINEKEN C 6RH PILSEN</v>
          </cell>
          <cell r="E888">
            <v>84.543702616445117</v>
          </cell>
          <cell r="F888">
            <v>91.899482392113214</v>
          </cell>
          <cell r="G888">
            <v>589.99900000000002</v>
          </cell>
          <cell r="H888">
            <v>498.80700000000002</v>
          </cell>
          <cell r="I888">
            <v>11.5</v>
          </cell>
          <cell r="J888">
            <v>3.8</v>
          </cell>
        </row>
        <row r="889">
          <cell r="B889" t="str">
            <v>HEINEKEN C 6RH PILSEN</v>
          </cell>
          <cell r="E889">
            <v>82.984215109011444</v>
          </cell>
          <cell r="F889">
            <v>90.204310660868927</v>
          </cell>
          <cell r="G889">
            <v>579.98500000000001</v>
          </cell>
          <cell r="H889">
            <v>481.29599999999999</v>
          </cell>
          <cell r="I889">
            <v>11.5</v>
          </cell>
          <cell r="J889">
            <v>3.8</v>
          </cell>
        </row>
        <row r="890">
          <cell r="B890" t="str">
            <v>HEINEKEN C 6RH PILSEN</v>
          </cell>
          <cell r="E890">
            <v>86.000586196789726</v>
          </cell>
          <cell r="F890">
            <v>93.588873214153509</v>
          </cell>
          <cell r="G890">
            <v>580.01</v>
          </cell>
          <cell r="H890">
            <v>498.81200000000001</v>
          </cell>
          <cell r="I890">
            <v>11.6</v>
          </cell>
          <cell r="J890">
            <v>3.8</v>
          </cell>
        </row>
        <row r="891">
          <cell r="B891" t="str">
            <v>HEINEKEN C 6RH PILSEN</v>
          </cell>
          <cell r="E891">
            <v>85.007423829475655</v>
          </cell>
          <cell r="F891">
            <v>92.508078873252913</v>
          </cell>
          <cell r="G891">
            <v>589.99199999999996</v>
          </cell>
          <cell r="H891">
            <v>501.53699999999998</v>
          </cell>
          <cell r="I891">
            <v>11.6</v>
          </cell>
          <cell r="J891">
            <v>3.8</v>
          </cell>
        </row>
        <row r="892">
          <cell r="B892" t="str">
            <v>HEINEKEN C 6RH PILSEN</v>
          </cell>
          <cell r="E892">
            <v>84.411600909672416</v>
          </cell>
          <cell r="F892">
            <v>91.85968334287881</v>
          </cell>
          <cell r="G892">
            <v>579.98900000000003</v>
          </cell>
          <cell r="H892">
            <v>489.57799999999997</v>
          </cell>
          <cell r="I892">
            <v>11.6</v>
          </cell>
          <cell r="J892">
            <v>3.8</v>
          </cell>
        </row>
        <row r="893">
          <cell r="B893" t="str">
            <v>HEINEKEN C 6RH PILSEN</v>
          </cell>
          <cell r="E893">
            <v>83.837935097881484</v>
          </cell>
          <cell r="F893">
            <v>91.235399959459258</v>
          </cell>
          <cell r="G893">
            <v>583.00099999999998</v>
          </cell>
          <cell r="H893">
            <v>488.77600000000001</v>
          </cell>
          <cell r="I893">
            <v>11.6</v>
          </cell>
          <cell r="J893">
            <v>3.8</v>
          </cell>
        </row>
        <row r="894">
          <cell r="B894" t="str">
            <v>HEINEKEN C 6RH PILSEN</v>
          </cell>
          <cell r="E894">
            <v>82.814991819289915</v>
          </cell>
          <cell r="F894">
            <v>90.122196979815499</v>
          </cell>
          <cell r="G894">
            <v>580.02300000000002</v>
          </cell>
          <cell r="H894">
            <v>480.346</v>
          </cell>
          <cell r="I894">
            <v>11.6</v>
          </cell>
          <cell r="J894">
            <v>3.8</v>
          </cell>
        </row>
        <row r="895">
          <cell r="B895" t="str">
            <v>HEINEKEN C 6RH PILSEN</v>
          </cell>
          <cell r="E895">
            <v>83.806546828825915</v>
          </cell>
          <cell r="F895">
            <v>91.304527802186314</v>
          </cell>
          <cell r="G895">
            <v>580.00599999999997</v>
          </cell>
          <cell r="H895">
            <v>486.08300000000003</v>
          </cell>
          <cell r="I895">
            <v>11.7</v>
          </cell>
          <cell r="J895">
            <v>3.8</v>
          </cell>
        </row>
        <row r="896">
          <cell r="B896" t="str">
            <v>HEINEKEN C 6RH PILSEN</v>
          </cell>
          <cell r="E896">
            <v>82.545544362550444</v>
          </cell>
          <cell r="F896">
            <v>89.930706315711802</v>
          </cell>
          <cell r="G896">
            <v>583.00300000000004</v>
          </cell>
          <cell r="H896">
            <v>481.24299999999999</v>
          </cell>
          <cell r="I896">
            <v>11.7</v>
          </cell>
          <cell r="J896">
            <v>3.8</v>
          </cell>
        </row>
        <row r="897">
          <cell r="B897" t="str">
            <v>HEINEKEN C 6RH PILSEN</v>
          </cell>
          <cell r="E897">
            <v>85.71997572906038</v>
          </cell>
          <cell r="F897">
            <v>93.495030216957019</v>
          </cell>
          <cell r="G897">
            <v>590.00599999999997</v>
          </cell>
          <cell r="H897">
            <v>505.75299999999999</v>
          </cell>
          <cell r="I897">
            <v>11.8</v>
          </cell>
          <cell r="J897">
            <v>3.8</v>
          </cell>
        </row>
        <row r="898">
          <cell r="B898" t="str">
            <v>HEINEKEN C 6RH PILSEN</v>
          </cell>
          <cell r="E898">
            <v>82.861640370825668</v>
          </cell>
          <cell r="F898">
            <v>90.377435415798516</v>
          </cell>
          <cell r="G898">
            <v>580.00300000000004</v>
          </cell>
          <cell r="H898">
            <v>480.6</v>
          </cell>
          <cell r="I898">
            <v>11.8</v>
          </cell>
          <cell r="J898">
            <v>3.8</v>
          </cell>
        </row>
        <row r="899">
          <cell r="B899" t="str">
            <v>HEINEKEN C 6RH PILSEN</v>
          </cell>
          <cell r="E899">
            <v>82.156514542852705</v>
          </cell>
          <cell r="F899">
            <v>89.608352596626219</v>
          </cell>
          <cell r="G899">
            <v>580.01</v>
          </cell>
          <cell r="H899">
            <v>476.51600000000002</v>
          </cell>
          <cell r="I899">
            <v>11.8</v>
          </cell>
          <cell r="J899">
            <v>3.8</v>
          </cell>
        </row>
        <row r="900">
          <cell r="B900" t="str">
            <v>HEINEKEN C 6RH PILSEN</v>
          </cell>
          <cell r="E900">
            <v>85.311839511592396</v>
          </cell>
          <cell r="F900">
            <v>93.155493314587829</v>
          </cell>
          <cell r="G900">
            <v>589.99900000000002</v>
          </cell>
          <cell r="H900">
            <v>503.339</v>
          </cell>
          <cell r="I900">
            <v>11.9</v>
          </cell>
          <cell r="J900">
            <v>3.8</v>
          </cell>
        </row>
        <row r="901">
          <cell r="B901" t="str">
            <v>GLOBE PILSEN</v>
          </cell>
          <cell r="E901">
            <v>83.977391710630016</v>
          </cell>
          <cell r="F901">
            <v>91.698355080165825</v>
          </cell>
          <cell r="G901">
            <v>595.00300000000004</v>
          </cell>
          <cell r="H901">
            <v>499.66800000000001</v>
          </cell>
          <cell r="I901">
            <v>11.9</v>
          </cell>
          <cell r="J901">
            <v>3.8</v>
          </cell>
        </row>
        <row r="902">
          <cell r="B902" t="str">
            <v>HEINEKEN C 6RH PILSEN</v>
          </cell>
          <cell r="E902">
            <v>83.467557702685696</v>
          </cell>
          <cell r="F902">
            <v>91.141646435849751</v>
          </cell>
          <cell r="G902">
            <v>579.99900000000002</v>
          </cell>
          <cell r="H902">
            <v>484.11099999999999</v>
          </cell>
          <cell r="I902">
            <v>11.9</v>
          </cell>
          <cell r="J902">
            <v>3.8</v>
          </cell>
        </row>
        <row r="903">
          <cell r="B903" t="str">
            <v>HEINEKEN C 6RH PILSEN</v>
          </cell>
          <cell r="E903">
            <v>83.333103448275864</v>
          </cell>
          <cell r="F903">
            <v>90.994830326040159</v>
          </cell>
          <cell r="G903">
            <v>580</v>
          </cell>
          <cell r="H903">
            <v>483.33199999999999</v>
          </cell>
          <cell r="I903">
            <v>11.9</v>
          </cell>
          <cell r="J903">
            <v>3.8</v>
          </cell>
        </row>
        <row r="904">
          <cell r="B904" t="str">
            <v>HEINEKEN C 6RH PILSEN</v>
          </cell>
          <cell r="E904">
            <v>83.161927356049162</v>
          </cell>
          <cell r="F904">
            <v>90.807916136798283</v>
          </cell>
          <cell r="G904">
            <v>580.00699999999995</v>
          </cell>
          <cell r="H904">
            <v>482.34500000000003</v>
          </cell>
          <cell r="I904">
            <v>11.9</v>
          </cell>
          <cell r="J904">
            <v>3.8</v>
          </cell>
        </row>
        <row r="905">
          <cell r="B905" t="str">
            <v>HEINEKEN C 6RH PILSEN</v>
          </cell>
          <cell r="E905">
            <v>84.07337355234823</v>
          </cell>
          <cell r="F905">
            <v>91.907483360635226</v>
          </cell>
          <cell r="G905">
            <v>579.99099999999999</v>
          </cell>
          <cell r="H905">
            <v>487.61799999999999</v>
          </cell>
          <cell r="I905">
            <v>12</v>
          </cell>
          <cell r="J905">
            <v>3.8</v>
          </cell>
        </row>
        <row r="906">
          <cell r="B906" t="str">
            <v>HEINEKEN C 6RH PILSEN</v>
          </cell>
          <cell r="E906">
            <v>84.011854947578584</v>
          </cell>
          <cell r="F906">
            <v>91.840232340421139</v>
          </cell>
          <cell r="G906">
            <v>580.01099999999997</v>
          </cell>
          <cell r="H906">
            <v>487.27800000000002</v>
          </cell>
          <cell r="I906">
            <v>12</v>
          </cell>
          <cell r="J906">
            <v>3.8</v>
          </cell>
        </row>
        <row r="907">
          <cell r="B907" t="str">
            <v>HEINEKEN C 6RH PILSEN</v>
          </cell>
          <cell r="E907">
            <v>83.765004465563436</v>
          </cell>
          <cell r="F907">
            <v>91.570379881672764</v>
          </cell>
          <cell r="G907">
            <v>579.99400000000003</v>
          </cell>
          <cell r="H907">
            <v>485.83199999999999</v>
          </cell>
          <cell r="I907">
            <v>12</v>
          </cell>
          <cell r="J907">
            <v>3.8</v>
          </cell>
        </row>
        <row r="908">
          <cell r="B908" t="str">
            <v>GLOBE PILSEN</v>
          </cell>
          <cell r="E908">
            <v>83.555259767993533</v>
          </cell>
          <cell r="F908">
            <v>91.341090791829288</v>
          </cell>
          <cell r="G908">
            <v>583.00099999999998</v>
          </cell>
          <cell r="H908">
            <v>487.12799999999999</v>
          </cell>
          <cell r="I908">
            <v>12</v>
          </cell>
          <cell r="J908">
            <v>3.8</v>
          </cell>
        </row>
        <row r="909">
          <cell r="B909" t="str">
            <v>GLOBE PILSEN</v>
          </cell>
          <cell r="E909">
            <v>82.630690832817933</v>
          </cell>
          <cell r="F909">
            <v>90.330368842239608</v>
          </cell>
          <cell r="G909">
            <v>594.99199999999996</v>
          </cell>
          <cell r="H909">
            <v>491.64600000000002</v>
          </cell>
          <cell r="I909">
            <v>12</v>
          </cell>
          <cell r="J909">
            <v>3.8</v>
          </cell>
        </row>
        <row r="910">
          <cell r="B910" t="str">
            <v>HEINEKEN C 6RH PILSEN</v>
          </cell>
          <cell r="E910">
            <v>82.559871721926243</v>
          </cell>
          <cell r="F910">
            <v>90.252950677832999</v>
          </cell>
          <cell r="G910">
            <v>579.99</v>
          </cell>
          <cell r="H910">
            <v>478.839</v>
          </cell>
          <cell r="I910">
            <v>12</v>
          </cell>
          <cell r="J910">
            <v>3.8</v>
          </cell>
        </row>
        <row r="911">
          <cell r="B911" t="str">
            <v>HEINEKEN C 6RH PILSEN</v>
          </cell>
          <cell r="E911">
            <v>85.506305622266026</v>
          </cell>
          <cell r="F911">
            <v>93.580279873287736</v>
          </cell>
          <cell r="G911">
            <v>590.029</v>
          </cell>
          <cell r="H911">
            <v>504.512</v>
          </cell>
          <cell r="I911">
            <v>12.1</v>
          </cell>
          <cell r="J911">
            <v>3.8</v>
          </cell>
        </row>
        <row r="912">
          <cell r="B912" t="str">
            <v>HEINEKEN C 6RH PILSEN</v>
          </cell>
          <cell r="E912">
            <v>84.72799377783096</v>
          </cell>
          <cell r="F912">
            <v>92.728475556625014</v>
          </cell>
          <cell r="G912">
            <v>585.005</v>
          </cell>
          <cell r="H912">
            <v>495.66300000000001</v>
          </cell>
          <cell r="I912">
            <v>12.1</v>
          </cell>
          <cell r="J912">
            <v>3.8</v>
          </cell>
        </row>
        <row r="913">
          <cell r="B913" t="str">
            <v>CARLBERG 2RP PILSEN</v>
          </cell>
          <cell r="E913">
            <v>84.632537489542258</v>
          </cell>
          <cell r="F913">
            <v>92.624005762161161</v>
          </cell>
          <cell r="G913">
            <v>600.03399999999999</v>
          </cell>
          <cell r="H913">
            <v>507.82400000000001</v>
          </cell>
          <cell r="I913">
            <v>12.1</v>
          </cell>
          <cell r="J913">
            <v>3.8</v>
          </cell>
        </row>
        <row r="914">
          <cell r="B914" t="str">
            <v>CARLBERG 6RH PILSEN</v>
          </cell>
          <cell r="E914">
            <v>84.014888160827397</v>
          </cell>
          <cell r="F914">
            <v>91.948034596946499</v>
          </cell>
          <cell r="G914">
            <v>589.99900000000002</v>
          </cell>
          <cell r="H914">
            <v>495.68700000000001</v>
          </cell>
          <cell r="I914">
            <v>12.1</v>
          </cell>
          <cell r="J914">
            <v>3.8</v>
          </cell>
        </row>
        <row r="915">
          <cell r="B915" t="str">
            <v>HEINEKEN C 6RH PILSEN</v>
          </cell>
          <cell r="E915">
            <v>83.53730236728218</v>
          </cell>
          <cell r="F915">
            <v>91.425352533931132</v>
          </cell>
          <cell r="G915">
            <v>579.99</v>
          </cell>
          <cell r="H915">
            <v>484.50799999999998</v>
          </cell>
          <cell r="I915">
            <v>12.1</v>
          </cell>
          <cell r="J915">
            <v>3.8</v>
          </cell>
        </row>
        <row r="916">
          <cell r="B916" t="str">
            <v>HEINEKEN C 6RH PILSEN</v>
          </cell>
          <cell r="E916">
            <v>84.434616942957391</v>
          </cell>
          <cell r="F916">
            <v>92.512644076452176</v>
          </cell>
          <cell r="G916">
            <v>580.005</v>
          </cell>
          <cell r="H916">
            <v>489.72500000000002</v>
          </cell>
          <cell r="I916">
            <v>12.2</v>
          </cell>
          <cell r="J916">
            <v>3.8</v>
          </cell>
        </row>
        <row r="917">
          <cell r="B917" t="str">
            <v>HEINEKEN C 6RH PILSEN</v>
          </cell>
          <cell r="E917">
            <v>84.032297429222254</v>
          </cell>
          <cell r="F917">
            <v>92.071833857530535</v>
          </cell>
          <cell r="G917">
            <v>590.01599999999996</v>
          </cell>
          <cell r="H917">
            <v>495.80399999999997</v>
          </cell>
          <cell r="I917">
            <v>12.2</v>
          </cell>
          <cell r="J917">
            <v>3.8</v>
          </cell>
        </row>
        <row r="918">
          <cell r="B918" t="str">
            <v>HEINEKEN C 6RH PILSEN</v>
          </cell>
          <cell r="E918">
            <v>82.367504568807973</v>
          </cell>
          <cell r="F918">
            <v>90.2477669649126</v>
          </cell>
          <cell r="G918">
            <v>580.02</v>
          </cell>
          <cell r="H918">
            <v>477.74799999999999</v>
          </cell>
          <cell r="I918">
            <v>12.2</v>
          </cell>
          <cell r="J918">
            <v>3.8</v>
          </cell>
        </row>
        <row r="919">
          <cell r="B919" t="str">
            <v>GLOBE PILSEN</v>
          </cell>
          <cell r="E919">
            <v>83.902793786706184</v>
          </cell>
          <cell r="F919">
            <v>92.034763537983295</v>
          </cell>
          <cell r="G919">
            <v>583.00800000000004</v>
          </cell>
          <cell r="H919">
            <v>489.16</v>
          </cell>
          <cell r="I919">
            <v>12.3</v>
          </cell>
          <cell r="J919">
            <v>3.8</v>
          </cell>
        </row>
        <row r="920">
          <cell r="B920" t="str">
            <v>HEINEKEN C 6RH PILSEN</v>
          </cell>
          <cell r="E920">
            <v>83.51953958779454</v>
          </cell>
          <cell r="F920">
            <v>91.614363835186253</v>
          </cell>
          <cell r="G920">
            <v>580.00199999999995</v>
          </cell>
          <cell r="H920">
            <v>484.41500000000002</v>
          </cell>
          <cell r="I920">
            <v>12.3</v>
          </cell>
          <cell r="J920">
            <v>3.8</v>
          </cell>
        </row>
        <row r="921">
          <cell r="B921" t="str">
            <v>ABI4 PILSEN</v>
          </cell>
          <cell r="E921">
            <v>82.98821363053284</v>
          </cell>
          <cell r="F921">
            <v>91.031541063366689</v>
          </cell>
          <cell r="G921">
            <v>579.99199999999996</v>
          </cell>
          <cell r="H921">
            <v>481.32499999999999</v>
          </cell>
          <cell r="I921">
            <v>12.3</v>
          </cell>
          <cell r="J921">
            <v>3.8</v>
          </cell>
        </row>
        <row r="922">
          <cell r="B922" t="str">
            <v>ASAHI 2RP PILSEN</v>
          </cell>
          <cell r="E922">
            <v>82.199444837157969</v>
          </cell>
          <cell r="F922">
            <v>90.166323755240569</v>
          </cell>
          <cell r="G922">
            <v>580.01</v>
          </cell>
          <cell r="H922">
            <v>476.76499999999999</v>
          </cell>
          <cell r="I922">
            <v>12.3</v>
          </cell>
          <cell r="J922">
            <v>3.8</v>
          </cell>
        </row>
        <row r="923">
          <cell r="B923" t="str">
            <v>HEINEKEN A 2RP PILSEN</v>
          </cell>
          <cell r="E923">
            <v>84.957795907665314</v>
          </cell>
          <cell r="F923">
            <v>93.298401441979507</v>
          </cell>
          <cell r="G923">
            <v>594.96600000000001</v>
          </cell>
          <cell r="H923">
            <v>505.47</v>
          </cell>
          <cell r="I923">
            <v>12.4</v>
          </cell>
          <cell r="J923">
            <v>3.8</v>
          </cell>
        </row>
        <row r="924">
          <cell r="B924" t="str">
            <v>HEINEKEN A 2RP PILSEN</v>
          </cell>
          <cell r="E924">
            <v>84.551180260655627</v>
          </cell>
          <cell r="F924">
            <v>92.851866907249672</v>
          </cell>
          <cell r="G924">
            <v>579.99900000000002</v>
          </cell>
          <cell r="H924">
            <v>490.39600000000002</v>
          </cell>
          <cell r="I924">
            <v>12.4</v>
          </cell>
          <cell r="J924">
            <v>3.8</v>
          </cell>
        </row>
        <row r="925">
          <cell r="B925" t="str">
            <v>HEINEKEN C 6RH PILSEN</v>
          </cell>
          <cell r="E925">
            <v>81.645760593128998</v>
          </cell>
          <cell r="F925">
            <v>89.661211975559482</v>
          </cell>
          <cell r="G925">
            <v>579.97500000000002</v>
          </cell>
          <cell r="H925">
            <v>473.52499999999998</v>
          </cell>
          <cell r="I925">
            <v>12.4</v>
          </cell>
          <cell r="J925">
            <v>3.8</v>
          </cell>
        </row>
        <row r="926">
          <cell r="B926" t="str">
            <v>HEINEKEN C 6RH PILSEN</v>
          </cell>
          <cell r="E926">
            <v>84.923431554504688</v>
          </cell>
          <cell r="F926">
            <v>93.367247034781158</v>
          </cell>
          <cell r="G926">
            <v>589.995</v>
          </cell>
          <cell r="H926">
            <v>501.04399999999998</v>
          </cell>
          <cell r="I926">
            <v>12.5</v>
          </cell>
          <cell r="J926">
            <v>3.8</v>
          </cell>
        </row>
        <row r="927">
          <cell r="B927" t="str">
            <v>CARLBERG 2RP PILSEN</v>
          </cell>
          <cell r="E927">
            <v>84.888422221417613</v>
          </cell>
          <cell r="F927">
            <v>93.328756773718553</v>
          </cell>
          <cell r="G927">
            <v>579.99900000000002</v>
          </cell>
          <cell r="H927">
            <v>492.35199999999998</v>
          </cell>
          <cell r="I927">
            <v>12.5</v>
          </cell>
          <cell r="J927">
            <v>3.8</v>
          </cell>
        </row>
        <row r="928">
          <cell r="B928" t="str">
            <v>HEINEKEN C 6RH PILSEN</v>
          </cell>
          <cell r="E928">
            <v>85.026610169491519</v>
          </cell>
          <cell r="F928">
            <v>93.587641857037582</v>
          </cell>
          <cell r="G928">
            <v>590</v>
          </cell>
          <cell r="H928">
            <v>501.65699999999998</v>
          </cell>
          <cell r="I928">
            <v>12.6</v>
          </cell>
          <cell r="J928">
            <v>3.8</v>
          </cell>
        </row>
        <row r="929">
          <cell r="B929" t="str">
            <v>HEINEKEN C 6RH PILSEN</v>
          </cell>
          <cell r="E929">
            <v>85.010627154668299</v>
          </cell>
          <cell r="F929">
            <v>93.570049568410653</v>
          </cell>
          <cell r="G929">
            <v>589.99800000000005</v>
          </cell>
          <cell r="H929">
            <v>501.56099999999998</v>
          </cell>
          <cell r="I929">
            <v>12.6</v>
          </cell>
          <cell r="J929">
            <v>3.8</v>
          </cell>
        </row>
        <row r="930">
          <cell r="B930" t="str">
            <v>HEINEKEN C 6RH PILSEN</v>
          </cell>
          <cell r="E930">
            <v>84.41561303006678</v>
          </cell>
          <cell r="F930">
            <v>92.915125554833239</v>
          </cell>
          <cell r="G930">
            <v>590.02</v>
          </cell>
          <cell r="H930">
            <v>498.06900000000002</v>
          </cell>
          <cell r="I930">
            <v>12.6</v>
          </cell>
          <cell r="J930">
            <v>3.8</v>
          </cell>
        </row>
        <row r="931">
          <cell r="B931" t="str">
            <v>ABI4 PILSEN</v>
          </cell>
          <cell r="E931">
            <v>81.868562031842401</v>
          </cell>
          <cell r="F931">
            <v>90.111620909190378</v>
          </cell>
          <cell r="G931">
            <v>585.00599999999997</v>
          </cell>
          <cell r="H931">
            <v>478.93599999999998</v>
          </cell>
          <cell r="I931">
            <v>12.6</v>
          </cell>
          <cell r="J931">
            <v>3.8</v>
          </cell>
        </row>
        <row r="932">
          <cell r="B932" t="str">
            <v>HEINEKEN A 2RP PILSEN</v>
          </cell>
          <cell r="E932">
            <v>84.956103164401171</v>
          </cell>
          <cell r="F932">
            <v>93.724508307515961</v>
          </cell>
          <cell r="G932">
            <v>585.00800000000004</v>
          </cell>
          <cell r="H932">
            <v>497</v>
          </cell>
          <cell r="I932">
            <v>12.8</v>
          </cell>
          <cell r="J932">
            <v>3.8</v>
          </cell>
        </row>
        <row r="933">
          <cell r="B933" t="str">
            <v>HEINEKEN C 6RH PILSEN</v>
          </cell>
          <cell r="E933">
            <v>84.57259998586224</v>
          </cell>
          <cell r="F933">
            <v>93.301423378898491</v>
          </cell>
          <cell r="G933">
            <v>580.00699999999995</v>
          </cell>
          <cell r="H933">
            <v>490.52699999999999</v>
          </cell>
          <cell r="I933">
            <v>12.8</v>
          </cell>
          <cell r="J933">
            <v>3.8</v>
          </cell>
        </row>
        <row r="934">
          <cell r="B934" t="str">
            <v>GLOBE PILSEN</v>
          </cell>
          <cell r="E934">
            <v>83.759967863522533</v>
          </cell>
          <cell r="F934">
            <v>92.40491867512462</v>
          </cell>
          <cell r="G934">
            <v>585.005</v>
          </cell>
          <cell r="H934">
            <v>490</v>
          </cell>
          <cell r="I934">
            <v>12.8</v>
          </cell>
          <cell r="J934">
            <v>3.8</v>
          </cell>
        </row>
        <row r="935">
          <cell r="B935" t="str">
            <v>ABI4 PILSEN</v>
          </cell>
          <cell r="E935">
            <v>83.573474113243478</v>
          </cell>
          <cell r="F935">
            <v>92.199176716674572</v>
          </cell>
          <cell r="G935">
            <v>580.00699999999995</v>
          </cell>
          <cell r="H935">
            <v>484.73200000000003</v>
          </cell>
          <cell r="I935">
            <v>12.8</v>
          </cell>
          <cell r="J935">
            <v>3.8</v>
          </cell>
        </row>
        <row r="936">
          <cell r="B936" t="str">
            <v>GLOBE PILSEN</v>
          </cell>
          <cell r="E936">
            <v>83.278505936186434</v>
          </cell>
          <cell r="F936">
            <v>91.873764576389163</v>
          </cell>
          <cell r="G936">
            <v>580.00199999999995</v>
          </cell>
          <cell r="H936">
            <v>483.017</v>
          </cell>
          <cell r="I936">
            <v>12.8</v>
          </cell>
          <cell r="J936">
            <v>3.8</v>
          </cell>
        </row>
        <row r="937">
          <cell r="B937" t="str">
            <v>HEINEKEN C 6RH PILSEN</v>
          </cell>
          <cell r="E937">
            <v>82.378590307914322</v>
          </cell>
          <cell r="F937">
            <v>90.88096774795136</v>
          </cell>
          <cell r="G937">
            <v>579.99900000000002</v>
          </cell>
          <cell r="H937">
            <v>477.79500000000002</v>
          </cell>
          <cell r="I937">
            <v>12.8</v>
          </cell>
          <cell r="J937">
            <v>3.8</v>
          </cell>
        </row>
        <row r="938">
          <cell r="B938" t="str">
            <v>ABI4 PILSEN</v>
          </cell>
          <cell r="E938">
            <v>85.016611811196029</v>
          </cell>
          <cell r="F938">
            <v>93.898944388485177</v>
          </cell>
          <cell r="G938">
            <v>580.00900000000001</v>
          </cell>
          <cell r="H938">
            <v>493.10399999999998</v>
          </cell>
          <cell r="I938">
            <v>12.9</v>
          </cell>
          <cell r="J938">
            <v>3.8</v>
          </cell>
        </row>
        <row r="939">
          <cell r="B939" t="str">
            <v>HEINEKEN A 2RP PILSEN</v>
          </cell>
          <cell r="E939">
            <v>83.787539764073614</v>
          </cell>
          <cell r="F939">
            <v>92.647831325331978</v>
          </cell>
          <cell r="G939">
            <v>585.01300000000003</v>
          </cell>
          <cell r="H939">
            <v>490.16800000000001</v>
          </cell>
          <cell r="I939">
            <v>13</v>
          </cell>
          <cell r="J939">
            <v>3.8</v>
          </cell>
        </row>
        <row r="940">
          <cell r="B940" t="str">
            <v>GLOBE PILSEN</v>
          </cell>
          <cell r="E940">
            <v>85.827462080423345</v>
          </cell>
          <cell r="F940">
            <v>95.012679541274167</v>
          </cell>
          <cell r="G940">
            <v>585.05399999999997</v>
          </cell>
          <cell r="H940">
            <v>502.137</v>
          </cell>
          <cell r="I940">
            <v>13.1</v>
          </cell>
          <cell r="J940">
            <v>3.8</v>
          </cell>
        </row>
        <row r="941">
          <cell r="B941" t="str">
            <v>HEINEKEN C 6RH PILSEN</v>
          </cell>
          <cell r="E941">
            <v>84.134991706982348</v>
          </cell>
          <cell r="F941">
            <v>93.139081728558125</v>
          </cell>
          <cell r="G941">
            <v>580.00599999999997</v>
          </cell>
          <cell r="H941">
            <v>487.988</v>
          </cell>
          <cell r="I941">
            <v>13.1</v>
          </cell>
          <cell r="J941">
            <v>3.8</v>
          </cell>
        </row>
        <row r="942">
          <cell r="B942" t="str">
            <v>HEINEKEN A 2RP PILSEN</v>
          </cell>
          <cell r="E942">
            <v>84.01238968005292</v>
          </cell>
          <cell r="F942">
            <v>93.003358886318665</v>
          </cell>
          <cell r="G942">
            <v>585.00300000000004</v>
          </cell>
          <cell r="H942">
            <v>491.47500000000002</v>
          </cell>
          <cell r="I942">
            <v>13.1</v>
          </cell>
          <cell r="J942">
            <v>3.8</v>
          </cell>
        </row>
        <row r="943">
          <cell r="B943" t="str">
            <v>HEINEKEN A 2RP PILSEN</v>
          </cell>
          <cell r="E943">
            <v>81.875061421037117</v>
          </cell>
          <cell r="F943">
            <v>90.637294691642936</v>
          </cell>
          <cell r="G943">
            <v>580.01300000000003</v>
          </cell>
          <cell r="H943">
            <v>474.88600000000002</v>
          </cell>
          <cell r="I943">
            <v>13.1</v>
          </cell>
          <cell r="J943">
            <v>3.8</v>
          </cell>
        </row>
        <row r="944">
          <cell r="B944" t="str">
            <v>CARLBERG 2RP PILSEN</v>
          </cell>
          <cell r="E944">
            <v>84.753302149479055</v>
          </cell>
          <cell r="F944">
            <v>93.931655147233698</v>
          </cell>
          <cell r="G944">
            <v>580.00099999999998</v>
          </cell>
          <cell r="H944">
            <v>491.57</v>
          </cell>
          <cell r="I944">
            <v>13.2</v>
          </cell>
          <cell r="J944">
            <v>3.8</v>
          </cell>
        </row>
        <row r="945">
          <cell r="B945" t="str">
            <v>ASAHI 2RP PILSEN</v>
          </cell>
          <cell r="E945">
            <v>84.149153469450553</v>
          </cell>
          <cell r="F945">
            <v>93.262080227662949</v>
          </cell>
          <cell r="G945">
            <v>585.03499999999997</v>
          </cell>
          <cell r="H945">
            <v>492.30200000000002</v>
          </cell>
          <cell r="I945">
            <v>13.2</v>
          </cell>
          <cell r="J945">
            <v>3.8</v>
          </cell>
        </row>
        <row r="946">
          <cell r="B946" t="str">
            <v>HEINEKEN C 6RH PILSEN</v>
          </cell>
          <cell r="E946">
            <v>85.732191747756943</v>
          </cell>
          <cell r="F946">
            <v>95.126145860832978</v>
          </cell>
          <cell r="G946">
            <v>580.01199999999994</v>
          </cell>
          <cell r="H946">
            <v>497.25700000000001</v>
          </cell>
          <cell r="I946">
            <v>13.3</v>
          </cell>
          <cell r="J946">
            <v>3.8</v>
          </cell>
        </row>
        <row r="947">
          <cell r="B947" t="str">
            <v>ASAHI 2RP PILSEN</v>
          </cell>
          <cell r="E947">
            <v>85.452840175374163</v>
          </cell>
          <cell r="F947">
            <v>94.816184831268686</v>
          </cell>
          <cell r="G947">
            <v>580.01700000000005</v>
          </cell>
          <cell r="H947">
            <v>495.64100000000002</v>
          </cell>
          <cell r="I947">
            <v>13.3</v>
          </cell>
          <cell r="J947">
            <v>3.8</v>
          </cell>
        </row>
        <row r="948">
          <cell r="B948" t="str">
            <v>ASAHI 2RP PILSEN</v>
          </cell>
          <cell r="E948">
            <v>85.784309499712947</v>
          </cell>
          <cell r="F948">
            <v>95.293886534323164</v>
          </cell>
          <cell r="G948">
            <v>580.00699999999995</v>
          </cell>
          <cell r="H948">
            <v>497.55500000000001</v>
          </cell>
          <cell r="I948">
            <v>13.4</v>
          </cell>
          <cell r="J948">
            <v>3.8</v>
          </cell>
        </row>
        <row r="949">
          <cell r="B949" t="str">
            <v>GLOBE PILSEN</v>
          </cell>
          <cell r="E949">
            <v>83.930625759614088</v>
          </cell>
          <cell r="F949">
            <v>93.234713603635981</v>
          </cell>
          <cell r="G949">
            <v>585.00099999999998</v>
          </cell>
          <cell r="H949">
            <v>490.995</v>
          </cell>
          <cell r="I949">
            <v>13.4</v>
          </cell>
          <cell r="J949">
            <v>3.8</v>
          </cell>
        </row>
        <row r="950">
          <cell r="B950" t="str">
            <v>GLOBE PILSEN</v>
          </cell>
          <cell r="E950">
            <v>83.484014775841047</v>
          </cell>
          <cell r="F950">
            <v>92.738593781015126</v>
          </cell>
          <cell r="G950">
            <v>585.00900000000001</v>
          </cell>
          <cell r="H950">
            <v>488.38900000000001</v>
          </cell>
          <cell r="I950">
            <v>13.4</v>
          </cell>
          <cell r="J950">
            <v>3.8</v>
          </cell>
        </row>
        <row r="951">
          <cell r="B951" t="str">
            <v>HEINEKEN C 6RH PILSEN</v>
          </cell>
          <cell r="E951">
            <v>82.384421092557943</v>
          </cell>
          <cell r="F951">
            <v>91.517105185959295</v>
          </cell>
          <cell r="G951">
            <v>580.01499999999999</v>
          </cell>
          <cell r="H951">
            <v>477.84199999999998</v>
          </cell>
          <cell r="I951">
            <v>13.4</v>
          </cell>
          <cell r="J951">
            <v>3.8</v>
          </cell>
        </row>
        <row r="952">
          <cell r="B952" t="str">
            <v>HEINEKEN C 6RH PILSEN</v>
          </cell>
          <cell r="E952">
            <v>82.242586132269224</v>
          </cell>
          <cell r="F952">
            <v>91.359547181573902</v>
          </cell>
          <cell r="G952">
            <v>579.89300000000003</v>
          </cell>
          <cell r="H952">
            <v>476.91899999999998</v>
          </cell>
          <cell r="I952">
            <v>13.4</v>
          </cell>
          <cell r="J952">
            <v>3.8</v>
          </cell>
        </row>
        <row r="953">
          <cell r="B953" t="str">
            <v>ASAHI 2RP PILSEN</v>
          </cell>
          <cell r="E953">
            <v>85.821371555852849</v>
          </cell>
          <cell r="F953">
            <v>95.445271025121897</v>
          </cell>
          <cell r="G953">
            <v>580.04200000000003</v>
          </cell>
          <cell r="H953">
            <v>497.8</v>
          </cell>
          <cell r="I953">
            <v>13.5</v>
          </cell>
          <cell r="J953">
            <v>3.8</v>
          </cell>
        </row>
        <row r="954">
          <cell r="B954" t="str">
            <v>HEINEKEN C 6RH PILSEN</v>
          </cell>
          <cell r="E954">
            <v>83.829282464280112</v>
          </cell>
          <cell r="F954">
            <v>93.229791596112676</v>
          </cell>
          <cell r="G954">
            <v>579.99900000000002</v>
          </cell>
          <cell r="H954">
            <v>486.209</v>
          </cell>
          <cell r="I954">
            <v>13.5</v>
          </cell>
          <cell r="J954">
            <v>3.8</v>
          </cell>
        </row>
        <row r="955">
          <cell r="B955" t="str">
            <v>HEINEKEN C 6RH PILSEN</v>
          </cell>
          <cell r="E955">
            <v>85.320213521659056</v>
          </cell>
          <cell r="F955">
            <v>94.997737740550932</v>
          </cell>
          <cell r="G955">
            <v>579.98800000000006</v>
          </cell>
          <cell r="H955">
            <v>494.84699999999998</v>
          </cell>
          <cell r="I955">
            <v>13.6</v>
          </cell>
          <cell r="J955">
            <v>3.8</v>
          </cell>
        </row>
        <row r="956">
          <cell r="B956" t="str">
            <v>HEINEKEN C 6RH PILSEN</v>
          </cell>
          <cell r="E956">
            <v>84.854268497685354</v>
          </cell>
          <cell r="F956">
            <v>94.478942470802451</v>
          </cell>
          <cell r="G956">
            <v>580.005</v>
          </cell>
          <cell r="H956">
            <v>492.15899999999999</v>
          </cell>
          <cell r="I956">
            <v>13.6</v>
          </cell>
          <cell r="J956">
            <v>3.8</v>
          </cell>
        </row>
        <row r="957">
          <cell r="B957" t="str">
            <v>ASAHI 2RP PILSEN</v>
          </cell>
          <cell r="E957">
            <v>84.831634493262484</v>
          </cell>
          <cell r="F957">
            <v>94.453741183470498</v>
          </cell>
          <cell r="G957">
            <v>585.00699999999995</v>
          </cell>
          <cell r="H957">
            <v>496.27100000000002</v>
          </cell>
          <cell r="I957">
            <v>13.6</v>
          </cell>
          <cell r="J957">
            <v>3.8</v>
          </cell>
        </row>
        <row r="958">
          <cell r="B958" t="str">
            <v>HEINEKEN C 6RH PILSEN</v>
          </cell>
          <cell r="E958">
            <v>84.718247208678449</v>
          </cell>
          <cell r="F958">
            <v>94.327492841144291</v>
          </cell>
          <cell r="G958">
            <v>580.01199999999994</v>
          </cell>
          <cell r="H958">
            <v>491.37599999999998</v>
          </cell>
          <cell r="I958">
            <v>13.6</v>
          </cell>
          <cell r="J958">
            <v>3.8</v>
          </cell>
        </row>
        <row r="959">
          <cell r="B959" t="str">
            <v>GLOBE PILSEN</v>
          </cell>
          <cell r="E959">
            <v>84.460527822744012</v>
          </cell>
          <cell r="F959">
            <v>94.040541395231187</v>
          </cell>
          <cell r="G959">
            <v>585.00699999999995</v>
          </cell>
          <cell r="H959">
            <v>494.1</v>
          </cell>
          <cell r="I959">
            <v>13.6</v>
          </cell>
          <cell r="J959">
            <v>3.8</v>
          </cell>
        </row>
        <row r="960">
          <cell r="B960" t="str">
            <v>HEINEKEN C 6RH PILSEN</v>
          </cell>
          <cell r="E960">
            <v>85.533818045141302</v>
          </cell>
          <cell r="F960">
            <v>95.345924634329009</v>
          </cell>
          <cell r="G960">
            <v>580.00099999999998</v>
          </cell>
          <cell r="H960">
            <v>496.09699999999998</v>
          </cell>
          <cell r="I960">
            <v>13.7</v>
          </cell>
          <cell r="J960">
            <v>3.8</v>
          </cell>
        </row>
        <row r="961">
          <cell r="B961" t="str">
            <v>ASAHI 2RP PILSEN</v>
          </cell>
          <cell r="E961">
            <v>85.282062326509958</v>
          </cell>
          <cell r="F961">
            <v>95.06528847984076</v>
          </cell>
          <cell r="G961">
            <v>585.048</v>
          </cell>
          <cell r="H961">
            <v>498.94099999999997</v>
          </cell>
          <cell r="I961">
            <v>13.7</v>
          </cell>
          <cell r="J961">
            <v>3.8</v>
          </cell>
        </row>
        <row r="962">
          <cell r="B962" t="str">
            <v>HEINEKEN C 6RH PILSEN</v>
          </cell>
          <cell r="E962">
            <v>83.060554912856304</v>
          </cell>
          <cell r="F962">
            <v>92.58893838489891</v>
          </cell>
          <cell r="G962">
            <v>580.01900000000001</v>
          </cell>
          <cell r="H962">
            <v>481.767</v>
          </cell>
          <cell r="I962">
            <v>13.7</v>
          </cell>
          <cell r="J962">
            <v>3.8</v>
          </cell>
        </row>
        <row r="963">
          <cell r="B963" t="str">
            <v>HEINEKEN C 6RH PILSEN</v>
          </cell>
          <cell r="E963">
            <v>82.413620689655176</v>
          </cell>
          <cell r="F963">
            <v>91.867790386382694</v>
          </cell>
          <cell r="G963">
            <v>580</v>
          </cell>
          <cell r="H963">
            <v>477.99900000000002</v>
          </cell>
          <cell r="I963">
            <v>13.7</v>
          </cell>
          <cell r="J963">
            <v>3.8</v>
          </cell>
        </row>
        <row r="964">
          <cell r="B964" t="str">
            <v>HEINEKEN C 6RH PILSEN</v>
          </cell>
          <cell r="E964">
            <v>85.286365180035205</v>
          </cell>
          <cell r="F964">
            <v>95.180375061709825</v>
          </cell>
          <cell r="G964">
            <v>580.08100000000002</v>
          </cell>
          <cell r="H964">
            <v>494.73</v>
          </cell>
          <cell r="I964">
            <v>13.8</v>
          </cell>
          <cell r="J964">
            <v>3.8</v>
          </cell>
        </row>
        <row r="965">
          <cell r="B965" t="str">
            <v>HEINEKEN C 6RH PILSEN</v>
          </cell>
          <cell r="E965">
            <v>85.009758216901361</v>
          </cell>
          <cell r="F965">
            <v>94.871679123734481</v>
          </cell>
          <cell r="G965">
            <v>580.024</v>
          </cell>
          <cell r="H965">
            <v>493.077</v>
          </cell>
          <cell r="I965">
            <v>13.8</v>
          </cell>
          <cell r="J965">
            <v>3.8</v>
          </cell>
        </row>
        <row r="966">
          <cell r="B966" t="str">
            <v>CARLBERG 6RH PILSEN</v>
          </cell>
          <cell r="E966">
            <v>83.856056909657994</v>
          </cell>
          <cell r="F966">
            <v>93.584137757646161</v>
          </cell>
          <cell r="G966">
            <v>580.00699999999995</v>
          </cell>
          <cell r="H966">
            <v>486.37099999999998</v>
          </cell>
          <cell r="I966">
            <v>13.8</v>
          </cell>
          <cell r="J966">
            <v>3.8</v>
          </cell>
        </row>
        <row r="967">
          <cell r="B967" t="str">
            <v>HEINEKEN C 6RH PILSEN</v>
          </cell>
          <cell r="E967">
            <v>82.173152918295983</v>
          </cell>
          <cell r="F967">
            <v>91.70600128468763</v>
          </cell>
          <cell r="G967">
            <v>579.99599999999998</v>
          </cell>
          <cell r="H967">
            <v>476.601</v>
          </cell>
          <cell r="I967">
            <v>13.8</v>
          </cell>
          <cell r="J967">
            <v>3.8</v>
          </cell>
        </row>
        <row r="968">
          <cell r="B968" t="str">
            <v>HEINEKEN C 6RH PILSEN</v>
          </cell>
          <cell r="E968">
            <v>83.998726952093733</v>
          </cell>
          <cell r="F968">
            <v>93.852236153210427</v>
          </cell>
          <cell r="G968">
            <v>574.99800000000005</v>
          </cell>
          <cell r="H968">
            <v>482.99099999999999</v>
          </cell>
          <cell r="I968">
            <v>13.9</v>
          </cell>
          <cell r="J968">
            <v>3.8</v>
          </cell>
        </row>
        <row r="969">
          <cell r="B969" t="str">
            <v>HEINEKEN C 6RH PILSEN</v>
          </cell>
          <cell r="E969">
            <v>83.741668074717495</v>
          </cell>
          <cell r="F969">
            <v>93.565022866292963</v>
          </cell>
          <cell r="G969">
            <v>579.99800000000005</v>
          </cell>
          <cell r="H969">
            <v>485.7</v>
          </cell>
          <cell r="I969">
            <v>13.9</v>
          </cell>
          <cell r="J969">
            <v>3.8</v>
          </cell>
        </row>
        <row r="970">
          <cell r="B970" t="str">
            <v>HEINEKEN C 6RH PILSEN</v>
          </cell>
          <cell r="E970">
            <v>85.054241005234445</v>
          </cell>
          <cell r="F970">
            <v>95.142069589576195</v>
          </cell>
          <cell r="G970">
            <v>580.00400000000002</v>
          </cell>
          <cell r="H970">
            <v>493.31799999999998</v>
          </cell>
          <cell r="I970">
            <v>14</v>
          </cell>
          <cell r="J970">
            <v>3.8</v>
          </cell>
        </row>
        <row r="971">
          <cell r="B971" t="str">
            <v>CARLBERG 6RH PILSEN</v>
          </cell>
          <cell r="E971">
            <v>84.335162050047757</v>
          </cell>
          <cell r="F971">
            <v>94.337704525751093</v>
          </cell>
          <cell r="G971">
            <v>580.00599999999997</v>
          </cell>
          <cell r="H971">
            <v>489.149</v>
          </cell>
          <cell r="I971">
            <v>14</v>
          </cell>
          <cell r="J971">
            <v>3.8</v>
          </cell>
        </row>
        <row r="972">
          <cell r="B972" t="str">
            <v>HEINEKEN C 6RH PILSEN</v>
          </cell>
          <cell r="E972">
            <v>83.553051007658922</v>
          </cell>
          <cell r="F972">
            <v>93.462831476009185</v>
          </cell>
          <cell r="G972">
            <v>585.06899999999996</v>
          </cell>
          <cell r="H972">
            <v>488.84300000000002</v>
          </cell>
          <cell r="I972">
            <v>14</v>
          </cell>
          <cell r="J972">
            <v>3.8</v>
          </cell>
        </row>
        <row r="973">
          <cell r="B973" t="str">
            <v>HEINEKEN C 6RH PILSEN</v>
          </cell>
          <cell r="E973">
            <v>82.631161531697728</v>
          </cell>
          <cell r="F973">
            <v>92.431601620340956</v>
          </cell>
          <cell r="G973">
            <v>580.01</v>
          </cell>
          <cell r="H973">
            <v>479.26900000000001</v>
          </cell>
          <cell r="I973">
            <v>14</v>
          </cell>
          <cell r="J973">
            <v>3.8</v>
          </cell>
        </row>
        <row r="974">
          <cell r="B974" t="str">
            <v>HEINEKEN C 6RH PILSEN</v>
          </cell>
          <cell r="E974">
            <v>82.4792462263907</v>
          </cell>
          <cell r="F974">
            <v>92.261668453241683</v>
          </cell>
          <cell r="G974">
            <v>580.01499999999999</v>
          </cell>
          <cell r="H974">
            <v>478.392</v>
          </cell>
          <cell r="I974">
            <v>14</v>
          </cell>
          <cell r="J974">
            <v>3.8</v>
          </cell>
        </row>
        <row r="975">
          <cell r="B975" t="str">
            <v>HEINEKEN C 6RH PILSEN</v>
          </cell>
          <cell r="E975">
            <v>85.010370671774709</v>
          </cell>
          <cell r="F975">
            <v>95.203698004944428</v>
          </cell>
          <cell r="G975">
            <v>580.00099999999998</v>
          </cell>
          <cell r="H975">
            <v>493.06099999999998</v>
          </cell>
          <cell r="I975">
            <v>14.1</v>
          </cell>
          <cell r="J975">
            <v>3.8</v>
          </cell>
        </row>
        <row r="976">
          <cell r="B976" t="str">
            <v>ABI4 PILSEN</v>
          </cell>
          <cell r="E976">
            <v>84.482175984993205</v>
          </cell>
          <cell r="F976">
            <v>94.612169147338136</v>
          </cell>
          <cell r="G976">
            <v>580.00400000000002</v>
          </cell>
          <cell r="H976">
            <v>490</v>
          </cell>
          <cell r="I976">
            <v>14.1</v>
          </cell>
          <cell r="J976">
            <v>3.8</v>
          </cell>
        </row>
        <row r="977">
          <cell r="B977" t="str">
            <v>ABI4 PILSEN</v>
          </cell>
          <cell r="E977">
            <v>84.478394753085354</v>
          </cell>
          <cell r="F977">
            <v>94.607934519753329</v>
          </cell>
          <cell r="G977">
            <v>579.99800000000005</v>
          </cell>
          <cell r="H977">
            <v>489.97300000000001</v>
          </cell>
          <cell r="I977">
            <v>14.1</v>
          </cell>
          <cell r="J977">
            <v>3.8</v>
          </cell>
        </row>
        <row r="978">
          <cell r="B978" t="str">
            <v>HEINEKEN C 6RH PILSEN</v>
          </cell>
          <cell r="E978">
            <v>84.093663845348786</v>
          </cell>
          <cell r="F978">
            <v>94.1770717336735</v>
          </cell>
          <cell r="G978">
            <v>579.98900000000003</v>
          </cell>
          <cell r="H978">
            <v>487.73399999999998</v>
          </cell>
          <cell r="I978">
            <v>14.1</v>
          </cell>
          <cell r="J978">
            <v>3.8</v>
          </cell>
        </row>
        <row r="979">
          <cell r="B979" t="str">
            <v>ABI4 PILSEN</v>
          </cell>
          <cell r="E979">
            <v>83.693708760562558</v>
          </cell>
          <cell r="F979">
            <v>93.72915928714923</v>
          </cell>
          <cell r="G979">
            <v>579.99699999999996</v>
          </cell>
          <cell r="H979">
            <v>485.42099999999999</v>
          </cell>
          <cell r="I979">
            <v>14.1</v>
          </cell>
          <cell r="J979">
            <v>3.8</v>
          </cell>
        </row>
        <row r="980">
          <cell r="B980" t="str">
            <v>HEINEKEN C 6RH PILSEN</v>
          </cell>
          <cell r="E980">
            <v>81.67393392057572</v>
          </cell>
          <cell r="F980">
            <v>91.467199571122066</v>
          </cell>
          <cell r="G980">
            <v>579.99900000000002</v>
          </cell>
          <cell r="H980">
            <v>473.70800000000003</v>
          </cell>
          <cell r="I980">
            <v>14.1</v>
          </cell>
          <cell r="J980">
            <v>3.8</v>
          </cell>
        </row>
        <row r="981">
          <cell r="B981" t="str">
            <v>HEINEKEN C 6RH PILSEN</v>
          </cell>
          <cell r="E981">
            <v>84.207921987013933</v>
          </cell>
          <cell r="F981">
            <v>94.414942833924727</v>
          </cell>
          <cell r="G981">
            <v>580.00599999999997</v>
          </cell>
          <cell r="H981">
            <v>488.411</v>
          </cell>
          <cell r="I981">
            <v>14.2</v>
          </cell>
          <cell r="J981">
            <v>3.8</v>
          </cell>
        </row>
        <row r="982">
          <cell r="B982" t="str">
            <v>HEINEKEN C 6RH PILSEN</v>
          </cell>
          <cell r="E982">
            <v>83.154259666012663</v>
          </cell>
          <cell r="F982">
            <v>93.233563867953578</v>
          </cell>
          <cell r="G982">
            <v>580.02200000000005</v>
          </cell>
          <cell r="H982">
            <v>482.31299999999999</v>
          </cell>
          <cell r="I982">
            <v>14.2</v>
          </cell>
          <cell r="J982">
            <v>3.8</v>
          </cell>
        </row>
        <row r="983">
          <cell r="B983" t="str">
            <v>HEINEKEN C 6RH PILSEN</v>
          </cell>
          <cell r="E983">
            <v>84.257068965517234</v>
          </cell>
          <cell r="F983">
            <v>94.580280449040345</v>
          </cell>
          <cell r="G983">
            <v>580</v>
          </cell>
          <cell r="H983">
            <v>488.69099999999997</v>
          </cell>
          <cell r="I983">
            <v>14.3</v>
          </cell>
          <cell r="J983">
            <v>3.8</v>
          </cell>
        </row>
        <row r="984">
          <cell r="B984" t="str">
            <v>ABI4 PILSEN</v>
          </cell>
          <cell r="E984">
            <v>83.622667924118417</v>
          </cell>
          <cell r="F984">
            <v>93.868152325556494</v>
          </cell>
          <cell r="G984">
            <v>580.00900000000001</v>
          </cell>
          <cell r="H984">
            <v>485.01900000000001</v>
          </cell>
          <cell r="I984">
            <v>14.3</v>
          </cell>
          <cell r="J984">
            <v>3.8</v>
          </cell>
        </row>
        <row r="985">
          <cell r="B985" t="str">
            <v>CARLBERG 6RH PILSEN</v>
          </cell>
          <cell r="E985">
            <v>82.21919924414054</v>
          </cell>
          <cell r="F985">
            <v>92.292730073352629</v>
          </cell>
          <cell r="G985">
            <v>580.00199999999995</v>
          </cell>
          <cell r="H985">
            <v>476.87299999999999</v>
          </cell>
          <cell r="I985">
            <v>14.3</v>
          </cell>
          <cell r="J985">
            <v>3.8</v>
          </cell>
        </row>
        <row r="986">
          <cell r="B986" t="str">
            <v>HEINEKEN C 6RH PILSEN</v>
          </cell>
          <cell r="E986">
            <v>84.562720467295833</v>
          </cell>
          <cell r="F986">
            <v>95.368507725133185</v>
          </cell>
          <cell r="G986">
            <v>580.01800000000003</v>
          </cell>
          <cell r="H986">
            <v>490.47899999999998</v>
          </cell>
          <cell r="I986">
            <v>14.7</v>
          </cell>
          <cell r="J986">
            <v>3.8</v>
          </cell>
        </row>
        <row r="987">
          <cell r="B987" t="str">
            <v>CARLBERG 2RP PILSEN</v>
          </cell>
          <cell r="E987">
            <v>85.783188753614496</v>
          </cell>
          <cell r="F987">
            <v>92.300794156123743</v>
          </cell>
          <cell r="G987">
            <v>600.01499999999999</v>
          </cell>
          <cell r="H987">
            <v>514.71199999999999</v>
          </cell>
          <cell r="I987">
            <v>10.5</v>
          </cell>
          <cell r="J987">
            <v>3.7</v>
          </cell>
        </row>
        <row r="988">
          <cell r="B988" t="str">
            <v>CARLBERG 2RP PILSEN</v>
          </cell>
          <cell r="E988">
            <v>85.727095451590856</v>
          </cell>
          <cell r="F988">
            <v>92.550664708387885</v>
          </cell>
          <cell r="G988">
            <v>599.99</v>
          </cell>
          <cell r="H988">
            <v>514.35400000000004</v>
          </cell>
          <cell r="I988">
            <v>10.8</v>
          </cell>
          <cell r="J988">
            <v>3.7</v>
          </cell>
        </row>
        <row r="989">
          <cell r="B989" t="str">
            <v>GLOBE PILSEN</v>
          </cell>
          <cell r="E989">
            <v>82.520618713961738</v>
          </cell>
          <cell r="F989">
            <v>89.28916384443275</v>
          </cell>
          <cell r="G989">
            <v>589.99800000000005</v>
          </cell>
          <cell r="H989">
            <v>486.87</v>
          </cell>
          <cell r="I989">
            <v>11</v>
          </cell>
          <cell r="J989">
            <v>3.7</v>
          </cell>
        </row>
        <row r="990">
          <cell r="B990" t="str">
            <v>GLOBE PILSEN</v>
          </cell>
          <cell r="E990">
            <v>82.459917313703741</v>
          </cell>
          <cell r="F990">
            <v>89.424437357090895</v>
          </cell>
          <cell r="G990">
            <v>595.02</v>
          </cell>
          <cell r="H990">
            <v>490.65300000000002</v>
          </cell>
          <cell r="I990">
            <v>11.2</v>
          </cell>
          <cell r="J990">
            <v>3.7</v>
          </cell>
        </row>
        <row r="991">
          <cell r="B991" t="str">
            <v>HEINEKEN C 6RH PILSEN</v>
          </cell>
          <cell r="E991">
            <v>84.502044489030254</v>
          </cell>
          <cell r="F991">
            <v>91.742354952577358</v>
          </cell>
          <cell r="G991">
            <v>590.12300000000005</v>
          </cell>
          <cell r="H991">
            <v>498.666</v>
          </cell>
          <cell r="I991">
            <v>11.3</v>
          </cell>
          <cell r="J991">
            <v>3.7</v>
          </cell>
        </row>
        <row r="992">
          <cell r="B992" t="str">
            <v>HEINEKEN C 6RH PILSEN</v>
          </cell>
          <cell r="E992">
            <v>84.298691916849563</v>
          </cell>
          <cell r="F992">
            <v>91.624876203076894</v>
          </cell>
          <cell r="G992">
            <v>580.00900000000001</v>
          </cell>
          <cell r="H992">
            <v>488.94</v>
          </cell>
          <cell r="I992">
            <v>11.4</v>
          </cell>
          <cell r="J992">
            <v>3.7</v>
          </cell>
        </row>
        <row r="993">
          <cell r="B993" t="str">
            <v>ASAHI 2RP PILSEN</v>
          </cell>
          <cell r="E993">
            <v>85.668152868438398</v>
          </cell>
          <cell r="F993">
            <v>93.218566341588911</v>
          </cell>
          <cell r="G993">
            <v>580.00199999999995</v>
          </cell>
          <cell r="H993">
            <v>496.87700000000001</v>
          </cell>
          <cell r="I993">
            <v>11.5</v>
          </cell>
          <cell r="J993">
            <v>3.7</v>
          </cell>
        </row>
        <row r="994">
          <cell r="B994" t="str">
            <v>HEINEKEN C 6RH PILSEN</v>
          </cell>
          <cell r="E994">
            <v>83.845543735020783</v>
          </cell>
          <cell r="F994">
            <v>91.338527847087107</v>
          </cell>
          <cell r="G994">
            <v>579.97</v>
          </cell>
          <cell r="H994">
            <v>486.279</v>
          </cell>
          <cell r="I994">
            <v>11.6</v>
          </cell>
          <cell r="J994">
            <v>3.7</v>
          </cell>
        </row>
        <row r="995">
          <cell r="B995" t="str">
            <v>ASAHI 2RP PILSEN</v>
          </cell>
          <cell r="E995">
            <v>83.684012488177913</v>
          </cell>
          <cell r="F995">
            <v>91.162561115515075</v>
          </cell>
          <cell r="G995">
            <v>589.99800000000005</v>
          </cell>
          <cell r="H995">
            <v>493.73399999999998</v>
          </cell>
          <cell r="I995">
            <v>11.6</v>
          </cell>
          <cell r="J995">
            <v>3.7</v>
          </cell>
        </row>
        <row r="996">
          <cell r="B996" t="str">
            <v>GLOBE PILSEN</v>
          </cell>
          <cell r="E996">
            <v>85.099525712997902</v>
          </cell>
          <cell r="F996">
            <v>92.809562017686261</v>
          </cell>
          <cell r="G996">
            <v>590.149</v>
          </cell>
          <cell r="H996">
            <v>502.214</v>
          </cell>
          <cell r="I996">
            <v>11.7</v>
          </cell>
          <cell r="J996">
            <v>3.7</v>
          </cell>
        </row>
        <row r="997">
          <cell r="B997" t="str">
            <v>HEINEKEN C 6RH PILSEN</v>
          </cell>
          <cell r="E997">
            <v>84.711993085800458</v>
          </cell>
          <cell r="F997">
            <v>92.386918846688388</v>
          </cell>
          <cell r="G997">
            <v>590.09</v>
          </cell>
          <cell r="H997">
            <v>499.87700000000001</v>
          </cell>
          <cell r="I997">
            <v>11.7</v>
          </cell>
          <cell r="J997">
            <v>3.7</v>
          </cell>
        </row>
        <row r="998">
          <cell r="B998" t="str">
            <v>HEINEKEN A 2RP PILSEN</v>
          </cell>
          <cell r="E998">
            <v>83.469140473305515</v>
          </cell>
          <cell r="F998">
            <v>91.031463505994566</v>
          </cell>
          <cell r="G998">
            <v>599.99300000000005</v>
          </cell>
          <cell r="H998">
            <v>500.80900000000003</v>
          </cell>
          <cell r="I998">
            <v>11.7</v>
          </cell>
          <cell r="J998">
            <v>3.7</v>
          </cell>
        </row>
        <row r="999">
          <cell r="B999" t="str">
            <v>HEINEKEN C 6RH PILSEN</v>
          </cell>
          <cell r="E999">
            <v>84.462934023952471</v>
          </cell>
          <cell r="F999">
            <v>92.219734087376665</v>
          </cell>
          <cell r="G999">
            <v>590.00199999999995</v>
          </cell>
          <cell r="H999">
            <v>498.33300000000003</v>
          </cell>
          <cell r="I999">
            <v>11.8</v>
          </cell>
          <cell r="J999">
            <v>3.7</v>
          </cell>
        </row>
        <row r="1000">
          <cell r="B1000" t="str">
            <v>HEINEKEN C 6RH PILSEN</v>
          </cell>
          <cell r="E1000">
            <v>85.332790969644577</v>
          </cell>
          <cell r="F1000">
            <v>93.275230083731813</v>
          </cell>
          <cell r="G1000">
            <v>590.01</v>
          </cell>
          <cell r="H1000">
            <v>503.47199999999998</v>
          </cell>
          <cell r="I1000">
            <v>11.9</v>
          </cell>
          <cell r="J1000">
            <v>3.7</v>
          </cell>
        </row>
        <row r="1001">
          <cell r="B1001" t="str">
            <v>HEINEKEN C 6RH PILSEN</v>
          </cell>
          <cell r="E1001">
            <v>85.032974743939377</v>
          </cell>
          <cell r="F1001">
            <v>92.947508148029087</v>
          </cell>
          <cell r="G1001">
            <v>589.99699999999996</v>
          </cell>
          <cell r="H1001">
            <v>501.69200000000001</v>
          </cell>
          <cell r="I1001">
            <v>11.9</v>
          </cell>
          <cell r="J1001">
            <v>3.7</v>
          </cell>
        </row>
        <row r="1002">
          <cell r="B1002" t="str">
            <v>HEINEKEN C 6RH PILSEN</v>
          </cell>
          <cell r="E1002">
            <v>85.707893505806737</v>
          </cell>
          <cell r="F1002">
            <v>93.791706188740775</v>
          </cell>
          <cell r="G1002">
            <v>590.00400000000002</v>
          </cell>
          <cell r="H1002">
            <v>505.68</v>
          </cell>
          <cell r="I1002">
            <v>12</v>
          </cell>
          <cell r="J1002">
            <v>3.7</v>
          </cell>
        </row>
        <row r="1003">
          <cell r="B1003" t="str">
            <v>HEINEKEN C 6RH PILSEN</v>
          </cell>
          <cell r="E1003">
            <v>83.915400291723145</v>
          </cell>
          <cell r="F1003">
            <v>91.830148273783379</v>
          </cell>
          <cell r="G1003">
            <v>580.00199999999995</v>
          </cell>
          <cell r="H1003">
            <v>486.71100000000001</v>
          </cell>
          <cell r="I1003">
            <v>12</v>
          </cell>
          <cell r="J1003">
            <v>3.7</v>
          </cell>
        </row>
        <row r="1004">
          <cell r="B1004" t="str">
            <v>ABI4 PILSEN</v>
          </cell>
          <cell r="E1004">
            <v>82.947241379310341</v>
          </cell>
          <cell r="F1004">
            <v>90.770674373040762</v>
          </cell>
          <cell r="G1004">
            <v>580</v>
          </cell>
          <cell r="H1004">
            <v>481.09399999999999</v>
          </cell>
          <cell r="I1004">
            <v>12</v>
          </cell>
          <cell r="J1004">
            <v>3.7</v>
          </cell>
        </row>
        <row r="1005">
          <cell r="B1005" t="str">
            <v>HEINEKEN C 6RH PILSEN</v>
          </cell>
          <cell r="E1005">
            <v>85.271522819579204</v>
          </cell>
          <cell r="F1005">
            <v>93.420337286979262</v>
          </cell>
          <cell r="G1005">
            <v>589.93200000000002</v>
          </cell>
          <cell r="H1005">
            <v>503.04399999999998</v>
          </cell>
          <cell r="I1005">
            <v>12.1</v>
          </cell>
          <cell r="J1005">
            <v>3.7</v>
          </cell>
        </row>
        <row r="1006">
          <cell r="B1006" t="str">
            <v>HEINEKEN C 6RH PILSEN</v>
          </cell>
          <cell r="E1006">
            <v>83.817122037573256</v>
          </cell>
          <cell r="F1006">
            <v>91.826949399525645</v>
          </cell>
          <cell r="G1006">
            <v>582.96799999999996</v>
          </cell>
          <cell r="H1006">
            <v>488.62700000000001</v>
          </cell>
          <cell r="I1006">
            <v>12.1</v>
          </cell>
          <cell r="J1006">
            <v>3.7</v>
          </cell>
        </row>
        <row r="1007">
          <cell r="B1007" t="str">
            <v>HEINEKEN C 6RH PILSEN</v>
          </cell>
          <cell r="E1007">
            <v>82.878700041507017</v>
          </cell>
          <cell r="F1007">
            <v>90.798848850934306</v>
          </cell>
          <cell r="G1007">
            <v>583.03399999999999</v>
          </cell>
          <cell r="H1007">
            <v>483.21100000000001</v>
          </cell>
          <cell r="I1007">
            <v>12.1</v>
          </cell>
          <cell r="J1007">
            <v>3.7</v>
          </cell>
        </row>
        <row r="1008">
          <cell r="B1008" t="str">
            <v>CARLBERG 6RH PILSEN</v>
          </cell>
          <cell r="E1008">
            <v>83.960454103234241</v>
          </cell>
          <cell r="F1008">
            <v>92.088744079059865</v>
          </cell>
          <cell r="G1008">
            <v>589.99800000000005</v>
          </cell>
          <cell r="H1008">
            <v>495.36500000000001</v>
          </cell>
          <cell r="I1008">
            <v>12.2</v>
          </cell>
          <cell r="J1008">
            <v>3.7</v>
          </cell>
        </row>
        <row r="1009">
          <cell r="B1009" t="str">
            <v>HEINEKEN C 6RH PILSEN</v>
          </cell>
          <cell r="E1009">
            <v>83.751245846463675</v>
          </cell>
          <cell r="F1009">
            <v>91.859282175563237</v>
          </cell>
          <cell r="G1009">
            <v>582.93700000000001</v>
          </cell>
          <cell r="H1009">
            <v>488.21699999999998</v>
          </cell>
          <cell r="I1009">
            <v>12.2</v>
          </cell>
          <cell r="J1009">
            <v>3.7</v>
          </cell>
        </row>
        <row r="1010">
          <cell r="B1010" t="str">
            <v>CARLBERG 6RH PILSEN</v>
          </cell>
          <cell r="E1010">
            <v>83.159493293288548</v>
          </cell>
          <cell r="F1010">
            <v>91.210241505053375</v>
          </cell>
          <cell r="G1010">
            <v>590.00599999999997</v>
          </cell>
          <cell r="H1010">
            <v>490.64600000000002</v>
          </cell>
          <cell r="I1010">
            <v>12.2</v>
          </cell>
          <cell r="J1010">
            <v>3.7</v>
          </cell>
        </row>
        <row r="1011">
          <cell r="B1011" t="str">
            <v>HEINEKEN C 6RH PILSEN</v>
          </cell>
          <cell r="E1011">
            <v>83.815638272990128</v>
          </cell>
          <cell r="F1011">
            <v>92.03473164981699</v>
          </cell>
          <cell r="G1011">
            <v>590.01400000000001</v>
          </cell>
          <cell r="H1011">
            <v>494.524</v>
          </cell>
          <cell r="I1011">
            <v>12.3</v>
          </cell>
          <cell r="J1011">
            <v>3.7</v>
          </cell>
        </row>
        <row r="1012">
          <cell r="B1012" t="str">
            <v>GLOBE PILSEN</v>
          </cell>
          <cell r="E1012">
            <v>83.618489541043516</v>
          </cell>
          <cell r="F1012">
            <v>91.818250202993056</v>
          </cell>
          <cell r="G1012">
            <v>585.00099999999998</v>
          </cell>
          <cell r="H1012">
            <v>489.16899999999998</v>
          </cell>
          <cell r="I1012">
            <v>12.3</v>
          </cell>
          <cell r="J1012">
            <v>3.7</v>
          </cell>
        </row>
        <row r="1013">
          <cell r="B1013" t="str">
            <v>HEINEKEN C 6RH PILSEN</v>
          </cell>
          <cell r="E1013">
            <v>83.450224403736897</v>
          </cell>
          <cell r="F1013">
            <v>91.633484721549181</v>
          </cell>
          <cell r="G1013">
            <v>590.00800000000004</v>
          </cell>
          <cell r="H1013">
            <v>492.363</v>
          </cell>
          <cell r="I1013">
            <v>12.3</v>
          </cell>
          <cell r="J1013">
            <v>3.7</v>
          </cell>
        </row>
        <row r="1014">
          <cell r="B1014" t="str">
            <v>GLOBE PILSEN</v>
          </cell>
          <cell r="E1014">
            <v>86.209478227426175</v>
          </cell>
          <cell r="F1014">
            <v>94.771378462341787</v>
          </cell>
          <cell r="G1014">
            <v>585.02499999999998</v>
          </cell>
          <cell r="H1014">
            <v>504.34699999999998</v>
          </cell>
          <cell r="I1014">
            <v>12.4</v>
          </cell>
          <cell r="J1014">
            <v>3.7</v>
          </cell>
        </row>
        <row r="1015">
          <cell r="B1015" t="str">
            <v>HEINEKEN C 6RH PILSEN</v>
          </cell>
          <cell r="E1015">
            <v>82.757479207183351</v>
          </cell>
          <cell r="F1015">
            <v>90.976543922965263</v>
          </cell>
          <cell r="G1015">
            <v>580.00800000000004</v>
          </cell>
          <cell r="H1015">
            <v>480</v>
          </cell>
          <cell r="I1015">
            <v>12.4</v>
          </cell>
          <cell r="J1015">
            <v>3.7</v>
          </cell>
        </row>
        <row r="1016">
          <cell r="B1016" t="str">
            <v>HEINEKEN C 6RH PILSEN</v>
          </cell>
          <cell r="E1016">
            <v>83.114100875743418</v>
          </cell>
          <cell r="F1016">
            <v>91.473004735246761</v>
          </cell>
          <cell r="G1016">
            <v>590.01300000000003</v>
          </cell>
          <cell r="H1016">
            <v>490.38400000000001</v>
          </cell>
          <cell r="I1016">
            <v>12.5</v>
          </cell>
          <cell r="J1016">
            <v>3.7</v>
          </cell>
        </row>
        <row r="1017">
          <cell r="B1017" t="str">
            <v>HEINEKEN C 6RH PILSEN</v>
          </cell>
          <cell r="E1017">
            <v>83.247531102590273</v>
          </cell>
          <cell r="F1017">
            <v>91.724682439124066</v>
          </cell>
          <cell r="G1017">
            <v>580.01599999999996</v>
          </cell>
          <cell r="H1017">
            <v>482.84899999999999</v>
          </cell>
          <cell r="I1017">
            <v>12.6</v>
          </cell>
          <cell r="J1017">
            <v>3.7</v>
          </cell>
        </row>
        <row r="1018">
          <cell r="B1018" t="str">
            <v>HEINEKEN C 6RH PILSEN</v>
          </cell>
          <cell r="E1018">
            <v>85.034162451559752</v>
          </cell>
          <cell r="F1018">
            <v>93.90814041382113</v>
          </cell>
          <cell r="G1018">
            <v>584.99900000000002</v>
          </cell>
          <cell r="H1018">
            <v>497.44900000000001</v>
          </cell>
          <cell r="I1018">
            <v>12.8</v>
          </cell>
          <cell r="J1018">
            <v>3.7</v>
          </cell>
        </row>
        <row r="1019">
          <cell r="B1019" t="str">
            <v>HEINEKEN A 2RP PILSEN</v>
          </cell>
          <cell r="E1019">
            <v>85.464880717368175</v>
          </cell>
          <cell r="F1019">
            <v>94.492170069834174</v>
          </cell>
          <cell r="G1019">
            <v>580.00900000000001</v>
          </cell>
          <cell r="H1019">
            <v>495.70400000000001</v>
          </cell>
          <cell r="I1019">
            <v>12.9</v>
          </cell>
          <cell r="J1019">
            <v>3.7</v>
          </cell>
        </row>
        <row r="1020">
          <cell r="B1020" t="str">
            <v>GLOBE PILSEN</v>
          </cell>
          <cell r="E1020">
            <v>84.851478886360894</v>
          </cell>
          <cell r="F1020">
            <v>93.813977230270424</v>
          </cell>
          <cell r="G1020">
            <v>585.00099999999998</v>
          </cell>
          <cell r="H1020">
            <v>496.38200000000001</v>
          </cell>
          <cell r="I1020">
            <v>12.9</v>
          </cell>
          <cell r="J1020">
            <v>3.7</v>
          </cell>
        </row>
        <row r="1021">
          <cell r="B1021" t="str">
            <v>GLOBE PILSEN</v>
          </cell>
          <cell r="E1021">
            <v>84.810427350427346</v>
          </cell>
          <cell r="F1021">
            <v>93.768589596396723</v>
          </cell>
          <cell r="G1021">
            <v>585</v>
          </cell>
          <cell r="H1021">
            <v>496.14100000000002</v>
          </cell>
          <cell r="I1021">
            <v>12.9</v>
          </cell>
          <cell r="J1021">
            <v>3.7</v>
          </cell>
        </row>
        <row r="1022">
          <cell r="B1022" t="str">
            <v>ASAHI 2RP PILSEN</v>
          </cell>
          <cell r="E1022">
            <v>84.718264475665777</v>
          </cell>
          <cell r="F1022">
            <v>93.774354816167971</v>
          </cell>
          <cell r="G1022">
            <v>584.99900000000002</v>
          </cell>
          <cell r="H1022">
            <v>495.601</v>
          </cell>
          <cell r="I1022">
            <v>13</v>
          </cell>
          <cell r="J1022">
            <v>3.7</v>
          </cell>
        </row>
        <row r="1023">
          <cell r="B1023" t="str">
            <v>ABI4 PILSEN</v>
          </cell>
          <cell r="E1023">
            <v>83.825996403516484</v>
          </cell>
          <cell r="F1023">
            <v>92.786706363892392</v>
          </cell>
          <cell r="G1023">
            <v>580.01099999999997</v>
          </cell>
          <cell r="H1023">
            <v>486.2</v>
          </cell>
          <cell r="I1023">
            <v>13</v>
          </cell>
          <cell r="J1023">
            <v>3.7</v>
          </cell>
        </row>
        <row r="1024">
          <cell r="B1024" t="str">
            <v>HEINEKEN A 2RP PILSEN</v>
          </cell>
          <cell r="E1024">
            <v>83.983007160233711</v>
          </cell>
          <cell r="F1024">
            <v>93.389879786726411</v>
          </cell>
          <cell r="G1024">
            <v>580.00900000000001</v>
          </cell>
          <cell r="H1024">
            <v>487.10899999999998</v>
          </cell>
          <cell r="I1024">
            <v>13.4</v>
          </cell>
          <cell r="J1024">
            <v>3.7</v>
          </cell>
        </row>
        <row r="1025">
          <cell r="B1025" t="str">
            <v>ASAHI 2RP PILSEN</v>
          </cell>
          <cell r="E1025">
            <v>82.818405009516979</v>
          </cell>
          <cell r="F1025">
            <v>92.094831436679982</v>
          </cell>
          <cell r="G1025">
            <v>580.01599999999996</v>
          </cell>
          <cell r="H1025">
            <v>480.36</v>
          </cell>
          <cell r="I1025">
            <v>13.4</v>
          </cell>
          <cell r="J1025">
            <v>3.7</v>
          </cell>
        </row>
        <row r="1026">
          <cell r="B1026" t="str">
            <v>HEINEKEN C 6RH PILSEN</v>
          </cell>
          <cell r="E1026">
            <v>81.820250715924814</v>
          </cell>
          <cell r="F1026">
            <v>90.9848746413806</v>
          </cell>
          <cell r="G1026">
            <v>580.01900000000001</v>
          </cell>
          <cell r="H1026">
            <v>474.57299999999998</v>
          </cell>
          <cell r="I1026">
            <v>13.4</v>
          </cell>
          <cell r="J1026">
            <v>3.7</v>
          </cell>
        </row>
        <row r="1027">
          <cell r="B1027" t="str">
            <v>HEINEKEN C 6RH PILSEN</v>
          </cell>
          <cell r="E1027">
            <v>84.587706095229237</v>
          </cell>
          <cell r="F1027">
            <v>94.280047418640905</v>
          </cell>
          <cell r="G1027">
            <v>580.01099999999997</v>
          </cell>
          <cell r="H1027">
            <v>490.61799999999999</v>
          </cell>
          <cell r="I1027">
            <v>13.6</v>
          </cell>
          <cell r="J1027">
            <v>3.7</v>
          </cell>
        </row>
        <row r="1028">
          <cell r="B1028" t="str">
            <v>HEINEKEN C 6RH PILSEN</v>
          </cell>
          <cell r="E1028">
            <v>80.753143125125007</v>
          </cell>
          <cell r="F1028">
            <v>90.006107441545581</v>
          </cell>
          <cell r="G1028">
            <v>579.99599999999998</v>
          </cell>
          <cell r="H1028">
            <v>468.36500000000001</v>
          </cell>
          <cell r="I1028">
            <v>13.6</v>
          </cell>
          <cell r="J1028">
            <v>3.7</v>
          </cell>
        </row>
        <row r="1029">
          <cell r="B1029" t="str">
            <v>HEINEKEN C 6RH PILSEN</v>
          </cell>
          <cell r="E1029">
            <v>85.35655172413793</v>
          </cell>
          <cell r="F1029">
            <v>95.357725418033439</v>
          </cell>
          <cell r="G1029">
            <v>580</v>
          </cell>
          <cell r="H1029">
            <v>495.06799999999998</v>
          </cell>
          <cell r="I1029">
            <v>13.8</v>
          </cell>
          <cell r="J1029">
            <v>3.7</v>
          </cell>
        </row>
        <row r="1030">
          <cell r="B1030" t="str">
            <v>HEINEKEN C 6RH PILSEN</v>
          </cell>
          <cell r="E1030">
            <v>84.066309201565488</v>
          </cell>
          <cell r="F1030">
            <v>93.916305987363771</v>
          </cell>
          <cell r="G1030">
            <v>580.01</v>
          </cell>
          <cell r="H1030">
            <v>487.59300000000002</v>
          </cell>
          <cell r="I1030">
            <v>13.8</v>
          </cell>
          <cell r="J1030">
            <v>3.7</v>
          </cell>
        </row>
        <row r="1031">
          <cell r="B1031" t="str">
            <v>ASAHI 2RP PILSEN</v>
          </cell>
          <cell r="E1031">
            <v>83.883865233072939</v>
          </cell>
          <cell r="F1031">
            <v>93.712485173374986</v>
          </cell>
          <cell r="G1031">
            <v>585.01</v>
          </cell>
          <cell r="H1031">
            <v>490.72899999999998</v>
          </cell>
          <cell r="I1031">
            <v>13.8</v>
          </cell>
          <cell r="J1031">
            <v>3.7</v>
          </cell>
        </row>
        <row r="1032">
          <cell r="B1032" t="str">
            <v>HEINEKEN C 6RH PILSEN</v>
          </cell>
          <cell r="E1032">
            <v>83.617272562694495</v>
          </cell>
          <cell r="F1032">
            <v>93.414656006815321</v>
          </cell>
          <cell r="G1032">
            <v>579.995</v>
          </cell>
          <cell r="H1032">
            <v>484.976</v>
          </cell>
          <cell r="I1032">
            <v>13.8</v>
          </cell>
          <cell r="J1032">
            <v>3.7</v>
          </cell>
        </row>
        <row r="1033">
          <cell r="B1033" t="str">
            <v>HEINEKEN C 6RH PILSEN</v>
          </cell>
          <cell r="E1033">
            <v>81.843824893532641</v>
          </cell>
          <cell r="F1033">
            <v>91.433414585234274</v>
          </cell>
          <cell r="G1033">
            <v>579.99</v>
          </cell>
          <cell r="H1033">
            <v>474.68599999999998</v>
          </cell>
          <cell r="I1033">
            <v>13.8</v>
          </cell>
          <cell r="J1033">
            <v>3.7</v>
          </cell>
        </row>
        <row r="1034">
          <cell r="B1034" t="str">
            <v>HEINEKEN C 6RH PILSEN</v>
          </cell>
          <cell r="E1034">
            <v>81.169452514159119</v>
          </cell>
          <cell r="F1034">
            <v>90.680026416630199</v>
          </cell>
          <cell r="G1034">
            <v>580.01499999999999</v>
          </cell>
          <cell r="H1034">
            <v>470.79500000000002</v>
          </cell>
          <cell r="I1034">
            <v>13.8</v>
          </cell>
          <cell r="J1034">
            <v>3.7</v>
          </cell>
        </row>
        <row r="1035">
          <cell r="B1035" t="str">
            <v>HEINEKEN C 6RH PILSEN</v>
          </cell>
          <cell r="E1035">
            <v>85.515324656516313</v>
          </cell>
          <cell r="F1035">
            <v>95.757276330494435</v>
          </cell>
          <cell r="G1035">
            <v>580.01300000000003</v>
          </cell>
          <cell r="H1035">
            <v>496</v>
          </cell>
          <cell r="I1035">
            <v>14</v>
          </cell>
          <cell r="J1035">
            <v>3.7</v>
          </cell>
        </row>
        <row r="1036">
          <cell r="B1036" t="str">
            <v>HEINEKEN C 6RH PILSEN</v>
          </cell>
          <cell r="E1036">
            <v>84.782267616779976</v>
          </cell>
          <cell r="F1036">
            <v>94.936422924371072</v>
          </cell>
          <cell r="G1036">
            <v>580.00099999999998</v>
          </cell>
          <cell r="H1036">
            <v>491.738</v>
          </cell>
          <cell r="I1036">
            <v>14</v>
          </cell>
          <cell r="J1036">
            <v>3.7</v>
          </cell>
        </row>
        <row r="1037">
          <cell r="B1037" t="str">
            <v>HEINEKEN C 6RH PILSEN</v>
          </cell>
          <cell r="E1037">
            <v>84.284655172413792</v>
          </cell>
          <cell r="F1037">
            <v>94.379212710505215</v>
          </cell>
          <cell r="G1037">
            <v>580</v>
          </cell>
          <cell r="H1037">
            <v>488.851</v>
          </cell>
          <cell r="I1037">
            <v>14</v>
          </cell>
          <cell r="J1037">
            <v>3.7</v>
          </cell>
        </row>
        <row r="1038">
          <cell r="B1038" t="str">
            <v>HEINEKEN C 6RH PILSEN</v>
          </cell>
          <cell r="E1038">
            <v>83.527016169355818</v>
          </cell>
          <cell r="F1038">
            <v>93.530833222197259</v>
          </cell>
          <cell r="G1038">
            <v>579.98599999999999</v>
          </cell>
          <cell r="H1038">
            <v>484.44499999999999</v>
          </cell>
          <cell r="I1038">
            <v>14</v>
          </cell>
          <cell r="J1038">
            <v>3.7</v>
          </cell>
        </row>
        <row r="1039">
          <cell r="B1039" t="str">
            <v>HEINEKEN C 6RH PILSEN</v>
          </cell>
          <cell r="E1039">
            <v>85.134575997682944</v>
          </cell>
          <cell r="F1039">
            <v>95.441905338496696</v>
          </cell>
          <cell r="G1039">
            <v>580.04399999999998</v>
          </cell>
          <cell r="H1039">
            <v>493.81799999999998</v>
          </cell>
          <cell r="I1039">
            <v>14.1</v>
          </cell>
          <cell r="J1039">
            <v>3.7</v>
          </cell>
        </row>
        <row r="1040">
          <cell r="B1040" t="str">
            <v>HEINEKEN C 6RH PILSEN</v>
          </cell>
          <cell r="E1040">
            <v>84.940599231436281</v>
          </cell>
          <cell r="F1040">
            <v>95.224443608699829</v>
          </cell>
          <cell r="G1040">
            <v>580.04300000000001</v>
          </cell>
          <cell r="H1040">
            <v>492.69200000000001</v>
          </cell>
          <cell r="I1040">
            <v>14.1</v>
          </cell>
          <cell r="J1040">
            <v>3.7</v>
          </cell>
        </row>
        <row r="1041">
          <cell r="B1041" t="str">
            <v>HEINEKEN A 2RP PILSEN</v>
          </cell>
          <cell r="E1041">
            <v>84.406894792011471</v>
          </cell>
          <cell r="F1041">
            <v>94.626123032255009</v>
          </cell>
          <cell r="G1041">
            <v>580.03200000000004</v>
          </cell>
          <cell r="H1041">
            <v>489.58699999999999</v>
          </cell>
          <cell r="I1041">
            <v>14.1</v>
          </cell>
          <cell r="J1041">
            <v>3.7</v>
          </cell>
        </row>
        <row r="1042">
          <cell r="B1042" t="str">
            <v>HEINEKEN C 6RH PILSEN</v>
          </cell>
          <cell r="E1042">
            <v>84.088213184736645</v>
          </cell>
          <cell r="F1042">
            <v>94.268858320024904</v>
          </cell>
          <cell r="G1042">
            <v>580.00400000000002</v>
          </cell>
          <cell r="H1042">
            <v>487.71499999999997</v>
          </cell>
          <cell r="I1042">
            <v>14.1</v>
          </cell>
          <cell r="J1042">
            <v>3.7</v>
          </cell>
        </row>
        <row r="1043">
          <cell r="B1043" t="str">
            <v>ABI4 PILSEN</v>
          </cell>
          <cell r="E1043">
            <v>83.941130120984639</v>
          </cell>
          <cell r="F1043">
            <v>94.103967760777891</v>
          </cell>
          <cell r="G1043">
            <v>579.99099999999999</v>
          </cell>
          <cell r="H1043">
            <v>486.851</v>
          </cell>
          <cell r="I1043">
            <v>14.1</v>
          </cell>
          <cell r="J1043">
            <v>3.7</v>
          </cell>
        </row>
        <row r="1044">
          <cell r="B1044" t="str">
            <v>CARLBERG 6RH PILSEN</v>
          </cell>
          <cell r="E1044">
            <v>83.8941598980702</v>
          </cell>
          <cell r="F1044">
            <v>94.051310805403503</v>
          </cell>
          <cell r="G1044">
            <v>580.00699999999995</v>
          </cell>
          <cell r="H1044">
            <v>486.59199999999998</v>
          </cell>
          <cell r="I1044">
            <v>14.1</v>
          </cell>
          <cell r="J1044">
            <v>3.7</v>
          </cell>
        </row>
        <row r="1045">
          <cell r="B1045" t="str">
            <v>ASAHI 2RP PILSEN</v>
          </cell>
          <cell r="E1045">
            <v>83.50902056523357</v>
          </cell>
          <cell r="F1045">
            <v>93.619542263469057</v>
          </cell>
          <cell r="G1045">
            <v>580.00800000000004</v>
          </cell>
          <cell r="H1045">
            <v>484.35899999999998</v>
          </cell>
          <cell r="I1045">
            <v>14.1</v>
          </cell>
          <cell r="J1045">
            <v>3.7</v>
          </cell>
        </row>
        <row r="1046">
          <cell r="B1046" t="str">
            <v>HEINEKEN C 6RH PILSEN</v>
          </cell>
          <cell r="E1046">
            <v>83.056329480566063</v>
          </cell>
          <cell r="F1046">
            <v>93.112043410692792</v>
          </cell>
          <cell r="G1046">
            <v>580.01599999999996</v>
          </cell>
          <cell r="H1046">
            <v>481.74</v>
          </cell>
          <cell r="I1046">
            <v>14.1</v>
          </cell>
          <cell r="J1046">
            <v>3.7</v>
          </cell>
        </row>
        <row r="1047">
          <cell r="B1047" t="str">
            <v>ABI4 PILSEN</v>
          </cell>
          <cell r="E1047">
            <v>85.018060189136307</v>
          </cell>
          <cell r="F1047">
            <v>95.422368254240382</v>
          </cell>
          <cell r="G1047">
            <v>580.005</v>
          </cell>
          <cell r="H1047">
            <v>493.10899999999998</v>
          </cell>
          <cell r="I1047">
            <v>14.2</v>
          </cell>
          <cell r="J1047">
            <v>3.7</v>
          </cell>
        </row>
        <row r="1048">
          <cell r="B1048" t="str">
            <v>GLOBE PILSEN</v>
          </cell>
          <cell r="E1048">
            <v>84.287349742415557</v>
          </cell>
          <cell r="F1048">
            <v>94.602235200403484</v>
          </cell>
          <cell r="G1048">
            <v>580.00400000000002</v>
          </cell>
          <cell r="H1048">
            <v>488.87</v>
          </cell>
          <cell r="I1048">
            <v>14.2</v>
          </cell>
          <cell r="J1048">
            <v>3.7</v>
          </cell>
        </row>
        <row r="1049">
          <cell r="B1049" t="str">
            <v>HEINEKEN C 6RH PILSEN</v>
          </cell>
          <cell r="E1049">
            <v>84.267088679606331</v>
          </cell>
          <cell r="F1049">
            <v>94.800474764557123</v>
          </cell>
          <cell r="G1049">
            <v>580.077</v>
          </cell>
          <cell r="H1049">
            <v>488.81400000000002</v>
          </cell>
          <cell r="I1049">
            <v>14.4</v>
          </cell>
          <cell r="J1049">
            <v>3.7</v>
          </cell>
        </row>
        <row r="1050">
          <cell r="B1050" t="str">
            <v>HEINEKEN C 6RH PILSEN</v>
          </cell>
          <cell r="E1050">
            <v>85.425545854539934</v>
          </cell>
          <cell r="F1050">
            <v>93.05110305511468</v>
          </cell>
          <cell r="G1050">
            <v>580.00800000000004</v>
          </cell>
          <cell r="H1050">
            <v>495.47500000000002</v>
          </cell>
          <cell r="I1050">
            <v>11.5</v>
          </cell>
          <cell r="J1050">
            <v>3.6</v>
          </cell>
        </row>
        <row r="1051">
          <cell r="B1051" t="str">
            <v>CARLBERG 2RP PILSEN</v>
          </cell>
          <cell r="E1051">
            <v>84.742984224012531</v>
          </cell>
          <cell r="F1051">
            <v>92.621583664340207</v>
          </cell>
          <cell r="G1051">
            <v>585.00300000000004</v>
          </cell>
          <cell r="H1051">
            <v>495.74900000000002</v>
          </cell>
          <cell r="I1051">
            <v>11.8</v>
          </cell>
          <cell r="J1051">
            <v>3.6</v>
          </cell>
        </row>
        <row r="1052">
          <cell r="B1052" t="str">
            <v>GLOBE PILSEN</v>
          </cell>
          <cell r="E1052">
            <v>85.562532911833173</v>
          </cell>
          <cell r="F1052">
            <v>93.623475286046727</v>
          </cell>
          <cell r="G1052">
            <v>582.99699999999996</v>
          </cell>
          <cell r="H1052">
            <v>498.827</v>
          </cell>
          <cell r="I1052">
            <v>11.9</v>
          </cell>
          <cell r="J1052">
            <v>3.6</v>
          </cell>
        </row>
        <row r="1053">
          <cell r="B1053" t="str">
            <v>HEINEKEN C 6RH PILSEN</v>
          </cell>
          <cell r="E1053">
            <v>83.92061487877838</v>
          </cell>
          <cell r="F1053">
            <v>91.931219026298137</v>
          </cell>
          <cell r="G1053">
            <v>590.03499999999997</v>
          </cell>
          <cell r="H1053">
            <v>495.161</v>
          </cell>
          <cell r="I1053">
            <v>12</v>
          </cell>
          <cell r="J1053">
            <v>3.6</v>
          </cell>
        </row>
        <row r="1054">
          <cell r="B1054" t="str">
            <v>CARLBERG 6RH PILSEN</v>
          </cell>
          <cell r="E1054">
            <v>84.263826036846837</v>
          </cell>
          <cell r="F1054">
            <v>92.412205118908247</v>
          </cell>
          <cell r="G1054">
            <v>590.01</v>
          </cell>
          <cell r="H1054">
            <v>497.16500000000002</v>
          </cell>
          <cell r="I1054">
            <v>12.1</v>
          </cell>
          <cell r="J1054">
            <v>3.6</v>
          </cell>
        </row>
        <row r="1055">
          <cell r="B1055" t="str">
            <v>ABI4 PILSEN</v>
          </cell>
          <cell r="E1055">
            <v>82.315079830338973</v>
          </cell>
          <cell r="F1055">
            <v>90.275013602328528</v>
          </cell>
          <cell r="G1055">
            <v>579.98</v>
          </cell>
          <cell r="H1055">
            <v>477.411</v>
          </cell>
          <cell r="I1055">
            <v>12.1</v>
          </cell>
          <cell r="J1055">
            <v>3.6</v>
          </cell>
        </row>
        <row r="1056">
          <cell r="B1056" t="str">
            <v>CARLBERG 6RH PILSEN</v>
          </cell>
          <cell r="E1056">
            <v>84.683275517000027</v>
          </cell>
          <cell r="F1056">
            <v>92.977992708870204</v>
          </cell>
          <cell r="G1056">
            <v>590.08699999999999</v>
          </cell>
          <cell r="H1056">
            <v>499.70499999999998</v>
          </cell>
          <cell r="I1056">
            <v>12.2</v>
          </cell>
          <cell r="J1056">
            <v>3.6</v>
          </cell>
        </row>
        <row r="1057">
          <cell r="B1057" t="str">
            <v>HEINEKEN C 6RH PILSEN</v>
          </cell>
          <cell r="E1057">
            <v>83.746062506788789</v>
          </cell>
          <cell r="F1057">
            <v>91.948979791052849</v>
          </cell>
          <cell r="G1057">
            <v>580.00099999999998</v>
          </cell>
          <cell r="H1057">
            <v>485.72800000000001</v>
          </cell>
          <cell r="I1057">
            <v>12.2</v>
          </cell>
          <cell r="J1057">
            <v>3.6</v>
          </cell>
        </row>
        <row r="1058">
          <cell r="B1058" t="str">
            <v>HEINEKEN C 6RH PILSEN</v>
          </cell>
          <cell r="E1058">
            <v>83.809678769789812</v>
          </cell>
          <cell r="F1058">
            <v>92.334320381802712</v>
          </cell>
          <cell r="G1058">
            <v>590.01300000000003</v>
          </cell>
          <cell r="H1058">
            <v>494.488</v>
          </cell>
          <cell r="I1058">
            <v>12.5</v>
          </cell>
          <cell r="J1058">
            <v>3.6</v>
          </cell>
        </row>
        <row r="1059">
          <cell r="B1059" t="str">
            <v>CARLBERG 2RP PILSEN</v>
          </cell>
          <cell r="E1059">
            <v>86.473340827741268</v>
          </cell>
          <cell r="F1059">
            <v>95.487171314939943</v>
          </cell>
          <cell r="G1059">
            <v>579.98800000000006</v>
          </cell>
          <cell r="H1059">
            <v>501.53500000000003</v>
          </cell>
          <cell r="I1059">
            <v>12.7</v>
          </cell>
          <cell r="J1059">
            <v>3.6</v>
          </cell>
        </row>
        <row r="1060">
          <cell r="B1060" t="str">
            <v>ASAHI 2RP PILSEN</v>
          </cell>
          <cell r="E1060">
            <v>84.482758620689651</v>
          </cell>
          <cell r="F1060">
            <v>93.610780816488301</v>
          </cell>
          <cell r="G1060">
            <v>580</v>
          </cell>
          <cell r="H1060">
            <v>490</v>
          </cell>
          <cell r="I1060">
            <v>13</v>
          </cell>
          <cell r="J1060">
            <v>3.6</v>
          </cell>
        </row>
        <row r="1061">
          <cell r="B1061" t="str">
            <v>HEINEKEN C 6RH PILSEN</v>
          </cell>
          <cell r="E1061">
            <v>83.929698248662959</v>
          </cell>
          <cell r="F1061">
            <v>92.997964496219637</v>
          </cell>
          <cell r="G1061">
            <v>580.01400000000001</v>
          </cell>
          <cell r="H1061">
            <v>486.80399999999997</v>
          </cell>
          <cell r="I1061">
            <v>13</v>
          </cell>
          <cell r="J1061">
            <v>3.6</v>
          </cell>
        </row>
        <row r="1062">
          <cell r="B1062" t="str">
            <v>HEINEKEN C 6RH PILSEN</v>
          </cell>
          <cell r="E1062">
            <v>82.768775074955485</v>
          </cell>
          <cell r="F1062">
            <v>92.028949448970096</v>
          </cell>
          <cell r="G1062">
            <v>580.01099999999997</v>
          </cell>
          <cell r="H1062">
            <v>480.06799999999998</v>
          </cell>
          <cell r="I1062">
            <v>13.3</v>
          </cell>
          <cell r="J1062">
            <v>3.6</v>
          </cell>
        </row>
        <row r="1063">
          <cell r="B1063" t="str">
            <v>ABI4 PILSEN</v>
          </cell>
          <cell r="E1063">
            <v>84.183784305679595</v>
          </cell>
          <cell r="F1063">
            <v>93.818691411185128</v>
          </cell>
          <cell r="G1063">
            <v>580.00599999999997</v>
          </cell>
          <cell r="H1063">
            <v>488.27100000000002</v>
          </cell>
          <cell r="I1063">
            <v>13.5</v>
          </cell>
          <cell r="J1063">
            <v>3.6</v>
          </cell>
        </row>
        <row r="1064">
          <cell r="B1064" t="str">
            <v>HEINEKEN C 6RH PILSEN</v>
          </cell>
          <cell r="E1064">
            <v>85.053188738125201</v>
          </cell>
          <cell r="F1064">
            <v>94.89730780503784</v>
          </cell>
          <cell r="G1064">
            <v>580.01</v>
          </cell>
          <cell r="H1064">
            <v>493.31700000000001</v>
          </cell>
          <cell r="I1064">
            <v>13.6</v>
          </cell>
          <cell r="J1064">
            <v>3.6</v>
          </cell>
        </row>
        <row r="1065">
          <cell r="B1065" t="str">
            <v>GLOBE PILSEN</v>
          </cell>
          <cell r="E1065">
            <v>84.635397808973082</v>
          </cell>
          <cell r="F1065">
            <v>94.431161444270884</v>
          </cell>
          <cell r="G1065">
            <v>580.00199999999995</v>
          </cell>
          <cell r="H1065">
            <v>490.887</v>
          </cell>
          <cell r="I1065">
            <v>13.6</v>
          </cell>
          <cell r="J1065">
            <v>3.6</v>
          </cell>
        </row>
        <row r="1066">
          <cell r="B1066" t="str">
            <v>HEINEKEN A 2RP PILSEN</v>
          </cell>
          <cell r="E1066">
            <v>83.788564788154432</v>
          </cell>
          <cell r="F1066">
            <v>93.486315342338969</v>
          </cell>
          <cell r="G1066">
            <v>579.99800000000005</v>
          </cell>
          <cell r="H1066">
            <v>485.97199999999998</v>
          </cell>
          <cell r="I1066">
            <v>13.6</v>
          </cell>
          <cell r="J1066">
            <v>3.6</v>
          </cell>
        </row>
        <row r="1067">
          <cell r="B1067" t="str">
            <v>HEINEKEN C 6RH PILSEN</v>
          </cell>
          <cell r="E1067">
            <v>82.613576208614319</v>
          </cell>
          <cell r="F1067">
            <v>92.175332714240994</v>
          </cell>
          <cell r="G1067">
            <v>579.94100000000003</v>
          </cell>
          <cell r="H1067">
            <v>479.11</v>
          </cell>
          <cell r="I1067">
            <v>13.6</v>
          </cell>
          <cell r="J1067">
            <v>3.6</v>
          </cell>
        </row>
        <row r="1068">
          <cell r="B1068" t="str">
            <v>HEINEKEN C 6RH PILSEN</v>
          </cell>
          <cell r="E1068">
            <v>84.962214149132976</v>
          </cell>
          <cell r="F1068">
            <v>94.905648250016455</v>
          </cell>
          <cell r="G1068">
            <v>579.97900000000004</v>
          </cell>
          <cell r="H1068">
            <v>492.76299999999998</v>
          </cell>
          <cell r="I1068">
            <v>13.7</v>
          </cell>
          <cell r="J1068">
            <v>3.6</v>
          </cell>
        </row>
        <row r="1069">
          <cell r="B1069" t="str">
            <v>HEINEKEN C 6RH PILSEN</v>
          </cell>
          <cell r="E1069">
            <v>84.379525799644142</v>
          </cell>
          <cell r="F1069">
            <v>94.254765783148258</v>
          </cell>
          <cell r="G1069">
            <v>580.00800000000004</v>
          </cell>
          <cell r="H1069">
            <v>489.40800000000002</v>
          </cell>
          <cell r="I1069">
            <v>13.7</v>
          </cell>
          <cell r="J1069">
            <v>3.6</v>
          </cell>
        </row>
        <row r="1070">
          <cell r="B1070" t="str">
            <v>HEINEKEN C 6RH PILSEN</v>
          </cell>
          <cell r="E1070">
            <v>83.644141883887784</v>
          </cell>
          <cell r="F1070">
            <v>93.54170855692324</v>
          </cell>
          <cell r="G1070">
            <v>579.93899999999996</v>
          </cell>
          <cell r="H1070">
            <v>485.08499999999998</v>
          </cell>
          <cell r="I1070">
            <v>13.8</v>
          </cell>
          <cell r="J1070">
            <v>3.6</v>
          </cell>
        </row>
        <row r="1071">
          <cell r="B1071" t="str">
            <v>HEINEKEN C 6RH PILSEN</v>
          </cell>
          <cell r="E1071">
            <v>83.962347099743994</v>
          </cell>
          <cell r="F1071">
            <v>94.006623233627423</v>
          </cell>
          <cell r="G1071">
            <v>580.03499999999997</v>
          </cell>
          <cell r="H1071">
            <v>487.01100000000002</v>
          </cell>
          <cell r="I1071">
            <v>13.9</v>
          </cell>
          <cell r="J1071">
            <v>3.6</v>
          </cell>
        </row>
        <row r="1072">
          <cell r="B1072" t="str">
            <v>HEINEKEN C 6RH PILSEN</v>
          </cell>
          <cell r="E1072">
            <v>83.580023206376396</v>
          </cell>
          <cell r="F1072">
            <v>93.578562567882514</v>
          </cell>
          <cell r="G1072">
            <v>580.01300000000003</v>
          </cell>
          <cell r="H1072">
            <v>484.77499999999998</v>
          </cell>
          <cell r="I1072">
            <v>13.9</v>
          </cell>
          <cell r="J1072">
            <v>3.6</v>
          </cell>
        </row>
        <row r="1073">
          <cell r="B1073" t="str">
            <v>HEINEKEN C 6RH PILSEN</v>
          </cell>
          <cell r="E1073">
            <v>83.477526249547424</v>
          </cell>
          <cell r="F1073">
            <v>93.463804070341141</v>
          </cell>
          <cell r="G1073">
            <v>580.01</v>
          </cell>
          <cell r="H1073">
            <v>484.178</v>
          </cell>
          <cell r="I1073">
            <v>13.9</v>
          </cell>
          <cell r="J1073">
            <v>3.6</v>
          </cell>
        </row>
        <row r="1074">
          <cell r="B1074" t="str">
            <v>ABI4 PILSEN</v>
          </cell>
          <cell r="E1074">
            <v>83.09172997657231</v>
          </cell>
          <cell r="F1074">
            <v>93.248460648912356</v>
          </cell>
          <cell r="G1074">
            <v>580.08299999999997</v>
          </cell>
          <cell r="H1074">
            <v>482.00099999999998</v>
          </cell>
          <cell r="I1074">
            <v>14.1</v>
          </cell>
          <cell r="J1074">
            <v>3.6</v>
          </cell>
        </row>
        <row r="1075">
          <cell r="B1075" t="str">
            <v>CARLBERG 6RH PILSEN</v>
          </cell>
          <cell r="E1075">
            <v>83.022472336302286</v>
          </cell>
          <cell r="F1075">
            <v>93.170737290099439</v>
          </cell>
          <cell r="G1075">
            <v>580.00199999999995</v>
          </cell>
          <cell r="H1075">
            <v>481.53199999999998</v>
          </cell>
          <cell r="I1075">
            <v>14.1</v>
          </cell>
          <cell r="J1075">
            <v>3.6</v>
          </cell>
        </row>
        <row r="1076">
          <cell r="B1076" t="str">
            <v>HEINEKEN C 6RH PILSEN</v>
          </cell>
          <cell r="E1076">
            <v>82.209111472786972</v>
          </cell>
          <cell r="F1076">
            <v>92.257955133604924</v>
          </cell>
          <cell r="G1076">
            <v>580.01599999999996</v>
          </cell>
          <cell r="H1076">
            <v>476.82600000000002</v>
          </cell>
          <cell r="I1076">
            <v>14.1</v>
          </cell>
          <cell r="J1076">
            <v>3.6</v>
          </cell>
        </row>
        <row r="1077">
          <cell r="B1077" t="str">
            <v>HEINEKEN C 6RH PILSEN</v>
          </cell>
          <cell r="E1077">
            <v>84.639851875604478</v>
          </cell>
          <cell r="F1077">
            <v>95.096523552543957</v>
          </cell>
          <cell r="G1077">
            <v>580.053</v>
          </cell>
          <cell r="H1077">
            <v>490.95600000000002</v>
          </cell>
          <cell r="I1077">
            <v>14.2</v>
          </cell>
          <cell r="J1077">
            <v>3.6</v>
          </cell>
        </row>
        <row r="1078">
          <cell r="B1078" t="str">
            <v>HEINEKEN C 6RH PILSEN</v>
          </cell>
          <cell r="E1078">
            <v>83.918910065207115</v>
          </cell>
          <cell r="F1078">
            <v>91.920259038507226</v>
          </cell>
          <cell r="G1078">
            <v>579.99800000000005</v>
          </cell>
          <cell r="H1078">
            <v>486.72800000000001</v>
          </cell>
          <cell r="I1078">
            <v>11.9</v>
          </cell>
          <cell r="J1078">
            <v>3.5</v>
          </cell>
        </row>
        <row r="1079">
          <cell r="B1079" t="str">
            <v>HEINEKEN C 6RH PILSEN</v>
          </cell>
          <cell r="E1079">
            <v>83.124509694049081</v>
          </cell>
          <cell r="F1079">
            <v>92.841610943006216</v>
          </cell>
          <cell r="G1079">
            <v>579.995</v>
          </cell>
          <cell r="H1079">
            <v>482.11799999999999</v>
          </cell>
          <cell r="I1079">
            <v>13.6</v>
          </cell>
          <cell r="J1079">
            <v>3.5</v>
          </cell>
        </row>
        <row r="1080">
          <cell r="B1080" t="str">
            <v>HEINEKEN C 6RH PILSEN</v>
          </cell>
          <cell r="E1080">
            <v>83.31069012365262</v>
          </cell>
          <cell r="F1080">
            <v>93.265447760237564</v>
          </cell>
          <cell r="G1080">
            <v>580.01199999999994</v>
          </cell>
          <cell r="H1080">
            <v>483.21199999999999</v>
          </cell>
          <cell r="I1080">
            <v>13.8</v>
          </cell>
          <cell r="J1080">
            <v>3.5</v>
          </cell>
        </row>
        <row r="1081">
          <cell r="B1081" t="str">
            <v>CARLBERG 2RP PILSEN</v>
          </cell>
          <cell r="E1081">
            <v>82.847079025951203</v>
          </cell>
          <cell r="F1081">
            <v>92.74643997684791</v>
          </cell>
          <cell r="G1081">
            <v>580.01199999999994</v>
          </cell>
          <cell r="H1081">
            <v>480.52300000000002</v>
          </cell>
          <cell r="I1081">
            <v>13.8</v>
          </cell>
          <cell r="J1081">
            <v>3.5</v>
          </cell>
        </row>
        <row r="1082">
          <cell r="B1082" t="str">
            <v>HEINEKEN C 6RH PILSEN</v>
          </cell>
          <cell r="E1082">
            <v>84.456237263238478</v>
          </cell>
          <cell r="F1082">
            <v>94.878077949971043</v>
          </cell>
          <cell r="G1082">
            <v>580.01400000000001</v>
          </cell>
          <cell r="H1082">
            <v>489.858</v>
          </cell>
          <cell r="I1082">
            <v>14.1</v>
          </cell>
          <cell r="J1082">
            <v>3.5</v>
          </cell>
        </row>
        <row r="1083">
          <cell r="B1083" t="str">
            <v>ASAHI 2RP PILSEN</v>
          </cell>
          <cell r="E1083">
            <v>84.059710138930569</v>
          </cell>
          <cell r="F1083">
            <v>94.54268098376221</v>
          </cell>
          <cell r="G1083">
            <v>580.00199999999995</v>
          </cell>
          <cell r="H1083">
            <v>487.548</v>
          </cell>
          <cell r="I1083">
            <v>14.2</v>
          </cell>
          <cell r="J1083">
            <v>3.5</v>
          </cell>
        </row>
        <row r="1084">
          <cell r="B1084" t="str">
            <v>HEINEKEN C 6RH PILSEN</v>
          </cell>
          <cell r="E1084">
            <v>83.971951820855793</v>
          </cell>
          <cell r="F1084">
            <v>91.865125095069871</v>
          </cell>
          <cell r="G1084">
            <v>580.00199999999995</v>
          </cell>
          <cell r="H1084">
            <v>487.03899999999999</v>
          </cell>
          <cell r="I1084">
            <v>11.7</v>
          </cell>
          <cell r="J1084">
            <v>3.4</v>
          </cell>
        </row>
        <row r="1085">
          <cell r="B1085" t="str">
            <v>HEINEKEN C 6RH PILSEN</v>
          </cell>
          <cell r="E1085">
            <v>84.68732257140455</v>
          </cell>
          <cell r="F1085">
            <v>92.858063114616115</v>
          </cell>
          <cell r="G1085">
            <v>582.98099999999999</v>
          </cell>
          <cell r="H1085">
            <v>493.71100000000001</v>
          </cell>
          <cell r="I1085">
            <v>11.9</v>
          </cell>
          <cell r="J1085">
            <v>3.4</v>
          </cell>
        </row>
        <row r="1086">
          <cell r="B1086" t="str">
            <v>HEINEKEN C 6RH PILSEN</v>
          </cell>
          <cell r="E1086">
            <v>83.943669742486307</v>
          </cell>
          <cell r="F1086">
            <v>94.18070263791148</v>
          </cell>
          <cell r="G1086">
            <v>580.00800000000004</v>
          </cell>
          <cell r="H1086">
            <v>486.88</v>
          </cell>
          <cell r="I1086">
            <v>13.9</v>
          </cell>
          <cell r="J1086">
            <v>3.4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éo - BLC" refreshedDate="45603.463493634263" createdVersion="8" refreshedVersion="8" minRefreshableVersion="3" recordCount="149" xr:uid="{6FC54E00-8491-401E-8644-1FA205CE71AB}">
  <cacheSource type="worksheet">
    <worksheetSource ref="A1:L150" sheet="Data brutes"/>
  </cacheSource>
  <cacheFields count="12">
    <cacheField name="ID_Batch" numFmtId="0">
      <sharedItems containsSemiMixedTypes="0" containsString="0" containsNumber="1" containsInteger="1" minValue="6701" maxValue="7372"/>
    </cacheField>
    <cacheField name="Date de fin de production" numFmtId="14">
      <sharedItems containsSemiMixedTypes="0" containsNonDate="0" containsDate="1" containsString="0" minDate="2021-10-26T00:00:00" maxDate="2023-08-29T00:00:00"/>
    </cacheField>
    <cacheField name="Mois" numFmtId="0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</cacheField>
    <cacheField name="Cahier des charges" numFmtId="0">
      <sharedItems count="9">
        <s v="GLOBE"/>
        <s v="HEINEKEN"/>
        <s v="Kronenbourg"/>
        <s v="Standard"/>
        <s v="SAB"/>
        <s v="S,Algérie"/>
        <s v="Ambev Diékirch"/>
        <s v="6RH"/>
        <s v="2RP"/>
      </sharedItems>
    </cacheField>
    <cacheField name="Type d'orge" numFmtId="0">
      <sharedItems/>
    </cacheField>
    <cacheField name="Variété" numFmtId="0">
      <sharedItems/>
    </cacheField>
    <cacheField name="Qté Orge" numFmtId="0">
      <sharedItems containsSemiMixedTypes="0" containsString="0" containsNumber="1" minValue="224.995" maxValue="235.08" count="84">
        <n v="225.04900000000001"/>
        <n v="230.01599999999999"/>
        <n v="225.024"/>
        <n v="230.00800000000001"/>
        <n v="224.995"/>
        <n v="225.001"/>
        <n v="225.00200000000001"/>
        <n v="225.018"/>
        <n v="229.95400000000001"/>
        <n v="225"/>
        <n v="230.00399999999999"/>
        <n v="230.005"/>
        <n v="230.00299999999999"/>
        <n v="230"/>
        <n v="230.01300000000001"/>
        <n v="230.02099999999999"/>
        <n v="225.01599999999999"/>
        <n v="229.994"/>
        <n v="230.001"/>
        <n v="230.06800000000001"/>
        <n v="229.99700000000001"/>
        <n v="230.00200000000001"/>
        <n v="230.108"/>
        <n v="230.03800000000001"/>
        <n v="230.03"/>
        <n v="230.011"/>
        <n v="230.018"/>
        <n v="229.99100000000001"/>
        <n v="230.00899999999999"/>
        <n v="230.03299999999999"/>
        <n v="225.00399999999999"/>
        <n v="224.99600000000001"/>
        <n v="229.99600000000001"/>
        <n v="230.01400000000001"/>
        <n v="230.00700000000001"/>
        <n v="229.999"/>
        <n v="225.00899999999999"/>
        <n v="229.98699999999999"/>
        <n v="224.999"/>
        <n v="229.99299999999999"/>
        <n v="229.99799999999999"/>
        <n v="229.995"/>
        <n v="230.02500000000001"/>
        <n v="230.006"/>
        <n v="232"/>
        <n v="235.01400000000001"/>
        <n v="231.99700000000001"/>
        <n v="234.999"/>
        <n v="232.006"/>
        <n v="231.99600000000001"/>
        <n v="232.01400000000001"/>
        <n v="234.98699999999999"/>
        <n v="232.999"/>
        <n v="233.00399999999999"/>
        <n v="232.00299999999999"/>
        <n v="233.012"/>
        <n v="233"/>
        <n v="235.01599999999999"/>
        <n v="235.00299999999999"/>
        <n v="235.08"/>
        <n v="235.06899999999999"/>
        <n v="235.01"/>
        <n v="234.93600000000001"/>
        <n v="235"/>
        <n v="235.03299999999999"/>
        <n v="235.011"/>
        <n v="234.93899999999999"/>
        <n v="235.02099999999999"/>
        <n v="234.99799999999999"/>
        <n v="235.017"/>
        <n v="235.01900000000001"/>
        <n v="234.97399999999999"/>
        <n v="235.05500000000001"/>
        <n v="235.072"/>
        <n v="235.006"/>
        <n v="230.036"/>
        <n v="229.95099999999999"/>
        <n v="230.01"/>
        <n v="229.96"/>
        <n v="225.012"/>
        <n v="230.13"/>
        <n v="230.09200000000001"/>
        <n v="230.02199999999999"/>
        <n v="229.977"/>
      </sharedItems>
    </cacheField>
    <cacheField name="Qté Malt" numFmtId="0">
      <sharedItems containsSemiMixedTypes="0" containsString="0" containsNumber="1" minValue="178.84100000000001" maxValue="206.887" count="149">
        <n v="195.54"/>
        <n v="193.58600000000001"/>
        <n v="191.89500000000001"/>
        <n v="192.04499999999999"/>
        <n v="189.10300000000001"/>
        <n v="185.64599999999999"/>
        <n v="204.24"/>
        <n v="189.059"/>
        <n v="192.15299999999999"/>
        <n v="192.9"/>
        <n v="198.16800000000001"/>
        <n v="190.273"/>
        <n v="194.078"/>
        <n v="197.399"/>
        <n v="200.97900000000001"/>
        <n v="197.30600000000001"/>
        <n v="197.202"/>
        <n v="187.98599999999999"/>
        <n v="192.42599999999999"/>
        <n v="190.58799999999999"/>
        <n v="194.578"/>
        <n v="191.428"/>
        <n v="188.1"/>
        <n v="197.3"/>
        <n v="195.119"/>
        <n v="181.58699999999999"/>
        <n v="205.32499999999999"/>
        <n v="206.887"/>
        <n v="196.00700000000001"/>
        <n v="195.03899999999999"/>
        <n v="193.733"/>
        <n v="195.30600000000001"/>
        <n v="194.506"/>
        <n v="195.333"/>
        <n v="195.126"/>
        <n v="193.92500000000001"/>
        <n v="191.596"/>
        <n v="195.34800000000001"/>
        <n v="192.99"/>
        <n v="194.45099999999999"/>
        <n v="200.30199999999999"/>
        <n v="198.39500000000001"/>
        <n v="192.37"/>
        <n v="193.42699999999999"/>
        <n v="199.999"/>
        <n v="196.76300000000001"/>
        <n v="190.90799999999999"/>
        <n v="194.11"/>
        <n v="194.32900000000001"/>
        <n v="189.22300000000001"/>
        <n v="188.15"/>
        <n v="183.75800000000001"/>
        <n v="186.6"/>
        <n v="183.51400000000001"/>
        <n v="184.83199999999999"/>
        <n v="193.483"/>
        <n v="183.834"/>
        <n v="186.58199999999999"/>
        <n v="185.42599999999999"/>
        <n v="187.86199999999999"/>
        <n v="191.41800000000001"/>
        <n v="197.21700000000001"/>
        <n v="181.08600000000001"/>
        <n v="191.124"/>
        <n v="184.26599999999999"/>
        <n v="193.93700000000001"/>
        <n v="182.53700000000001"/>
        <n v="192.40899999999999"/>
        <n v="186.65299999999999"/>
        <n v="182.7"/>
        <n v="186.20699999999999"/>
        <n v="197.32900000000001"/>
        <n v="195.53100000000001"/>
        <n v="191.22900000000001"/>
        <n v="189.994"/>
        <n v="192.19900000000001"/>
        <n v="195.571"/>
        <n v="192.571"/>
        <n v="189.00200000000001"/>
        <n v="192.78800000000001"/>
        <n v="188.601"/>
        <n v="198.874"/>
        <n v="197.88300000000001"/>
        <n v="185.45400000000001"/>
        <n v="198.38200000000001"/>
        <n v="201.74199999999999"/>
        <n v="201.46299999999999"/>
        <n v="199.21299999999999"/>
        <n v="197.65100000000001"/>
        <n v="196.41900000000001"/>
        <n v="196.75200000000001"/>
        <n v="202.5"/>
        <n v="194.351"/>
        <n v="198.21199999999999"/>
        <n v="194.89"/>
        <n v="196.38900000000001"/>
        <n v="178.84100000000001"/>
        <n v="196.304"/>
        <n v="195.434"/>
        <n v="197.81299999999999"/>
        <n v="198.23599999999999"/>
        <n v="194.79"/>
        <n v="200.864"/>
        <n v="194.886"/>
        <n v="201.35499999999999"/>
        <n v="199.61099999999999"/>
        <n v="200.63499999999999"/>
        <n v="206.82499999999999"/>
        <n v="192.52600000000001"/>
        <n v="192.17599999999999"/>
        <n v="197.84899999999999"/>
        <n v="199.626"/>
        <n v="198.703"/>
        <n v="199.744"/>
        <n v="199.18799999999999"/>
        <n v="196.70400000000001"/>
        <n v="198.11"/>
        <n v="199.3"/>
        <n v="200.48099999999999"/>
        <n v="198.74600000000001"/>
        <n v="197.934"/>
        <n v="199.952"/>
        <n v="196.27199999999999"/>
        <n v="196.73"/>
        <n v="192.68100000000001"/>
        <n v="191.73500000000001"/>
        <n v="193.54499999999999"/>
        <n v="191.88300000000001"/>
        <n v="189.958"/>
        <n v="195.17099999999999"/>
        <n v="189.60599999999999"/>
        <n v="193.31899999999999"/>
        <n v="193.64400000000001"/>
        <n v="191.864"/>
        <n v="190.989"/>
        <n v="190.75"/>
        <n v="196.05500000000001"/>
        <n v="196.36199999999999"/>
        <n v="194.22399999999999"/>
        <n v="196.16300000000001"/>
        <n v="195.114"/>
        <n v="190.87200000000001"/>
        <n v="190.12899999999999"/>
        <n v="191.37799999999999"/>
        <n v="191.44800000000001"/>
        <n v="191.14500000000001"/>
        <n v="191.24700000000001"/>
        <n v="193.721"/>
        <n v="191.988"/>
      </sharedItems>
    </cacheField>
    <cacheField name="Humidité Malt" numFmtId="0">
      <sharedItems containsSemiMixedTypes="0" containsString="0" containsNumber="1" minValue="3.1" maxValue="6.2" count="26">
        <n v="3.8"/>
        <n v="3.6"/>
        <n v="4.3"/>
        <n v="3.5"/>
        <n v="4"/>
        <n v="4.2"/>
        <n v="4.4000000000000004"/>
        <n v="4.9000000000000004"/>
        <n v="3.9"/>
        <n v="5.3"/>
        <n v="3.4"/>
        <n v="3.7"/>
        <n v="6.2"/>
        <n v="4.8"/>
        <n v="3.2"/>
        <n v="4.0999999999999996"/>
        <n v="5"/>
        <n v="4.5"/>
        <n v="5.7"/>
        <n v="3.1"/>
        <n v="4.7"/>
        <n v="4.5999999999999996"/>
        <n v="5.0999999999999996"/>
        <n v="3.3"/>
        <n v="5.6"/>
        <n v="5.2"/>
      </sharedItems>
    </cacheField>
    <cacheField name="Humidité Orge" numFmtId="0">
      <sharedItems containsSemiMixedTypes="0" containsString="0" containsNumber="1" minValue="10.3" maxValue="14.6" count="36">
        <n v="13.7"/>
        <n v="13.6"/>
        <n v="13.4"/>
        <n v="14.6"/>
        <n v="12.9"/>
        <n v="12"/>
        <n v="13.5"/>
        <n v="13.3"/>
        <n v="13.8"/>
        <n v="13.9"/>
        <n v="14.1"/>
        <n v="12.8"/>
        <n v="14"/>
        <n v="14.3"/>
        <n v="12.7"/>
        <n v="13.1"/>
        <n v="13.2"/>
        <n v="14.2"/>
        <n v="12.5"/>
        <n v="14.4"/>
        <n v="12.3"/>
        <n v="13"/>
        <n v="10.8"/>
        <n v="11.7"/>
        <n v="11.6"/>
        <n v="12.1"/>
        <n v="11.2"/>
        <n v="11.4"/>
        <n v="10.9"/>
        <n v="12.4"/>
        <n v="11.9"/>
        <n v="12.6"/>
        <n v="11.5"/>
        <n v="12.2"/>
        <n v="11.8"/>
        <n v="10.3"/>
      </sharedItems>
    </cacheField>
    <cacheField name="R2" numFmtId="0">
      <sharedItems containsSemiMixedTypes="0" containsString="0" containsNumber="1" minValue="76.751841106895796" maxValue="90.772929898089345" count="149">
        <n v="86.887744446764927"/>
        <n v="84.161971341124115"/>
        <n v="85.277570392491469"/>
        <n v="83.494921915759448"/>
        <n v="84.047645503233397"/>
        <n v="82.508966626814981"/>
        <n v="90.772929898089345"/>
        <n v="84.025475329108176"/>
        <n v="85.394501773191479"/>
        <n v="83.886342485888477"/>
        <n v="88.074666666666673"/>
        <n v="84.565777777777768"/>
        <n v="84.380271647449618"/>
        <n v="85.824159579833406"/>
        <n v="87.380274341862147"/>
        <n v="85.78409846828086"/>
        <n v="85.74"/>
        <n v="81.728424045597421"/>
        <n v="83.655840118945662"/>
        <n v="84.699754684111355"/>
        <n v="84.601337426193723"/>
        <n v="83.229203351289769"/>
        <n v="83.6"/>
        <n v="85.781116850141743"/>
        <n v="84.809273779925931"/>
        <n v="78.951899372600494"/>
        <n v="89.272903559611635"/>
        <n v="89.950478476180535"/>
        <n v="85.219693741793549"/>
        <n v="84.759764979922465"/>
        <n v="86.103172874787219"/>
        <n v="84.90162494892148"/>
        <n v="84.566723042742936"/>
        <n v="84.927391304347822"/>
        <n v="84.826327000825984"/>
        <n v="84.311185117233535"/>
        <n v="83.29608987122748"/>
        <n v="84.932066694202319"/>
        <n v="83.911979164402084"/>
        <n v="84.536194521369794"/>
        <n v="87.087826086956525"/>
        <n v="86.258695652173927"/>
        <n v="83.63585772730633"/>
        <n v="84.096867459403057"/>
        <n v="86.948148212554514"/>
        <n v="85.536857755191647"/>
        <n v="82.997704507512509"/>
        <n v="84.39381752570597"/>
        <n v="84.490502215207769"/>
        <n v="82.267650396288843"/>
        <n v="81.803636490117484"/>
        <n v="79.894782608695664"/>
        <n v="81.129729306701677"/>
        <n v="81.560327816394391"/>
        <n v="82.149015982506342"/>
        <n v="84.124506513156746"/>
        <n v="79.929216160281044"/>
        <n v="81.117671098280965"/>
        <n v="80.617546422500169"/>
        <n v="81.679485562980702"/>
        <n v="83.223408186778556"/>
        <n v="87.651610437286948"/>
        <n v="80.479447488767136"/>
        <n v="83.092333510134168"/>
        <n v="80.120180705865991"/>
        <n v="84.31933496519612"/>
        <n v="81.12791612407166"/>
        <n v="83.658633088833128"/>
        <n v="81.150302814237705"/>
        <n v="79.432019755834574"/>
        <n v="80.961677261145937"/>
        <n v="85.795963443160389"/>
        <n v="85.01458714678887"/>
        <n v="83.1448509750212"/>
        <n v="82.604650353906891"/>
        <n v="83.563692647487215"/>
        <n v="85.02162808390392"/>
        <n v="83.725065651032153"/>
        <n v="82.172996239212196"/>
        <n v="83.811759591348761"/>
        <n v="81.998295696634003"/>
        <n v="86.466956521739121"/>
        <n v="85.294396551724134"/>
        <n v="80.63007051989949"/>
        <n v="84.41284349017505"/>
        <n v="86.958883089005454"/>
        <n v="85.729300975748828"/>
        <n v="85.867672413793102"/>
        <n v="85.192193305345555"/>
        <n v="84.664821807272546"/>
        <n v="84.801779202979134"/>
        <n v="86.174979892504695"/>
        <n v="83.412804346799774"/>
        <n v="85.068067500987112"/>
        <n v="84.003224096240132"/>
        <n v="84.287486212387179"/>
        <n v="76.751841106895796"/>
        <n v="84.251005369121756"/>
        <n v="83.875813290758956"/>
        <n v="84.898283261802561"/>
        <n v="84.350001702011781"/>
        <n v="84.693881987712672"/>
        <n v="85.472951409130957"/>
        <n v="82.901990811638584"/>
        <n v="85.657828127060569"/>
        <n v="84.937236713331345"/>
        <n v="85.399853577144398"/>
        <n v="88.010638297872333"/>
        <n v="81.914454565954571"/>
        <n v="81.773193595193419"/>
        <n v="84.212923354572894"/>
        <n v="84.939643691414815"/>
        <n v="84.555187703725139"/>
        <n v="84.991298501810505"/>
        <n v="84.753998612878107"/>
        <n v="85.517529215358934"/>
        <n v="84.311455735528199"/>
        <n v="84.788666482312664"/>
        <n v="85.284933977674925"/>
        <n v="84.570606707913839"/>
        <n v="84.227234042553192"/>
        <n v="86.93225047715525"/>
        <n v="85.332684080553705"/>
        <n v="85.521396650958977"/>
        <n v="83.792199207657291"/>
        <n v="83.359419155688897"/>
        <n v="84.147804839873743"/>
        <n v="83.428479501906551"/>
        <n v="82.589716611159901"/>
        <n v="84.857694414734041"/>
        <n v="82.437749729346649"/>
        <n v="84.046988648467689"/>
        <n v="84.192311371205463"/>
        <n v="83.433640633153601"/>
        <n v="83.035085431068225"/>
        <n v="84.77325653742912"/>
        <n v="85.241304347826087"/>
        <n v="85.326554556120442"/>
        <n v="84.447420367487851"/>
        <n v="85.285665218884645"/>
        <n v="84.828116916147493"/>
        <n v="82.98457886430532"/>
        <n v="82.665142022356619"/>
        <n v="85.056510859951729"/>
        <n v="83.237898965656683"/>
        <n v="83.073292422161572"/>
        <n v="83.142916764483417"/>
        <n v="84.22798657367953"/>
        <n v="83.481391617422602"/>
      </sharedItems>
    </cacheField>
    <cacheField name="R2 sec" numFmtId="0">
      <sharedItems containsSemiMixedTypes="0" containsString="0" containsNumber="1" minValue="84.391898516849949" maxValue="100.17250225002934" count="149">
        <n v="96.855168201376429"/>
        <n v="93.902940246346802"/>
        <n v="94.238608389854889"/>
        <n v="94.347306380219976"/>
        <n v="92.635751645354844"/>
        <n v="90.197302153404564"/>
        <n v="98.818712320874539"/>
        <n v="92.865149612286018"/>
        <n v="93.668017515922827"/>
        <n v="93.520620799232987"/>
        <n v="96.871903987611304"/>
        <n v="94.312008278359855"/>
        <n v="94.015389171206849"/>
        <n v="95.991481620649907"/>
        <n v="97.224509662606195"/>
        <n v="92.276931609228726"/>
        <n v="96.008860465116271"/>
        <n v="91.588929962931672"/>
        <n v="94.100618290155907"/>
        <n v="92.364451843383748"/>
        <n v="93.850045200058403"/>
        <n v="93.066258672067931"/>
        <n v="93.880278422273776"/>
        <n v="95.268429312830222"/>
        <n v="95.1880310606861"/>
        <n v="88.040548253864984"/>
        <n v="100.17250225002934"/>
        <n v="98.789542835111575"/>
        <n v="93.224292695776441"/>
        <n v="92.402842053256521"/>
        <n v="94.073866592338959"/>
        <n v="94.576461280310212"/>
        <n v="94.683299666903807"/>
        <n v="95.320603526907874"/>
        <n v="95.404901580183065"/>
        <n v="94.201347366758029"/>
        <n v="93.310879867305673"/>
        <n v="93.160779038277269"/>
        <n v="93.170559908441803"/>
        <n v="94.026947841477295"/>
        <n v="97.268231682769724"/>
        <n v="95.543485809178748"/>
        <n v="93.327150627341823"/>
        <n v="93.082827745425206"/>
        <n v="96.821750211199173"/>
        <n v="94.269158778923511"/>
        <n v="92.455582463019752"/>
        <n v="93.509526038935547"/>
        <n v="94.216734446958426"/>
        <n v="92.15512763178215"/>
        <n v="91.684679689852928"/>
        <n v="88.032214170692441"/>
        <n v="91.152749477459679"/>
        <n v="90.349563606573625"/>
        <n v="91.139979713310609"/>
        <n v="94.078914476430526"/>
        <n v="88.830845802261322"/>
        <n v="90.927249928770777"/>
        <n v="90.002592571801713"/>
        <n v="91.889421258353295"/>
        <n v="92.013940394796492"/>
        <n v="95.247417043026772"/>
        <n v="88.387832502114179"/>
        <n v="92.539025718942924"/>
        <n v="89.436480787943424"/>
        <n v="92.654349685893649"/>
        <n v="89.333958214782371"/>
        <n v="90.526844699318872"/>
        <n v="90.45954960289302"/>
        <n v="87.274905747799863"/>
        <n v="89.863713534072858"/>
        <n v="91.663176189833919"/>
        <n v="92.839793463709213"/>
        <n v="92.201184684930809"/>
        <n v="92.198686399656836"/>
        <n v="93.075007257770309"/>
        <n v="92.461020541245517"/>
        <n v="92.640234678688344"/>
        <n v="91.823545797538273"/>
        <n v="91.310206938706145"/>
        <n v="91.712379507385066"/>
        <n v="97.149354413702227"/>
        <n v="92.660730799373042"/>
        <n v="89.516215182765436"/>
        <n v="90.046732365650527"/>
        <n v="95.466805666541816"/>
        <n v="92.197615351171322"/>
        <n v="94.621650472014835"/>
        <n v="93.157711949631008"/>
        <n v="90.834343575739709"/>
        <n v="92.97075793354135"/>
        <n v="94.053279408636612"/>
        <n v="89.778764723435458"/>
        <n v="93.613718117524627"/>
        <n v="90.010265092906565"/>
        <n v="92.658503678685918"/>
        <n v="84.391898516849949"/>
        <n v="91.962114335109163"/>
        <n v="92.119607511336412"/>
        <n v="92.22208522309316"/>
        <n v="92.593297322890194"/>
        <n v="90.907315767849596"/>
        <n v="93.631733134548"/>
        <n v="91.34395555103886"/>
        <n v="93.569212480871172"/>
        <n v="92.773132127659181"/>
        <n v="93.472960464277648"/>
        <n v="95.361413957062567"/>
        <n v="89.658076125150743"/>
        <n v="90.100212164955678"/>
        <n v="92.402967387912355"/>
        <n v="93.375430222411495"/>
        <n v="92.933663022886975"/>
        <n v="92.841121966629942"/>
        <n v="91.163161036199583"/>
        <n v="90.886342708699857"/>
        <n v="91.655326879912437"/>
        <n v="93.093706707231661"/>
        <n v="92.053579531458652"/>
        <n v="91.443161654832352"/>
        <n v="91.779959910160116"/>
        <n v="91.777972354365687"/>
        <n v="92.887677676788897"/>
        <n v="93.393252479058603"/>
        <n v="91.124016638327305"/>
        <n v="91.466456487763907"/>
        <n v="92.207571780066885"/>
        <n v="90.795443861593256"/>
        <n v="90.60355897639802"/>
        <n v="93.841477943106341"/>
        <n v="90.136947312269683"/>
        <n v="91.783131921792545"/>
        <n v="91.854865307151357"/>
        <n v="90.759057199576418"/>
        <n v="90.292408448312557"/>
        <n v="92.28724973051942"/>
        <n v="92.594697231407011"/>
        <n v="93.587097992646932"/>
        <n v="91.715828009536622"/>
        <n v="92.023810326471477"/>
        <n v="91.679989841115045"/>
        <n v="90.135177496603731"/>
        <n v="89.569454110002638"/>
        <n v="92.490507836360663"/>
        <n v="91.974518118914744"/>
        <n v="91.476108207391704"/>
        <n v="90.615374585182138"/>
        <n v="91.702142378852471"/>
        <n v="89.9974730898232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n v="6701"/>
    <d v="2021-10-26T00:00:00"/>
    <x v="0"/>
    <x v="0"/>
    <s v="2RP"/>
    <s v="Planet 21"/>
    <x v="0"/>
    <x v="0"/>
    <x v="0"/>
    <x v="0"/>
    <x v="0"/>
    <x v="0"/>
  </r>
  <r>
    <n v="6706"/>
    <d v="2021-10-31T00:00:00"/>
    <x v="0"/>
    <x v="1"/>
    <s v="6RH"/>
    <s v="Visuel 21"/>
    <x v="1"/>
    <x v="1"/>
    <x v="1"/>
    <x v="1"/>
    <x v="1"/>
    <x v="1"/>
  </r>
  <r>
    <n v="6711"/>
    <d v="2021-11-05T00:00:00"/>
    <x v="1"/>
    <x v="0"/>
    <s v="2RP"/>
    <s v="Planet 21"/>
    <x v="2"/>
    <x v="2"/>
    <x v="2"/>
    <x v="2"/>
    <x v="2"/>
    <x v="2"/>
  </r>
  <r>
    <n v="6716"/>
    <d v="2021-11-10T00:00:00"/>
    <x v="1"/>
    <x v="2"/>
    <s v="6RH"/>
    <s v="Faro 21"/>
    <x v="3"/>
    <x v="3"/>
    <x v="3"/>
    <x v="3"/>
    <x v="3"/>
    <x v="3"/>
  </r>
  <r>
    <n v="6721"/>
    <d v="2021-11-15T00:00:00"/>
    <x v="1"/>
    <x v="0"/>
    <s v="2RP"/>
    <s v="Planet 21"/>
    <x v="4"/>
    <x v="4"/>
    <x v="4"/>
    <x v="4"/>
    <x v="4"/>
    <x v="4"/>
  </r>
  <r>
    <n v="6732"/>
    <d v="2021-11-26T00:00:00"/>
    <x v="1"/>
    <x v="0"/>
    <s v="2RP"/>
    <s v="FOCUS 21"/>
    <x v="5"/>
    <x v="5"/>
    <x v="0"/>
    <x v="5"/>
    <x v="5"/>
    <x v="5"/>
  </r>
  <r>
    <n v="6733"/>
    <d v="2021-11-27T00:00:00"/>
    <x v="1"/>
    <x v="0"/>
    <s v="2RP"/>
    <s v="FOCUS 21"/>
    <x v="5"/>
    <x v="6"/>
    <x v="5"/>
    <x v="5"/>
    <x v="6"/>
    <x v="6"/>
  </r>
  <r>
    <n v="6734"/>
    <d v="2021-11-28T00:00:00"/>
    <x v="1"/>
    <x v="0"/>
    <s v="2RP"/>
    <s v="Fantex 21"/>
    <x v="6"/>
    <x v="7"/>
    <x v="6"/>
    <x v="6"/>
    <x v="7"/>
    <x v="7"/>
  </r>
  <r>
    <n v="6739"/>
    <d v="2021-12-03T00:00:00"/>
    <x v="2"/>
    <x v="3"/>
    <s v="6RH"/>
    <s v="Joyau 21 "/>
    <x v="7"/>
    <x v="8"/>
    <x v="7"/>
    <x v="7"/>
    <x v="8"/>
    <x v="8"/>
  </r>
  <r>
    <n v="6744"/>
    <d v="2021-12-08T00:00:00"/>
    <x v="2"/>
    <x v="0"/>
    <s v="6RH"/>
    <s v="Faro 21"/>
    <x v="8"/>
    <x v="9"/>
    <x v="8"/>
    <x v="8"/>
    <x v="9"/>
    <x v="9"/>
  </r>
  <r>
    <n v="6747"/>
    <d v="2021-12-11T00:00:00"/>
    <x v="2"/>
    <x v="0"/>
    <s v="2RP"/>
    <s v="Planet 21"/>
    <x v="9"/>
    <x v="10"/>
    <x v="9"/>
    <x v="9"/>
    <x v="10"/>
    <x v="10"/>
  </r>
  <r>
    <n v="6752"/>
    <d v="2021-12-16T00:00:00"/>
    <x v="2"/>
    <x v="1"/>
    <s v="6RH"/>
    <s v="Hirondella"/>
    <x v="9"/>
    <x v="11"/>
    <x v="5"/>
    <x v="10"/>
    <x v="11"/>
    <x v="11"/>
  </r>
  <r>
    <n v="6757"/>
    <d v="2021-12-21T00:00:00"/>
    <x v="2"/>
    <x v="0"/>
    <s v="6RH"/>
    <s v="Isocel 21"/>
    <x v="10"/>
    <x v="12"/>
    <x v="10"/>
    <x v="7"/>
    <x v="12"/>
    <x v="12"/>
  </r>
  <r>
    <n v="6758"/>
    <d v="2021-12-22T00:00:00"/>
    <x v="2"/>
    <x v="1"/>
    <s v="6RH"/>
    <s v="Faro 21"/>
    <x v="10"/>
    <x v="13"/>
    <x v="11"/>
    <x v="9"/>
    <x v="13"/>
    <x v="13"/>
  </r>
  <r>
    <n v="6759"/>
    <d v="2021-12-23T00:00:00"/>
    <x v="2"/>
    <x v="1"/>
    <s v="6RH"/>
    <s v="Faro 21"/>
    <x v="11"/>
    <x v="14"/>
    <x v="5"/>
    <x v="9"/>
    <x v="14"/>
    <x v="14"/>
  </r>
  <r>
    <n v="6762"/>
    <d v="2021-12-26T00:00:00"/>
    <x v="2"/>
    <x v="1"/>
    <s v="6RH"/>
    <s v="Faro 21"/>
    <x v="12"/>
    <x v="15"/>
    <x v="12"/>
    <x v="11"/>
    <x v="15"/>
    <x v="15"/>
  </r>
  <r>
    <n v="6764"/>
    <d v="2021-12-28T00:00:00"/>
    <x v="2"/>
    <x v="1"/>
    <s v="6RH"/>
    <s v="Visuel 21"/>
    <x v="13"/>
    <x v="16"/>
    <x v="11"/>
    <x v="12"/>
    <x v="16"/>
    <x v="16"/>
  </r>
  <r>
    <n v="6769"/>
    <d v="2022-01-02T00:00:00"/>
    <x v="3"/>
    <x v="0"/>
    <s v="6RH"/>
    <s v="Visuel 21"/>
    <x v="14"/>
    <x v="17"/>
    <x v="10"/>
    <x v="8"/>
    <x v="17"/>
    <x v="17"/>
  </r>
  <r>
    <n v="6773"/>
    <d v="2022-01-06T00:00:00"/>
    <x v="3"/>
    <x v="0"/>
    <s v="6RH"/>
    <s v="Faro 21"/>
    <x v="15"/>
    <x v="18"/>
    <x v="1"/>
    <x v="13"/>
    <x v="18"/>
    <x v="18"/>
  </r>
  <r>
    <n v="6778"/>
    <d v="2022-01-11T00:00:00"/>
    <x v="3"/>
    <x v="3"/>
    <s v="2RP"/>
    <s v="Thalis"/>
    <x v="16"/>
    <x v="19"/>
    <x v="13"/>
    <x v="14"/>
    <x v="19"/>
    <x v="19"/>
  </r>
  <r>
    <n v="6783"/>
    <d v="2022-01-16T00:00:00"/>
    <x v="3"/>
    <x v="2"/>
    <s v="6RH"/>
    <s v="Faro 21"/>
    <x v="17"/>
    <x v="20"/>
    <x v="1"/>
    <x v="15"/>
    <x v="20"/>
    <x v="20"/>
  </r>
  <r>
    <n v="6787"/>
    <d v="2022-01-20T00:00:00"/>
    <x v="3"/>
    <x v="1"/>
    <s v="6RH"/>
    <s v="Visuel 21"/>
    <x v="18"/>
    <x v="21"/>
    <x v="3"/>
    <x v="0"/>
    <x v="21"/>
    <x v="21"/>
  </r>
  <r>
    <n v="6791"/>
    <d v="2022-01-24T00:00:00"/>
    <x v="3"/>
    <x v="3"/>
    <s v="6RH"/>
    <s v="Démentiel "/>
    <x v="9"/>
    <x v="22"/>
    <x v="14"/>
    <x v="8"/>
    <x v="22"/>
    <x v="22"/>
  </r>
  <r>
    <n v="6796"/>
    <d v="2022-01-29T00:00:00"/>
    <x v="3"/>
    <x v="0"/>
    <s v="6RH"/>
    <s v="Visuel 21"/>
    <x v="10"/>
    <x v="23"/>
    <x v="1"/>
    <x v="16"/>
    <x v="23"/>
    <x v="23"/>
  </r>
  <r>
    <n v="6801"/>
    <d v="2022-02-03T00:00:00"/>
    <x v="4"/>
    <x v="1"/>
    <s v="6RH"/>
    <s v="Faro 21"/>
    <x v="19"/>
    <x v="24"/>
    <x v="11"/>
    <x v="17"/>
    <x v="24"/>
    <x v="24"/>
  </r>
  <r>
    <n v="6802"/>
    <d v="2022-02-04T00:00:00"/>
    <x v="4"/>
    <x v="1"/>
    <s v="6RH"/>
    <s v="Faro 21"/>
    <x v="20"/>
    <x v="25"/>
    <x v="15"/>
    <x v="12"/>
    <x v="25"/>
    <x v="25"/>
  </r>
  <r>
    <n v="6803"/>
    <d v="2022-02-05T00:00:00"/>
    <x v="4"/>
    <x v="1"/>
    <s v="6RH"/>
    <s v="Faro 21"/>
    <x v="20"/>
    <x v="26"/>
    <x v="3"/>
    <x v="12"/>
    <x v="26"/>
    <x v="26"/>
  </r>
  <r>
    <n v="6805"/>
    <d v="2022-02-07T00:00:00"/>
    <x v="4"/>
    <x v="1"/>
    <s v="2RP"/>
    <s v="Fantex 21"/>
    <x v="18"/>
    <x v="27"/>
    <x v="16"/>
    <x v="6"/>
    <x v="27"/>
    <x v="27"/>
  </r>
  <r>
    <n v="6806"/>
    <d v="2022-02-08T00:00:00"/>
    <x v="4"/>
    <x v="1"/>
    <s v="2RP"/>
    <s v="Fantex 21"/>
    <x v="21"/>
    <x v="28"/>
    <x v="17"/>
    <x v="14"/>
    <x v="28"/>
    <x v="28"/>
  </r>
  <r>
    <n v="6814"/>
    <d v="2022-02-16T00:00:00"/>
    <x v="4"/>
    <x v="0"/>
    <s v="6RH"/>
    <s v="Faro 21"/>
    <x v="22"/>
    <x v="29"/>
    <x v="18"/>
    <x v="6"/>
    <x v="29"/>
    <x v="29"/>
  </r>
  <r>
    <n v="6819"/>
    <d v="2022-02-21T00:00:00"/>
    <x v="4"/>
    <x v="3"/>
    <s v="2RP"/>
    <s v="Thalis"/>
    <x v="5"/>
    <x v="30"/>
    <x v="6"/>
    <x v="18"/>
    <x v="30"/>
    <x v="30"/>
  </r>
  <r>
    <n v="6822"/>
    <d v="2022-02-24T00:00:00"/>
    <x v="4"/>
    <x v="0"/>
    <s v="6RH"/>
    <s v="Etincel 21"/>
    <x v="23"/>
    <x v="31"/>
    <x v="5"/>
    <x v="12"/>
    <x v="31"/>
    <x v="31"/>
  </r>
  <r>
    <n v="6827"/>
    <d v="2022-03-01T00:00:00"/>
    <x v="5"/>
    <x v="1"/>
    <s v="6RH"/>
    <s v="Hirondella"/>
    <x v="12"/>
    <x v="32"/>
    <x v="1"/>
    <x v="9"/>
    <x v="32"/>
    <x v="32"/>
  </r>
  <r>
    <n v="6832"/>
    <d v="2022-03-06T00:00:00"/>
    <x v="5"/>
    <x v="0"/>
    <s v="6RH"/>
    <s v="Faro 21"/>
    <x v="13"/>
    <x v="33"/>
    <x v="11"/>
    <x v="17"/>
    <x v="33"/>
    <x v="33"/>
  </r>
  <r>
    <n v="6839"/>
    <d v="2022-03-13T00:00:00"/>
    <x v="5"/>
    <x v="0"/>
    <s v="6RH"/>
    <s v="Faro 21"/>
    <x v="24"/>
    <x v="34"/>
    <x v="3"/>
    <x v="17"/>
    <x v="34"/>
    <x v="34"/>
  </r>
  <r>
    <n v="6848"/>
    <d v="2022-03-22T00:00:00"/>
    <x v="5"/>
    <x v="1"/>
    <s v="6RH"/>
    <s v="Démentiel "/>
    <x v="25"/>
    <x v="35"/>
    <x v="0"/>
    <x v="9"/>
    <x v="35"/>
    <x v="35"/>
  </r>
  <r>
    <n v="6853"/>
    <d v="2022-03-27T00:00:00"/>
    <x v="5"/>
    <x v="0"/>
    <s v="6RH"/>
    <s v="Faro 21"/>
    <x v="26"/>
    <x v="36"/>
    <x v="19"/>
    <x v="6"/>
    <x v="36"/>
    <x v="36"/>
  </r>
  <r>
    <n v="6858"/>
    <d v="2022-04-01T00:00:00"/>
    <x v="6"/>
    <x v="0"/>
    <s v="6RH"/>
    <s v="Faro 21"/>
    <x v="11"/>
    <x v="37"/>
    <x v="7"/>
    <x v="7"/>
    <x v="37"/>
    <x v="37"/>
  </r>
  <r>
    <n v="6863"/>
    <d v="2022-04-06T00:00:00"/>
    <x v="6"/>
    <x v="0"/>
    <s v="6RH"/>
    <s v="Faro 21"/>
    <x v="27"/>
    <x v="38"/>
    <x v="6"/>
    <x v="9"/>
    <x v="38"/>
    <x v="38"/>
  </r>
  <r>
    <n v="6872"/>
    <d v="2022-04-15T00:00:00"/>
    <x v="6"/>
    <x v="0"/>
    <s v="6RH"/>
    <s v="Faro 21"/>
    <x v="15"/>
    <x v="39"/>
    <x v="8"/>
    <x v="1"/>
    <x v="39"/>
    <x v="39"/>
  </r>
  <r>
    <n v="6879"/>
    <d v="2022-04-22T00:00:00"/>
    <x v="6"/>
    <x v="0"/>
    <s v="6RH"/>
    <s v="Faro 21"/>
    <x v="13"/>
    <x v="40"/>
    <x v="3"/>
    <x v="1"/>
    <x v="40"/>
    <x v="40"/>
  </r>
  <r>
    <n v="6880"/>
    <d v="2022-04-23T00:00:00"/>
    <x v="6"/>
    <x v="0"/>
    <s v="6RH"/>
    <s v="Faro 21"/>
    <x v="13"/>
    <x v="41"/>
    <x v="2"/>
    <x v="1"/>
    <x v="41"/>
    <x v="41"/>
  </r>
  <r>
    <n v="6891"/>
    <d v="2022-05-04T00:00:00"/>
    <x v="7"/>
    <x v="2"/>
    <s v="6RH"/>
    <s v="Visuel 21"/>
    <x v="28"/>
    <x v="42"/>
    <x v="11"/>
    <x v="0"/>
    <x v="42"/>
    <x v="42"/>
  </r>
  <r>
    <n v="6896"/>
    <d v="2022-05-09T00:00:00"/>
    <x v="7"/>
    <x v="0"/>
    <s v="6RH"/>
    <s v="Faro 21"/>
    <x v="11"/>
    <x v="43"/>
    <x v="20"/>
    <x v="9"/>
    <x v="43"/>
    <x v="43"/>
  </r>
  <r>
    <n v="6901"/>
    <d v="2022-05-14T00:00:00"/>
    <x v="7"/>
    <x v="0"/>
    <s v="6RH"/>
    <s v="Faro 21"/>
    <x v="15"/>
    <x v="44"/>
    <x v="8"/>
    <x v="0"/>
    <x v="44"/>
    <x v="44"/>
  </r>
  <r>
    <n v="6906"/>
    <d v="2022-05-19T00:00:00"/>
    <x v="7"/>
    <x v="0"/>
    <s v="2RP"/>
    <s v="FOCUS 21"/>
    <x v="29"/>
    <x v="45"/>
    <x v="16"/>
    <x v="8"/>
    <x v="45"/>
    <x v="45"/>
  </r>
  <r>
    <n v="6911"/>
    <d v="2022-05-24T00:00:00"/>
    <x v="7"/>
    <x v="0"/>
    <s v="6RH"/>
    <s v="Faro 21"/>
    <x v="1"/>
    <x v="46"/>
    <x v="5"/>
    <x v="12"/>
    <x v="46"/>
    <x v="46"/>
  </r>
  <r>
    <n v="6916"/>
    <d v="2022-05-29T00:00:00"/>
    <x v="7"/>
    <x v="0"/>
    <s v="6RH"/>
    <s v="Faro 21"/>
    <x v="11"/>
    <x v="47"/>
    <x v="21"/>
    <x v="9"/>
    <x v="47"/>
    <x v="47"/>
  </r>
  <r>
    <n v="6923"/>
    <d v="2022-06-05T00:00:00"/>
    <x v="8"/>
    <x v="0"/>
    <s v="6RH"/>
    <s v="Faro 21"/>
    <x v="18"/>
    <x v="48"/>
    <x v="15"/>
    <x v="12"/>
    <x v="48"/>
    <x v="48"/>
  </r>
  <r>
    <n v="6928"/>
    <d v="2022-06-10T00:00:00"/>
    <x v="8"/>
    <x v="4"/>
    <s v="6RH"/>
    <s v="Faro 21"/>
    <x v="28"/>
    <x v="49"/>
    <x v="4"/>
    <x v="13"/>
    <x v="49"/>
    <x v="49"/>
  </r>
  <r>
    <n v="6937"/>
    <d v="2022-06-19T00:00:00"/>
    <x v="8"/>
    <x v="0"/>
    <s v="6RH"/>
    <s v="Faro 21"/>
    <x v="21"/>
    <x v="50"/>
    <x v="3"/>
    <x v="9"/>
    <x v="50"/>
    <x v="50"/>
  </r>
  <r>
    <n v="6942"/>
    <d v="2022-06-24T00:00:00"/>
    <x v="8"/>
    <x v="5"/>
    <s v="2RP"/>
    <s v="Fantex 21"/>
    <x v="13"/>
    <x v="51"/>
    <x v="13"/>
    <x v="1"/>
    <x v="51"/>
    <x v="51"/>
  </r>
  <r>
    <n v="6953"/>
    <d v="2022-07-05T00:00:00"/>
    <x v="9"/>
    <x v="0"/>
    <s v="6RH"/>
    <s v="Faro 21"/>
    <x v="21"/>
    <x v="52"/>
    <x v="1"/>
    <x v="17"/>
    <x v="52"/>
    <x v="52"/>
  </r>
  <r>
    <n v="6958"/>
    <d v="2022-07-10T00:00:00"/>
    <x v="9"/>
    <x v="6"/>
    <s v="2RP"/>
    <s v="Planet 21"/>
    <x v="30"/>
    <x v="53"/>
    <x v="6"/>
    <x v="0"/>
    <x v="53"/>
    <x v="53"/>
  </r>
  <r>
    <n v="6959"/>
    <d v="2022-07-11T00:00:00"/>
    <x v="9"/>
    <x v="6"/>
    <s v="2RP"/>
    <s v="Fantex 21"/>
    <x v="31"/>
    <x v="54"/>
    <x v="11"/>
    <x v="16"/>
    <x v="54"/>
    <x v="54"/>
  </r>
  <r>
    <n v="6963"/>
    <d v="2022-07-15T00:00:00"/>
    <x v="9"/>
    <x v="0"/>
    <s v="6RH"/>
    <s v="Faro 21"/>
    <x v="32"/>
    <x v="55"/>
    <x v="1"/>
    <x v="8"/>
    <x v="55"/>
    <x v="55"/>
  </r>
  <r>
    <n v="6964"/>
    <d v="2022-07-16T00:00:00"/>
    <x v="9"/>
    <x v="0"/>
    <s v="6RH"/>
    <s v="Faro 21"/>
    <x v="32"/>
    <x v="56"/>
    <x v="5"/>
    <x v="8"/>
    <x v="56"/>
    <x v="56"/>
  </r>
  <r>
    <n v="6967"/>
    <d v="2022-07-19T00:00:00"/>
    <x v="9"/>
    <x v="0"/>
    <s v="6RH"/>
    <s v="Faro 21"/>
    <x v="33"/>
    <x v="57"/>
    <x v="1"/>
    <x v="12"/>
    <x v="57"/>
    <x v="57"/>
  </r>
  <r>
    <n v="6969"/>
    <d v="2022-07-21T00:00:00"/>
    <x v="9"/>
    <x v="0"/>
    <s v="6RH"/>
    <s v="Faro 21"/>
    <x v="34"/>
    <x v="58"/>
    <x v="15"/>
    <x v="10"/>
    <x v="58"/>
    <x v="58"/>
  </r>
  <r>
    <n v="6976"/>
    <d v="2022-07-28T00:00:00"/>
    <x v="9"/>
    <x v="0"/>
    <s v="6RH"/>
    <s v="Faro 21"/>
    <x v="35"/>
    <x v="59"/>
    <x v="11"/>
    <x v="19"/>
    <x v="59"/>
    <x v="59"/>
  </r>
  <r>
    <n v="6981"/>
    <d v="2022-08-02T00:00:00"/>
    <x v="10"/>
    <x v="0"/>
    <s v="6RH"/>
    <s v="Faro 21"/>
    <x v="11"/>
    <x v="60"/>
    <x v="11"/>
    <x v="4"/>
    <x v="60"/>
    <x v="60"/>
  </r>
  <r>
    <n v="6986"/>
    <d v="2022-08-07T00:00:00"/>
    <x v="10"/>
    <x v="6"/>
    <s v="2RP"/>
    <s v="Planet 22"/>
    <x v="5"/>
    <x v="61"/>
    <x v="20"/>
    <x v="20"/>
    <x v="61"/>
    <x v="61"/>
  </r>
  <r>
    <n v="6987"/>
    <d v="2022-08-08T00:00:00"/>
    <x v="10"/>
    <x v="6"/>
    <s v="2RP"/>
    <s v="Fantex 21"/>
    <x v="36"/>
    <x v="62"/>
    <x v="16"/>
    <x v="6"/>
    <x v="62"/>
    <x v="62"/>
  </r>
  <r>
    <n v="6990"/>
    <d v="2022-08-11T00:00:00"/>
    <x v="10"/>
    <x v="0"/>
    <s v="6RH"/>
    <s v="Faro 21"/>
    <x v="33"/>
    <x v="63"/>
    <x v="4"/>
    <x v="8"/>
    <x v="63"/>
    <x v="63"/>
  </r>
  <r>
    <n v="6995"/>
    <d v="2022-08-16T00:00:00"/>
    <x v="10"/>
    <x v="0"/>
    <s v="6RH"/>
    <s v="Faro 21"/>
    <x v="37"/>
    <x v="64"/>
    <x v="4"/>
    <x v="12"/>
    <x v="64"/>
    <x v="64"/>
  </r>
  <r>
    <n v="6996"/>
    <d v="2022-08-17T00:00:00"/>
    <x v="10"/>
    <x v="0"/>
    <s v="6RH"/>
    <s v="Faro 21"/>
    <x v="12"/>
    <x v="65"/>
    <x v="6"/>
    <x v="21"/>
    <x v="65"/>
    <x v="65"/>
  </r>
  <r>
    <n v="7000"/>
    <d v="2022-08-21T00:00:00"/>
    <x v="10"/>
    <x v="2"/>
    <s v="2RP"/>
    <s v="Planet 21"/>
    <x v="38"/>
    <x v="66"/>
    <x v="5"/>
    <x v="21"/>
    <x v="66"/>
    <x v="66"/>
  </r>
  <r>
    <n v="7002"/>
    <d v="2022-08-23T00:00:00"/>
    <x v="10"/>
    <x v="1"/>
    <s v="6RH"/>
    <s v="Visuel 22"/>
    <x v="39"/>
    <x v="67"/>
    <x v="22"/>
    <x v="20"/>
    <x v="67"/>
    <x v="67"/>
  </r>
  <r>
    <n v="7008"/>
    <d v="2022-08-29T00:00:00"/>
    <x v="10"/>
    <x v="0"/>
    <s v="6RH"/>
    <s v="Faro 21"/>
    <x v="28"/>
    <x v="68"/>
    <x v="0"/>
    <x v="0"/>
    <x v="68"/>
    <x v="68"/>
  </r>
  <r>
    <n v="7013"/>
    <d v="2022-09-03T00:00:00"/>
    <x v="11"/>
    <x v="1"/>
    <s v="2RP"/>
    <s v="Planet 21"/>
    <x v="3"/>
    <x v="69"/>
    <x v="2"/>
    <x v="4"/>
    <x v="69"/>
    <x v="69"/>
  </r>
  <r>
    <n v="7018"/>
    <d v="2022-09-08T00:00:00"/>
    <x v="11"/>
    <x v="0"/>
    <s v="6RH"/>
    <s v="Faro 21"/>
    <x v="17"/>
    <x v="70"/>
    <x v="15"/>
    <x v="1"/>
    <x v="70"/>
    <x v="70"/>
  </r>
  <r>
    <n v="7022"/>
    <d v="2022-09-12T00:00:00"/>
    <x v="11"/>
    <x v="0"/>
    <s v="2RP"/>
    <s v="Fantex 21"/>
    <x v="40"/>
    <x v="71"/>
    <x v="20"/>
    <x v="22"/>
    <x v="71"/>
    <x v="71"/>
  </r>
  <r>
    <n v="7033"/>
    <d v="2022-09-23T00:00:00"/>
    <x v="11"/>
    <x v="1"/>
    <s v="6RH"/>
    <s v="Visuel 22"/>
    <x v="20"/>
    <x v="72"/>
    <x v="8"/>
    <x v="5"/>
    <x v="72"/>
    <x v="72"/>
  </r>
  <r>
    <n v="7036"/>
    <d v="2022-09-26T00:00:00"/>
    <x v="11"/>
    <x v="0"/>
    <s v="6RH"/>
    <s v="Faro 21"/>
    <x v="41"/>
    <x v="73"/>
    <x v="2"/>
    <x v="0"/>
    <x v="73"/>
    <x v="73"/>
  </r>
  <r>
    <n v="7037"/>
    <d v="2022-09-27T00:00:00"/>
    <x v="11"/>
    <x v="0"/>
    <s v="6RH"/>
    <s v="Faro 21"/>
    <x v="10"/>
    <x v="74"/>
    <x v="8"/>
    <x v="9"/>
    <x v="74"/>
    <x v="74"/>
  </r>
  <r>
    <n v="7038"/>
    <d v="2022-09-28T00:00:00"/>
    <x v="11"/>
    <x v="0"/>
    <s v="6RH"/>
    <s v="Faro 21"/>
    <x v="12"/>
    <x v="75"/>
    <x v="15"/>
    <x v="9"/>
    <x v="75"/>
    <x v="75"/>
  </r>
  <r>
    <n v="7041"/>
    <d v="2022-10-01T00:00:00"/>
    <x v="0"/>
    <x v="1"/>
    <s v="6RH"/>
    <s v="FARO 22"/>
    <x v="42"/>
    <x v="76"/>
    <x v="2"/>
    <x v="5"/>
    <x v="76"/>
    <x v="76"/>
  </r>
  <r>
    <n v="7044"/>
    <d v="2022-10-04T00:00:00"/>
    <x v="0"/>
    <x v="0"/>
    <s v="6RH"/>
    <s v="Faro 21"/>
    <x v="10"/>
    <x v="77"/>
    <x v="6"/>
    <x v="1"/>
    <x v="77"/>
    <x v="77"/>
  </r>
  <r>
    <n v="7046"/>
    <d v="2022-10-06T00:00:00"/>
    <x v="0"/>
    <x v="0"/>
    <s v="6RH"/>
    <s v="Faro 21"/>
    <x v="11"/>
    <x v="78"/>
    <x v="8"/>
    <x v="12"/>
    <x v="78"/>
    <x v="78"/>
  </r>
  <r>
    <n v="7047"/>
    <d v="2022-10-07T00:00:00"/>
    <x v="0"/>
    <x v="1"/>
    <s v="6RH"/>
    <s v="Hirondella 22"/>
    <x v="42"/>
    <x v="79"/>
    <x v="0"/>
    <x v="23"/>
    <x v="79"/>
    <x v="79"/>
  </r>
  <r>
    <n v="7048"/>
    <d v="2022-10-08T00:00:00"/>
    <x v="0"/>
    <x v="1"/>
    <s v="6RH"/>
    <s v="Visuel 21"/>
    <x v="43"/>
    <x v="80"/>
    <x v="11"/>
    <x v="9"/>
    <x v="80"/>
    <x v="80"/>
  </r>
  <r>
    <n v="7049"/>
    <d v="2022-10-22T00:00:00"/>
    <x v="0"/>
    <x v="0"/>
    <s v="2RP"/>
    <s v="Planet 22"/>
    <x v="13"/>
    <x v="81"/>
    <x v="1"/>
    <x v="17"/>
    <x v="81"/>
    <x v="81"/>
  </r>
  <r>
    <n v="7054"/>
    <d v="2022-10-14T00:00:00"/>
    <x v="0"/>
    <x v="1"/>
    <s v="6RH"/>
    <s v="Démentiel 22"/>
    <x v="44"/>
    <x v="82"/>
    <x v="6"/>
    <x v="5"/>
    <x v="82"/>
    <x v="82"/>
  </r>
  <r>
    <n v="7064"/>
    <d v="2022-10-25T00:00:00"/>
    <x v="0"/>
    <x v="0"/>
    <s v="6RH"/>
    <s v="Faro 21"/>
    <x v="43"/>
    <x v="83"/>
    <x v="2"/>
    <x v="8"/>
    <x v="83"/>
    <x v="83"/>
  </r>
  <r>
    <n v="7074"/>
    <d v="2022-11-04T00:00:00"/>
    <x v="1"/>
    <x v="0"/>
    <s v="2RP"/>
    <s v="FANTEX 22"/>
    <x v="45"/>
    <x v="84"/>
    <x v="18"/>
    <x v="24"/>
    <x v="84"/>
    <x v="84"/>
  </r>
  <r>
    <n v="7079"/>
    <d v="2022-11-09T00:00:00"/>
    <x v="1"/>
    <x v="0"/>
    <s v="6RH"/>
    <s v="FARO 22"/>
    <x v="46"/>
    <x v="85"/>
    <x v="3"/>
    <x v="25"/>
    <x v="85"/>
    <x v="85"/>
  </r>
  <r>
    <n v="7084"/>
    <d v="2022-11-14T00:00:00"/>
    <x v="1"/>
    <x v="0"/>
    <s v="2RP"/>
    <s v="Planet 22"/>
    <x v="47"/>
    <x v="86"/>
    <x v="17"/>
    <x v="26"/>
    <x v="86"/>
    <x v="86"/>
  </r>
  <r>
    <n v="7089"/>
    <d v="2022-11-19T00:00:00"/>
    <x v="1"/>
    <x v="0"/>
    <s v="6RH"/>
    <s v="FARO 22"/>
    <x v="44"/>
    <x v="87"/>
    <x v="0"/>
    <x v="14"/>
    <x v="87"/>
    <x v="87"/>
  </r>
  <r>
    <n v="7094"/>
    <d v="2022-11-24T00:00:00"/>
    <x v="1"/>
    <x v="0"/>
    <s v="6RH"/>
    <s v="FARO 22"/>
    <x v="48"/>
    <x v="88"/>
    <x v="15"/>
    <x v="20"/>
    <x v="88"/>
    <x v="88"/>
  </r>
  <r>
    <n v="7099"/>
    <d v="2022-11-29T00:00:00"/>
    <x v="1"/>
    <x v="0"/>
    <s v="6RH"/>
    <s v="Visuel 22"/>
    <x v="49"/>
    <x v="89"/>
    <x v="2"/>
    <x v="22"/>
    <x v="89"/>
    <x v="89"/>
  </r>
  <r>
    <n v="7104"/>
    <d v="2022-12-04T00:00:00"/>
    <x v="2"/>
    <x v="0"/>
    <s v="6RH"/>
    <s v="FARO 22"/>
    <x v="50"/>
    <x v="90"/>
    <x v="6"/>
    <x v="11"/>
    <x v="90"/>
    <x v="90"/>
  </r>
  <r>
    <n v="7115"/>
    <d v="2022-12-15T00:00:00"/>
    <x v="2"/>
    <x v="0"/>
    <s v="2RP"/>
    <s v="FOCUS 22"/>
    <x v="51"/>
    <x v="91"/>
    <x v="23"/>
    <x v="27"/>
    <x v="91"/>
    <x v="91"/>
  </r>
  <r>
    <n v="7116"/>
    <d v="2022-12-16T00:00:00"/>
    <x v="2"/>
    <x v="0"/>
    <s v="6RH"/>
    <s v="FARO 22"/>
    <x v="52"/>
    <x v="92"/>
    <x v="15"/>
    <x v="28"/>
    <x v="92"/>
    <x v="92"/>
  </r>
  <r>
    <n v="7119"/>
    <d v="2022-12-19T00:00:00"/>
    <x v="2"/>
    <x v="0"/>
    <s v="6RH"/>
    <s v="FARO 22"/>
    <x v="53"/>
    <x v="93"/>
    <x v="1"/>
    <x v="29"/>
    <x v="93"/>
    <x v="93"/>
  </r>
  <r>
    <n v="7124"/>
    <d v="2022-12-24T00:00:00"/>
    <x v="2"/>
    <x v="1"/>
    <s v="6RH"/>
    <s v="Démentiel 22"/>
    <x v="54"/>
    <x v="94"/>
    <x v="24"/>
    <x v="30"/>
    <x v="94"/>
    <x v="94"/>
  </r>
  <r>
    <n v="7129"/>
    <d v="2022-12-29T00:00:00"/>
    <x v="2"/>
    <x v="0"/>
    <s v="6RH"/>
    <s v="FARO 22"/>
    <x v="52"/>
    <x v="95"/>
    <x v="11"/>
    <x v="29"/>
    <x v="95"/>
    <x v="95"/>
  </r>
  <r>
    <n v="7136"/>
    <d v="2023-01-04T00:00:00"/>
    <x v="3"/>
    <x v="0"/>
    <s v="6RH"/>
    <s v="FARO 22"/>
    <x v="55"/>
    <x v="96"/>
    <x v="8"/>
    <x v="31"/>
    <x v="96"/>
    <x v="96"/>
  </r>
  <r>
    <n v="7141"/>
    <d v="2023-01-09T00:00:00"/>
    <x v="3"/>
    <x v="0"/>
    <s v="2RP"/>
    <s v="FOCUS 22"/>
    <x v="52"/>
    <x v="97"/>
    <x v="10"/>
    <x v="32"/>
    <x v="97"/>
    <x v="97"/>
  </r>
  <r>
    <n v="7146"/>
    <d v="2023-01-14T00:00:00"/>
    <x v="3"/>
    <x v="0"/>
    <s v="6RH"/>
    <s v="FARO 22"/>
    <x v="53"/>
    <x v="98"/>
    <x v="8"/>
    <x v="18"/>
    <x v="98"/>
    <x v="98"/>
  </r>
  <r>
    <n v="7154"/>
    <d v="2023-01-22T00:00:00"/>
    <x v="3"/>
    <x v="0"/>
    <s v="6RH"/>
    <s v="FARO 22"/>
    <x v="56"/>
    <x v="99"/>
    <x v="2"/>
    <x v="30"/>
    <x v="99"/>
    <x v="99"/>
  </r>
  <r>
    <n v="7159"/>
    <d v="2023-01-27T00:00:00"/>
    <x v="3"/>
    <x v="0"/>
    <s v="6RH"/>
    <s v="FARO 22"/>
    <x v="57"/>
    <x v="100"/>
    <x v="10"/>
    <x v="5"/>
    <x v="100"/>
    <x v="100"/>
  </r>
  <r>
    <n v="7172"/>
    <d v="2023-02-09T00:00:00"/>
    <x v="4"/>
    <x v="0"/>
    <s v="6RH"/>
    <s v="Visuel 22"/>
    <x v="39"/>
    <x v="101"/>
    <x v="7"/>
    <x v="27"/>
    <x v="101"/>
    <x v="101"/>
  </r>
  <r>
    <n v="7177"/>
    <d v="2023-02-14T00:00:00"/>
    <x v="4"/>
    <x v="0"/>
    <s v="6RH"/>
    <s v="FARO 22"/>
    <x v="58"/>
    <x v="102"/>
    <x v="1"/>
    <x v="5"/>
    <x v="102"/>
    <x v="102"/>
  </r>
  <r>
    <n v="7195"/>
    <d v="2023-03-05T00:00:00"/>
    <x v="5"/>
    <x v="2"/>
    <s v="6RH"/>
    <s v="FARO 22"/>
    <x v="59"/>
    <x v="103"/>
    <x v="11"/>
    <x v="31"/>
    <x v="103"/>
    <x v="103"/>
  </r>
  <r>
    <n v="7200"/>
    <d v="2023-03-10T00:00:00"/>
    <x v="5"/>
    <x v="1"/>
    <s v="2RP"/>
    <s v="Thalis"/>
    <x v="60"/>
    <x v="104"/>
    <x v="5"/>
    <x v="20"/>
    <x v="104"/>
    <x v="104"/>
  </r>
  <r>
    <n v="7205"/>
    <d v="2023-03-14T00:00:00"/>
    <x v="5"/>
    <x v="0"/>
    <s v="6RH"/>
    <s v="FARO 22"/>
    <x v="61"/>
    <x v="105"/>
    <x v="15"/>
    <x v="33"/>
    <x v="105"/>
    <x v="105"/>
  </r>
  <r>
    <n v="7207"/>
    <d v="2023-03-16T00:00:00"/>
    <x v="5"/>
    <x v="1"/>
    <s v="2RP"/>
    <s v="Thalis"/>
    <x v="62"/>
    <x v="106"/>
    <x v="8"/>
    <x v="33"/>
    <x v="106"/>
    <x v="106"/>
  </r>
  <r>
    <n v="7208"/>
    <d v="2023-03-17T00:00:00"/>
    <x v="5"/>
    <x v="1"/>
    <s v="2RP"/>
    <s v="Thalis"/>
    <x v="63"/>
    <x v="107"/>
    <x v="4"/>
    <x v="27"/>
    <x v="107"/>
    <x v="107"/>
  </r>
  <r>
    <n v="7210"/>
    <d v="2023-03-19T00:00:00"/>
    <x v="5"/>
    <x v="0"/>
    <s v="6RH"/>
    <s v="FARO 22"/>
    <x v="64"/>
    <x v="108"/>
    <x v="8"/>
    <x v="33"/>
    <x v="108"/>
    <x v="108"/>
  </r>
  <r>
    <n v="7217"/>
    <d v="2023-03-26T00:00:00"/>
    <x v="5"/>
    <x v="4"/>
    <s v="6RH"/>
    <s v="FARO 22"/>
    <x v="65"/>
    <x v="109"/>
    <x v="11"/>
    <x v="31"/>
    <x v="109"/>
    <x v="109"/>
  </r>
  <r>
    <n v="7222"/>
    <d v="2023-03-31T00:00:00"/>
    <x v="5"/>
    <x v="4"/>
    <s v="6RH"/>
    <s v="FARO 22"/>
    <x v="66"/>
    <x v="110"/>
    <x v="15"/>
    <x v="31"/>
    <x v="110"/>
    <x v="110"/>
  </r>
  <r>
    <n v="7232"/>
    <d v="2023-04-10T00:00:00"/>
    <x v="6"/>
    <x v="0"/>
    <s v="6RH"/>
    <s v="FARO 22"/>
    <x v="67"/>
    <x v="111"/>
    <x v="11"/>
    <x v="29"/>
    <x v="111"/>
    <x v="111"/>
  </r>
  <r>
    <n v="7237"/>
    <d v="2023-04-15T00:00:00"/>
    <x v="6"/>
    <x v="4"/>
    <s v="6RH"/>
    <s v="FARO 22"/>
    <x v="68"/>
    <x v="112"/>
    <x v="3"/>
    <x v="33"/>
    <x v="112"/>
    <x v="112"/>
  </r>
  <r>
    <n v="7242"/>
    <d v="2023-04-20T00:00:00"/>
    <x v="6"/>
    <x v="2"/>
    <s v="6RH"/>
    <s v="FARO 22"/>
    <x v="69"/>
    <x v="113"/>
    <x v="5"/>
    <x v="20"/>
    <x v="113"/>
    <x v="113"/>
  </r>
  <r>
    <n v="7247"/>
    <d v="2023-04-25T00:00:00"/>
    <x v="6"/>
    <x v="0"/>
    <s v="6RH"/>
    <s v="FARO 22"/>
    <x v="70"/>
    <x v="114"/>
    <x v="20"/>
    <x v="27"/>
    <x v="114"/>
    <x v="114"/>
  </r>
  <r>
    <n v="7251"/>
    <d v="2023-04-29T00:00:00"/>
    <x v="6"/>
    <x v="1"/>
    <s v="2RP"/>
    <s v="TOSCA"/>
    <x v="1"/>
    <x v="115"/>
    <x v="25"/>
    <x v="22"/>
    <x v="115"/>
    <x v="115"/>
  </r>
  <r>
    <n v="7254"/>
    <d v="2023-05-02T00:00:00"/>
    <x v="7"/>
    <x v="7"/>
    <s v="FARO 22"/>
    <s v="GLOBE"/>
    <x v="71"/>
    <x v="116"/>
    <x v="8"/>
    <x v="24"/>
    <x v="116"/>
    <x v="116"/>
  </r>
  <r>
    <n v="7259"/>
    <d v="2023-05-07T00:00:00"/>
    <x v="7"/>
    <x v="7"/>
    <s v="FARO 22"/>
    <s v="GLOBE"/>
    <x v="72"/>
    <x v="117"/>
    <x v="1"/>
    <x v="33"/>
    <x v="117"/>
    <x v="117"/>
  </r>
  <r>
    <n v="7266"/>
    <d v="2023-05-14T00:00:00"/>
    <x v="7"/>
    <x v="7"/>
    <s v="FARO 22"/>
    <s v="GLOBE"/>
    <x v="73"/>
    <x v="118"/>
    <x v="13"/>
    <x v="34"/>
    <x v="118"/>
    <x v="118"/>
  </r>
  <r>
    <n v="7278"/>
    <d v="2023-05-26T00:00:00"/>
    <x v="7"/>
    <x v="7"/>
    <s v="FARO 22"/>
    <s v="GLOBE"/>
    <x v="74"/>
    <x v="119"/>
    <x v="5"/>
    <x v="27"/>
    <x v="119"/>
    <x v="119"/>
  </r>
  <r>
    <n v="7279"/>
    <d v="2023-05-27T00:00:00"/>
    <x v="7"/>
    <x v="7"/>
    <s v="FARO 22"/>
    <s v="GLOBE"/>
    <x v="63"/>
    <x v="120"/>
    <x v="4"/>
    <x v="30"/>
    <x v="120"/>
    <x v="120"/>
  </r>
  <r>
    <n v="7283"/>
    <d v="2023-05-31T00:00:00"/>
    <x v="7"/>
    <x v="8"/>
    <s v="TOSCA"/>
    <s v="HEINEKEN"/>
    <x v="28"/>
    <x v="121"/>
    <x v="9"/>
    <x v="35"/>
    <x v="121"/>
    <x v="121"/>
  </r>
  <r>
    <n v="7288"/>
    <d v="2023-06-05T00:00:00"/>
    <x v="8"/>
    <x v="1"/>
    <s v="6RH"/>
    <s v="FARO 22"/>
    <x v="3"/>
    <x v="122"/>
    <x v="15"/>
    <x v="30"/>
    <x v="122"/>
    <x v="122"/>
  </r>
  <r>
    <n v="7289"/>
    <d v="2023-06-06T00:00:00"/>
    <x v="8"/>
    <x v="0"/>
    <s v="2RP"/>
    <s v="Thalis"/>
    <x v="75"/>
    <x v="123"/>
    <x v="8"/>
    <x v="5"/>
    <x v="123"/>
    <x v="123"/>
  </r>
  <r>
    <n v="7290"/>
    <d v="2023-06-07T00:00:00"/>
    <x v="8"/>
    <x v="6"/>
    <s v="2RP"/>
    <s v="Planet 22"/>
    <x v="76"/>
    <x v="124"/>
    <x v="2"/>
    <x v="5"/>
    <x v="124"/>
    <x v="124"/>
  </r>
  <r>
    <n v="7293"/>
    <d v="2023-06-10T00:00:00"/>
    <x v="8"/>
    <x v="0"/>
    <s v="6RH"/>
    <s v="FARO 22"/>
    <x v="77"/>
    <x v="125"/>
    <x v="15"/>
    <x v="31"/>
    <x v="125"/>
    <x v="125"/>
  </r>
  <r>
    <n v="7300"/>
    <d v="2023-06-17T00:00:00"/>
    <x v="8"/>
    <x v="0"/>
    <s v="6RH"/>
    <s v="FARO 22"/>
    <x v="43"/>
    <x v="126"/>
    <x v="8"/>
    <x v="20"/>
    <x v="126"/>
    <x v="126"/>
  </r>
  <r>
    <n v="7305"/>
    <d v="2023-06-22T00:00:00"/>
    <x v="8"/>
    <x v="4"/>
    <s v="6RH"/>
    <s v="FARO 22"/>
    <x v="20"/>
    <x v="127"/>
    <x v="22"/>
    <x v="11"/>
    <x v="127"/>
    <x v="127"/>
  </r>
  <r>
    <n v="7314"/>
    <d v="2023-07-01T00:00:00"/>
    <x v="9"/>
    <x v="0"/>
    <s v="6RH"/>
    <s v="FARO 22"/>
    <x v="21"/>
    <x v="128"/>
    <x v="8"/>
    <x v="29"/>
    <x v="128"/>
    <x v="128"/>
  </r>
  <r>
    <n v="7319"/>
    <d v="2023-07-06T00:00:00"/>
    <x v="9"/>
    <x v="4"/>
    <s v="6RH"/>
    <s v="FARO 22"/>
    <x v="40"/>
    <x v="129"/>
    <x v="8"/>
    <x v="15"/>
    <x v="129"/>
    <x v="129"/>
  </r>
  <r>
    <n v="7326"/>
    <d v="2023-07-13T00:00:00"/>
    <x v="9"/>
    <x v="4"/>
    <s v="6RH"/>
    <s v="FARO 22"/>
    <x v="35"/>
    <x v="130"/>
    <x v="4"/>
    <x v="33"/>
    <x v="130"/>
    <x v="130"/>
  </r>
  <r>
    <n v="7333"/>
    <d v="2023-07-20T00:00:00"/>
    <x v="9"/>
    <x v="0"/>
    <s v="6RH"/>
    <s v="FARO 22"/>
    <x v="14"/>
    <x v="131"/>
    <x v="8"/>
    <x v="5"/>
    <x v="131"/>
    <x v="131"/>
  </r>
  <r>
    <n v="7340"/>
    <d v="2023-07-27T00:00:00"/>
    <x v="9"/>
    <x v="0"/>
    <s v="6RH"/>
    <s v="FARO 22"/>
    <x v="21"/>
    <x v="132"/>
    <x v="15"/>
    <x v="25"/>
    <x v="132"/>
    <x v="132"/>
  </r>
  <r>
    <n v="7343"/>
    <d v="2023-07-30T00:00:00"/>
    <x v="9"/>
    <x v="0"/>
    <s v="6RH"/>
    <s v="FARO 22"/>
    <x v="78"/>
    <x v="133"/>
    <x v="21"/>
    <x v="20"/>
    <x v="133"/>
    <x v="133"/>
  </r>
  <r>
    <n v="7346"/>
    <d v="2023-08-02T00:00:00"/>
    <x v="10"/>
    <x v="4"/>
    <s v="6RH"/>
    <s v="FARO 22"/>
    <x v="77"/>
    <x v="134"/>
    <x v="5"/>
    <x v="30"/>
    <x v="134"/>
    <x v="134"/>
  </r>
  <r>
    <n v="7351"/>
    <d v="2023-08-07T00:00:00"/>
    <x v="10"/>
    <x v="1"/>
    <s v="6RH"/>
    <s v="FARO 23"/>
    <x v="79"/>
    <x v="135"/>
    <x v="5"/>
    <x v="5"/>
    <x v="135"/>
    <x v="135"/>
  </r>
  <r>
    <n v="7352"/>
    <d v="2023-08-08T00:00:00"/>
    <x v="10"/>
    <x v="4"/>
    <s v="6RH"/>
    <s v="FARO 22"/>
    <x v="13"/>
    <x v="136"/>
    <x v="2"/>
    <x v="30"/>
    <x v="136"/>
    <x v="136"/>
  </r>
  <r>
    <n v="7353"/>
    <d v="2023-08-09T00:00:00"/>
    <x v="10"/>
    <x v="4"/>
    <s v="6RH"/>
    <s v="FARO 22"/>
    <x v="80"/>
    <x v="137"/>
    <x v="11"/>
    <x v="33"/>
    <x v="137"/>
    <x v="137"/>
  </r>
  <r>
    <n v="7354"/>
    <d v="2023-08-10T00:00:00"/>
    <x v="10"/>
    <x v="4"/>
    <s v="6RH"/>
    <s v="FARO 22"/>
    <x v="17"/>
    <x v="138"/>
    <x v="15"/>
    <x v="23"/>
    <x v="138"/>
    <x v="138"/>
  </r>
  <r>
    <n v="7355"/>
    <d v="2023-08-11T00:00:00"/>
    <x v="10"/>
    <x v="0"/>
    <s v="2RP"/>
    <s v="FANTEX 22"/>
    <x v="34"/>
    <x v="139"/>
    <x v="6"/>
    <x v="27"/>
    <x v="139"/>
    <x v="139"/>
  </r>
  <r>
    <n v="7358"/>
    <d v="2023-08-14T00:00:00"/>
    <x v="10"/>
    <x v="0"/>
    <s v="2RP"/>
    <s v="Thalis"/>
    <x v="25"/>
    <x v="140"/>
    <x v="16"/>
    <x v="25"/>
    <x v="140"/>
    <x v="140"/>
  </r>
  <r>
    <n v="7359"/>
    <d v="2023-08-15T00:00:00"/>
    <x v="10"/>
    <x v="0"/>
    <s v="2RP"/>
    <s v="Thalis"/>
    <x v="28"/>
    <x v="141"/>
    <x v="5"/>
    <x v="34"/>
    <x v="141"/>
    <x v="141"/>
  </r>
  <r>
    <n v="7360"/>
    <d v="2023-08-16T00:00:00"/>
    <x v="10"/>
    <x v="1"/>
    <s v="6RH"/>
    <s v="Démentiel 22"/>
    <x v="35"/>
    <x v="142"/>
    <x v="4"/>
    <x v="27"/>
    <x v="142"/>
    <x v="142"/>
  </r>
  <r>
    <n v="7361"/>
    <d v="2023-08-17T00:00:00"/>
    <x v="10"/>
    <x v="1"/>
    <s v="6RH"/>
    <s v="FARO 23"/>
    <x v="5"/>
    <x v="143"/>
    <x v="5"/>
    <x v="30"/>
    <x v="143"/>
    <x v="143"/>
  </r>
  <r>
    <n v="7362"/>
    <d v="2023-08-18T00:00:00"/>
    <x v="10"/>
    <x v="4"/>
    <s v="6RH"/>
    <s v="FARO 22"/>
    <x v="18"/>
    <x v="144"/>
    <x v="5"/>
    <x v="7"/>
    <x v="144"/>
    <x v="144"/>
  </r>
  <r>
    <n v="7363"/>
    <d v="2023-08-19T00:00:00"/>
    <x v="10"/>
    <x v="4"/>
    <s v="6RH"/>
    <s v="FARO 22"/>
    <x v="81"/>
    <x v="145"/>
    <x v="5"/>
    <x v="21"/>
    <x v="145"/>
    <x v="145"/>
  </r>
  <r>
    <n v="7368"/>
    <d v="2023-08-24T00:00:00"/>
    <x v="10"/>
    <x v="0"/>
    <s v="2RP"/>
    <s v="Thalis"/>
    <x v="82"/>
    <x v="146"/>
    <x v="5"/>
    <x v="25"/>
    <x v="146"/>
    <x v="146"/>
  </r>
  <r>
    <n v="7369"/>
    <d v="2023-08-25T00:00:00"/>
    <x v="10"/>
    <x v="0"/>
    <s v="2RP"/>
    <s v="Thalis"/>
    <x v="32"/>
    <x v="147"/>
    <x v="2"/>
    <x v="25"/>
    <x v="147"/>
    <x v="147"/>
  </r>
  <r>
    <n v="7372"/>
    <d v="2023-08-28T00:00:00"/>
    <x v="10"/>
    <x v="0"/>
    <s v="6RH"/>
    <s v="FARO 22"/>
    <x v="83"/>
    <x v="148"/>
    <x v="20"/>
    <x v="24"/>
    <x v="148"/>
    <x v="1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1336B-6E18-4139-A7A4-155D6C379604}" name="Tableau croisé dynamique1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N8:AA18" firstHeaderRow="1" firstDataRow="2" firstDataCol="1" rowPageCount="6" colPageCount="1"/>
  <pivotFields count="12">
    <pivotField showAll="0"/>
    <pivotField numFmtId="14" showAll="0"/>
    <pivotField axis="axisCol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axis="axisRow" dataField="1" showAll="0">
      <items count="10">
        <item x="8"/>
        <item x="7"/>
        <item x="6"/>
        <item x="0"/>
        <item x="1"/>
        <item x="2"/>
        <item x="5"/>
        <item x="4"/>
        <item x="3"/>
        <item t="default"/>
      </items>
    </pivotField>
    <pivotField showAll="0"/>
    <pivotField showAll="0"/>
    <pivotField axis="axisPage" showAll="0">
      <items count="85">
        <item x="4"/>
        <item x="31"/>
        <item x="38"/>
        <item x="9"/>
        <item x="5"/>
        <item x="6"/>
        <item x="30"/>
        <item x="36"/>
        <item x="79"/>
        <item x="16"/>
        <item x="7"/>
        <item x="2"/>
        <item x="0"/>
        <item x="76"/>
        <item x="8"/>
        <item x="78"/>
        <item x="83"/>
        <item x="37"/>
        <item x="27"/>
        <item x="39"/>
        <item x="17"/>
        <item x="41"/>
        <item x="32"/>
        <item x="20"/>
        <item x="40"/>
        <item x="35"/>
        <item x="13"/>
        <item x="18"/>
        <item x="21"/>
        <item x="12"/>
        <item x="10"/>
        <item x="11"/>
        <item x="43"/>
        <item x="34"/>
        <item x="3"/>
        <item x="28"/>
        <item x="77"/>
        <item x="25"/>
        <item x="14"/>
        <item x="33"/>
        <item x="1"/>
        <item x="26"/>
        <item x="15"/>
        <item x="82"/>
        <item x="42"/>
        <item x="24"/>
        <item x="29"/>
        <item x="75"/>
        <item x="23"/>
        <item x="19"/>
        <item x="81"/>
        <item x="22"/>
        <item x="80"/>
        <item x="49"/>
        <item x="46"/>
        <item x="44"/>
        <item x="54"/>
        <item x="48"/>
        <item x="50"/>
        <item x="52"/>
        <item x="56"/>
        <item x="53"/>
        <item x="55"/>
        <item x="62"/>
        <item x="66"/>
        <item x="71"/>
        <item x="51"/>
        <item x="68"/>
        <item x="47"/>
        <item x="63"/>
        <item x="58"/>
        <item x="74"/>
        <item x="61"/>
        <item x="65"/>
        <item x="45"/>
        <item x="57"/>
        <item x="69"/>
        <item x="70"/>
        <item x="67"/>
        <item x="64"/>
        <item x="72"/>
        <item x="60"/>
        <item x="73"/>
        <item x="59"/>
        <item t="default"/>
      </items>
    </pivotField>
    <pivotField axis="axisPage" showAll="0">
      <items count="150">
        <item x="96"/>
        <item x="62"/>
        <item x="25"/>
        <item x="66"/>
        <item x="69"/>
        <item x="53"/>
        <item x="51"/>
        <item x="56"/>
        <item x="64"/>
        <item x="54"/>
        <item x="58"/>
        <item x="83"/>
        <item x="5"/>
        <item x="70"/>
        <item x="57"/>
        <item x="52"/>
        <item x="68"/>
        <item x="59"/>
        <item x="17"/>
        <item x="22"/>
        <item x="50"/>
        <item x="80"/>
        <item x="78"/>
        <item x="7"/>
        <item x="4"/>
        <item x="49"/>
        <item x="130"/>
        <item x="128"/>
        <item x="74"/>
        <item x="142"/>
        <item x="11"/>
        <item x="19"/>
        <item x="135"/>
        <item x="141"/>
        <item x="46"/>
        <item x="134"/>
        <item x="63"/>
        <item x="145"/>
        <item x="73"/>
        <item x="146"/>
        <item x="143"/>
        <item x="60"/>
        <item x="21"/>
        <item x="144"/>
        <item x="36"/>
        <item x="125"/>
        <item x="133"/>
        <item x="127"/>
        <item x="2"/>
        <item x="148"/>
        <item x="3"/>
        <item x="8"/>
        <item x="109"/>
        <item x="75"/>
        <item x="42"/>
        <item x="67"/>
        <item x="18"/>
        <item x="108"/>
        <item x="77"/>
        <item x="124"/>
        <item x="79"/>
        <item x="9"/>
        <item x="38"/>
        <item x="131"/>
        <item x="43"/>
        <item x="55"/>
        <item x="126"/>
        <item x="1"/>
        <item x="132"/>
        <item x="147"/>
        <item x="30"/>
        <item x="35"/>
        <item x="65"/>
        <item x="12"/>
        <item x="47"/>
        <item x="138"/>
        <item x="48"/>
        <item x="92"/>
        <item x="39"/>
        <item x="32"/>
        <item x="20"/>
        <item x="101"/>
        <item x="103"/>
        <item x="94"/>
        <item x="29"/>
        <item x="140"/>
        <item x="24"/>
        <item x="34"/>
        <item x="129"/>
        <item x="31"/>
        <item x="33"/>
        <item x="37"/>
        <item x="98"/>
        <item x="72"/>
        <item x="0"/>
        <item x="76"/>
        <item x="28"/>
        <item x="136"/>
        <item x="139"/>
        <item x="122"/>
        <item x="97"/>
        <item x="137"/>
        <item x="95"/>
        <item x="89"/>
        <item x="115"/>
        <item x="123"/>
        <item x="90"/>
        <item x="45"/>
        <item x="16"/>
        <item x="61"/>
        <item x="23"/>
        <item x="15"/>
        <item x="71"/>
        <item x="13"/>
        <item x="88"/>
        <item x="99"/>
        <item x="110"/>
        <item x="82"/>
        <item x="120"/>
        <item x="116"/>
        <item x="10"/>
        <item x="93"/>
        <item x="100"/>
        <item x="84"/>
        <item x="41"/>
        <item x="112"/>
        <item x="119"/>
        <item x="81"/>
        <item x="114"/>
        <item x="87"/>
        <item x="117"/>
        <item x="105"/>
        <item x="111"/>
        <item x="113"/>
        <item x="121"/>
        <item x="44"/>
        <item x="40"/>
        <item x="118"/>
        <item x="106"/>
        <item x="102"/>
        <item x="14"/>
        <item x="104"/>
        <item x="86"/>
        <item x="85"/>
        <item x="91"/>
        <item x="6"/>
        <item x="26"/>
        <item x="107"/>
        <item x="27"/>
        <item t="default"/>
      </items>
    </pivotField>
    <pivotField axis="axisPage" multipleItemSelectionAllowed="1" showAll="0">
      <items count="27">
        <item x="19"/>
        <item x="14"/>
        <item x="23"/>
        <item x="10"/>
        <item x="3"/>
        <item x="1"/>
        <item x="11"/>
        <item x="0"/>
        <item x="8"/>
        <item x="4"/>
        <item x="15"/>
        <item x="5"/>
        <item x="2"/>
        <item x="6"/>
        <item x="17"/>
        <item x="21"/>
        <item x="20"/>
        <item x="13"/>
        <item x="7"/>
        <item x="16"/>
        <item x="22"/>
        <item x="25"/>
        <item x="9"/>
        <item x="24"/>
        <item x="18"/>
        <item h="1" x="12"/>
        <item t="default"/>
      </items>
    </pivotField>
    <pivotField axis="axisPage" showAll="0">
      <items count="37">
        <item x="35"/>
        <item x="22"/>
        <item x="28"/>
        <item x="26"/>
        <item x="27"/>
        <item x="32"/>
        <item x="24"/>
        <item x="23"/>
        <item x="34"/>
        <item x="30"/>
        <item x="5"/>
        <item x="25"/>
        <item x="33"/>
        <item x="20"/>
        <item x="29"/>
        <item x="18"/>
        <item x="31"/>
        <item x="14"/>
        <item x="11"/>
        <item x="4"/>
        <item x="21"/>
        <item x="15"/>
        <item x="16"/>
        <item x="7"/>
        <item x="2"/>
        <item x="6"/>
        <item x="1"/>
        <item x="0"/>
        <item x="8"/>
        <item x="9"/>
        <item x="12"/>
        <item x="10"/>
        <item x="17"/>
        <item x="13"/>
        <item x="19"/>
        <item x="3"/>
        <item t="default"/>
      </items>
    </pivotField>
    <pivotField axis="axisPage" multipleItemSelectionAllowed="1" showAll="0">
      <items count="150">
        <item h="1" x="96"/>
        <item h="1" x="25"/>
        <item h="1" x="69"/>
        <item h="1" x="51"/>
        <item h="1" x="56"/>
        <item x="64"/>
        <item x="62"/>
        <item x="58"/>
        <item x="83"/>
        <item x="70"/>
        <item x="57"/>
        <item x="66"/>
        <item x="52"/>
        <item x="68"/>
        <item x="53"/>
        <item x="59"/>
        <item x="17"/>
        <item x="109"/>
        <item x="50"/>
        <item x="108"/>
        <item x="80"/>
        <item x="54"/>
        <item x="78"/>
        <item x="49"/>
        <item x="130"/>
        <item x="5"/>
        <item x="128"/>
        <item x="74"/>
        <item x="142"/>
        <item x="103"/>
        <item x="141"/>
        <item x="46"/>
        <item x="134"/>
        <item x="145"/>
        <item x="63"/>
        <item x="146"/>
        <item x="73"/>
        <item x="60"/>
        <item x="21"/>
        <item x="144"/>
        <item x="36"/>
        <item x="125"/>
        <item x="92"/>
        <item x="127"/>
        <item x="133"/>
        <item x="148"/>
        <item x="3"/>
        <item x="75"/>
        <item x="22"/>
        <item x="42"/>
        <item x="18"/>
        <item x="67"/>
        <item x="77"/>
        <item x="124"/>
        <item x="79"/>
        <item x="98"/>
        <item x="9"/>
        <item x="38"/>
        <item x="94"/>
        <item x="7"/>
        <item x="131"/>
        <item x="4"/>
        <item x="43"/>
        <item x="55"/>
        <item x="126"/>
        <item x="1"/>
        <item x="132"/>
        <item x="110"/>
        <item x="120"/>
        <item x="147"/>
        <item x="97"/>
        <item x="95"/>
        <item x="35"/>
        <item x="116"/>
        <item x="65"/>
        <item x="100"/>
        <item x="12"/>
        <item x="47"/>
        <item x="84"/>
        <item x="138"/>
        <item x="48"/>
        <item x="39"/>
        <item x="112"/>
        <item x="11"/>
        <item x="32"/>
        <item x="119"/>
        <item x="20"/>
        <item x="89"/>
        <item x="101"/>
        <item x="19"/>
        <item x="114"/>
        <item x="29"/>
        <item x="135"/>
        <item x="117"/>
        <item x="90"/>
        <item x="24"/>
        <item x="34"/>
        <item x="140"/>
        <item x="129"/>
        <item x="99"/>
        <item x="31"/>
        <item x="33"/>
        <item x="37"/>
        <item x="105"/>
        <item x="111"/>
        <item x="113"/>
        <item x="72"/>
        <item x="76"/>
        <item x="143"/>
        <item x="93"/>
        <item x="88"/>
        <item x="28"/>
        <item x="136"/>
        <item x="2"/>
        <item x="118"/>
        <item x="139"/>
        <item x="82"/>
        <item x="137"/>
        <item x="122"/>
        <item x="8"/>
        <item x="106"/>
        <item x="102"/>
        <item x="115"/>
        <item x="123"/>
        <item x="45"/>
        <item x="104"/>
        <item x="86"/>
        <item x="16"/>
        <item x="23"/>
        <item x="15"/>
        <item x="71"/>
        <item x="13"/>
        <item x="87"/>
        <item x="30"/>
        <item x="91"/>
        <item x="41"/>
        <item x="81"/>
        <item x="0"/>
        <item x="121"/>
        <item x="44"/>
        <item x="85"/>
        <item x="40"/>
        <item x="14"/>
        <item x="61"/>
        <item h="1" x="107"/>
        <item h="1" x="10"/>
        <item h="1" x="26"/>
        <item h="1" x="27"/>
        <item h="1" x="6"/>
        <item t="default"/>
      </items>
    </pivotField>
    <pivotField axis="axisPage" multipleItemSelectionAllowed="1" showAll="0">
      <items count="150">
        <item h="1" x="96"/>
        <item h="1" x="69"/>
        <item h="1" x="51"/>
        <item h="1" x="25"/>
        <item h="1" x="62"/>
        <item h="1" x="56"/>
        <item x="66"/>
        <item x="64"/>
        <item x="83"/>
        <item x="142"/>
        <item x="108"/>
        <item x="92"/>
        <item x="70"/>
        <item x="148"/>
        <item x="58"/>
        <item x="94"/>
        <item x="84"/>
        <item x="109"/>
        <item x="141"/>
        <item x="130"/>
        <item x="5"/>
        <item x="134"/>
        <item x="53"/>
        <item x="68"/>
        <item x="67"/>
        <item x="128"/>
        <item x="146"/>
        <item x="133"/>
        <item x="127"/>
        <item x="89"/>
        <item x="115"/>
        <item x="101"/>
        <item x="57"/>
        <item x="124"/>
        <item x="54"/>
        <item x="52"/>
        <item x="114"/>
        <item x="79"/>
        <item x="103"/>
        <item x="119"/>
        <item x="125"/>
        <item x="145"/>
        <item x="17"/>
        <item x="116"/>
        <item x="71"/>
        <item x="140"/>
        <item x="50"/>
        <item x="147"/>
        <item x="80"/>
        <item x="138"/>
        <item x="121"/>
        <item x="120"/>
        <item x="131"/>
        <item x="78"/>
        <item x="132"/>
        <item x="59"/>
        <item x="97"/>
        <item x="144"/>
        <item x="60"/>
        <item x="139"/>
        <item x="118"/>
        <item x="98"/>
        <item x="49"/>
        <item x="86"/>
        <item x="74"/>
        <item x="73"/>
        <item x="126"/>
        <item x="99"/>
        <item x="15"/>
        <item x="135"/>
        <item x="19"/>
        <item x="29"/>
        <item x="110"/>
        <item x="46"/>
        <item x="76"/>
        <item x="143"/>
        <item x="63"/>
        <item x="100"/>
        <item x="136"/>
        <item x="4"/>
        <item x="77"/>
        <item x="65"/>
        <item x="95"/>
        <item x="82"/>
        <item x="105"/>
        <item x="72"/>
        <item x="113"/>
        <item x="7"/>
        <item x="122"/>
        <item x="112"/>
        <item x="90"/>
        <item x="21"/>
        <item x="75"/>
        <item x="43"/>
        <item x="117"/>
        <item x="88"/>
        <item x="37"/>
        <item x="38"/>
        <item x="28"/>
        <item x="36"/>
        <item x="42"/>
        <item x="111"/>
        <item x="123"/>
        <item x="106"/>
        <item x="47"/>
        <item x="9"/>
        <item x="104"/>
        <item x="137"/>
        <item x="93"/>
        <item x="102"/>
        <item x="8"/>
        <item x="129"/>
        <item x="20"/>
        <item x="22"/>
        <item x="1"/>
        <item x="12"/>
        <item x="39"/>
        <item x="91"/>
        <item x="30"/>
        <item x="55"/>
        <item x="18"/>
        <item x="35"/>
        <item x="48"/>
        <item x="2"/>
        <item x="45"/>
        <item x="11"/>
        <item x="3"/>
        <item x="31"/>
        <item x="87"/>
        <item x="32"/>
        <item x="24"/>
        <item x="61"/>
        <item x="23"/>
        <item x="33"/>
        <item x="107"/>
        <item x="34"/>
        <item x="85"/>
        <item x="41"/>
        <item x="13"/>
        <item x="16"/>
        <item x="44"/>
        <item x="0"/>
        <item x="10"/>
        <item x="81"/>
        <item x="14"/>
        <item x="40"/>
        <item h="1" x="27"/>
        <item h="1" x="6"/>
        <item h="1" x="26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6">
    <pageField fld="6" hier="-1"/>
    <pageField fld="7" hier="-1"/>
    <pageField fld="9" hier="-1"/>
    <pageField fld="8" hier="-1"/>
    <pageField fld="10" hier="-1"/>
    <pageField fld="11" hier="-1"/>
  </pageFields>
  <dataFields count="1">
    <dataField name="Nombre de Cahier des charg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CE36-3CB8-4864-8E54-11BC5244A69D}">
  <sheetPr>
    <tabColor theme="0" tint="-4.9989318521683403E-2"/>
  </sheetPr>
  <dimension ref="A1:Q1474"/>
  <sheetViews>
    <sheetView zoomScale="85" zoomScaleNormal="85" workbookViewId="0">
      <pane ySplit="1" topLeftCell="A1428" activePane="bottomLeft" state="frozen"/>
      <selection activeCell="E1" sqref="E1"/>
      <selection pane="bottomLeft" activeCell="L18" sqref="L18"/>
    </sheetView>
  </sheetViews>
  <sheetFormatPr baseColWidth="10" defaultColWidth="11.5703125" defaultRowHeight="15" x14ac:dyDescent="0.25"/>
  <cols>
    <col min="1" max="2" width="11.5703125" style="12"/>
    <col min="3" max="3" width="10.85546875" style="12" bestFit="1" customWidth="1"/>
    <col min="4" max="5" width="10.85546875" style="12" hidden="1" customWidth="1"/>
    <col min="6" max="6" width="18.5703125" style="12" hidden="1" customWidth="1"/>
    <col min="7" max="7" width="23.5703125" style="14" hidden="1" customWidth="1"/>
    <col min="8" max="8" width="17.140625" style="12" hidden="1" customWidth="1"/>
    <col min="9" max="9" width="10.85546875" style="12" hidden="1" customWidth="1"/>
    <col min="10" max="10" width="12.42578125" style="12" customWidth="1"/>
    <col min="11" max="11" width="9.140625" style="12" customWidth="1"/>
    <col min="12" max="12" width="8.85546875" style="12" customWidth="1"/>
    <col min="13" max="13" width="13.140625" style="12" customWidth="1"/>
    <col min="14" max="14" width="13.140625" style="12" bestFit="1" customWidth="1"/>
    <col min="15" max="15" width="13.140625" style="13" customWidth="1"/>
    <col min="16" max="16384" width="11.5703125" style="12"/>
  </cols>
  <sheetData>
    <row r="1" spans="1:17" x14ac:dyDescent="0.25">
      <c r="A1" s="3" t="s">
        <v>16</v>
      </c>
      <c r="B1" s="3" t="s">
        <v>15</v>
      </c>
      <c r="C1" s="4" t="s">
        <v>6</v>
      </c>
      <c r="D1" s="4" t="s">
        <v>77</v>
      </c>
      <c r="E1" s="5" t="s">
        <v>11</v>
      </c>
      <c r="F1" s="5" t="s">
        <v>12</v>
      </c>
      <c r="G1" s="6" t="s">
        <v>2</v>
      </c>
      <c r="H1" s="5" t="s">
        <v>3</v>
      </c>
      <c r="I1" s="7" t="s">
        <v>7</v>
      </c>
      <c r="J1" s="7" t="s">
        <v>8</v>
      </c>
      <c r="K1" s="8" t="s">
        <v>0</v>
      </c>
      <c r="L1" s="9" t="s">
        <v>1</v>
      </c>
      <c r="M1" s="10" t="s">
        <v>4</v>
      </c>
      <c r="N1" s="5" t="s">
        <v>5</v>
      </c>
      <c r="O1" s="11" t="s">
        <v>28</v>
      </c>
      <c r="Q1" s="5" t="s">
        <v>9</v>
      </c>
    </row>
    <row r="2" spans="1:17" x14ac:dyDescent="0.25">
      <c r="A2" s="12">
        <f t="shared" ref="A2:A65" si="0">MONTH(G2)</f>
        <v>9</v>
      </c>
      <c r="B2" s="12">
        <v>2020</v>
      </c>
      <c r="C2" s="1">
        <v>6281</v>
      </c>
      <c r="D2" s="1"/>
      <c r="E2" s="12" t="s">
        <v>13</v>
      </c>
      <c r="F2" s="12" t="s">
        <v>14</v>
      </c>
      <c r="G2" s="2">
        <v>44075</v>
      </c>
      <c r="H2" s="12" t="s">
        <v>17</v>
      </c>
      <c r="I2" s="12" t="s">
        <v>19</v>
      </c>
      <c r="J2" s="12" t="s">
        <v>21</v>
      </c>
      <c r="K2" s="12">
        <v>230.011</v>
      </c>
      <c r="L2" s="12">
        <v>199.86799999999999</v>
      </c>
      <c r="O2" s="13">
        <f t="shared" ref="O2:O65" si="1">L2/K2</f>
        <v>0.86894974588171869</v>
      </c>
      <c r="Q2" s="7" t="s">
        <v>10</v>
      </c>
    </row>
    <row r="3" spans="1:17" x14ac:dyDescent="0.25">
      <c r="A3" s="12">
        <f t="shared" si="0"/>
        <v>9</v>
      </c>
      <c r="B3" s="12">
        <v>2020</v>
      </c>
      <c r="C3" s="1">
        <v>6282</v>
      </c>
      <c r="D3" s="1"/>
      <c r="E3" s="12" t="s">
        <v>13</v>
      </c>
      <c r="F3" s="12" t="s">
        <v>14</v>
      </c>
      <c r="G3" s="2">
        <v>44076</v>
      </c>
      <c r="H3" s="12" t="s">
        <v>17</v>
      </c>
      <c r="I3" s="12" t="s">
        <v>19</v>
      </c>
      <c r="J3" s="12" t="s">
        <v>21</v>
      </c>
      <c r="K3" s="12">
        <v>230.023</v>
      </c>
      <c r="L3" s="12">
        <v>195.13800000000001</v>
      </c>
      <c r="O3" s="13">
        <f t="shared" si="1"/>
        <v>0.84834125283123862</v>
      </c>
    </row>
    <row r="4" spans="1:17" x14ac:dyDescent="0.25">
      <c r="A4" s="12">
        <f t="shared" si="0"/>
        <v>9</v>
      </c>
      <c r="B4" s="12">
        <v>2020</v>
      </c>
      <c r="C4" s="1">
        <v>6283</v>
      </c>
      <c r="D4" s="1"/>
      <c r="E4" s="12" t="s">
        <v>13</v>
      </c>
      <c r="F4" s="12" t="s">
        <v>14</v>
      </c>
      <c r="G4" s="2">
        <v>44077</v>
      </c>
      <c r="H4" s="12" t="s">
        <v>17</v>
      </c>
      <c r="I4" s="12" t="s">
        <v>19</v>
      </c>
      <c r="J4" s="12" t="s">
        <v>21</v>
      </c>
      <c r="K4" s="12">
        <v>230.00800000000001</v>
      </c>
      <c r="L4" s="12">
        <v>198.46700000000001</v>
      </c>
      <c r="O4" s="13">
        <f t="shared" si="1"/>
        <v>0.86286998713088248</v>
      </c>
    </row>
    <row r="5" spans="1:17" x14ac:dyDescent="0.25">
      <c r="A5" s="12">
        <f t="shared" si="0"/>
        <v>9</v>
      </c>
      <c r="B5" s="12">
        <v>2020</v>
      </c>
      <c r="C5" s="1">
        <v>6284</v>
      </c>
      <c r="D5" s="1"/>
      <c r="E5" s="12" t="s">
        <v>13</v>
      </c>
      <c r="F5" s="12" t="s">
        <v>14</v>
      </c>
      <c r="G5" s="2">
        <v>44078</v>
      </c>
      <c r="H5" s="12" t="s">
        <v>17</v>
      </c>
      <c r="I5" s="12" t="s">
        <v>19</v>
      </c>
      <c r="J5" s="12" t="s">
        <v>21</v>
      </c>
      <c r="K5" s="12">
        <v>230.00899999999999</v>
      </c>
      <c r="L5" s="12">
        <v>195.02500000000001</v>
      </c>
      <c r="O5" s="13">
        <f t="shared" si="1"/>
        <v>0.84790160385028424</v>
      </c>
    </row>
    <row r="6" spans="1:17" x14ac:dyDescent="0.25">
      <c r="A6" s="12">
        <f t="shared" si="0"/>
        <v>9</v>
      </c>
      <c r="B6" s="12">
        <v>2020</v>
      </c>
      <c r="C6" s="1">
        <v>6285</v>
      </c>
      <c r="D6" s="1"/>
      <c r="E6" s="12" t="s">
        <v>13</v>
      </c>
      <c r="F6" s="12" t="s">
        <v>14</v>
      </c>
      <c r="G6" s="2">
        <v>44079</v>
      </c>
      <c r="H6" s="12" t="s">
        <v>17</v>
      </c>
      <c r="I6" s="12" t="s">
        <v>19</v>
      </c>
      <c r="J6" s="12" t="s">
        <v>22</v>
      </c>
      <c r="K6" s="12">
        <v>230</v>
      </c>
      <c r="L6" s="12">
        <v>197.167</v>
      </c>
      <c r="O6" s="13">
        <f t="shared" si="1"/>
        <v>0.85724782608695649</v>
      </c>
    </row>
    <row r="7" spans="1:17" x14ac:dyDescent="0.25">
      <c r="A7" s="12">
        <f t="shared" si="0"/>
        <v>9</v>
      </c>
      <c r="B7" s="12">
        <v>2020</v>
      </c>
      <c r="C7" s="1">
        <v>6286</v>
      </c>
      <c r="D7" s="1"/>
      <c r="E7" s="12" t="s">
        <v>13</v>
      </c>
      <c r="F7" s="12" t="s">
        <v>14</v>
      </c>
      <c r="G7" s="2">
        <v>44080</v>
      </c>
      <c r="H7" s="12" t="s">
        <v>17</v>
      </c>
      <c r="I7" s="12" t="s">
        <v>19</v>
      </c>
      <c r="J7" s="12" t="s">
        <v>22</v>
      </c>
      <c r="K7" s="12">
        <v>230</v>
      </c>
      <c r="L7" s="12">
        <v>192.66800000000001</v>
      </c>
      <c r="O7" s="13">
        <f t="shared" si="1"/>
        <v>0.83768695652173919</v>
      </c>
    </row>
    <row r="8" spans="1:17" x14ac:dyDescent="0.25">
      <c r="A8" s="12">
        <f t="shared" si="0"/>
        <v>9</v>
      </c>
      <c r="B8" s="12">
        <v>2020</v>
      </c>
      <c r="C8" s="1">
        <v>6287</v>
      </c>
      <c r="D8" s="1"/>
      <c r="E8" s="12" t="s">
        <v>13</v>
      </c>
      <c r="F8" s="12" t="s">
        <v>14</v>
      </c>
      <c r="G8" s="2">
        <v>44081</v>
      </c>
      <c r="H8" s="12" t="s">
        <v>18</v>
      </c>
      <c r="I8" s="12" t="s">
        <v>20</v>
      </c>
      <c r="J8" s="12" t="s">
        <v>23</v>
      </c>
      <c r="K8" s="12">
        <v>231.99700000000001</v>
      </c>
      <c r="L8" s="12">
        <v>194.036</v>
      </c>
      <c r="O8" s="13">
        <f t="shared" si="1"/>
        <v>0.83637288413212241</v>
      </c>
    </row>
    <row r="9" spans="1:17" x14ac:dyDescent="0.25">
      <c r="A9" s="12">
        <f t="shared" si="0"/>
        <v>9</v>
      </c>
      <c r="B9" s="12">
        <v>2020</v>
      </c>
      <c r="C9" s="1">
        <v>6288</v>
      </c>
      <c r="D9" s="1"/>
      <c r="E9" s="12" t="s">
        <v>13</v>
      </c>
      <c r="F9" s="12" t="s">
        <v>14</v>
      </c>
      <c r="G9" s="2">
        <v>44082</v>
      </c>
      <c r="H9" s="12" t="s">
        <v>18</v>
      </c>
      <c r="I9" s="12" t="s">
        <v>20</v>
      </c>
      <c r="J9" s="12" t="s">
        <v>23</v>
      </c>
      <c r="K9" s="12">
        <v>231.99799999999999</v>
      </c>
      <c r="L9" s="12">
        <v>197.00399999999999</v>
      </c>
      <c r="O9" s="13">
        <f t="shared" si="1"/>
        <v>0.84916249278011013</v>
      </c>
    </row>
    <row r="10" spans="1:17" x14ac:dyDescent="0.25">
      <c r="A10" s="12">
        <f t="shared" si="0"/>
        <v>9</v>
      </c>
      <c r="B10" s="12">
        <v>2020</v>
      </c>
      <c r="C10" s="1">
        <v>6289</v>
      </c>
      <c r="D10" s="1"/>
      <c r="E10" s="12" t="s">
        <v>13</v>
      </c>
      <c r="F10" s="12" t="s">
        <v>14</v>
      </c>
      <c r="G10" s="2">
        <v>44083</v>
      </c>
      <c r="H10" s="12" t="s">
        <v>18</v>
      </c>
      <c r="I10" s="12" t="s">
        <v>20</v>
      </c>
      <c r="J10" s="12" t="s">
        <v>24</v>
      </c>
      <c r="K10" s="12">
        <v>235.005</v>
      </c>
      <c r="L10" s="12">
        <v>200.32400000000001</v>
      </c>
      <c r="O10" s="13">
        <f t="shared" si="1"/>
        <v>0.85242441650177658</v>
      </c>
    </row>
    <row r="11" spans="1:17" x14ac:dyDescent="0.25">
      <c r="A11" s="12">
        <f t="shared" si="0"/>
        <v>9</v>
      </c>
      <c r="B11" s="12">
        <v>2020</v>
      </c>
      <c r="C11" s="1">
        <v>6290</v>
      </c>
      <c r="D11" s="1"/>
      <c r="E11" s="12" t="s">
        <v>13</v>
      </c>
      <c r="F11" s="12" t="s">
        <v>14</v>
      </c>
      <c r="G11" s="2">
        <v>44084</v>
      </c>
      <c r="H11" s="12" t="s">
        <v>18</v>
      </c>
      <c r="I11" s="12" t="s">
        <v>20</v>
      </c>
      <c r="J11" s="12" t="s">
        <v>24</v>
      </c>
      <c r="K11" s="12">
        <v>235.006</v>
      </c>
      <c r="L11" s="12">
        <v>203.63</v>
      </c>
      <c r="O11" s="13">
        <f t="shared" si="1"/>
        <v>0.86648851518684622</v>
      </c>
    </row>
    <row r="12" spans="1:17" x14ac:dyDescent="0.25">
      <c r="A12" s="12">
        <f t="shared" si="0"/>
        <v>9</v>
      </c>
      <c r="B12" s="12">
        <v>2020</v>
      </c>
      <c r="C12" s="1">
        <v>6291</v>
      </c>
      <c r="D12" s="1"/>
      <c r="E12" s="12" t="s">
        <v>13</v>
      </c>
      <c r="F12" s="12" t="s">
        <v>14</v>
      </c>
      <c r="G12" s="2">
        <v>44085</v>
      </c>
      <c r="H12" s="12" t="s">
        <v>17</v>
      </c>
      <c r="I12" s="12" t="s">
        <v>19</v>
      </c>
      <c r="J12" s="12" t="s">
        <v>21</v>
      </c>
      <c r="K12" s="12">
        <v>230.00700000000001</v>
      </c>
      <c r="L12" s="12">
        <v>198.50800000000001</v>
      </c>
      <c r="O12" s="13">
        <f t="shared" si="1"/>
        <v>0.86305199406974575</v>
      </c>
    </row>
    <row r="13" spans="1:17" x14ac:dyDescent="0.25">
      <c r="A13" s="12">
        <f t="shared" si="0"/>
        <v>9</v>
      </c>
      <c r="B13" s="12">
        <v>2020</v>
      </c>
      <c r="C13" s="1">
        <v>6292</v>
      </c>
      <c r="D13" s="1"/>
      <c r="E13" s="12" t="s">
        <v>13</v>
      </c>
      <c r="F13" s="12" t="s">
        <v>14</v>
      </c>
      <c r="G13" s="2">
        <v>44086</v>
      </c>
      <c r="H13" s="12" t="s">
        <v>17</v>
      </c>
      <c r="I13" s="12" t="s">
        <v>19</v>
      </c>
      <c r="J13" s="12" t="s">
        <v>21</v>
      </c>
      <c r="K13" s="12">
        <v>230.00200000000001</v>
      </c>
      <c r="L13" s="12">
        <v>200.893</v>
      </c>
      <c r="O13" s="13">
        <f t="shared" si="1"/>
        <v>0.8734402309545134</v>
      </c>
    </row>
    <row r="14" spans="1:17" x14ac:dyDescent="0.25">
      <c r="A14" s="12">
        <f t="shared" si="0"/>
        <v>9</v>
      </c>
      <c r="B14" s="12">
        <v>2020</v>
      </c>
      <c r="C14" s="1">
        <v>6293</v>
      </c>
      <c r="D14" s="1"/>
      <c r="E14" s="12" t="s">
        <v>13</v>
      </c>
      <c r="F14" s="12" t="s">
        <v>14</v>
      </c>
      <c r="G14" s="2">
        <v>44087</v>
      </c>
      <c r="H14" s="12" t="s">
        <v>17</v>
      </c>
      <c r="I14" s="12" t="s">
        <v>19</v>
      </c>
      <c r="J14" s="12" t="s">
        <v>21</v>
      </c>
      <c r="K14" s="12">
        <v>230.00200000000001</v>
      </c>
      <c r="L14" s="12">
        <v>192.64699999999999</v>
      </c>
      <c r="O14" s="13">
        <f t="shared" si="1"/>
        <v>0.83758836879679299</v>
      </c>
    </row>
    <row r="15" spans="1:17" x14ac:dyDescent="0.25">
      <c r="A15" s="12">
        <f t="shared" si="0"/>
        <v>9</v>
      </c>
      <c r="B15" s="12">
        <v>2020</v>
      </c>
      <c r="C15" s="1">
        <v>6294</v>
      </c>
      <c r="D15" s="1"/>
      <c r="E15" s="12" t="s">
        <v>13</v>
      </c>
      <c r="F15" s="12" t="s">
        <v>14</v>
      </c>
      <c r="G15" s="2">
        <v>44088</v>
      </c>
      <c r="H15" s="12" t="s">
        <v>17</v>
      </c>
      <c r="I15" s="12" t="s">
        <v>19</v>
      </c>
      <c r="J15" s="12" t="s">
        <v>21</v>
      </c>
      <c r="K15" s="12">
        <v>229.99799999999999</v>
      </c>
      <c r="L15" s="12">
        <v>199.358</v>
      </c>
      <c r="O15" s="13">
        <f t="shared" si="1"/>
        <v>0.86678145027348075</v>
      </c>
    </row>
    <row r="16" spans="1:17" x14ac:dyDescent="0.25">
      <c r="A16" s="12">
        <f t="shared" si="0"/>
        <v>9</v>
      </c>
      <c r="B16" s="12">
        <v>2020</v>
      </c>
      <c r="C16" s="1">
        <v>6295</v>
      </c>
      <c r="D16" s="1"/>
      <c r="E16" s="12" t="s">
        <v>13</v>
      </c>
      <c r="F16" s="12" t="s">
        <v>14</v>
      </c>
      <c r="G16" s="2">
        <v>44089</v>
      </c>
      <c r="H16" s="12" t="s">
        <v>17</v>
      </c>
      <c r="I16" s="12" t="s">
        <v>19</v>
      </c>
      <c r="J16" s="12" t="s">
        <v>21</v>
      </c>
      <c r="K16" s="12">
        <v>229.999</v>
      </c>
      <c r="L16" s="12">
        <v>189.666</v>
      </c>
      <c r="O16" s="13">
        <f t="shared" si="1"/>
        <v>0.82463836799290435</v>
      </c>
    </row>
    <row r="17" spans="1:15" x14ac:dyDescent="0.25">
      <c r="A17" s="12">
        <f t="shared" si="0"/>
        <v>9</v>
      </c>
      <c r="B17" s="12">
        <v>2020</v>
      </c>
      <c r="C17" s="1">
        <v>6296</v>
      </c>
      <c r="D17" s="1"/>
      <c r="E17" s="12" t="s">
        <v>13</v>
      </c>
      <c r="F17" s="12" t="s">
        <v>14</v>
      </c>
      <c r="G17" s="2">
        <v>44090</v>
      </c>
      <c r="H17" s="12" t="s">
        <v>17</v>
      </c>
      <c r="I17" s="12" t="s">
        <v>19</v>
      </c>
      <c r="J17" s="12" t="s">
        <v>22</v>
      </c>
      <c r="K17" s="12">
        <v>230.017</v>
      </c>
      <c r="L17" s="12">
        <v>195.25800000000001</v>
      </c>
      <c r="O17" s="13">
        <f t="shared" si="1"/>
        <v>0.8488850824069526</v>
      </c>
    </row>
    <row r="18" spans="1:15" x14ac:dyDescent="0.25">
      <c r="A18" s="12">
        <f t="shared" si="0"/>
        <v>9</v>
      </c>
      <c r="B18" s="12">
        <v>2020</v>
      </c>
      <c r="C18" s="1">
        <v>6297</v>
      </c>
      <c r="D18" s="1"/>
      <c r="E18" s="12" t="s">
        <v>13</v>
      </c>
      <c r="F18" s="12" t="s">
        <v>14</v>
      </c>
      <c r="G18" s="2">
        <v>44091</v>
      </c>
      <c r="H18" s="12" t="s">
        <v>17</v>
      </c>
      <c r="I18" s="12" t="s">
        <v>19</v>
      </c>
      <c r="J18" s="12" t="s">
        <v>22</v>
      </c>
      <c r="K18" s="12">
        <v>230.00800000000001</v>
      </c>
      <c r="L18" s="12">
        <v>199.65199999999999</v>
      </c>
      <c r="O18" s="13">
        <f t="shared" si="1"/>
        <v>0.86802198184410972</v>
      </c>
    </row>
    <row r="19" spans="1:15" x14ac:dyDescent="0.25">
      <c r="A19" s="12">
        <f t="shared" si="0"/>
        <v>9</v>
      </c>
      <c r="B19" s="12">
        <v>2020</v>
      </c>
      <c r="C19" s="1">
        <v>6298</v>
      </c>
      <c r="D19" s="1"/>
      <c r="E19" s="12" t="s">
        <v>13</v>
      </c>
      <c r="F19" s="12" t="s">
        <v>14</v>
      </c>
      <c r="G19" s="2">
        <v>44092</v>
      </c>
      <c r="H19" s="12" t="s">
        <v>17</v>
      </c>
      <c r="I19" s="12" t="s">
        <v>19</v>
      </c>
      <c r="J19" s="12" t="s">
        <v>22</v>
      </c>
      <c r="K19" s="12">
        <v>230.00800000000001</v>
      </c>
      <c r="L19" s="12">
        <v>188</v>
      </c>
      <c r="O19" s="13">
        <f t="shared" si="1"/>
        <v>0.8173628743348057</v>
      </c>
    </row>
    <row r="20" spans="1:15" x14ac:dyDescent="0.25">
      <c r="A20" s="12">
        <f t="shared" si="0"/>
        <v>9</v>
      </c>
      <c r="B20" s="12">
        <v>2020</v>
      </c>
      <c r="C20" s="1">
        <v>6299</v>
      </c>
      <c r="D20" s="1"/>
      <c r="E20" s="12" t="s">
        <v>13</v>
      </c>
      <c r="F20" s="12" t="s">
        <v>14</v>
      </c>
      <c r="G20" s="2">
        <v>44093</v>
      </c>
      <c r="H20" s="12" t="s">
        <v>17</v>
      </c>
      <c r="I20" s="12" t="s">
        <v>19</v>
      </c>
      <c r="J20" s="12" t="s">
        <v>25</v>
      </c>
      <c r="K20" s="12">
        <v>229.99299999999999</v>
      </c>
      <c r="L20" s="12">
        <v>200.83500000000001</v>
      </c>
      <c r="O20" s="13">
        <f t="shared" si="1"/>
        <v>0.87322222850260667</v>
      </c>
    </row>
    <row r="21" spans="1:15" x14ac:dyDescent="0.25">
      <c r="A21" s="12">
        <f t="shared" si="0"/>
        <v>9</v>
      </c>
      <c r="B21" s="12">
        <v>2020</v>
      </c>
      <c r="C21" s="1">
        <v>6300</v>
      </c>
      <c r="D21" s="1"/>
      <c r="E21" s="12" t="s">
        <v>13</v>
      </c>
      <c r="F21" s="12" t="s">
        <v>14</v>
      </c>
      <c r="G21" s="2">
        <v>44094</v>
      </c>
      <c r="H21" s="12" t="s">
        <v>17</v>
      </c>
      <c r="I21" s="12" t="s">
        <v>19</v>
      </c>
      <c r="J21" s="12" t="s">
        <v>25</v>
      </c>
      <c r="K21" s="12">
        <v>229.994</v>
      </c>
      <c r="L21" s="12">
        <v>189.56700000000001</v>
      </c>
      <c r="O21" s="13">
        <f t="shared" si="1"/>
        <v>0.82422584936998355</v>
      </c>
    </row>
    <row r="22" spans="1:15" x14ac:dyDescent="0.25">
      <c r="A22" s="12">
        <f t="shared" si="0"/>
        <v>9</v>
      </c>
      <c r="B22" s="12">
        <v>2020</v>
      </c>
      <c r="C22" s="1">
        <v>6301</v>
      </c>
      <c r="D22" s="1"/>
      <c r="E22" s="12" t="s">
        <v>13</v>
      </c>
      <c r="F22" s="12" t="s">
        <v>14</v>
      </c>
      <c r="G22" s="2">
        <v>44095</v>
      </c>
      <c r="H22" s="12" t="s">
        <v>17</v>
      </c>
      <c r="I22" s="12" t="s">
        <v>19</v>
      </c>
      <c r="J22" s="12" t="s">
        <v>26</v>
      </c>
      <c r="K22" s="12">
        <v>230.001</v>
      </c>
      <c r="L22" s="12">
        <v>191.02199999999999</v>
      </c>
      <c r="O22" s="13">
        <f t="shared" si="1"/>
        <v>0.83052682379641818</v>
      </c>
    </row>
    <row r="23" spans="1:15" x14ac:dyDescent="0.25">
      <c r="A23" s="12">
        <f t="shared" si="0"/>
        <v>9</v>
      </c>
      <c r="B23" s="12">
        <v>2020</v>
      </c>
      <c r="C23" s="1">
        <v>6302</v>
      </c>
      <c r="D23" s="1"/>
      <c r="E23" s="12" t="s">
        <v>13</v>
      </c>
      <c r="F23" s="12" t="s">
        <v>14</v>
      </c>
      <c r="G23" s="2">
        <v>44096</v>
      </c>
      <c r="H23" s="12" t="s">
        <v>18</v>
      </c>
      <c r="I23" s="12" t="s">
        <v>20</v>
      </c>
      <c r="J23" s="12" t="s">
        <v>23</v>
      </c>
      <c r="K23" s="12">
        <v>229.99299999999999</v>
      </c>
      <c r="L23" s="12">
        <v>195.96799999999999</v>
      </c>
      <c r="O23" s="13">
        <f t="shared" si="1"/>
        <v>0.85206071489132273</v>
      </c>
    </row>
    <row r="24" spans="1:15" x14ac:dyDescent="0.25">
      <c r="A24" s="12">
        <f t="shared" si="0"/>
        <v>9</v>
      </c>
      <c r="B24" s="12">
        <v>2020</v>
      </c>
      <c r="C24" s="1">
        <v>6303</v>
      </c>
      <c r="D24" s="1"/>
      <c r="E24" s="12" t="s">
        <v>13</v>
      </c>
      <c r="F24" s="12" t="s">
        <v>14</v>
      </c>
      <c r="G24" s="2">
        <v>44097</v>
      </c>
      <c r="H24" s="12" t="s">
        <v>18</v>
      </c>
      <c r="I24" s="12" t="s">
        <v>20</v>
      </c>
      <c r="J24" s="12" t="s">
        <v>23</v>
      </c>
      <c r="K24" s="12">
        <v>229.99299999999999</v>
      </c>
      <c r="L24" s="12">
        <v>191.64099999999999</v>
      </c>
      <c r="O24" s="13">
        <f t="shared" si="1"/>
        <v>0.83324709882474679</v>
      </c>
    </row>
    <row r="25" spans="1:15" x14ac:dyDescent="0.25">
      <c r="A25" s="12">
        <f t="shared" si="0"/>
        <v>9</v>
      </c>
      <c r="B25" s="12">
        <v>2020</v>
      </c>
      <c r="C25" s="1">
        <v>6304</v>
      </c>
      <c r="D25" s="1"/>
      <c r="E25" s="12" t="s">
        <v>13</v>
      </c>
      <c r="F25" s="12" t="s">
        <v>14</v>
      </c>
      <c r="G25" s="2">
        <v>44098</v>
      </c>
      <c r="H25" s="12" t="s">
        <v>18</v>
      </c>
      <c r="I25" s="12" t="s">
        <v>20</v>
      </c>
      <c r="J25" s="12" t="s">
        <v>23</v>
      </c>
      <c r="K25" s="12">
        <v>230.001</v>
      </c>
      <c r="L25" s="12">
        <v>198.292</v>
      </c>
      <c r="O25" s="13">
        <f t="shared" si="1"/>
        <v>0.86213538202007811</v>
      </c>
    </row>
    <row r="26" spans="1:15" x14ac:dyDescent="0.25">
      <c r="A26" s="12">
        <f t="shared" si="0"/>
        <v>9</v>
      </c>
      <c r="B26" s="12">
        <v>2020</v>
      </c>
      <c r="C26" s="1">
        <v>6305</v>
      </c>
      <c r="D26" s="1"/>
      <c r="E26" s="12" t="s">
        <v>13</v>
      </c>
      <c r="F26" s="12" t="s">
        <v>14</v>
      </c>
      <c r="G26" s="2">
        <v>44099</v>
      </c>
      <c r="H26" s="12" t="s">
        <v>18</v>
      </c>
      <c r="I26" s="12" t="s">
        <v>20</v>
      </c>
      <c r="J26" s="12" t="s">
        <v>23</v>
      </c>
      <c r="K26" s="12">
        <v>230.001</v>
      </c>
      <c r="L26" s="12">
        <v>191.44800000000001</v>
      </c>
      <c r="O26" s="13">
        <f t="shared" si="1"/>
        <v>0.83237898965656676</v>
      </c>
    </row>
    <row r="27" spans="1:15" x14ac:dyDescent="0.25">
      <c r="A27" s="12">
        <f t="shared" si="0"/>
        <v>9</v>
      </c>
      <c r="B27" s="12">
        <v>2020</v>
      </c>
      <c r="C27" s="1">
        <v>6306</v>
      </c>
      <c r="D27" s="1"/>
      <c r="E27" s="12" t="s">
        <v>13</v>
      </c>
      <c r="F27" s="12" t="s">
        <v>14</v>
      </c>
      <c r="G27" s="2">
        <v>44100</v>
      </c>
      <c r="H27" s="12" t="s">
        <v>17</v>
      </c>
      <c r="I27" s="12" t="s">
        <v>19</v>
      </c>
      <c r="J27" s="12" t="s">
        <v>25</v>
      </c>
      <c r="K27" s="12">
        <v>230.005</v>
      </c>
      <c r="L27" s="12">
        <v>201.358</v>
      </c>
      <c r="O27" s="13">
        <f t="shared" si="1"/>
        <v>0.87545053368405035</v>
      </c>
    </row>
    <row r="28" spans="1:15" x14ac:dyDescent="0.25">
      <c r="A28" s="12">
        <f t="shared" si="0"/>
        <v>9</v>
      </c>
      <c r="B28" s="12">
        <v>2020</v>
      </c>
      <c r="C28" s="1">
        <v>6307</v>
      </c>
      <c r="D28" s="1"/>
      <c r="E28" s="12" t="s">
        <v>13</v>
      </c>
      <c r="F28" s="12" t="s">
        <v>14</v>
      </c>
      <c r="G28" s="2">
        <v>44101</v>
      </c>
      <c r="H28" s="12" t="s">
        <v>17</v>
      </c>
      <c r="I28" s="12" t="s">
        <v>19</v>
      </c>
      <c r="J28" s="12" t="s">
        <v>25</v>
      </c>
      <c r="K28" s="12">
        <v>230.005</v>
      </c>
      <c r="L28" s="12">
        <v>191.732</v>
      </c>
      <c r="O28" s="13">
        <f t="shared" si="1"/>
        <v>0.83359926958109609</v>
      </c>
    </row>
    <row r="29" spans="1:15" x14ac:dyDescent="0.25">
      <c r="A29" s="12">
        <f t="shared" si="0"/>
        <v>9</v>
      </c>
      <c r="B29" s="12">
        <v>2020</v>
      </c>
      <c r="C29" s="1">
        <v>6308</v>
      </c>
      <c r="D29" s="1"/>
      <c r="E29" s="12" t="s">
        <v>13</v>
      </c>
      <c r="F29" s="12" t="s">
        <v>14</v>
      </c>
      <c r="G29" s="2">
        <v>44102</v>
      </c>
      <c r="H29" s="12" t="s">
        <v>17</v>
      </c>
      <c r="I29" s="12" t="s">
        <v>19</v>
      </c>
      <c r="J29" s="12" t="s">
        <v>27</v>
      </c>
      <c r="K29" s="12">
        <v>230.01499999999999</v>
      </c>
      <c r="L29" s="12">
        <v>198.458</v>
      </c>
      <c r="O29" s="13">
        <f t="shared" si="1"/>
        <v>0.86280459970001966</v>
      </c>
    </row>
    <row r="30" spans="1:15" x14ac:dyDescent="0.25">
      <c r="A30" s="12">
        <f t="shared" si="0"/>
        <v>9</v>
      </c>
      <c r="B30" s="12">
        <v>2020</v>
      </c>
      <c r="C30" s="1">
        <v>6309</v>
      </c>
      <c r="D30" s="1"/>
      <c r="E30" s="12" t="s">
        <v>13</v>
      </c>
      <c r="F30" s="12" t="s">
        <v>14</v>
      </c>
      <c r="G30" s="2">
        <v>44103</v>
      </c>
      <c r="H30" s="12" t="s">
        <v>17</v>
      </c>
      <c r="I30" s="12" t="s">
        <v>19</v>
      </c>
      <c r="J30" s="12" t="s">
        <v>27</v>
      </c>
      <c r="K30" s="12">
        <v>230.01599999999999</v>
      </c>
      <c r="L30" s="12">
        <v>189.62700000000001</v>
      </c>
      <c r="O30" s="13">
        <f t="shared" si="1"/>
        <v>0.82440786727879811</v>
      </c>
    </row>
    <row r="31" spans="1:15" x14ac:dyDescent="0.25">
      <c r="A31" s="12">
        <f t="shared" si="0"/>
        <v>9</v>
      </c>
      <c r="B31" s="12">
        <v>2020</v>
      </c>
      <c r="C31" s="1">
        <v>6310</v>
      </c>
      <c r="D31" s="1"/>
      <c r="E31" s="12" t="s">
        <v>13</v>
      </c>
      <c r="F31" s="12" t="s">
        <v>14</v>
      </c>
      <c r="G31" s="2">
        <v>44104</v>
      </c>
      <c r="H31" s="12" t="s">
        <v>18</v>
      </c>
      <c r="I31" s="12" t="s">
        <v>19</v>
      </c>
      <c r="J31" s="12" t="s">
        <v>22</v>
      </c>
      <c r="K31" s="12">
        <v>229.97800000000001</v>
      </c>
      <c r="L31" s="12">
        <v>195.09</v>
      </c>
      <c r="O31" s="13">
        <f t="shared" si="1"/>
        <v>0.84829853290314727</v>
      </c>
    </row>
    <row r="32" spans="1:15" x14ac:dyDescent="0.25">
      <c r="A32" s="12">
        <f t="shared" si="0"/>
        <v>10</v>
      </c>
      <c r="B32" s="12">
        <v>2020</v>
      </c>
      <c r="C32" s="12">
        <v>6311</v>
      </c>
      <c r="E32" s="12" t="s">
        <v>13</v>
      </c>
      <c r="F32" s="12" t="s">
        <v>14</v>
      </c>
      <c r="G32" s="14">
        <v>44105</v>
      </c>
      <c r="H32" s="12" t="s">
        <v>18</v>
      </c>
      <c r="I32" s="12" t="s">
        <v>19</v>
      </c>
      <c r="J32" s="12" t="s">
        <v>22</v>
      </c>
      <c r="K32" s="12">
        <v>230.03100000000001</v>
      </c>
      <c r="L32" s="12">
        <v>194.16800000000001</v>
      </c>
      <c r="O32" s="13">
        <f t="shared" si="1"/>
        <v>0.84409492633601557</v>
      </c>
    </row>
    <row r="33" spans="1:15" x14ac:dyDescent="0.25">
      <c r="A33" s="12">
        <f t="shared" si="0"/>
        <v>10</v>
      </c>
      <c r="B33" s="12">
        <v>2020</v>
      </c>
      <c r="C33" s="12">
        <v>6312</v>
      </c>
      <c r="E33" s="12" t="s">
        <v>13</v>
      </c>
      <c r="F33" s="12" t="s">
        <v>14</v>
      </c>
      <c r="G33" s="14">
        <v>44106</v>
      </c>
      <c r="H33" s="12" t="s">
        <v>17</v>
      </c>
      <c r="I33" s="12" t="s">
        <v>19</v>
      </c>
      <c r="J33" s="12" t="s">
        <v>25</v>
      </c>
      <c r="K33" s="12">
        <v>230.001</v>
      </c>
      <c r="L33" s="12">
        <v>194.17599999999999</v>
      </c>
      <c r="O33" s="13">
        <f t="shared" si="1"/>
        <v>0.8442398076530101</v>
      </c>
    </row>
    <row r="34" spans="1:15" x14ac:dyDescent="0.25">
      <c r="A34" s="12">
        <f t="shared" si="0"/>
        <v>10</v>
      </c>
      <c r="B34" s="12">
        <v>2020</v>
      </c>
      <c r="C34" s="12">
        <v>6313</v>
      </c>
      <c r="E34" s="12" t="s">
        <v>13</v>
      </c>
      <c r="F34" s="12" t="s">
        <v>14</v>
      </c>
      <c r="G34" s="14">
        <v>44107</v>
      </c>
      <c r="H34" s="12" t="s">
        <v>17</v>
      </c>
      <c r="I34" s="12" t="s">
        <v>19</v>
      </c>
      <c r="J34" s="12" t="s">
        <v>25</v>
      </c>
      <c r="K34" s="12">
        <v>230.001</v>
      </c>
      <c r="L34" s="12">
        <v>187.744</v>
      </c>
      <c r="O34" s="13">
        <f t="shared" si="1"/>
        <v>0.81627471184907885</v>
      </c>
    </row>
    <row r="35" spans="1:15" x14ac:dyDescent="0.25">
      <c r="A35" s="12">
        <f t="shared" si="0"/>
        <v>10</v>
      </c>
      <c r="B35" s="12">
        <v>2020</v>
      </c>
      <c r="C35" s="12">
        <v>6314</v>
      </c>
      <c r="E35" s="12" t="s">
        <v>13</v>
      </c>
      <c r="F35" s="12" t="s">
        <v>14</v>
      </c>
      <c r="G35" s="14">
        <v>44108</v>
      </c>
      <c r="H35" s="12" t="s">
        <v>17</v>
      </c>
      <c r="I35" s="12" t="s">
        <v>19</v>
      </c>
      <c r="J35" s="12" t="s">
        <v>22</v>
      </c>
      <c r="K35" s="12">
        <v>230.006</v>
      </c>
      <c r="L35" s="12">
        <v>199.83199999999999</v>
      </c>
      <c r="O35" s="13">
        <f t="shared" si="1"/>
        <v>0.86881211794474922</v>
      </c>
    </row>
    <row r="36" spans="1:15" x14ac:dyDescent="0.25">
      <c r="A36" s="12">
        <f t="shared" si="0"/>
        <v>10</v>
      </c>
      <c r="B36" s="12">
        <v>2020</v>
      </c>
      <c r="C36" s="12">
        <v>6315</v>
      </c>
      <c r="E36" s="12" t="s">
        <v>13</v>
      </c>
      <c r="F36" s="12" t="s">
        <v>14</v>
      </c>
      <c r="G36" s="14">
        <v>44109</v>
      </c>
      <c r="H36" s="12" t="s">
        <v>17</v>
      </c>
      <c r="I36" s="12" t="s">
        <v>19</v>
      </c>
      <c r="J36" s="12" t="s">
        <v>22</v>
      </c>
      <c r="K36" s="12">
        <v>230.006</v>
      </c>
      <c r="L36" s="12">
        <v>186.90299999999999</v>
      </c>
      <c r="O36" s="13">
        <f t="shared" si="1"/>
        <v>0.81260054085545586</v>
      </c>
    </row>
    <row r="37" spans="1:15" x14ac:dyDescent="0.25">
      <c r="A37" s="12">
        <f t="shared" si="0"/>
        <v>10</v>
      </c>
      <c r="B37" s="12">
        <v>2020</v>
      </c>
      <c r="C37" s="12">
        <v>6316</v>
      </c>
      <c r="E37" s="12" t="s">
        <v>13</v>
      </c>
      <c r="F37" s="12" t="s">
        <v>14</v>
      </c>
      <c r="G37" s="14">
        <v>44110</v>
      </c>
      <c r="H37" s="12" t="s">
        <v>17</v>
      </c>
      <c r="I37" s="12" t="s">
        <v>20</v>
      </c>
      <c r="J37" s="12" t="s">
        <v>29</v>
      </c>
      <c r="K37" s="12">
        <v>235.00399999999999</v>
      </c>
      <c r="L37" s="12">
        <v>199.809</v>
      </c>
      <c r="O37" s="13">
        <f t="shared" si="1"/>
        <v>0.85023659171758781</v>
      </c>
    </row>
    <row r="38" spans="1:15" x14ac:dyDescent="0.25">
      <c r="A38" s="12">
        <f t="shared" si="0"/>
        <v>10</v>
      </c>
      <c r="B38" s="12">
        <v>2020</v>
      </c>
      <c r="C38" s="12">
        <v>6317</v>
      </c>
      <c r="E38" s="12" t="s">
        <v>13</v>
      </c>
      <c r="F38" s="12" t="s">
        <v>14</v>
      </c>
      <c r="G38" s="14">
        <v>44111</v>
      </c>
      <c r="H38" s="12" t="s">
        <v>18</v>
      </c>
      <c r="I38" s="12" t="s">
        <v>20</v>
      </c>
      <c r="J38" s="12" t="s">
        <v>24</v>
      </c>
      <c r="K38" s="12">
        <v>235.00200000000001</v>
      </c>
      <c r="L38" s="12">
        <v>199.017</v>
      </c>
      <c r="O38" s="13">
        <f t="shared" si="1"/>
        <v>0.84687364362856477</v>
      </c>
    </row>
    <row r="39" spans="1:15" x14ac:dyDescent="0.25">
      <c r="A39" s="12">
        <f t="shared" si="0"/>
        <v>10</v>
      </c>
      <c r="B39" s="12">
        <v>2020</v>
      </c>
      <c r="C39" s="12">
        <v>6318</v>
      </c>
      <c r="E39" s="12" t="s">
        <v>13</v>
      </c>
      <c r="F39" s="12" t="s">
        <v>14</v>
      </c>
      <c r="G39" s="14">
        <v>44112</v>
      </c>
      <c r="H39" s="12" t="s">
        <v>18</v>
      </c>
      <c r="I39" s="12" t="s">
        <v>20</v>
      </c>
      <c r="J39" s="12" t="s">
        <v>24</v>
      </c>
      <c r="K39" s="12">
        <v>235.00299999999999</v>
      </c>
      <c r="L39" s="12">
        <v>208.32599999999999</v>
      </c>
      <c r="O39" s="13">
        <f t="shared" si="1"/>
        <v>0.88648230022595453</v>
      </c>
    </row>
    <row r="40" spans="1:15" x14ac:dyDescent="0.25">
      <c r="A40" s="12">
        <f t="shared" si="0"/>
        <v>10</v>
      </c>
      <c r="B40" s="12">
        <v>2020</v>
      </c>
      <c r="C40" s="12">
        <v>6319</v>
      </c>
      <c r="E40" s="12" t="s">
        <v>13</v>
      </c>
      <c r="F40" s="12" t="s">
        <v>14</v>
      </c>
      <c r="G40" s="14">
        <v>44113</v>
      </c>
      <c r="H40" s="12" t="s">
        <v>17</v>
      </c>
      <c r="I40" s="12" t="s">
        <v>19</v>
      </c>
      <c r="J40" s="12" t="s">
        <v>25</v>
      </c>
      <c r="K40" s="12">
        <v>230.01</v>
      </c>
      <c r="L40" s="12">
        <v>189.351</v>
      </c>
      <c r="O40" s="13">
        <f t="shared" si="1"/>
        <v>0.82322942480761707</v>
      </c>
    </row>
    <row r="41" spans="1:15" x14ac:dyDescent="0.25">
      <c r="A41" s="12">
        <f t="shared" si="0"/>
        <v>10</v>
      </c>
      <c r="B41" s="12">
        <v>2020</v>
      </c>
      <c r="C41" s="12">
        <v>6320</v>
      </c>
      <c r="E41" s="12" t="s">
        <v>13</v>
      </c>
      <c r="F41" s="12" t="s">
        <v>14</v>
      </c>
      <c r="G41" s="14">
        <v>44114</v>
      </c>
      <c r="H41" s="12" t="s">
        <v>17</v>
      </c>
      <c r="I41" s="12" t="s">
        <v>19</v>
      </c>
      <c r="J41" s="12" t="s">
        <v>25</v>
      </c>
      <c r="K41" s="12">
        <v>230.01</v>
      </c>
      <c r="L41" s="12">
        <v>199.15799999999999</v>
      </c>
      <c r="O41" s="13">
        <f t="shared" si="1"/>
        <v>0.86586670144776312</v>
      </c>
    </row>
    <row r="42" spans="1:15" x14ac:dyDescent="0.25">
      <c r="A42" s="12">
        <f t="shared" si="0"/>
        <v>10</v>
      </c>
      <c r="B42" s="12">
        <v>2020</v>
      </c>
      <c r="C42" s="12">
        <v>6321</v>
      </c>
      <c r="E42" s="12" t="s">
        <v>13</v>
      </c>
      <c r="F42" s="12" t="s">
        <v>14</v>
      </c>
      <c r="G42" s="14">
        <v>44115</v>
      </c>
      <c r="H42" s="12" t="s">
        <v>17</v>
      </c>
      <c r="I42" s="12" t="s">
        <v>19</v>
      </c>
      <c r="J42" s="12" t="s">
        <v>25</v>
      </c>
      <c r="K42" s="12">
        <v>229.99100000000001</v>
      </c>
      <c r="L42" s="12">
        <v>192.971</v>
      </c>
      <c r="O42" s="13">
        <f t="shared" si="1"/>
        <v>0.839037179715728</v>
      </c>
    </row>
    <row r="43" spans="1:15" x14ac:dyDescent="0.25">
      <c r="A43" s="12">
        <f t="shared" si="0"/>
        <v>10</v>
      </c>
      <c r="B43" s="12">
        <v>2020</v>
      </c>
      <c r="C43" s="12">
        <v>6322</v>
      </c>
      <c r="E43" s="12" t="s">
        <v>13</v>
      </c>
      <c r="F43" s="12" t="s">
        <v>14</v>
      </c>
      <c r="G43" s="14">
        <v>44116</v>
      </c>
      <c r="H43" s="12" t="s">
        <v>17</v>
      </c>
      <c r="I43" s="12" t="s">
        <v>19</v>
      </c>
      <c r="J43" s="12" t="s">
        <v>25</v>
      </c>
      <c r="K43" s="12">
        <v>230.00899999999999</v>
      </c>
      <c r="L43" s="12">
        <v>187.28299999999999</v>
      </c>
      <c r="O43" s="13">
        <f t="shared" si="1"/>
        <v>0.81424205139798878</v>
      </c>
    </row>
    <row r="44" spans="1:15" x14ac:dyDescent="0.25">
      <c r="A44" s="12">
        <f t="shared" si="0"/>
        <v>10</v>
      </c>
      <c r="B44" s="12">
        <v>2020</v>
      </c>
      <c r="C44" s="12">
        <v>6323</v>
      </c>
      <c r="E44" s="12" t="s">
        <v>13</v>
      </c>
      <c r="F44" s="12" t="s">
        <v>14</v>
      </c>
      <c r="G44" s="14">
        <v>44117</v>
      </c>
      <c r="H44" s="12" t="s">
        <v>17</v>
      </c>
      <c r="I44" s="12" t="s">
        <v>19</v>
      </c>
      <c r="J44" s="12" t="s">
        <v>25</v>
      </c>
      <c r="K44" s="12">
        <v>230.00899999999999</v>
      </c>
      <c r="L44" s="12">
        <v>204.29300000000001</v>
      </c>
      <c r="O44" s="13">
        <f t="shared" si="1"/>
        <v>0.88819567929950571</v>
      </c>
    </row>
    <row r="45" spans="1:15" x14ac:dyDescent="0.25">
      <c r="A45" s="12">
        <f t="shared" si="0"/>
        <v>10</v>
      </c>
      <c r="B45" s="12">
        <v>2020</v>
      </c>
      <c r="C45" s="12">
        <v>6324</v>
      </c>
      <c r="E45" s="12" t="s">
        <v>13</v>
      </c>
      <c r="F45" s="12" t="s">
        <v>14</v>
      </c>
      <c r="G45" s="14">
        <v>44118</v>
      </c>
      <c r="H45" s="12" t="s">
        <v>18</v>
      </c>
      <c r="I45" s="12" t="s">
        <v>19</v>
      </c>
      <c r="J45" s="12" t="s">
        <v>22</v>
      </c>
      <c r="K45" s="12">
        <v>230.00899999999999</v>
      </c>
      <c r="L45" s="12">
        <v>195.77099999999999</v>
      </c>
      <c r="O45" s="13">
        <f t="shared" si="1"/>
        <v>0.8511449551974053</v>
      </c>
    </row>
    <row r="46" spans="1:15" x14ac:dyDescent="0.25">
      <c r="A46" s="12">
        <f t="shared" si="0"/>
        <v>10</v>
      </c>
      <c r="B46" s="12">
        <v>2020</v>
      </c>
      <c r="C46" s="12">
        <v>6325</v>
      </c>
      <c r="E46" s="12" t="s">
        <v>13</v>
      </c>
      <c r="F46" s="12" t="s">
        <v>14</v>
      </c>
      <c r="G46" s="14">
        <v>44119</v>
      </c>
      <c r="H46" s="12" t="s">
        <v>18</v>
      </c>
      <c r="I46" s="12" t="s">
        <v>19</v>
      </c>
      <c r="J46" s="12" t="s">
        <v>22</v>
      </c>
      <c r="K46" s="12">
        <v>230.01</v>
      </c>
      <c r="L46" s="12">
        <v>194.88</v>
      </c>
      <c r="O46" s="13">
        <f t="shared" si="1"/>
        <v>0.84726751010825618</v>
      </c>
    </row>
    <row r="47" spans="1:15" x14ac:dyDescent="0.25">
      <c r="A47" s="12">
        <f t="shared" si="0"/>
        <v>10</v>
      </c>
      <c r="B47" s="12">
        <v>2020</v>
      </c>
      <c r="C47" s="12">
        <v>6326</v>
      </c>
      <c r="E47" s="12" t="s">
        <v>13</v>
      </c>
      <c r="F47" s="12" t="s">
        <v>14</v>
      </c>
      <c r="G47" s="14">
        <v>44120</v>
      </c>
      <c r="H47" s="12" t="s">
        <v>18</v>
      </c>
      <c r="I47" s="12" t="s">
        <v>20</v>
      </c>
      <c r="J47" s="12" t="s">
        <v>29</v>
      </c>
      <c r="K47" s="12">
        <v>234.999</v>
      </c>
      <c r="L47" s="12">
        <v>201.489</v>
      </c>
      <c r="O47" s="13">
        <f t="shared" si="1"/>
        <v>0.85740364852616402</v>
      </c>
    </row>
    <row r="48" spans="1:15" x14ac:dyDescent="0.25">
      <c r="A48" s="12">
        <f t="shared" si="0"/>
        <v>10</v>
      </c>
      <c r="B48" s="12">
        <v>2020</v>
      </c>
      <c r="C48" s="12">
        <v>6327</v>
      </c>
      <c r="E48" s="12" t="s">
        <v>13</v>
      </c>
      <c r="F48" s="12" t="s">
        <v>14</v>
      </c>
      <c r="G48" s="14">
        <v>44121</v>
      </c>
      <c r="H48" s="12" t="s">
        <v>18</v>
      </c>
      <c r="I48" s="12" t="s">
        <v>20</v>
      </c>
      <c r="J48" s="12" t="s">
        <v>29</v>
      </c>
      <c r="K48" s="12">
        <v>235</v>
      </c>
      <c r="L48" s="12">
        <v>201.56</v>
      </c>
      <c r="O48" s="13">
        <f t="shared" si="1"/>
        <v>0.85770212765957443</v>
      </c>
    </row>
    <row r="49" spans="1:15" x14ac:dyDescent="0.25">
      <c r="A49" s="12">
        <f t="shared" si="0"/>
        <v>10</v>
      </c>
      <c r="B49" s="12">
        <v>2020</v>
      </c>
      <c r="C49" s="12">
        <v>6328</v>
      </c>
      <c r="E49" s="12" t="s">
        <v>13</v>
      </c>
      <c r="F49" s="12" t="s">
        <v>14</v>
      </c>
      <c r="G49" s="14">
        <v>44122</v>
      </c>
      <c r="H49" s="12" t="s">
        <v>17</v>
      </c>
      <c r="I49" s="12" t="s">
        <v>20</v>
      </c>
      <c r="J49" s="12" t="s">
        <v>24</v>
      </c>
      <c r="K49" s="12">
        <v>235.00700000000001</v>
      </c>
      <c r="L49" s="12">
        <v>202.59100000000001</v>
      </c>
      <c r="O49" s="13">
        <f t="shared" si="1"/>
        <v>0.86206368320943638</v>
      </c>
    </row>
    <row r="50" spans="1:15" x14ac:dyDescent="0.25">
      <c r="A50" s="12">
        <f t="shared" si="0"/>
        <v>10</v>
      </c>
      <c r="B50" s="12">
        <v>2020</v>
      </c>
      <c r="C50" s="12">
        <v>6329</v>
      </c>
      <c r="E50" s="12" t="s">
        <v>13</v>
      </c>
      <c r="F50" s="12" t="s">
        <v>14</v>
      </c>
      <c r="G50" s="14">
        <v>44123</v>
      </c>
      <c r="H50" s="12" t="s">
        <v>17</v>
      </c>
      <c r="I50" s="12" t="s">
        <v>20</v>
      </c>
      <c r="J50" s="12" t="s">
        <v>24</v>
      </c>
      <c r="K50" s="12">
        <v>235.00800000000001</v>
      </c>
      <c r="L50" s="12">
        <v>207.125</v>
      </c>
      <c r="O50" s="13">
        <f t="shared" si="1"/>
        <v>0.88135297521786493</v>
      </c>
    </row>
    <row r="51" spans="1:15" x14ac:dyDescent="0.25">
      <c r="A51" s="12">
        <f t="shared" si="0"/>
        <v>10</v>
      </c>
      <c r="B51" s="12">
        <v>2020</v>
      </c>
      <c r="C51" s="12">
        <v>6330</v>
      </c>
      <c r="E51" s="12" t="s">
        <v>13</v>
      </c>
      <c r="F51" s="12" t="s">
        <v>14</v>
      </c>
      <c r="G51" s="14">
        <v>44124</v>
      </c>
      <c r="H51" s="12" t="s">
        <v>17</v>
      </c>
      <c r="I51" s="12" t="s">
        <v>19</v>
      </c>
      <c r="J51" s="12" t="s">
        <v>22</v>
      </c>
      <c r="K51" s="12">
        <v>229.98099999999999</v>
      </c>
      <c r="L51" s="12">
        <v>192.39099999999999</v>
      </c>
      <c r="O51" s="13">
        <f t="shared" si="1"/>
        <v>0.83655171514168558</v>
      </c>
    </row>
    <row r="52" spans="1:15" x14ac:dyDescent="0.25">
      <c r="A52" s="12">
        <f t="shared" si="0"/>
        <v>10</v>
      </c>
      <c r="B52" s="12">
        <v>2020</v>
      </c>
      <c r="C52" s="12">
        <v>6331</v>
      </c>
      <c r="E52" s="12" t="s">
        <v>13</v>
      </c>
      <c r="F52" s="12" t="s">
        <v>14</v>
      </c>
      <c r="G52" s="14">
        <v>44125</v>
      </c>
      <c r="H52" s="12" t="s">
        <v>17</v>
      </c>
      <c r="I52" s="12" t="s">
        <v>19</v>
      </c>
      <c r="J52" s="12" t="s">
        <v>22</v>
      </c>
      <c r="K52" s="12">
        <v>230.005</v>
      </c>
      <c r="L52" s="12">
        <v>203.28</v>
      </c>
      <c r="O52" s="13">
        <f t="shared" si="1"/>
        <v>0.88380687376361389</v>
      </c>
    </row>
    <row r="53" spans="1:15" x14ac:dyDescent="0.25">
      <c r="A53" s="12">
        <f t="shared" si="0"/>
        <v>10</v>
      </c>
      <c r="B53" s="12">
        <v>2020</v>
      </c>
      <c r="C53" s="12">
        <v>6332</v>
      </c>
      <c r="E53" s="12" t="s">
        <v>13</v>
      </c>
      <c r="F53" s="12" t="s">
        <v>14</v>
      </c>
      <c r="G53" s="14">
        <v>44126</v>
      </c>
      <c r="H53" s="12" t="s">
        <v>17</v>
      </c>
      <c r="I53" s="12" t="s">
        <v>19</v>
      </c>
      <c r="J53" s="12" t="s">
        <v>22</v>
      </c>
      <c r="K53" s="12">
        <v>230.006</v>
      </c>
      <c r="L53" s="12">
        <v>192.63900000000001</v>
      </c>
      <c r="O53" s="13">
        <f t="shared" si="1"/>
        <v>0.83753902072119857</v>
      </c>
    </row>
    <row r="54" spans="1:15" x14ac:dyDescent="0.25">
      <c r="A54" s="12">
        <f t="shared" si="0"/>
        <v>10</v>
      </c>
      <c r="B54" s="12">
        <v>2020</v>
      </c>
      <c r="C54" s="12">
        <v>6333</v>
      </c>
      <c r="E54" s="12" t="s">
        <v>13</v>
      </c>
      <c r="F54" s="12" t="s">
        <v>14</v>
      </c>
      <c r="G54" s="14">
        <v>44127</v>
      </c>
      <c r="H54" s="12" t="s">
        <v>17</v>
      </c>
      <c r="I54" s="12" t="s">
        <v>19</v>
      </c>
      <c r="J54" s="12" t="s">
        <v>22</v>
      </c>
      <c r="K54" s="12">
        <v>229.99700000000001</v>
      </c>
      <c r="L54" s="12">
        <v>193.95400000000001</v>
      </c>
      <c r="O54" s="13">
        <f t="shared" si="1"/>
        <v>0.84328926029469953</v>
      </c>
    </row>
    <row r="55" spans="1:15" x14ac:dyDescent="0.25">
      <c r="A55" s="12">
        <f t="shared" si="0"/>
        <v>10</v>
      </c>
      <c r="B55" s="12">
        <v>2020</v>
      </c>
      <c r="C55" s="12">
        <v>6334</v>
      </c>
      <c r="E55" s="12" t="s">
        <v>13</v>
      </c>
      <c r="F55" s="12" t="s">
        <v>14</v>
      </c>
      <c r="G55" s="14">
        <v>44128</v>
      </c>
      <c r="H55" s="12" t="s">
        <v>17</v>
      </c>
      <c r="I55" s="12" t="s">
        <v>19</v>
      </c>
      <c r="J55" s="12" t="s">
        <v>22</v>
      </c>
      <c r="K55" s="12">
        <v>229.99799999999999</v>
      </c>
      <c r="L55" s="12">
        <v>197.22</v>
      </c>
      <c r="O55" s="13">
        <f t="shared" si="1"/>
        <v>0.85748571726710665</v>
      </c>
    </row>
    <row r="56" spans="1:15" x14ac:dyDescent="0.25">
      <c r="A56" s="12">
        <f t="shared" si="0"/>
        <v>10</v>
      </c>
      <c r="B56" s="12">
        <v>2020</v>
      </c>
      <c r="C56" s="12">
        <v>6335</v>
      </c>
      <c r="E56" s="12" t="s">
        <v>13</v>
      </c>
      <c r="F56" s="12" t="s">
        <v>14</v>
      </c>
      <c r="G56" s="14">
        <v>44129</v>
      </c>
      <c r="H56" s="12" t="s">
        <v>17</v>
      </c>
      <c r="I56" s="12" t="s">
        <v>20</v>
      </c>
      <c r="J56" s="12" t="s">
        <v>29</v>
      </c>
      <c r="K56" s="12">
        <v>234.994</v>
      </c>
      <c r="L56" s="12">
        <v>198.47200000000001</v>
      </c>
      <c r="O56" s="13">
        <f t="shared" si="1"/>
        <v>0.84458326595572653</v>
      </c>
    </row>
    <row r="57" spans="1:15" x14ac:dyDescent="0.25">
      <c r="A57" s="12">
        <f t="shared" si="0"/>
        <v>10</v>
      </c>
      <c r="B57" s="12">
        <v>2020</v>
      </c>
      <c r="C57" s="12">
        <v>6336</v>
      </c>
      <c r="E57" s="12" t="s">
        <v>13</v>
      </c>
      <c r="F57" s="12" t="s">
        <v>14</v>
      </c>
      <c r="G57" s="14">
        <v>44130</v>
      </c>
      <c r="H57" s="12" t="s">
        <v>17</v>
      </c>
      <c r="I57" s="12" t="s">
        <v>20</v>
      </c>
      <c r="J57" s="12" t="s">
        <v>29</v>
      </c>
      <c r="K57" s="12">
        <v>234.99299999999999</v>
      </c>
      <c r="L57" s="12">
        <v>191.65</v>
      </c>
      <c r="O57" s="13">
        <f t="shared" si="1"/>
        <v>0.81555620805726137</v>
      </c>
    </row>
    <row r="58" spans="1:15" x14ac:dyDescent="0.25">
      <c r="A58" s="12">
        <f t="shared" si="0"/>
        <v>10</v>
      </c>
      <c r="B58" s="12">
        <v>2020</v>
      </c>
      <c r="C58" s="12">
        <v>6337</v>
      </c>
      <c r="E58" s="12" t="s">
        <v>13</v>
      </c>
      <c r="F58" s="12" t="s">
        <v>14</v>
      </c>
      <c r="G58" s="14">
        <v>44131</v>
      </c>
      <c r="H58" s="12" t="s">
        <v>18</v>
      </c>
      <c r="I58" s="12" t="s">
        <v>19</v>
      </c>
      <c r="J58" s="12" t="s">
        <v>22</v>
      </c>
      <c r="K58" s="12">
        <v>229.99199999999999</v>
      </c>
      <c r="L58" s="12">
        <v>189.5</v>
      </c>
      <c r="O58" s="13">
        <f t="shared" si="1"/>
        <v>0.82394170232008068</v>
      </c>
    </row>
    <row r="59" spans="1:15" x14ac:dyDescent="0.25">
      <c r="A59" s="12">
        <f t="shared" si="0"/>
        <v>10</v>
      </c>
      <c r="B59" s="12">
        <v>2020</v>
      </c>
      <c r="C59" s="12">
        <v>6338</v>
      </c>
      <c r="E59" s="12" t="s">
        <v>13</v>
      </c>
      <c r="F59" s="12" t="s">
        <v>14</v>
      </c>
      <c r="G59" s="14">
        <v>44132</v>
      </c>
      <c r="H59" s="12" t="s">
        <v>18</v>
      </c>
      <c r="I59" s="12" t="s">
        <v>19</v>
      </c>
      <c r="J59" s="12" t="s">
        <v>22</v>
      </c>
      <c r="K59" s="12">
        <v>230.00299999999999</v>
      </c>
      <c r="L59" s="12">
        <v>197.67699999999999</v>
      </c>
      <c r="O59" s="13">
        <f t="shared" si="1"/>
        <v>0.85945400712164621</v>
      </c>
    </row>
    <row r="60" spans="1:15" x14ac:dyDescent="0.25">
      <c r="A60" s="12">
        <f t="shared" si="0"/>
        <v>10</v>
      </c>
      <c r="B60" s="12">
        <v>2020</v>
      </c>
      <c r="C60" s="12">
        <v>6339</v>
      </c>
      <c r="E60" s="12" t="s">
        <v>13</v>
      </c>
      <c r="F60" s="12" t="s">
        <v>14</v>
      </c>
      <c r="G60" s="14">
        <v>44133</v>
      </c>
      <c r="H60" s="12" t="s">
        <v>18</v>
      </c>
      <c r="I60" s="12" t="s">
        <v>19</v>
      </c>
      <c r="J60" s="12" t="s">
        <v>22</v>
      </c>
      <c r="K60" s="12">
        <v>230.00299999999999</v>
      </c>
      <c r="L60" s="12">
        <v>197.977</v>
      </c>
      <c r="O60" s="13">
        <f t="shared" si="1"/>
        <v>0.86075833793472267</v>
      </c>
    </row>
    <row r="61" spans="1:15" x14ac:dyDescent="0.25">
      <c r="A61" s="12">
        <f t="shared" si="0"/>
        <v>10</v>
      </c>
      <c r="B61" s="12">
        <v>2020</v>
      </c>
      <c r="C61" s="12">
        <v>6340</v>
      </c>
      <c r="E61" s="12" t="s">
        <v>13</v>
      </c>
      <c r="F61" s="12" t="s">
        <v>14</v>
      </c>
      <c r="G61" s="14">
        <v>44134</v>
      </c>
      <c r="H61" s="12" t="s">
        <v>18</v>
      </c>
      <c r="I61" s="12" t="s">
        <v>19</v>
      </c>
      <c r="J61" s="12" t="s">
        <v>22</v>
      </c>
      <c r="K61" s="12">
        <v>230.00399999999999</v>
      </c>
      <c r="L61" s="12">
        <v>195</v>
      </c>
      <c r="O61" s="13">
        <f t="shared" si="1"/>
        <v>0.84781134241143641</v>
      </c>
    </row>
    <row r="62" spans="1:15" x14ac:dyDescent="0.25">
      <c r="A62" s="12">
        <f t="shared" si="0"/>
        <v>10</v>
      </c>
      <c r="B62" s="12">
        <v>2020</v>
      </c>
      <c r="C62" s="12">
        <v>6341</v>
      </c>
      <c r="E62" s="12" t="s">
        <v>13</v>
      </c>
      <c r="F62" s="12" t="s">
        <v>14</v>
      </c>
      <c r="G62" s="14">
        <v>44135</v>
      </c>
      <c r="H62" s="12" t="s">
        <v>18</v>
      </c>
      <c r="I62" s="12" t="s">
        <v>20</v>
      </c>
      <c r="J62" s="12" t="s">
        <v>24</v>
      </c>
      <c r="K62" s="12">
        <v>235.00700000000001</v>
      </c>
      <c r="L62" s="12">
        <v>205</v>
      </c>
      <c r="O62" s="13">
        <f t="shared" si="1"/>
        <v>0.87231444169748129</v>
      </c>
    </row>
    <row r="63" spans="1:15" x14ac:dyDescent="0.25">
      <c r="A63" s="12">
        <f t="shared" si="0"/>
        <v>11</v>
      </c>
      <c r="B63" s="12">
        <v>2020</v>
      </c>
      <c r="C63" s="12">
        <v>6342</v>
      </c>
      <c r="E63" s="12" t="s">
        <v>13</v>
      </c>
      <c r="F63" s="12" t="s">
        <v>14</v>
      </c>
      <c r="G63" s="14">
        <v>44136</v>
      </c>
      <c r="H63" s="12" t="s">
        <v>18</v>
      </c>
      <c r="I63" s="12" t="s">
        <v>20</v>
      </c>
      <c r="J63" s="12" t="s">
        <v>24</v>
      </c>
      <c r="K63" s="12">
        <v>235.00700000000001</v>
      </c>
      <c r="L63" s="12">
        <v>198.54</v>
      </c>
      <c r="O63" s="13">
        <f t="shared" si="1"/>
        <v>0.84482589880301429</v>
      </c>
    </row>
    <row r="64" spans="1:15" x14ac:dyDescent="0.25">
      <c r="A64" s="12">
        <f t="shared" si="0"/>
        <v>11</v>
      </c>
      <c r="B64" s="12">
        <v>2020</v>
      </c>
      <c r="C64" s="12">
        <v>6343</v>
      </c>
      <c r="E64" s="12" t="s">
        <v>13</v>
      </c>
      <c r="F64" s="12" t="s">
        <v>14</v>
      </c>
      <c r="G64" s="14">
        <v>44137</v>
      </c>
      <c r="H64" s="12" t="s">
        <v>18</v>
      </c>
      <c r="I64" s="12" t="s">
        <v>20</v>
      </c>
      <c r="J64" s="12" t="s">
        <v>29</v>
      </c>
      <c r="K64" s="12">
        <v>235.00200000000001</v>
      </c>
      <c r="L64" s="12">
        <v>195.04599999999999</v>
      </c>
      <c r="O64" s="13">
        <f t="shared" si="1"/>
        <v>0.82997591509859481</v>
      </c>
    </row>
    <row r="65" spans="1:15" x14ac:dyDescent="0.25">
      <c r="A65" s="12">
        <f t="shared" si="0"/>
        <v>11</v>
      </c>
      <c r="B65" s="12">
        <v>2020</v>
      </c>
      <c r="C65" s="12">
        <v>6344</v>
      </c>
      <c r="E65" s="12" t="s">
        <v>13</v>
      </c>
      <c r="F65" s="12" t="s">
        <v>14</v>
      </c>
      <c r="G65" s="14">
        <v>44138</v>
      </c>
      <c r="H65" s="12" t="s">
        <v>18</v>
      </c>
      <c r="I65" s="12" t="s">
        <v>20</v>
      </c>
      <c r="J65" s="12" t="s">
        <v>29</v>
      </c>
      <c r="K65" s="12">
        <v>235.00200000000001</v>
      </c>
      <c r="L65" s="12">
        <v>204.898</v>
      </c>
      <c r="O65" s="13">
        <f t="shared" si="1"/>
        <v>0.87189896256202071</v>
      </c>
    </row>
    <row r="66" spans="1:15" x14ac:dyDescent="0.25">
      <c r="A66" s="12">
        <f t="shared" ref="A66:A129" si="2">MONTH(G66)</f>
        <v>11</v>
      </c>
      <c r="B66" s="12">
        <v>2020</v>
      </c>
      <c r="C66" s="12">
        <v>6345</v>
      </c>
      <c r="E66" s="12" t="s">
        <v>13</v>
      </c>
      <c r="F66" s="12" t="s">
        <v>14</v>
      </c>
      <c r="G66" s="14">
        <v>44139</v>
      </c>
      <c r="H66" s="12" t="s">
        <v>17</v>
      </c>
      <c r="I66" s="12" t="s">
        <v>19</v>
      </c>
      <c r="J66" s="12" t="s">
        <v>25</v>
      </c>
      <c r="K66" s="12">
        <v>230.001</v>
      </c>
      <c r="L66" s="12">
        <v>191.89599999999999</v>
      </c>
      <c r="O66" s="13">
        <f t="shared" ref="O66:O129" si="3">L66/K66</f>
        <v>0.83432680727475095</v>
      </c>
    </row>
    <row r="67" spans="1:15" x14ac:dyDescent="0.25">
      <c r="A67" s="12">
        <f t="shared" si="2"/>
        <v>11</v>
      </c>
      <c r="B67" s="12">
        <v>2020</v>
      </c>
      <c r="C67" s="12">
        <v>6346</v>
      </c>
      <c r="E67" s="12" t="s">
        <v>13</v>
      </c>
      <c r="F67" s="12" t="s">
        <v>14</v>
      </c>
      <c r="G67" s="14">
        <v>44140</v>
      </c>
      <c r="H67" s="12" t="s">
        <v>17</v>
      </c>
      <c r="I67" s="12" t="s">
        <v>19</v>
      </c>
      <c r="J67" s="12" t="s">
        <v>25</v>
      </c>
      <c r="K67" s="12">
        <v>230</v>
      </c>
      <c r="L67" s="12">
        <v>196.505</v>
      </c>
      <c r="O67" s="13">
        <f t="shared" si="3"/>
        <v>0.85436956521739127</v>
      </c>
    </row>
    <row r="68" spans="1:15" x14ac:dyDescent="0.25">
      <c r="A68" s="12">
        <f t="shared" si="2"/>
        <v>11</v>
      </c>
      <c r="B68" s="12">
        <v>2020</v>
      </c>
      <c r="C68" s="12">
        <v>6347</v>
      </c>
      <c r="E68" s="12" t="s">
        <v>13</v>
      </c>
      <c r="F68" s="12" t="s">
        <v>14</v>
      </c>
      <c r="G68" s="14">
        <v>44141</v>
      </c>
      <c r="H68" s="12" t="s">
        <v>17</v>
      </c>
      <c r="I68" s="12" t="s">
        <v>19</v>
      </c>
      <c r="J68" s="12" t="s">
        <v>25</v>
      </c>
      <c r="K68" s="12">
        <v>230</v>
      </c>
      <c r="L68" s="12">
        <v>189.619</v>
      </c>
      <c r="O68" s="13">
        <f t="shared" si="3"/>
        <v>0.82443043478260869</v>
      </c>
    </row>
    <row r="69" spans="1:15" x14ac:dyDescent="0.25">
      <c r="A69" s="12">
        <f t="shared" si="2"/>
        <v>11</v>
      </c>
      <c r="B69" s="12">
        <v>2020</v>
      </c>
      <c r="C69" s="12">
        <v>6348</v>
      </c>
      <c r="E69" s="12" t="s">
        <v>13</v>
      </c>
      <c r="F69" s="12" t="s">
        <v>14</v>
      </c>
      <c r="G69" s="14">
        <v>44142</v>
      </c>
      <c r="H69" s="12" t="s">
        <v>17</v>
      </c>
      <c r="I69" s="12" t="s">
        <v>19</v>
      </c>
      <c r="J69" s="12" t="s">
        <v>25</v>
      </c>
      <c r="K69" s="12">
        <v>230.00800000000001</v>
      </c>
      <c r="L69" s="12">
        <v>199.18600000000001</v>
      </c>
      <c r="O69" s="13">
        <f t="shared" si="3"/>
        <v>0.86599596535772672</v>
      </c>
    </row>
    <row r="70" spans="1:15" x14ac:dyDescent="0.25">
      <c r="A70" s="12">
        <f t="shared" si="2"/>
        <v>11</v>
      </c>
      <c r="B70" s="12">
        <v>2020</v>
      </c>
      <c r="C70" s="12">
        <v>6349</v>
      </c>
      <c r="E70" s="12" t="s">
        <v>13</v>
      </c>
      <c r="F70" s="12" t="s">
        <v>14</v>
      </c>
      <c r="G70" s="14">
        <v>44143</v>
      </c>
      <c r="H70" s="12" t="s">
        <v>17</v>
      </c>
      <c r="I70" s="12" t="s">
        <v>19</v>
      </c>
      <c r="J70" s="12" t="s">
        <v>25</v>
      </c>
      <c r="K70" s="12">
        <v>230.00800000000001</v>
      </c>
      <c r="L70" s="12">
        <v>196.00899999999999</v>
      </c>
      <c r="O70" s="13">
        <f t="shared" si="3"/>
        <v>0.85218340231644107</v>
      </c>
    </row>
    <row r="71" spans="1:15" x14ac:dyDescent="0.25">
      <c r="A71" s="12">
        <f t="shared" si="2"/>
        <v>11</v>
      </c>
      <c r="B71" s="12">
        <v>2020</v>
      </c>
      <c r="C71" s="12">
        <v>6350</v>
      </c>
      <c r="E71" s="12" t="s">
        <v>13</v>
      </c>
      <c r="F71" s="12" t="s">
        <v>14</v>
      </c>
      <c r="G71" s="14">
        <v>44144</v>
      </c>
      <c r="H71" s="12" t="s">
        <v>18</v>
      </c>
      <c r="I71" s="12" t="s">
        <v>20</v>
      </c>
      <c r="J71" s="12" t="s">
        <v>29</v>
      </c>
      <c r="K71" s="12">
        <v>235</v>
      </c>
      <c r="L71" s="12">
        <v>205.67599999999999</v>
      </c>
      <c r="O71" s="13">
        <f t="shared" si="3"/>
        <v>0.87521702127659573</v>
      </c>
    </row>
    <row r="72" spans="1:15" x14ac:dyDescent="0.25">
      <c r="A72" s="12">
        <f t="shared" si="2"/>
        <v>11</v>
      </c>
      <c r="B72" s="12">
        <v>2020</v>
      </c>
      <c r="C72" s="12">
        <v>6351</v>
      </c>
      <c r="E72" s="12" t="s">
        <v>13</v>
      </c>
      <c r="F72" s="12" t="s">
        <v>14</v>
      </c>
      <c r="G72" s="14">
        <v>44145</v>
      </c>
      <c r="H72" s="12" t="s">
        <v>18</v>
      </c>
      <c r="I72" s="12" t="s">
        <v>20</v>
      </c>
      <c r="J72" s="12" t="s">
        <v>29</v>
      </c>
      <c r="K72" s="12">
        <v>235.001</v>
      </c>
      <c r="L72" s="12">
        <v>198.02699999999999</v>
      </c>
      <c r="O72" s="13">
        <f t="shared" si="3"/>
        <v>0.84266449930000287</v>
      </c>
    </row>
    <row r="73" spans="1:15" x14ac:dyDescent="0.25">
      <c r="A73" s="12">
        <f t="shared" si="2"/>
        <v>11</v>
      </c>
      <c r="B73" s="12">
        <v>2020</v>
      </c>
      <c r="C73" s="12">
        <v>6352</v>
      </c>
      <c r="E73" s="12" t="s">
        <v>13</v>
      </c>
      <c r="F73" s="12" t="s">
        <v>14</v>
      </c>
      <c r="G73" s="14">
        <v>44146</v>
      </c>
      <c r="H73" s="12" t="s">
        <v>18</v>
      </c>
      <c r="I73" s="12" t="s">
        <v>20</v>
      </c>
      <c r="J73" s="12" t="s">
        <v>24</v>
      </c>
      <c r="K73" s="12">
        <v>234.92</v>
      </c>
      <c r="L73" s="12">
        <v>205.78399999999999</v>
      </c>
      <c r="O73" s="13">
        <f t="shared" si="3"/>
        <v>0.87597479993189176</v>
      </c>
    </row>
    <row r="74" spans="1:15" x14ac:dyDescent="0.25">
      <c r="A74" s="12">
        <f t="shared" si="2"/>
        <v>11</v>
      </c>
      <c r="B74" s="12">
        <v>2020</v>
      </c>
      <c r="C74" s="12">
        <v>6353</v>
      </c>
      <c r="E74" s="12" t="s">
        <v>13</v>
      </c>
      <c r="F74" s="12" t="s">
        <v>14</v>
      </c>
      <c r="G74" s="14">
        <v>44147</v>
      </c>
      <c r="H74" s="12" t="s">
        <v>18</v>
      </c>
      <c r="I74" s="12" t="s">
        <v>20</v>
      </c>
      <c r="J74" s="12" t="s">
        <v>24</v>
      </c>
      <c r="K74" s="12">
        <v>234.92099999999999</v>
      </c>
      <c r="L74" s="12">
        <v>203.785</v>
      </c>
      <c r="O74" s="13">
        <f t="shared" si="3"/>
        <v>0.86746182759310575</v>
      </c>
    </row>
    <row r="75" spans="1:15" x14ac:dyDescent="0.25">
      <c r="A75" s="12">
        <f t="shared" si="2"/>
        <v>11</v>
      </c>
      <c r="B75" s="12">
        <v>2020</v>
      </c>
      <c r="C75" s="12">
        <v>6354</v>
      </c>
      <c r="E75" s="12" t="s">
        <v>13</v>
      </c>
      <c r="F75" s="12" t="s">
        <v>14</v>
      </c>
      <c r="G75" s="14">
        <v>44148</v>
      </c>
      <c r="H75" s="12" t="s">
        <v>17</v>
      </c>
      <c r="I75" s="12" t="s">
        <v>19</v>
      </c>
      <c r="J75" s="12" t="s">
        <v>22</v>
      </c>
      <c r="K75" s="12">
        <v>230.029</v>
      </c>
      <c r="L75" s="12">
        <v>195.61699999999999</v>
      </c>
      <c r="O75" s="13">
        <f t="shared" si="3"/>
        <v>0.85040147111885889</v>
      </c>
    </row>
    <row r="76" spans="1:15" x14ac:dyDescent="0.25">
      <c r="A76" s="12">
        <f t="shared" si="2"/>
        <v>11</v>
      </c>
      <c r="B76" s="12">
        <v>2020</v>
      </c>
      <c r="C76" s="12">
        <v>6355</v>
      </c>
      <c r="E76" s="12" t="s">
        <v>13</v>
      </c>
      <c r="F76" s="12" t="s">
        <v>14</v>
      </c>
      <c r="G76" s="14">
        <v>44149</v>
      </c>
      <c r="H76" s="12" t="s">
        <v>17</v>
      </c>
      <c r="I76" s="12" t="s">
        <v>19</v>
      </c>
      <c r="J76" s="12" t="s">
        <v>22</v>
      </c>
      <c r="K76" s="12">
        <v>230.001</v>
      </c>
      <c r="L76" s="12">
        <v>200.059</v>
      </c>
      <c r="O76" s="13">
        <f t="shared" si="3"/>
        <v>0.86981795731322908</v>
      </c>
    </row>
    <row r="77" spans="1:15" x14ac:dyDescent="0.25">
      <c r="A77" s="12">
        <f t="shared" si="2"/>
        <v>11</v>
      </c>
      <c r="B77" s="12">
        <v>2020</v>
      </c>
      <c r="C77" s="12">
        <v>6356</v>
      </c>
      <c r="E77" s="12" t="s">
        <v>13</v>
      </c>
      <c r="F77" s="12" t="s">
        <v>14</v>
      </c>
      <c r="G77" s="14">
        <v>44150</v>
      </c>
      <c r="H77" s="12" t="s">
        <v>17</v>
      </c>
      <c r="I77" s="12" t="s">
        <v>19</v>
      </c>
      <c r="J77" s="12" t="s">
        <v>22</v>
      </c>
      <c r="K77" s="12">
        <v>230.00200000000001</v>
      </c>
      <c r="L77" s="12">
        <v>190.85400000000001</v>
      </c>
      <c r="O77" s="13">
        <f t="shared" si="3"/>
        <v>0.82979278441057036</v>
      </c>
    </row>
    <row r="78" spans="1:15" x14ac:dyDescent="0.25">
      <c r="A78" s="12">
        <f t="shared" si="2"/>
        <v>11</v>
      </c>
      <c r="B78" s="12">
        <v>2020</v>
      </c>
      <c r="C78" s="12">
        <v>6357</v>
      </c>
      <c r="E78" s="12" t="s">
        <v>13</v>
      </c>
      <c r="F78" s="12" t="s">
        <v>14</v>
      </c>
      <c r="G78" s="14">
        <v>44151</v>
      </c>
      <c r="H78" s="12" t="s">
        <v>17</v>
      </c>
      <c r="I78" s="12" t="s">
        <v>19</v>
      </c>
      <c r="J78" s="12" t="s">
        <v>22</v>
      </c>
      <c r="K78" s="12">
        <v>230.001</v>
      </c>
      <c r="L78" s="12">
        <v>197.751</v>
      </c>
      <c r="O78" s="13">
        <f t="shared" si="3"/>
        <v>0.85978321833383331</v>
      </c>
    </row>
    <row r="79" spans="1:15" x14ac:dyDescent="0.25">
      <c r="A79" s="12">
        <f t="shared" si="2"/>
        <v>11</v>
      </c>
      <c r="B79" s="12">
        <v>2020</v>
      </c>
      <c r="C79" s="12">
        <v>6358</v>
      </c>
      <c r="E79" s="12" t="s">
        <v>13</v>
      </c>
      <c r="F79" s="12" t="s">
        <v>14</v>
      </c>
      <c r="G79" s="14">
        <v>44152</v>
      </c>
      <c r="H79" s="12" t="s">
        <v>17</v>
      </c>
      <c r="I79" s="12" t="s">
        <v>19</v>
      </c>
      <c r="J79" s="12" t="s">
        <v>22</v>
      </c>
      <c r="K79" s="12">
        <v>230.001</v>
      </c>
      <c r="L79" s="12">
        <v>192.84399999999999</v>
      </c>
      <c r="O79" s="13">
        <f t="shared" si="3"/>
        <v>0.83844852848465867</v>
      </c>
    </row>
    <row r="80" spans="1:15" x14ac:dyDescent="0.25">
      <c r="A80" s="12">
        <f t="shared" si="2"/>
        <v>11</v>
      </c>
      <c r="B80" s="12">
        <v>2020</v>
      </c>
      <c r="C80" s="12">
        <v>6359</v>
      </c>
      <c r="E80" s="12" t="s">
        <v>13</v>
      </c>
      <c r="F80" s="12" t="s">
        <v>14</v>
      </c>
      <c r="G80" s="14">
        <v>44153</v>
      </c>
      <c r="H80" s="12" t="s">
        <v>18</v>
      </c>
      <c r="I80" s="12" t="s">
        <v>20</v>
      </c>
      <c r="J80" s="12" t="s">
        <v>29</v>
      </c>
      <c r="K80" s="12">
        <v>235.048</v>
      </c>
      <c r="L80" s="12">
        <v>202.42400000000001</v>
      </c>
      <c r="O80" s="13">
        <f t="shared" si="3"/>
        <v>0.86120281814778266</v>
      </c>
    </row>
    <row r="81" spans="1:15" x14ac:dyDescent="0.25">
      <c r="A81" s="12">
        <f t="shared" si="2"/>
        <v>11</v>
      </c>
      <c r="B81" s="12">
        <v>2020</v>
      </c>
      <c r="C81" s="12">
        <v>6360</v>
      </c>
      <c r="E81" s="12" t="s">
        <v>13</v>
      </c>
      <c r="F81" s="12" t="s">
        <v>14</v>
      </c>
      <c r="G81" s="14">
        <v>44154</v>
      </c>
      <c r="H81" s="12" t="s">
        <v>18</v>
      </c>
      <c r="I81" s="12" t="s">
        <v>20</v>
      </c>
      <c r="J81" s="12" t="s">
        <v>29</v>
      </c>
      <c r="K81" s="12">
        <v>235.048</v>
      </c>
      <c r="L81" s="12">
        <v>199.333</v>
      </c>
      <c r="O81" s="13">
        <f t="shared" si="3"/>
        <v>0.8480523127191042</v>
      </c>
    </row>
    <row r="82" spans="1:15" x14ac:dyDescent="0.25">
      <c r="A82" s="12">
        <f t="shared" si="2"/>
        <v>11</v>
      </c>
      <c r="B82" s="12">
        <v>2020</v>
      </c>
      <c r="C82" s="12">
        <v>6361</v>
      </c>
      <c r="E82" s="12" t="s">
        <v>13</v>
      </c>
      <c r="F82" s="12" t="s">
        <v>14</v>
      </c>
      <c r="G82" s="14">
        <v>44155</v>
      </c>
      <c r="H82" s="12" t="s">
        <v>18</v>
      </c>
      <c r="I82" s="12" t="s">
        <v>20</v>
      </c>
      <c r="J82" s="12" t="s">
        <v>29</v>
      </c>
      <c r="K82" s="12">
        <v>235.02799999999999</v>
      </c>
      <c r="L82" s="12">
        <v>201.67400000000001</v>
      </c>
      <c r="O82" s="13">
        <f t="shared" si="3"/>
        <v>0.85808499412835926</v>
      </c>
    </row>
    <row r="83" spans="1:15" x14ac:dyDescent="0.25">
      <c r="A83" s="12">
        <f t="shared" si="2"/>
        <v>11</v>
      </c>
      <c r="B83" s="12">
        <v>2020</v>
      </c>
      <c r="C83" s="12">
        <v>6362</v>
      </c>
      <c r="E83" s="12" t="s">
        <v>13</v>
      </c>
      <c r="F83" s="12" t="s">
        <v>14</v>
      </c>
      <c r="G83" s="14">
        <v>44156</v>
      </c>
      <c r="H83" s="12" t="s">
        <v>18</v>
      </c>
      <c r="I83" s="12" t="s">
        <v>20</v>
      </c>
      <c r="J83" s="12" t="s">
        <v>29</v>
      </c>
      <c r="K83" s="12">
        <v>235.02799999999999</v>
      </c>
      <c r="L83" s="12">
        <v>201.184</v>
      </c>
      <c r="O83" s="13">
        <f t="shared" si="3"/>
        <v>0.85600013615399018</v>
      </c>
    </row>
    <row r="84" spans="1:15" x14ac:dyDescent="0.25">
      <c r="A84" s="12">
        <f t="shared" si="2"/>
        <v>11</v>
      </c>
      <c r="B84" s="12">
        <v>2020</v>
      </c>
      <c r="C84" s="12">
        <v>6363</v>
      </c>
      <c r="E84" s="12" t="s">
        <v>13</v>
      </c>
      <c r="F84" s="12" t="s">
        <v>14</v>
      </c>
      <c r="G84" s="14">
        <v>44157</v>
      </c>
      <c r="H84" s="12" t="s">
        <v>17</v>
      </c>
      <c r="I84" s="12" t="s">
        <v>19</v>
      </c>
      <c r="J84" s="12" t="s">
        <v>22</v>
      </c>
      <c r="K84" s="12">
        <v>230.012</v>
      </c>
      <c r="L84" s="12">
        <v>195.96100000000001</v>
      </c>
      <c r="N84" s="12">
        <v>12.3</v>
      </c>
      <c r="O84" s="13">
        <f t="shared" si="3"/>
        <v>0.85195989774446557</v>
      </c>
    </row>
    <row r="85" spans="1:15" x14ac:dyDescent="0.25">
      <c r="A85" s="12">
        <f t="shared" si="2"/>
        <v>11</v>
      </c>
      <c r="B85" s="12">
        <v>2020</v>
      </c>
      <c r="C85" s="12">
        <v>6364</v>
      </c>
      <c r="E85" s="12" t="s">
        <v>13</v>
      </c>
      <c r="F85" s="12" t="s">
        <v>14</v>
      </c>
      <c r="G85" s="14">
        <v>44158</v>
      </c>
      <c r="H85" s="12" t="s">
        <v>17</v>
      </c>
      <c r="I85" s="12" t="s">
        <v>19</v>
      </c>
      <c r="J85" s="12" t="s">
        <v>22</v>
      </c>
      <c r="K85" s="12">
        <v>230.01</v>
      </c>
      <c r="L85" s="12">
        <v>193.29</v>
      </c>
      <c r="O85" s="13">
        <f t="shared" si="3"/>
        <v>0.84035476718403546</v>
      </c>
    </row>
    <row r="86" spans="1:15" x14ac:dyDescent="0.25">
      <c r="A86" s="12">
        <f t="shared" si="2"/>
        <v>11</v>
      </c>
      <c r="B86" s="12">
        <v>2020</v>
      </c>
      <c r="C86" s="12">
        <v>6365</v>
      </c>
      <c r="E86" s="12" t="s">
        <v>13</v>
      </c>
      <c r="F86" s="12" t="s">
        <v>14</v>
      </c>
      <c r="G86" s="14">
        <v>44159</v>
      </c>
      <c r="H86" s="12" t="s">
        <v>17</v>
      </c>
      <c r="I86" s="12" t="s">
        <v>19</v>
      </c>
      <c r="J86" s="12" t="s">
        <v>22</v>
      </c>
      <c r="K86" s="12">
        <v>230.01</v>
      </c>
      <c r="L86" s="12">
        <v>194.548</v>
      </c>
      <c r="O86" s="13">
        <f t="shared" si="3"/>
        <v>0.84582409460458241</v>
      </c>
    </row>
    <row r="87" spans="1:15" x14ac:dyDescent="0.25">
      <c r="A87" s="12">
        <f t="shared" si="2"/>
        <v>11</v>
      </c>
      <c r="B87" s="12">
        <v>2020</v>
      </c>
      <c r="C87" s="12">
        <v>6366</v>
      </c>
      <c r="E87" s="12" t="s">
        <v>13</v>
      </c>
      <c r="F87" s="12" t="s">
        <v>14</v>
      </c>
      <c r="G87" s="14">
        <v>44160</v>
      </c>
      <c r="H87" s="12" t="s">
        <v>17</v>
      </c>
      <c r="I87" s="12" t="s">
        <v>19</v>
      </c>
      <c r="J87" s="12" t="s">
        <v>22</v>
      </c>
      <c r="K87" s="12">
        <v>230.01</v>
      </c>
      <c r="L87" s="12">
        <v>200.31399999999999</v>
      </c>
      <c r="O87" s="13">
        <f t="shared" si="3"/>
        <v>0.87089256988826569</v>
      </c>
    </row>
    <row r="88" spans="1:15" x14ac:dyDescent="0.25">
      <c r="A88" s="12">
        <f t="shared" si="2"/>
        <v>11</v>
      </c>
      <c r="B88" s="12">
        <v>2020</v>
      </c>
      <c r="C88" s="12">
        <v>6367</v>
      </c>
      <c r="E88" s="12" t="s">
        <v>13</v>
      </c>
      <c r="F88" s="12" t="s">
        <v>14</v>
      </c>
      <c r="G88" s="14">
        <v>44161</v>
      </c>
      <c r="H88" s="12" t="s">
        <v>17</v>
      </c>
      <c r="I88" s="12" t="s">
        <v>19</v>
      </c>
      <c r="J88" s="12" t="s">
        <v>22</v>
      </c>
      <c r="K88" s="12">
        <v>230.00899999999999</v>
      </c>
      <c r="L88" s="12">
        <v>193.126</v>
      </c>
      <c r="O88" s="13">
        <f t="shared" si="3"/>
        <v>0.83964540517979736</v>
      </c>
    </row>
    <row r="89" spans="1:15" x14ac:dyDescent="0.25">
      <c r="A89" s="12">
        <f t="shared" si="2"/>
        <v>11</v>
      </c>
      <c r="B89" s="12">
        <v>2020</v>
      </c>
      <c r="C89" s="12">
        <v>6368</v>
      </c>
      <c r="E89" s="12" t="s">
        <v>13</v>
      </c>
      <c r="F89" s="12" t="s">
        <v>14</v>
      </c>
      <c r="G89" s="14">
        <v>44162</v>
      </c>
      <c r="H89" s="12" t="s">
        <v>18</v>
      </c>
      <c r="I89" s="12" t="s">
        <v>20</v>
      </c>
      <c r="J89" s="12" t="s">
        <v>30</v>
      </c>
      <c r="K89" s="12">
        <v>231.00700000000001</v>
      </c>
      <c r="L89" s="12">
        <v>194.726</v>
      </c>
      <c r="N89" s="12">
        <v>11.1</v>
      </c>
      <c r="O89" s="13">
        <f t="shared" si="3"/>
        <v>0.84294415320747851</v>
      </c>
    </row>
    <row r="90" spans="1:15" x14ac:dyDescent="0.25">
      <c r="A90" s="12">
        <f t="shared" si="2"/>
        <v>11</v>
      </c>
      <c r="B90" s="12">
        <v>2020</v>
      </c>
      <c r="C90" s="12">
        <v>6369</v>
      </c>
      <c r="E90" s="12" t="s">
        <v>13</v>
      </c>
      <c r="F90" s="12" t="s">
        <v>14</v>
      </c>
      <c r="G90" s="14">
        <v>44163</v>
      </c>
      <c r="H90" s="12" t="s">
        <v>32</v>
      </c>
      <c r="I90" s="12" t="s">
        <v>20</v>
      </c>
      <c r="J90" s="12" t="s">
        <v>31</v>
      </c>
      <c r="K90" s="12">
        <v>230.00899999999999</v>
      </c>
      <c r="L90" s="12">
        <v>197.631</v>
      </c>
      <c r="O90" s="13">
        <f t="shared" si="3"/>
        <v>0.85923159528540194</v>
      </c>
    </row>
    <row r="91" spans="1:15" x14ac:dyDescent="0.25">
      <c r="A91" s="12">
        <f t="shared" si="2"/>
        <v>11</v>
      </c>
      <c r="B91" s="12">
        <v>2020</v>
      </c>
      <c r="C91" s="12">
        <v>6370</v>
      </c>
      <c r="E91" s="12" t="s">
        <v>13</v>
      </c>
      <c r="F91" s="12" t="s">
        <v>14</v>
      </c>
      <c r="G91" s="14">
        <v>44164</v>
      </c>
      <c r="H91" s="12" t="s">
        <v>33</v>
      </c>
      <c r="I91" s="12" t="s">
        <v>19</v>
      </c>
      <c r="J91" s="12" t="s">
        <v>25</v>
      </c>
      <c r="K91" s="12">
        <v>230.00800000000001</v>
      </c>
      <c r="L91" s="12">
        <v>196.37700000000001</v>
      </c>
      <c r="N91" s="18">
        <v>11.1</v>
      </c>
      <c r="O91" s="13">
        <f t="shared" si="3"/>
        <v>0.85378334666620292</v>
      </c>
    </row>
    <row r="92" spans="1:15" x14ac:dyDescent="0.25">
      <c r="A92" s="12">
        <f t="shared" si="2"/>
        <v>11</v>
      </c>
      <c r="B92" s="12">
        <v>2020</v>
      </c>
      <c r="C92" s="12">
        <v>6371</v>
      </c>
      <c r="E92" s="12" t="s">
        <v>13</v>
      </c>
      <c r="F92" s="12" t="s">
        <v>14</v>
      </c>
      <c r="G92" s="14">
        <v>44165</v>
      </c>
      <c r="H92" s="12" t="s">
        <v>18</v>
      </c>
      <c r="I92" s="12" t="s">
        <v>19</v>
      </c>
      <c r="J92" s="12" t="s">
        <v>22</v>
      </c>
      <c r="K92" s="12">
        <v>230.23599999999999</v>
      </c>
      <c r="L92" s="12">
        <v>194.952</v>
      </c>
      <c r="N92" s="18">
        <v>11.9</v>
      </c>
      <c r="O92" s="13">
        <f t="shared" si="3"/>
        <v>0.84674855365798574</v>
      </c>
    </row>
    <row r="93" spans="1:15" x14ac:dyDescent="0.25">
      <c r="A93" s="12">
        <f t="shared" si="2"/>
        <v>12</v>
      </c>
      <c r="B93" s="12">
        <v>2020</v>
      </c>
      <c r="C93" s="12">
        <v>6372</v>
      </c>
      <c r="E93" s="12" t="s">
        <v>13</v>
      </c>
      <c r="F93" s="12" t="s">
        <v>14</v>
      </c>
      <c r="G93" s="14">
        <v>44166</v>
      </c>
      <c r="H93" s="12" t="s">
        <v>18</v>
      </c>
      <c r="I93" s="12" t="s">
        <v>19</v>
      </c>
      <c r="J93" s="12" t="s">
        <v>22</v>
      </c>
      <c r="K93" s="12">
        <v>230.00899999999999</v>
      </c>
      <c r="L93" s="12">
        <v>199.69399999999999</v>
      </c>
      <c r="O93" s="13">
        <f t="shared" si="3"/>
        <v>0.86820080953353995</v>
      </c>
    </row>
    <row r="94" spans="1:15" x14ac:dyDescent="0.25">
      <c r="A94" s="12">
        <f t="shared" si="2"/>
        <v>12</v>
      </c>
      <c r="B94" s="12">
        <v>2020</v>
      </c>
      <c r="C94" s="12">
        <v>6373</v>
      </c>
      <c r="E94" s="12" t="s">
        <v>13</v>
      </c>
      <c r="F94" s="12" t="s">
        <v>14</v>
      </c>
      <c r="G94" s="14">
        <v>44167</v>
      </c>
      <c r="H94" s="12" t="s">
        <v>18</v>
      </c>
      <c r="I94" s="12" t="s">
        <v>19</v>
      </c>
      <c r="J94" s="12" t="s">
        <v>22</v>
      </c>
      <c r="K94" s="12">
        <v>230.00899999999999</v>
      </c>
      <c r="L94" s="12">
        <v>193.863</v>
      </c>
      <c r="O94" s="13">
        <f t="shared" si="3"/>
        <v>0.84284962762326698</v>
      </c>
    </row>
    <row r="95" spans="1:15" x14ac:dyDescent="0.25">
      <c r="A95" s="12">
        <f t="shared" si="2"/>
        <v>12</v>
      </c>
      <c r="B95" s="12">
        <v>2020</v>
      </c>
      <c r="C95" s="12">
        <v>6374</v>
      </c>
      <c r="E95" s="12" t="s">
        <v>13</v>
      </c>
      <c r="F95" s="12" t="s">
        <v>14</v>
      </c>
      <c r="G95" s="14">
        <v>44168</v>
      </c>
      <c r="H95" s="12" t="s">
        <v>18</v>
      </c>
      <c r="I95" s="12" t="s">
        <v>19</v>
      </c>
      <c r="J95" s="12" t="s">
        <v>22</v>
      </c>
      <c r="K95" s="12">
        <v>229.93199999999999</v>
      </c>
      <c r="L95" s="12">
        <v>199.07499999999999</v>
      </c>
      <c r="O95" s="13">
        <f t="shared" si="3"/>
        <v>0.86579945375154388</v>
      </c>
    </row>
    <row r="96" spans="1:15" x14ac:dyDescent="0.25">
      <c r="A96" s="12">
        <f t="shared" si="2"/>
        <v>12</v>
      </c>
      <c r="B96" s="12">
        <v>2020</v>
      </c>
      <c r="C96" s="12">
        <v>6375</v>
      </c>
      <c r="E96" s="12" t="s">
        <v>13</v>
      </c>
      <c r="F96" s="12" t="s">
        <v>14</v>
      </c>
      <c r="G96" s="14">
        <v>44169</v>
      </c>
      <c r="H96" s="12" t="s">
        <v>18</v>
      </c>
      <c r="I96" s="12" t="s">
        <v>19</v>
      </c>
      <c r="J96" s="12" t="s">
        <v>22</v>
      </c>
      <c r="K96" s="12">
        <v>229.93299999999999</v>
      </c>
      <c r="L96" s="12">
        <v>199.07499999999999</v>
      </c>
      <c r="O96" s="13">
        <f t="shared" si="3"/>
        <v>0.86579568830920306</v>
      </c>
    </row>
    <row r="97" spans="1:15" x14ac:dyDescent="0.25">
      <c r="A97" s="12">
        <f t="shared" si="2"/>
        <v>12</v>
      </c>
      <c r="B97" s="12">
        <v>2020</v>
      </c>
      <c r="C97" s="12">
        <v>6376</v>
      </c>
      <c r="E97" s="12" t="s">
        <v>13</v>
      </c>
      <c r="F97" s="12" t="s">
        <v>14</v>
      </c>
      <c r="G97" s="14">
        <v>44170</v>
      </c>
      <c r="H97" s="12" t="s">
        <v>17</v>
      </c>
      <c r="I97" s="12" t="s">
        <v>19</v>
      </c>
      <c r="J97" s="12" t="s">
        <v>25</v>
      </c>
      <c r="K97" s="12">
        <v>230.012</v>
      </c>
      <c r="L97" s="12">
        <v>197.21600000000001</v>
      </c>
      <c r="N97" s="12">
        <v>11.1</v>
      </c>
      <c r="O97" s="13">
        <f t="shared" si="3"/>
        <v>0.85741613481035772</v>
      </c>
    </row>
    <row r="98" spans="1:15" x14ac:dyDescent="0.25">
      <c r="A98" s="12">
        <f t="shared" si="2"/>
        <v>12</v>
      </c>
      <c r="B98" s="12">
        <v>2020</v>
      </c>
      <c r="C98" s="12">
        <v>6377</v>
      </c>
      <c r="E98" s="12" t="s">
        <v>13</v>
      </c>
      <c r="F98" s="12" t="s">
        <v>14</v>
      </c>
      <c r="G98" s="14">
        <v>44171</v>
      </c>
      <c r="H98" s="12" t="s">
        <v>17</v>
      </c>
      <c r="I98" s="12" t="s">
        <v>19</v>
      </c>
      <c r="J98" s="12" t="s">
        <v>25</v>
      </c>
      <c r="K98" s="12">
        <v>230.005</v>
      </c>
      <c r="L98" s="12">
        <v>204.21700000000001</v>
      </c>
      <c r="O98" s="13">
        <f t="shared" si="3"/>
        <v>0.88788069824569038</v>
      </c>
    </row>
    <row r="99" spans="1:15" x14ac:dyDescent="0.25">
      <c r="A99" s="12">
        <f t="shared" si="2"/>
        <v>12</v>
      </c>
      <c r="B99" s="12">
        <v>2020</v>
      </c>
      <c r="C99" s="12">
        <v>6378</v>
      </c>
      <c r="E99" s="12" t="s">
        <v>13</v>
      </c>
      <c r="F99" s="12" t="s">
        <v>14</v>
      </c>
      <c r="G99" s="14">
        <v>44172</v>
      </c>
      <c r="H99" s="12" t="s">
        <v>17</v>
      </c>
      <c r="I99" s="12" t="s">
        <v>19</v>
      </c>
      <c r="J99" s="12" t="s">
        <v>25</v>
      </c>
      <c r="K99" s="12">
        <v>230.005</v>
      </c>
      <c r="L99" s="12">
        <v>196.04900000000001</v>
      </c>
      <c r="O99" s="13">
        <f t="shared" si="3"/>
        <v>0.85236842677333102</v>
      </c>
    </row>
    <row r="100" spans="1:15" x14ac:dyDescent="0.25">
      <c r="A100" s="12">
        <f t="shared" si="2"/>
        <v>12</v>
      </c>
      <c r="B100" s="12">
        <v>2020</v>
      </c>
      <c r="C100" s="12">
        <v>6379</v>
      </c>
      <c r="E100" s="12" t="s">
        <v>13</v>
      </c>
      <c r="F100" s="12" t="s">
        <v>14</v>
      </c>
      <c r="G100" s="14">
        <v>44173</v>
      </c>
      <c r="H100" s="12" t="s">
        <v>17</v>
      </c>
      <c r="I100" s="12" t="s">
        <v>19</v>
      </c>
      <c r="J100" s="12" t="s">
        <v>25</v>
      </c>
      <c r="K100" s="12">
        <v>230.00200000000001</v>
      </c>
      <c r="L100" s="12">
        <v>202.179</v>
      </c>
      <c r="O100" s="13">
        <f t="shared" si="3"/>
        <v>0.87903148668272446</v>
      </c>
    </row>
    <row r="101" spans="1:15" x14ac:dyDescent="0.25">
      <c r="A101" s="12">
        <f t="shared" si="2"/>
        <v>12</v>
      </c>
      <c r="B101" s="12">
        <v>2020</v>
      </c>
      <c r="C101" s="12">
        <v>6380</v>
      </c>
      <c r="E101" s="12" t="s">
        <v>13</v>
      </c>
      <c r="F101" s="12" t="s">
        <v>14</v>
      </c>
      <c r="G101" s="14">
        <v>44174</v>
      </c>
      <c r="H101" s="12" t="s">
        <v>17</v>
      </c>
      <c r="I101" s="12" t="s">
        <v>19</v>
      </c>
      <c r="J101" s="12" t="s">
        <v>25</v>
      </c>
      <c r="K101" s="12">
        <v>230.00200000000001</v>
      </c>
      <c r="L101" s="12">
        <v>198.13800000000001</v>
      </c>
      <c r="O101" s="13">
        <f t="shared" si="3"/>
        <v>0.86146207424283261</v>
      </c>
    </row>
    <row r="102" spans="1:15" x14ac:dyDescent="0.25">
      <c r="A102" s="12">
        <f t="shared" si="2"/>
        <v>12</v>
      </c>
      <c r="B102" s="12">
        <v>2020</v>
      </c>
      <c r="C102" s="12">
        <v>6381</v>
      </c>
      <c r="E102" s="12" t="s">
        <v>13</v>
      </c>
      <c r="F102" s="12" t="s">
        <v>14</v>
      </c>
      <c r="G102" s="14">
        <v>44175</v>
      </c>
      <c r="H102" s="12" t="s">
        <v>17</v>
      </c>
      <c r="I102" s="12" t="s">
        <v>19</v>
      </c>
      <c r="J102" s="12" t="s">
        <v>22</v>
      </c>
      <c r="K102" s="12">
        <v>230.006</v>
      </c>
      <c r="L102" s="12">
        <v>195.69200000000001</v>
      </c>
      <c r="N102" s="12">
        <v>11.4</v>
      </c>
      <c r="O102" s="13">
        <f t="shared" si="3"/>
        <v>0.85081258749771749</v>
      </c>
    </row>
    <row r="103" spans="1:15" x14ac:dyDescent="0.25">
      <c r="A103" s="12">
        <f t="shared" si="2"/>
        <v>12</v>
      </c>
      <c r="B103" s="12">
        <v>2020</v>
      </c>
      <c r="C103" s="12">
        <v>6382</v>
      </c>
      <c r="E103" s="12" t="s">
        <v>13</v>
      </c>
      <c r="F103" s="12" t="s">
        <v>14</v>
      </c>
      <c r="G103" s="14">
        <v>44176</v>
      </c>
      <c r="H103" s="12" t="s">
        <v>17</v>
      </c>
      <c r="I103" s="12" t="s">
        <v>19</v>
      </c>
      <c r="J103" s="12" t="s">
        <v>22</v>
      </c>
      <c r="K103" s="12">
        <v>229.99799999999999</v>
      </c>
      <c r="L103" s="12">
        <v>196.78700000000001</v>
      </c>
      <c r="O103" s="13">
        <f t="shared" si="3"/>
        <v>0.85560309220080177</v>
      </c>
    </row>
    <row r="104" spans="1:15" x14ac:dyDescent="0.25">
      <c r="A104" s="12">
        <f t="shared" si="2"/>
        <v>12</v>
      </c>
      <c r="B104" s="12">
        <v>2020</v>
      </c>
      <c r="C104" s="12">
        <v>6383</v>
      </c>
      <c r="E104" s="12" t="s">
        <v>13</v>
      </c>
      <c r="F104" s="12" t="s">
        <v>14</v>
      </c>
      <c r="G104" s="14">
        <v>44177</v>
      </c>
      <c r="H104" s="12" t="s">
        <v>17</v>
      </c>
      <c r="I104" s="12" t="s">
        <v>19</v>
      </c>
      <c r="J104" s="12" t="s">
        <v>22</v>
      </c>
      <c r="K104" s="12">
        <v>229.999</v>
      </c>
      <c r="L104" s="12">
        <v>194.21700000000001</v>
      </c>
      <c r="O104" s="13">
        <f t="shared" si="3"/>
        <v>0.84442541054526332</v>
      </c>
    </row>
    <row r="105" spans="1:15" x14ac:dyDescent="0.25">
      <c r="A105" s="12">
        <f t="shared" si="2"/>
        <v>12</v>
      </c>
      <c r="B105" s="12">
        <v>2020</v>
      </c>
      <c r="C105" s="12">
        <v>6384</v>
      </c>
      <c r="E105" s="12" t="s">
        <v>13</v>
      </c>
      <c r="F105" s="12" t="s">
        <v>14</v>
      </c>
      <c r="G105" s="14">
        <v>44178</v>
      </c>
      <c r="H105" s="12" t="s">
        <v>33</v>
      </c>
      <c r="I105" s="12" t="s">
        <v>20</v>
      </c>
      <c r="J105" s="12" t="s">
        <v>31</v>
      </c>
      <c r="K105" s="12">
        <v>230.03200000000001</v>
      </c>
      <c r="L105" s="12">
        <v>200.64400000000001</v>
      </c>
      <c r="O105" s="13">
        <f t="shared" si="3"/>
        <v>0.87224386172358626</v>
      </c>
    </row>
    <row r="106" spans="1:15" x14ac:dyDescent="0.25">
      <c r="A106" s="12">
        <f t="shared" si="2"/>
        <v>12</v>
      </c>
      <c r="B106" s="12">
        <v>2020</v>
      </c>
      <c r="C106" s="12">
        <v>6385</v>
      </c>
      <c r="E106" s="12" t="s">
        <v>13</v>
      </c>
      <c r="F106" s="12" t="s">
        <v>14</v>
      </c>
      <c r="G106" s="14">
        <v>44179</v>
      </c>
      <c r="H106" s="12" t="s">
        <v>17</v>
      </c>
      <c r="I106" s="12" t="s">
        <v>19</v>
      </c>
      <c r="J106" s="12" t="s">
        <v>22</v>
      </c>
      <c r="K106" s="12">
        <v>229.99299999999999</v>
      </c>
      <c r="L106" s="12">
        <v>200.084</v>
      </c>
      <c r="O106" s="13">
        <f t="shared" si="3"/>
        <v>0.86995691173209622</v>
      </c>
    </row>
    <row r="107" spans="1:15" x14ac:dyDescent="0.25">
      <c r="A107" s="12">
        <f t="shared" si="2"/>
        <v>12</v>
      </c>
      <c r="B107" s="12">
        <v>2020</v>
      </c>
      <c r="C107" s="12">
        <v>6386</v>
      </c>
      <c r="E107" s="12" t="s">
        <v>13</v>
      </c>
      <c r="F107" s="12" t="s">
        <v>14</v>
      </c>
      <c r="G107" s="14">
        <v>44180</v>
      </c>
      <c r="H107" s="12" t="s">
        <v>17</v>
      </c>
      <c r="I107" s="12" t="s">
        <v>19</v>
      </c>
      <c r="J107" s="12" t="s">
        <v>22</v>
      </c>
      <c r="K107" s="12">
        <v>229.99199999999999</v>
      </c>
      <c r="L107" s="12">
        <v>199.999</v>
      </c>
      <c r="O107" s="13">
        <f t="shared" si="3"/>
        <v>0.86959111621273788</v>
      </c>
    </row>
    <row r="108" spans="1:15" x14ac:dyDescent="0.25">
      <c r="A108" s="12">
        <f t="shared" si="2"/>
        <v>12</v>
      </c>
      <c r="B108" s="12">
        <v>2020</v>
      </c>
      <c r="C108" s="12">
        <v>6387</v>
      </c>
      <c r="E108" s="12" t="s">
        <v>13</v>
      </c>
      <c r="F108" s="12" t="s">
        <v>14</v>
      </c>
      <c r="G108" s="14">
        <v>44181</v>
      </c>
      <c r="H108" s="12" t="s">
        <v>17</v>
      </c>
      <c r="I108" s="12" t="s">
        <v>19</v>
      </c>
      <c r="J108" s="12" t="s">
        <v>22</v>
      </c>
      <c r="K108" s="12">
        <v>229.999</v>
      </c>
      <c r="L108" s="12">
        <v>199.26</v>
      </c>
      <c r="N108" s="12">
        <v>12.1</v>
      </c>
      <c r="O108" s="13">
        <f t="shared" si="3"/>
        <v>0.86635159283301233</v>
      </c>
    </row>
    <row r="109" spans="1:15" x14ac:dyDescent="0.25">
      <c r="A109" s="12">
        <f t="shared" si="2"/>
        <v>12</v>
      </c>
      <c r="B109" s="12">
        <v>2020</v>
      </c>
      <c r="C109" s="12">
        <v>6388</v>
      </c>
      <c r="E109" s="12" t="s">
        <v>13</v>
      </c>
      <c r="F109" s="12" t="s">
        <v>14</v>
      </c>
      <c r="G109" s="14">
        <v>44182</v>
      </c>
      <c r="H109" s="12" t="s">
        <v>17</v>
      </c>
      <c r="I109" s="12" t="s">
        <v>19</v>
      </c>
      <c r="J109" s="12" t="s">
        <v>22</v>
      </c>
      <c r="K109" s="12">
        <v>230.005</v>
      </c>
      <c r="L109" s="12">
        <v>195.39599999999999</v>
      </c>
      <c r="O109" s="13">
        <f t="shared" si="3"/>
        <v>0.84952935805743346</v>
      </c>
    </row>
    <row r="110" spans="1:15" x14ac:dyDescent="0.25">
      <c r="A110" s="12">
        <f t="shared" si="2"/>
        <v>12</v>
      </c>
      <c r="B110" s="12">
        <v>2020</v>
      </c>
      <c r="C110" s="12">
        <v>6389</v>
      </c>
      <c r="E110" s="12" t="s">
        <v>13</v>
      </c>
      <c r="F110" s="12" t="s">
        <v>14</v>
      </c>
      <c r="G110" s="14">
        <v>44183</v>
      </c>
      <c r="H110" s="12" t="s">
        <v>17</v>
      </c>
      <c r="I110" s="12" t="s">
        <v>19</v>
      </c>
      <c r="J110" s="12" t="s">
        <v>22</v>
      </c>
      <c r="K110" s="12">
        <v>230.005</v>
      </c>
      <c r="L110" s="12">
        <v>201.44800000000001</v>
      </c>
      <c r="O110" s="13">
        <f t="shared" si="3"/>
        <v>0.8758418295254452</v>
      </c>
    </row>
    <row r="111" spans="1:15" x14ac:dyDescent="0.25">
      <c r="A111" s="12">
        <f t="shared" si="2"/>
        <v>12</v>
      </c>
      <c r="B111" s="12">
        <v>2020</v>
      </c>
      <c r="C111" s="12">
        <v>6390</v>
      </c>
      <c r="E111" s="12" t="s">
        <v>13</v>
      </c>
      <c r="F111" s="12" t="s">
        <v>14</v>
      </c>
      <c r="G111" s="14">
        <v>44184</v>
      </c>
      <c r="H111" s="12" t="s">
        <v>17</v>
      </c>
      <c r="I111" s="12" t="s">
        <v>19</v>
      </c>
      <c r="J111" s="12" t="s">
        <v>22</v>
      </c>
      <c r="K111" s="12">
        <v>229.999</v>
      </c>
      <c r="L111" s="12">
        <v>195.28700000000001</v>
      </c>
      <c r="O111" s="13">
        <f t="shared" si="3"/>
        <v>0.84907760468523785</v>
      </c>
    </row>
    <row r="112" spans="1:15" x14ac:dyDescent="0.25">
      <c r="A112" s="12">
        <f t="shared" si="2"/>
        <v>12</v>
      </c>
      <c r="B112" s="12">
        <v>2020</v>
      </c>
      <c r="C112" s="12">
        <v>6391</v>
      </c>
      <c r="E112" s="12" t="s">
        <v>13</v>
      </c>
      <c r="F112" s="12" t="s">
        <v>14</v>
      </c>
      <c r="G112" s="14">
        <v>44185</v>
      </c>
      <c r="H112" s="12" t="s">
        <v>17</v>
      </c>
      <c r="I112" s="12" t="s">
        <v>19</v>
      </c>
      <c r="J112" s="12" t="s">
        <v>22</v>
      </c>
      <c r="K112" s="12">
        <v>230</v>
      </c>
      <c r="L112" s="12">
        <v>204.27</v>
      </c>
      <c r="O112" s="13">
        <f t="shared" si="3"/>
        <v>0.88813043478260878</v>
      </c>
    </row>
    <row r="113" spans="1:15" x14ac:dyDescent="0.25">
      <c r="A113" s="12">
        <f t="shared" si="2"/>
        <v>12</v>
      </c>
      <c r="B113" s="12">
        <v>2020</v>
      </c>
      <c r="C113" s="12">
        <v>6392</v>
      </c>
      <c r="E113" s="12" t="s">
        <v>13</v>
      </c>
      <c r="F113" s="12" t="s">
        <v>14</v>
      </c>
      <c r="G113" s="14">
        <v>44186</v>
      </c>
      <c r="H113" s="12" t="s">
        <v>17</v>
      </c>
      <c r="I113" s="12" t="s">
        <v>19</v>
      </c>
      <c r="J113" s="12" t="s">
        <v>22</v>
      </c>
      <c r="K113" s="12">
        <v>230.012</v>
      </c>
      <c r="L113" s="12">
        <v>195.26</v>
      </c>
      <c r="N113" s="12">
        <v>12.2</v>
      </c>
      <c r="O113" s="13">
        <f t="shared" si="3"/>
        <v>0.84891223066622612</v>
      </c>
    </row>
    <row r="114" spans="1:15" x14ac:dyDescent="0.25">
      <c r="A114" s="12">
        <f t="shared" si="2"/>
        <v>12</v>
      </c>
      <c r="B114" s="12">
        <v>2020</v>
      </c>
      <c r="C114" s="12">
        <v>6393</v>
      </c>
      <c r="E114" s="12" t="s">
        <v>13</v>
      </c>
      <c r="F114" s="12" t="s">
        <v>14</v>
      </c>
      <c r="G114" s="14">
        <v>44187</v>
      </c>
      <c r="H114" s="12" t="s">
        <v>17</v>
      </c>
      <c r="I114" s="12" t="s">
        <v>19</v>
      </c>
      <c r="J114" s="12" t="s">
        <v>22</v>
      </c>
      <c r="K114" s="12">
        <v>230.00299999999999</v>
      </c>
      <c r="L114" s="12">
        <v>187.04</v>
      </c>
      <c r="O114" s="13">
        <f t="shared" si="3"/>
        <v>0.81320678425933579</v>
      </c>
    </row>
    <row r="115" spans="1:15" x14ac:dyDescent="0.25">
      <c r="A115" s="12">
        <f t="shared" si="2"/>
        <v>12</v>
      </c>
      <c r="B115" s="12">
        <v>2020</v>
      </c>
      <c r="C115" s="12">
        <v>6394</v>
      </c>
      <c r="E115" s="12" t="s">
        <v>13</v>
      </c>
      <c r="F115" s="12" t="s">
        <v>14</v>
      </c>
      <c r="G115" s="14">
        <v>44188</v>
      </c>
      <c r="H115" s="12" t="s">
        <v>17</v>
      </c>
      <c r="I115" s="12" t="s">
        <v>19</v>
      </c>
      <c r="J115" s="12" t="s">
        <v>22</v>
      </c>
      <c r="K115" s="12">
        <v>230.00299999999999</v>
      </c>
      <c r="L115" s="12">
        <v>203.90100000000001</v>
      </c>
      <c r="O115" s="13">
        <f t="shared" si="3"/>
        <v>0.88651452372360373</v>
      </c>
    </row>
    <row r="116" spans="1:15" x14ac:dyDescent="0.25">
      <c r="A116" s="12">
        <f t="shared" si="2"/>
        <v>12</v>
      </c>
      <c r="B116" s="12">
        <v>2020</v>
      </c>
      <c r="C116" s="12">
        <v>6395</v>
      </c>
      <c r="E116" s="12" t="s">
        <v>13</v>
      </c>
      <c r="F116" s="12" t="s">
        <v>14</v>
      </c>
      <c r="G116" s="14">
        <v>44189</v>
      </c>
      <c r="H116" s="12" t="s">
        <v>17</v>
      </c>
      <c r="I116" s="12" t="s">
        <v>19</v>
      </c>
      <c r="J116" s="12" t="s">
        <v>22</v>
      </c>
      <c r="K116" s="12">
        <v>230.00200000000001</v>
      </c>
      <c r="L116" s="12">
        <v>193.67500000000001</v>
      </c>
      <c r="O116" s="13">
        <f t="shared" si="3"/>
        <v>0.84205789514873786</v>
      </c>
    </row>
    <row r="117" spans="1:15" x14ac:dyDescent="0.25">
      <c r="A117" s="12">
        <f t="shared" si="2"/>
        <v>12</v>
      </c>
      <c r="B117" s="12">
        <v>2020</v>
      </c>
      <c r="C117" s="12">
        <v>6396</v>
      </c>
      <c r="E117" s="12" t="s">
        <v>13</v>
      </c>
      <c r="F117" s="12" t="s">
        <v>14</v>
      </c>
      <c r="G117" s="14">
        <v>44190</v>
      </c>
      <c r="H117" s="12" t="s">
        <v>17</v>
      </c>
      <c r="I117" s="12" t="s">
        <v>19</v>
      </c>
      <c r="J117" s="12" t="s">
        <v>22</v>
      </c>
      <c r="K117" s="12">
        <v>230.00200000000001</v>
      </c>
      <c r="L117" s="12">
        <v>193.40799999999999</v>
      </c>
      <c r="O117" s="13">
        <f t="shared" si="3"/>
        <v>0.84089703567795049</v>
      </c>
    </row>
    <row r="118" spans="1:15" x14ac:dyDescent="0.25">
      <c r="A118" s="12">
        <f t="shared" si="2"/>
        <v>12</v>
      </c>
      <c r="B118" s="12">
        <v>2020</v>
      </c>
      <c r="C118" s="12">
        <v>6397</v>
      </c>
      <c r="E118" s="12" t="s">
        <v>13</v>
      </c>
      <c r="F118" s="12" t="s">
        <v>14</v>
      </c>
      <c r="G118" s="14">
        <v>44191</v>
      </c>
      <c r="H118" s="12" t="s">
        <v>34</v>
      </c>
      <c r="I118" s="12" t="s">
        <v>19</v>
      </c>
      <c r="J118" s="12" t="s">
        <v>22</v>
      </c>
      <c r="K118" s="12">
        <v>229.96600000000001</v>
      </c>
      <c r="L118" s="12">
        <v>196.488</v>
      </c>
      <c r="N118" s="12">
        <v>12.2</v>
      </c>
      <c r="O118" s="13">
        <f t="shared" si="3"/>
        <v>0.85442195802857812</v>
      </c>
    </row>
    <row r="119" spans="1:15" x14ac:dyDescent="0.25">
      <c r="A119" s="12">
        <f t="shared" si="2"/>
        <v>12</v>
      </c>
      <c r="B119" s="12">
        <v>2020</v>
      </c>
      <c r="C119" s="12">
        <v>6398</v>
      </c>
      <c r="E119" s="12" t="s">
        <v>13</v>
      </c>
      <c r="F119" s="12" t="s">
        <v>14</v>
      </c>
      <c r="G119" s="14">
        <v>44192</v>
      </c>
      <c r="H119" s="12" t="s">
        <v>34</v>
      </c>
      <c r="I119" s="12" t="s">
        <v>19</v>
      </c>
      <c r="J119" s="12" t="s">
        <v>22</v>
      </c>
      <c r="K119" s="12">
        <v>230</v>
      </c>
      <c r="L119" s="12">
        <v>188.15700000000001</v>
      </c>
      <c r="O119" s="13">
        <f t="shared" si="3"/>
        <v>0.81807391304347832</v>
      </c>
    </row>
    <row r="120" spans="1:15" x14ac:dyDescent="0.25">
      <c r="A120" s="12">
        <f t="shared" si="2"/>
        <v>12</v>
      </c>
      <c r="B120" s="12">
        <v>2020</v>
      </c>
      <c r="C120" s="12">
        <v>6399</v>
      </c>
      <c r="E120" s="12" t="s">
        <v>13</v>
      </c>
      <c r="F120" s="12" t="s">
        <v>14</v>
      </c>
      <c r="G120" s="14">
        <v>44193</v>
      </c>
      <c r="H120" s="12" t="s">
        <v>34</v>
      </c>
      <c r="I120" s="12" t="s">
        <v>19</v>
      </c>
      <c r="J120" s="12" t="s">
        <v>22</v>
      </c>
      <c r="K120" s="12">
        <v>230</v>
      </c>
      <c r="L120" s="12">
        <v>198.71600000000001</v>
      </c>
      <c r="O120" s="13">
        <f t="shared" si="3"/>
        <v>0.86398260869565224</v>
      </c>
    </row>
    <row r="121" spans="1:15" x14ac:dyDescent="0.25">
      <c r="A121" s="12">
        <f t="shared" si="2"/>
        <v>12</v>
      </c>
      <c r="B121" s="12">
        <v>2020</v>
      </c>
      <c r="C121" s="12">
        <v>6400</v>
      </c>
      <c r="E121" s="12" t="s">
        <v>13</v>
      </c>
      <c r="F121" s="12" t="s">
        <v>14</v>
      </c>
      <c r="G121" s="14">
        <v>44194</v>
      </c>
      <c r="H121" s="12" t="s">
        <v>34</v>
      </c>
      <c r="I121" s="12" t="s">
        <v>19</v>
      </c>
      <c r="J121" s="12" t="s">
        <v>22</v>
      </c>
      <c r="K121" s="12">
        <v>230</v>
      </c>
      <c r="L121" s="12">
        <v>197.42599999999999</v>
      </c>
      <c r="O121" s="13">
        <f t="shared" si="3"/>
        <v>0.85837391304347821</v>
      </c>
    </row>
    <row r="122" spans="1:15" x14ac:dyDescent="0.25">
      <c r="A122" s="12">
        <f t="shared" si="2"/>
        <v>12</v>
      </c>
      <c r="B122" s="12">
        <v>2020</v>
      </c>
      <c r="C122" s="12">
        <v>6401</v>
      </c>
      <c r="E122" s="12" t="s">
        <v>13</v>
      </c>
      <c r="F122" s="12" t="s">
        <v>14</v>
      </c>
      <c r="G122" s="14">
        <v>44195</v>
      </c>
      <c r="H122" s="12" t="s">
        <v>18</v>
      </c>
      <c r="I122" s="12" t="s">
        <v>19</v>
      </c>
      <c r="J122" s="12" t="s">
        <v>22</v>
      </c>
      <c r="K122" s="12">
        <v>230.006</v>
      </c>
      <c r="L122" s="12">
        <v>192.953</v>
      </c>
      <c r="O122" s="13">
        <f t="shared" si="3"/>
        <v>0.83890420249906528</v>
      </c>
    </row>
    <row r="123" spans="1:15" x14ac:dyDescent="0.25">
      <c r="A123" s="12">
        <f t="shared" si="2"/>
        <v>12</v>
      </c>
      <c r="B123" s="12">
        <v>2020</v>
      </c>
      <c r="C123" s="12">
        <v>6402</v>
      </c>
      <c r="E123" s="12" t="s">
        <v>13</v>
      </c>
      <c r="F123" s="12" t="s">
        <v>14</v>
      </c>
      <c r="G123" s="14">
        <v>44196</v>
      </c>
      <c r="H123" s="12" t="s">
        <v>18</v>
      </c>
      <c r="I123" s="12" t="s">
        <v>19</v>
      </c>
      <c r="J123" s="12" t="s">
        <v>22</v>
      </c>
      <c r="K123" s="12">
        <v>230.006</v>
      </c>
      <c r="L123" s="12">
        <v>193</v>
      </c>
      <c r="O123" s="13">
        <f t="shared" si="3"/>
        <v>0.8391085449944784</v>
      </c>
    </row>
    <row r="124" spans="1:15" x14ac:dyDescent="0.25">
      <c r="A124" s="12">
        <f t="shared" si="2"/>
        <v>1</v>
      </c>
      <c r="B124" s="12">
        <v>2021</v>
      </c>
      <c r="C124" s="12">
        <v>6403</v>
      </c>
      <c r="E124" s="12" t="s">
        <v>13</v>
      </c>
      <c r="F124" s="12" t="s">
        <v>14</v>
      </c>
      <c r="G124" s="14">
        <v>44197</v>
      </c>
      <c r="H124" s="12" t="s">
        <v>17</v>
      </c>
      <c r="I124" s="12" t="s">
        <v>19</v>
      </c>
      <c r="J124" s="12" t="s">
        <v>35</v>
      </c>
      <c r="K124" s="12">
        <v>230.04400000000001</v>
      </c>
      <c r="L124" s="12">
        <v>198.982</v>
      </c>
      <c r="N124" s="12">
        <v>12</v>
      </c>
      <c r="O124" s="13">
        <f t="shared" si="3"/>
        <v>0.86497365721340258</v>
      </c>
    </row>
    <row r="125" spans="1:15" x14ac:dyDescent="0.25">
      <c r="A125" s="12">
        <f t="shared" si="2"/>
        <v>1</v>
      </c>
      <c r="B125" s="12">
        <v>2021</v>
      </c>
      <c r="C125" s="12">
        <v>6404</v>
      </c>
      <c r="E125" s="12" t="s">
        <v>13</v>
      </c>
      <c r="F125" s="12" t="s">
        <v>14</v>
      </c>
      <c r="G125" s="14">
        <v>44198</v>
      </c>
      <c r="H125" s="12" t="s">
        <v>17</v>
      </c>
      <c r="I125" s="12" t="s">
        <v>19</v>
      </c>
      <c r="J125" s="12" t="s">
        <v>22</v>
      </c>
      <c r="K125" s="12">
        <v>230.001</v>
      </c>
      <c r="L125" s="12">
        <v>188.113</v>
      </c>
      <c r="O125" s="13">
        <f t="shared" si="3"/>
        <v>0.8178790526997709</v>
      </c>
    </row>
    <row r="126" spans="1:15" x14ac:dyDescent="0.25">
      <c r="A126" s="12">
        <f t="shared" si="2"/>
        <v>1</v>
      </c>
      <c r="B126" s="12">
        <v>2021</v>
      </c>
      <c r="C126" s="12">
        <v>6405</v>
      </c>
      <c r="E126" s="12" t="s">
        <v>13</v>
      </c>
      <c r="F126" s="12" t="s">
        <v>14</v>
      </c>
      <c r="G126" s="14">
        <v>44199</v>
      </c>
      <c r="H126" s="12" t="s">
        <v>17</v>
      </c>
      <c r="I126" s="12" t="s">
        <v>19</v>
      </c>
      <c r="J126" s="12" t="s">
        <v>22</v>
      </c>
      <c r="K126" s="12">
        <v>230.001</v>
      </c>
      <c r="L126" s="12">
        <v>200.8</v>
      </c>
      <c r="O126" s="13">
        <f t="shared" si="3"/>
        <v>0.87303968243616337</v>
      </c>
    </row>
    <row r="127" spans="1:15" x14ac:dyDescent="0.25">
      <c r="A127" s="12">
        <f t="shared" si="2"/>
        <v>1</v>
      </c>
      <c r="B127" s="12">
        <v>2021</v>
      </c>
      <c r="C127" s="12">
        <v>6406</v>
      </c>
      <c r="E127" s="12" t="s">
        <v>13</v>
      </c>
      <c r="F127" s="12" t="s">
        <v>14</v>
      </c>
      <c r="G127" s="14">
        <v>44200</v>
      </c>
      <c r="H127" s="12" t="s">
        <v>17</v>
      </c>
      <c r="I127" s="12" t="s">
        <v>19</v>
      </c>
      <c r="J127" s="12" t="s">
        <v>22</v>
      </c>
      <c r="K127" s="12">
        <v>230.00399999999999</v>
      </c>
      <c r="L127" s="12">
        <v>194.58500000000001</v>
      </c>
      <c r="O127" s="13">
        <f t="shared" si="3"/>
        <v>0.84600702596476585</v>
      </c>
    </row>
    <row r="128" spans="1:15" x14ac:dyDescent="0.25">
      <c r="A128" s="12">
        <f t="shared" si="2"/>
        <v>1</v>
      </c>
      <c r="B128" s="12">
        <v>2021</v>
      </c>
      <c r="C128" s="12">
        <v>6407</v>
      </c>
      <c r="E128" s="12" t="s">
        <v>13</v>
      </c>
      <c r="F128" s="12" t="s">
        <v>14</v>
      </c>
      <c r="G128" s="14">
        <v>44201</v>
      </c>
      <c r="H128" s="12" t="s">
        <v>17</v>
      </c>
      <c r="I128" s="12" t="s">
        <v>19</v>
      </c>
      <c r="J128" s="12" t="s">
        <v>22</v>
      </c>
      <c r="K128" s="12">
        <v>230.00299999999999</v>
      </c>
      <c r="L128" s="12">
        <v>198.06299999999999</v>
      </c>
      <c r="O128" s="13">
        <f t="shared" si="3"/>
        <v>0.86113224610113781</v>
      </c>
    </row>
    <row r="129" spans="1:15" x14ac:dyDescent="0.25">
      <c r="A129" s="12">
        <f t="shared" si="2"/>
        <v>1</v>
      </c>
      <c r="B129" s="12">
        <v>2021</v>
      </c>
      <c r="C129" s="12">
        <v>6408</v>
      </c>
      <c r="E129" s="12" t="s">
        <v>13</v>
      </c>
      <c r="F129" s="12" t="s">
        <v>14</v>
      </c>
      <c r="G129" s="14">
        <v>44202</v>
      </c>
      <c r="H129" s="12" t="s">
        <v>17</v>
      </c>
      <c r="I129" s="12" t="s">
        <v>19</v>
      </c>
      <c r="J129" s="12" t="s">
        <v>22</v>
      </c>
      <c r="K129" s="12">
        <v>230.036</v>
      </c>
      <c r="L129" s="12">
        <v>196.137</v>
      </c>
      <c r="N129" s="12">
        <v>12.6</v>
      </c>
      <c r="O129" s="13">
        <f t="shared" si="3"/>
        <v>0.85263610913074472</v>
      </c>
    </row>
    <row r="130" spans="1:15" x14ac:dyDescent="0.25">
      <c r="A130" s="12">
        <f t="shared" ref="A130:A193" si="4">MONTH(G130)</f>
        <v>1</v>
      </c>
      <c r="B130" s="12">
        <v>2021</v>
      </c>
      <c r="C130" s="12">
        <v>6409</v>
      </c>
      <c r="E130" s="12" t="s">
        <v>13</v>
      </c>
      <c r="F130" s="12" t="s">
        <v>14</v>
      </c>
      <c r="G130" s="14">
        <v>44203</v>
      </c>
      <c r="H130" s="12" t="s">
        <v>34</v>
      </c>
      <c r="I130" s="12" t="s">
        <v>19</v>
      </c>
      <c r="J130" s="12" t="s">
        <v>22</v>
      </c>
      <c r="K130" s="12">
        <v>230.00200000000001</v>
      </c>
      <c r="L130" s="12">
        <v>193.41499999999999</v>
      </c>
      <c r="O130" s="13">
        <f t="shared" ref="O130:O193" si="5">L130/K130</f>
        <v>0.8409274701959113</v>
      </c>
    </row>
    <row r="131" spans="1:15" x14ac:dyDescent="0.25">
      <c r="A131" s="12">
        <f t="shared" si="4"/>
        <v>1</v>
      </c>
      <c r="B131" s="12">
        <v>2021</v>
      </c>
      <c r="C131" s="12">
        <v>6410</v>
      </c>
      <c r="E131" s="12" t="s">
        <v>13</v>
      </c>
      <c r="F131" s="12" t="s">
        <v>14</v>
      </c>
      <c r="G131" s="14">
        <v>44204</v>
      </c>
      <c r="H131" s="12" t="s">
        <v>34</v>
      </c>
      <c r="I131" s="12" t="s">
        <v>19</v>
      </c>
      <c r="J131" s="12" t="s">
        <v>22</v>
      </c>
      <c r="K131" s="12">
        <v>230.001</v>
      </c>
      <c r="L131" s="12">
        <v>196.44499999999999</v>
      </c>
      <c r="O131" s="13">
        <f t="shared" si="5"/>
        <v>0.8541049821522515</v>
      </c>
    </row>
    <row r="132" spans="1:15" x14ac:dyDescent="0.25">
      <c r="A132" s="12">
        <f t="shared" si="4"/>
        <v>1</v>
      </c>
      <c r="B132" s="12">
        <v>2021</v>
      </c>
      <c r="C132" s="12">
        <v>6411</v>
      </c>
      <c r="E132" s="12" t="s">
        <v>13</v>
      </c>
      <c r="F132" s="12" t="s">
        <v>14</v>
      </c>
      <c r="G132" s="14">
        <v>44205</v>
      </c>
      <c r="H132" s="12" t="s">
        <v>34</v>
      </c>
      <c r="I132" s="12" t="s">
        <v>19</v>
      </c>
      <c r="J132" s="12" t="s">
        <v>22</v>
      </c>
      <c r="K132" s="12">
        <v>230.00700000000001</v>
      </c>
      <c r="L132" s="12">
        <v>196.637</v>
      </c>
      <c r="O132" s="13">
        <f t="shared" si="5"/>
        <v>0.85491745903385552</v>
      </c>
    </row>
    <row r="133" spans="1:15" x14ac:dyDescent="0.25">
      <c r="A133" s="12">
        <f t="shared" si="4"/>
        <v>1</v>
      </c>
      <c r="B133" s="12">
        <v>2021</v>
      </c>
      <c r="C133" s="12">
        <v>6412</v>
      </c>
      <c r="E133" s="12" t="s">
        <v>13</v>
      </c>
      <c r="F133" s="12" t="s">
        <v>14</v>
      </c>
      <c r="G133" s="14">
        <v>44206</v>
      </c>
      <c r="H133" s="12" t="s">
        <v>34</v>
      </c>
      <c r="I133" s="12" t="s">
        <v>19</v>
      </c>
      <c r="J133" s="12" t="s">
        <v>22</v>
      </c>
      <c r="K133" s="12">
        <v>230.00800000000001</v>
      </c>
      <c r="L133" s="12">
        <v>197.72900000000001</v>
      </c>
      <c r="O133" s="13">
        <f t="shared" si="5"/>
        <v>0.85966140308163197</v>
      </c>
    </row>
    <row r="134" spans="1:15" x14ac:dyDescent="0.25">
      <c r="A134" s="12">
        <f t="shared" si="4"/>
        <v>1</v>
      </c>
      <c r="B134" s="12">
        <v>2021</v>
      </c>
      <c r="C134" s="12">
        <v>6413</v>
      </c>
      <c r="E134" s="12" t="s">
        <v>13</v>
      </c>
      <c r="F134" s="12" t="s">
        <v>14</v>
      </c>
      <c r="G134" s="14">
        <v>44207</v>
      </c>
      <c r="H134" s="12" t="s">
        <v>34</v>
      </c>
      <c r="I134" s="12" t="s">
        <v>19</v>
      </c>
      <c r="J134" s="12" t="s">
        <v>22</v>
      </c>
      <c r="K134" s="12">
        <v>229.999</v>
      </c>
      <c r="L134" s="12">
        <v>196.73099999999999</v>
      </c>
      <c r="O134" s="13">
        <f t="shared" si="5"/>
        <v>0.8553558928517081</v>
      </c>
    </row>
    <row r="135" spans="1:15" x14ac:dyDescent="0.25">
      <c r="A135" s="12">
        <f t="shared" si="4"/>
        <v>1</v>
      </c>
      <c r="B135" s="12">
        <v>2021</v>
      </c>
      <c r="C135" s="12">
        <v>6414</v>
      </c>
      <c r="E135" s="12" t="s">
        <v>13</v>
      </c>
      <c r="F135" s="12" t="s">
        <v>14</v>
      </c>
      <c r="G135" s="14">
        <v>44208</v>
      </c>
      <c r="H135" s="12" t="s">
        <v>17</v>
      </c>
      <c r="I135" s="12" t="s">
        <v>19</v>
      </c>
      <c r="J135" s="12" t="s">
        <v>22</v>
      </c>
      <c r="K135" s="12">
        <v>230.005</v>
      </c>
      <c r="L135" s="12">
        <v>192.02199999999999</v>
      </c>
      <c r="O135" s="13">
        <f t="shared" si="5"/>
        <v>0.83486011173670138</v>
      </c>
    </row>
    <row r="136" spans="1:15" x14ac:dyDescent="0.25">
      <c r="A136" s="12">
        <f t="shared" si="4"/>
        <v>1</v>
      </c>
      <c r="B136" s="12">
        <v>2021</v>
      </c>
      <c r="C136" s="12">
        <v>6415</v>
      </c>
      <c r="E136" s="12" t="s">
        <v>13</v>
      </c>
      <c r="F136" s="12" t="s">
        <v>14</v>
      </c>
      <c r="G136" s="14">
        <v>44209</v>
      </c>
      <c r="H136" s="12" t="s">
        <v>17</v>
      </c>
      <c r="I136" s="12" t="s">
        <v>19</v>
      </c>
      <c r="J136" s="12" t="s">
        <v>22</v>
      </c>
      <c r="K136" s="12">
        <v>230.005</v>
      </c>
      <c r="L136" s="12">
        <v>198.94399999999999</v>
      </c>
      <c r="O136" s="13">
        <f t="shared" si="5"/>
        <v>0.86495510967152889</v>
      </c>
    </row>
    <row r="137" spans="1:15" x14ac:dyDescent="0.25">
      <c r="A137" s="12">
        <f t="shared" si="4"/>
        <v>1</v>
      </c>
      <c r="B137" s="12">
        <v>2021</v>
      </c>
      <c r="C137" s="12">
        <v>6416</v>
      </c>
      <c r="E137" s="12" t="s">
        <v>13</v>
      </c>
      <c r="F137" s="12" t="s">
        <v>14</v>
      </c>
      <c r="G137" s="14">
        <v>44210</v>
      </c>
      <c r="H137" s="12" t="s">
        <v>17</v>
      </c>
      <c r="I137" s="12" t="s">
        <v>19</v>
      </c>
      <c r="J137" s="12" t="s">
        <v>22</v>
      </c>
      <c r="K137" s="12">
        <v>229.98699999999999</v>
      </c>
      <c r="L137" s="12">
        <v>192.68100000000001</v>
      </c>
      <c r="O137" s="13">
        <f t="shared" si="5"/>
        <v>0.83779083165570234</v>
      </c>
    </row>
    <row r="138" spans="1:15" x14ac:dyDescent="0.25">
      <c r="A138" s="12">
        <f t="shared" si="4"/>
        <v>1</v>
      </c>
      <c r="B138" s="12">
        <v>2021</v>
      </c>
      <c r="C138" s="12">
        <v>6417</v>
      </c>
      <c r="E138" s="12" t="s">
        <v>13</v>
      </c>
      <c r="F138" s="12" t="s">
        <v>14</v>
      </c>
      <c r="G138" s="14">
        <v>44211</v>
      </c>
      <c r="H138" s="12" t="s">
        <v>17</v>
      </c>
      <c r="I138" s="12" t="s">
        <v>19</v>
      </c>
      <c r="J138" s="12" t="s">
        <v>22</v>
      </c>
      <c r="K138" s="12">
        <v>229.98699999999999</v>
      </c>
      <c r="L138" s="12">
        <v>203.69300000000001</v>
      </c>
      <c r="O138" s="13">
        <f t="shared" si="5"/>
        <v>0.88567179884080416</v>
      </c>
    </row>
    <row r="139" spans="1:15" x14ac:dyDescent="0.25">
      <c r="A139" s="12">
        <f t="shared" si="4"/>
        <v>1</v>
      </c>
      <c r="B139" s="12">
        <v>2021</v>
      </c>
      <c r="C139" s="12">
        <v>6418</v>
      </c>
      <c r="E139" s="12" t="s">
        <v>13</v>
      </c>
      <c r="F139" s="12" t="s">
        <v>14</v>
      </c>
      <c r="G139" s="14">
        <v>44212</v>
      </c>
      <c r="H139" s="12" t="s">
        <v>17</v>
      </c>
      <c r="I139" s="12" t="s">
        <v>19</v>
      </c>
      <c r="J139" s="12" t="s">
        <v>22</v>
      </c>
      <c r="K139" s="12">
        <v>229.999</v>
      </c>
      <c r="L139" s="12">
        <v>196.10300000000001</v>
      </c>
      <c r="O139" s="13">
        <f t="shared" si="5"/>
        <v>0.85262544619759217</v>
      </c>
    </row>
    <row r="140" spans="1:15" x14ac:dyDescent="0.25">
      <c r="A140" s="12">
        <f t="shared" si="4"/>
        <v>1</v>
      </c>
      <c r="B140" s="12">
        <v>2021</v>
      </c>
      <c r="C140" s="12">
        <v>6419</v>
      </c>
      <c r="E140" s="12" t="s">
        <v>13</v>
      </c>
      <c r="F140" s="12" t="s">
        <v>14</v>
      </c>
      <c r="G140" s="14">
        <v>44213</v>
      </c>
      <c r="H140" s="12" t="s">
        <v>17</v>
      </c>
      <c r="I140" s="12" t="s">
        <v>19</v>
      </c>
      <c r="J140" s="12" t="s">
        <v>22</v>
      </c>
      <c r="K140" s="12">
        <v>230.00399999999999</v>
      </c>
      <c r="L140" s="12">
        <v>192.995</v>
      </c>
      <c r="O140" s="13">
        <f t="shared" si="5"/>
        <v>0.83909410271125728</v>
      </c>
    </row>
    <row r="141" spans="1:15" x14ac:dyDescent="0.25">
      <c r="A141" s="12">
        <f t="shared" si="4"/>
        <v>1</v>
      </c>
      <c r="B141" s="12">
        <v>2021</v>
      </c>
      <c r="C141" s="12">
        <v>6420</v>
      </c>
      <c r="E141" s="12" t="s">
        <v>13</v>
      </c>
      <c r="F141" s="12" t="s">
        <v>14</v>
      </c>
      <c r="G141" s="14">
        <v>44214</v>
      </c>
      <c r="H141" s="12" t="s">
        <v>17</v>
      </c>
      <c r="I141" s="12" t="s">
        <v>19</v>
      </c>
      <c r="J141" s="12" t="s">
        <v>22</v>
      </c>
      <c r="K141" s="12">
        <v>230.00399999999999</v>
      </c>
      <c r="L141" s="12">
        <v>203.09299999999999</v>
      </c>
      <c r="O141" s="13">
        <f t="shared" si="5"/>
        <v>0.88299768699674785</v>
      </c>
    </row>
    <row r="142" spans="1:15" x14ac:dyDescent="0.25">
      <c r="A142" s="12">
        <f t="shared" si="4"/>
        <v>1</v>
      </c>
      <c r="B142" s="12">
        <v>2021</v>
      </c>
      <c r="C142" s="12">
        <v>6421</v>
      </c>
      <c r="E142" s="12" t="s">
        <v>13</v>
      </c>
      <c r="F142" s="12" t="s">
        <v>14</v>
      </c>
      <c r="G142" s="14">
        <v>44215</v>
      </c>
      <c r="H142" s="12" t="s">
        <v>17</v>
      </c>
      <c r="I142" s="12" t="s">
        <v>19</v>
      </c>
      <c r="J142" s="12" t="s">
        <v>22</v>
      </c>
      <c r="K142" s="12">
        <v>229.98699999999999</v>
      </c>
      <c r="L142" s="12">
        <v>194.62799999999999</v>
      </c>
      <c r="O142" s="13">
        <f t="shared" si="5"/>
        <v>0.84625652754286107</v>
      </c>
    </row>
    <row r="143" spans="1:15" x14ac:dyDescent="0.25">
      <c r="A143" s="12">
        <f t="shared" si="4"/>
        <v>1</v>
      </c>
      <c r="B143" s="12">
        <v>2021</v>
      </c>
      <c r="C143" s="12">
        <v>6422</v>
      </c>
      <c r="E143" s="12" t="s">
        <v>13</v>
      </c>
      <c r="F143" s="12" t="s">
        <v>14</v>
      </c>
      <c r="G143" s="14">
        <v>44216</v>
      </c>
      <c r="H143" s="12" t="s">
        <v>17</v>
      </c>
      <c r="I143" s="12" t="s">
        <v>19</v>
      </c>
      <c r="J143" s="12" t="s">
        <v>35</v>
      </c>
      <c r="K143" s="12">
        <v>230.006</v>
      </c>
      <c r="L143" s="12">
        <v>196.76400000000001</v>
      </c>
      <c r="O143" s="13">
        <f t="shared" si="5"/>
        <v>0.85547333547820492</v>
      </c>
    </row>
    <row r="144" spans="1:15" x14ac:dyDescent="0.25">
      <c r="A144" s="12">
        <f t="shared" si="4"/>
        <v>1</v>
      </c>
      <c r="B144" s="12">
        <v>2021</v>
      </c>
      <c r="C144" s="12">
        <v>6423</v>
      </c>
      <c r="E144" s="12" t="s">
        <v>13</v>
      </c>
      <c r="F144" s="12" t="s">
        <v>14</v>
      </c>
      <c r="G144" s="14">
        <v>44217</v>
      </c>
      <c r="H144" s="12" t="s">
        <v>17</v>
      </c>
      <c r="I144" s="12" t="s">
        <v>19</v>
      </c>
      <c r="J144" s="12" t="s">
        <v>35</v>
      </c>
      <c r="K144" s="12">
        <v>230.005</v>
      </c>
      <c r="L144" s="12">
        <v>192.816</v>
      </c>
      <c r="O144" s="13">
        <f t="shared" si="5"/>
        <v>0.83831221060411731</v>
      </c>
    </row>
    <row r="145" spans="1:15" x14ac:dyDescent="0.25">
      <c r="A145" s="12">
        <f t="shared" si="4"/>
        <v>1</v>
      </c>
      <c r="B145" s="12">
        <v>2021</v>
      </c>
      <c r="C145" s="12">
        <v>6424</v>
      </c>
      <c r="E145" s="12" t="s">
        <v>13</v>
      </c>
      <c r="F145" s="12" t="s">
        <v>14</v>
      </c>
      <c r="G145" s="14">
        <v>44218</v>
      </c>
      <c r="H145" s="12" t="s">
        <v>17</v>
      </c>
      <c r="I145" s="12" t="s">
        <v>19</v>
      </c>
      <c r="J145" s="12" t="s">
        <v>22</v>
      </c>
      <c r="K145" s="12">
        <v>229.98699999999999</v>
      </c>
      <c r="L145" s="12">
        <v>189.589</v>
      </c>
      <c r="O145" s="13">
        <f t="shared" si="5"/>
        <v>0.82434659350311101</v>
      </c>
    </row>
    <row r="146" spans="1:15" x14ac:dyDescent="0.25">
      <c r="A146" s="12">
        <f t="shared" si="4"/>
        <v>1</v>
      </c>
      <c r="B146" s="12">
        <v>2021</v>
      </c>
      <c r="C146" s="12">
        <v>6425</v>
      </c>
      <c r="E146" s="12" t="s">
        <v>13</v>
      </c>
      <c r="F146" s="12" t="s">
        <v>14</v>
      </c>
      <c r="G146" s="14">
        <v>44219</v>
      </c>
      <c r="H146" s="12" t="s">
        <v>17</v>
      </c>
      <c r="I146" s="12" t="s">
        <v>19</v>
      </c>
      <c r="J146" s="12" t="s">
        <v>22</v>
      </c>
      <c r="K146" s="12">
        <v>229.988</v>
      </c>
      <c r="L146" s="12">
        <v>202.14699999999999</v>
      </c>
      <c r="O146" s="13">
        <f t="shared" si="5"/>
        <v>0.87894585804476755</v>
      </c>
    </row>
    <row r="147" spans="1:15" x14ac:dyDescent="0.25">
      <c r="A147" s="12">
        <f t="shared" si="4"/>
        <v>1</v>
      </c>
      <c r="B147" s="12">
        <v>2021</v>
      </c>
      <c r="C147" s="12">
        <v>6426</v>
      </c>
      <c r="E147" s="12" t="s">
        <v>13</v>
      </c>
      <c r="F147" s="12" t="s">
        <v>14</v>
      </c>
      <c r="G147" s="14">
        <v>44220</v>
      </c>
      <c r="H147" s="12" t="s">
        <v>17</v>
      </c>
      <c r="I147" s="12" t="s">
        <v>19</v>
      </c>
      <c r="J147" s="12" t="s">
        <v>25</v>
      </c>
      <c r="K147" s="12">
        <v>230</v>
      </c>
      <c r="L147" s="12">
        <v>191.01599999999999</v>
      </c>
      <c r="O147" s="13">
        <f t="shared" si="5"/>
        <v>0.83050434782608695</v>
      </c>
    </row>
    <row r="148" spans="1:15" x14ac:dyDescent="0.25">
      <c r="A148" s="12">
        <f t="shared" si="4"/>
        <v>1</v>
      </c>
      <c r="B148" s="12">
        <v>2021</v>
      </c>
      <c r="C148" s="12">
        <v>6427</v>
      </c>
      <c r="E148" s="12" t="s">
        <v>13</v>
      </c>
      <c r="F148" s="12" t="s">
        <v>14</v>
      </c>
      <c r="G148" s="14">
        <v>44221</v>
      </c>
      <c r="H148" s="12" t="s">
        <v>17</v>
      </c>
      <c r="I148" s="12" t="s">
        <v>19</v>
      </c>
      <c r="J148" s="12" t="s">
        <v>25</v>
      </c>
      <c r="K148" s="12">
        <v>230.001</v>
      </c>
      <c r="L148" s="12">
        <v>200.535</v>
      </c>
      <c r="O148" s="13">
        <f t="shared" si="5"/>
        <v>0.87188751353254978</v>
      </c>
    </row>
    <row r="149" spans="1:15" x14ac:dyDescent="0.25">
      <c r="A149" s="12">
        <f t="shared" si="4"/>
        <v>1</v>
      </c>
      <c r="B149" s="12">
        <v>2021</v>
      </c>
      <c r="C149" s="12">
        <v>6428</v>
      </c>
      <c r="E149" s="12" t="s">
        <v>13</v>
      </c>
      <c r="F149" s="12" t="s">
        <v>14</v>
      </c>
      <c r="G149" s="14">
        <v>44222</v>
      </c>
      <c r="H149" s="12" t="s">
        <v>17</v>
      </c>
      <c r="I149" s="12" t="s">
        <v>19</v>
      </c>
      <c r="J149" s="12" t="s">
        <v>25</v>
      </c>
      <c r="K149" s="12">
        <v>230.047</v>
      </c>
      <c r="L149" s="12">
        <v>192.52500000000001</v>
      </c>
      <c r="O149" s="13">
        <f t="shared" si="5"/>
        <v>0.83689419988089397</v>
      </c>
    </row>
    <row r="150" spans="1:15" x14ac:dyDescent="0.25">
      <c r="A150" s="12">
        <f t="shared" si="4"/>
        <v>1</v>
      </c>
      <c r="B150" s="12">
        <v>2021</v>
      </c>
      <c r="C150" s="12">
        <v>6429</v>
      </c>
      <c r="E150" s="12" t="s">
        <v>13</v>
      </c>
      <c r="F150" s="12" t="s">
        <v>14</v>
      </c>
      <c r="G150" s="14">
        <v>44223</v>
      </c>
      <c r="H150" s="12" t="s">
        <v>17</v>
      </c>
      <c r="I150" s="12" t="s">
        <v>19</v>
      </c>
      <c r="J150" s="12" t="s">
        <v>25</v>
      </c>
      <c r="K150" s="12">
        <v>230.006</v>
      </c>
      <c r="L150" s="12">
        <v>191.423</v>
      </c>
      <c r="O150" s="13">
        <f t="shared" si="5"/>
        <v>0.83225220211646656</v>
      </c>
    </row>
    <row r="151" spans="1:15" x14ac:dyDescent="0.25">
      <c r="A151" s="12">
        <f t="shared" si="4"/>
        <v>1</v>
      </c>
      <c r="B151" s="12">
        <v>2021</v>
      </c>
      <c r="C151" s="12">
        <v>6430</v>
      </c>
      <c r="E151" s="12" t="s">
        <v>13</v>
      </c>
      <c r="F151" s="12" t="s">
        <v>14</v>
      </c>
      <c r="G151" s="14">
        <v>44224</v>
      </c>
      <c r="H151" s="12" t="s">
        <v>17</v>
      </c>
      <c r="I151" s="12" t="s">
        <v>19</v>
      </c>
      <c r="J151" s="12" t="s">
        <v>25</v>
      </c>
      <c r="K151" s="12">
        <v>230.006</v>
      </c>
      <c r="L151" s="12">
        <v>195.40600000000001</v>
      </c>
      <c r="O151" s="13">
        <f t="shared" si="5"/>
        <v>0.84956914167456499</v>
      </c>
    </row>
    <row r="152" spans="1:15" x14ac:dyDescent="0.25">
      <c r="A152" s="12">
        <f t="shared" si="4"/>
        <v>1</v>
      </c>
      <c r="B152" s="12">
        <v>2021</v>
      </c>
      <c r="C152" s="12">
        <v>6431</v>
      </c>
      <c r="E152" s="12" t="s">
        <v>13</v>
      </c>
      <c r="F152" s="12" t="s">
        <v>14</v>
      </c>
      <c r="G152" s="14">
        <v>44225</v>
      </c>
      <c r="H152" s="12" t="s">
        <v>17</v>
      </c>
      <c r="I152" s="12" t="s">
        <v>19</v>
      </c>
      <c r="J152" s="12" t="s">
        <v>35</v>
      </c>
      <c r="K152" s="12">
        <v>230.006</v>
      </c>
      <c r="L152" s="12">
        <v>195.506</v>
      </c>
      <c r="O152" s="13">
        <f t="shared" si="5"/>
        <v>0.85000391294140154</v>
      </c>
    </row>
    <row r="153" spans="1:15" x14ac:dyDescent="0.25">
      <c r="A153" s="12">
        <f t="shared" si="4"/>
        <v>1</v>
      </c>
      <c r="B153" s="12">
        <v>2021</v>
      </c>
      <c r="C153" s="12">
        <v>6432</v>
      </c>
      <c r="E153" s="12" t="s">
        <v>13</v>
      </c>
      <c r="F153" s="12" t="s">
        <v>14</v>
      </c>
      <c r="G153" s="14">
        <v>44226</v>
      </c>
      <c r="H153" s="12" t="s">
        <v>17</v>
      </c>
      <c r="I153" s="12" t="s">
        <v>19</v>
      </c>
      <c r="J153" s="12" t="s">
        <v>35</v>
      </c>
      <c r="K153" s="12">
        <v>230.006</v>
      </c>
      <c r="L153" s="12">
        <v>195</v>
      </c>
      <c r="O153" s="13">
        <f t="shared" si="5"/>
        <v>0.8478039703312088</v>
      </c>
    </row>
    <row r="154" spans="1:15" x14ac:dyDescent="0.25">
      <c r="A154" s="12">
        <f t="shared" si="4"/>
        <v>1</v>
      </c>
      <c r="B154" s="12">
        <v>2021</v>
      </c>
      <c r="C154" s="12">
        <v>6433</v>
      </c>
      <c r="E154" s="12" t="s">
        <v>13</v>
      </c>
      <c r="F154" s="12" t="s">
        <v>14</v>
      </c>
      <c r="G154" s="14">
        <v>44227</v>
      </c>
      <c r="H154" s="12" t="s">
        <v>18</v>
      </c>
      <c r="I154" s="12" t="s">
        <v>19</v>
      </c>
      <c r="J154" s="12" t="s">
        <v>22</v>
      </c>
      <c r="K154" s="12">
        <v>229.99700000000001</v>
      </c>
      <c r="L154" s="12">
        <v>195</v>
      </c>
      <c r="O154" s="13">
        <f t="shared" si="5"/>
        <v>0.84783714570190039</v>
      </c>
    </row>
    <row r="155" spans="1:15" x14ac:dyDescent="0.25">
      <c r="A155" s="12">
        <f t="shared" si="4"/>
        <v>2</v>
      </c>
      <c r="B155" s="12">
        <v>2021</v>
      </c>
      <c r="C155" s="12">
        <v>6434</v>
      </c>
      <c r="E155" s="12" t="s">
        <v>13</v>
      </c>
      <c r="F155" s="12" t="s">
        <v>14</v>
      </c>
      <c r="G155" s="14">
        <v>44228</v>
      </c>
      <c r="H155" s="12" t="s">
        <v>17</v>
      </c>
      <c r="I155" s="12" t="s">
        <v>19</v>
      </c>
      <c r="J155" s="12" t="s">
        <v>22</v>
      </c>
      <c r="K155" s="12">
        <v>230.005</v>
      </c>
      <c r="L155" s="12">
        <v>189.922</v>
      </c>
      <c r="O155" s="13">
        <f t="shared" si="5"/>
        <v>0.82572987543749055</v>
      </c>
    </row>
    <row r="156" spans="1:15" x14ac:dyDescent="0.25">
      <c r="A156" s="12">
        <f t="shared" si="4"/>
        <v>2</v>
      </c>
      <c r="B156" s="12">
        <v>2021</v>
      </c>
      <c r="C156" s="12">
        <v>6435</v>
      </c>
      <c r="E156" s="12" t="s">
        <v>13</v>
      </c>
      <c r="F156" s="12" t="s">
        <v>14</v>
      </c>
      <c r="G156" s="14">
        <v>44229</v>
      </c>
      <c r="H156" s="12" t="s">
        <v>17</v>
      </c>
      <c r="I156" s="12" t="s">
        <v>19</v>
      </c>
      <c r="J156" s="12" t="s">
        <v>22</v>
      </c>
      <c r="K156" s="12">
        <v>230.00399999999999</v>
      </c>
      <c r="L156" s="12">
        <v>191.66200000000001</v>
      </c>
      <c r="O156" s="13">
        <f t="shared" si="5"/>
        <v>0.83329855132954211</v>
      </c>
    </row>
    <row r="157" spans="1:15" x14ac:dyDescent="0.25">
      <c r="A157" s="12">
        <f t="shared" si="4"/>
        <v>2</v>
      </c>
      <c r="B157" s="12">
        <v>2021</v>
      </c>
      <c r="C157" s="12">
        <v>6436</v>
      </c>
      <c r="E157" s="12" t="s">
        <v>13</v>
      </c>
      <c r="F157" s="12" t="s">
        <v>14</v>
      </c>
      <c r="G157" s="14">
        <v>44230</v>
      </c>
      <c r="H157" s="12" t="s">
        <v>17</v>
      </c>
      <c r="I157" s="12" t="s">
        <v>19</v>
      </c>
      <c r="J157" s="12" t="s">
        <v>22</v>
      </c>
      <c r="K157" s="12">
        <v>230.02</v>
      </c>
      <c r="L157" s="12">
        <v>192.02</v>
      </c>
      <c r="O157" s="13">
        <f t="shared" si="5"/>
        <v>0.83479697417615861</v>
      </c>
    </row>
    <row r="158" spans="1:15" x14ac:dyDescent="0.25">
      <c r="A158" s="12">
        <f t="shared" si="4"/>
        <v>2</v>
      </c>
      <c r="B158" s="12">
        <v>2021</v>
      </c>
      <c r="C158" s="12">
        <v>6437</v>
      </c>
      <c r="E158" s="12" t="s">
        <v>13</v>
      </c>
      <c r="F158" s="12" t="s">
        <v>14</v>
      </c>
      <c r="G158" s="14">
        <v>44231</v>
      </c>
      <c r="H158" s="12" t="s">
        <v>17</v>
      </c>
      <c r="I158" s="12" t="s">
        <v>19</v>
      </c>
      <c r="J158" s="12" t="s">
        <v>22</v>
      </c>
      <c r="K158" s="12">
        <v>230.02</v>
      </c>
      <c r="L158" s="12">
        <v>194.52699999999999</v>
      </c>
      <c r="O158" s="13">
        <f t="shared" si="5"/>
        <v>0.84569602643248398</v>
      </c>
    </row>
    <row r="159" spans="1:15" x14ac:dyDescent="0.25">
      <c r="A159" s="12">
        <f t="shared" si="4"/>
        <v>2</v>
      </c>
      <c r="B159" s="12">
        <v>2021</v>
      </c>
      <c r="C159" s="12">
        <v>6438</v>
      </c>
      <c r="E159" s="12" t="s">
        <v>13</v>
      </c>
      <c r="F159" s="12" t="s">
        <v>14</v>
      </c>
      <c r="G159" s="14">
        <v>44232</v>
      </c>
      <c r="H159" s="12" t="s">
        <v>17</v>
      </c>
      <c r="I159" s="12" t="s">
        <v>19</v>
      </c>
      <c r="J159" s="12" t="s">
        <v>22</v>
      </c>
      <c r="K159" s="12">
        <v>230.03200000000001</v>
      </c>
      <c r="L159" s="12">
        <v>193.74600000000001</v>
      </c>
      <c r="O159" s="13">
        <f t="shared" si="5"/>
        <v>0.84225672949850461</v>
      </c>
    </row>
    <row r="160" spans="1:15" x14ac:dyDescent="0.25">
      <c r="A160" s="12">
        <f t="shared" si="4"/>
        <v>2</v>
      </c>
      <c r="B160" s="12">
        <v>2021</v>
      </c>
      <c r="C160" s="12">
        <v>6439</v>
      </c>
      <c r="E160" s="12" t="s">
        <v>13</v>
      </c>
      <c r="F160" s="12" t="s">
        <v>14</v>
      </c>
      <c r="G160" s="14">
        <v>44233</v>
      </c>
      <c r="H160" s="12" t="s">
        <v>34</v>
      </c>
      <c r="I160" s="12" t="s">
        <v>19</v>
      </c>
      <c r="J160" s="12" t="s">
        <v>26</v>
      </c>
      <c r="K160" s="12">
        <v>230.00200000000001</v>
      </c>
      <c r="L160" s="12">
        <v>192.34200000000001</v>
      </c>
      <c r="O160" s="13">
        <f t="shared" si="5"/>
        <v>0.83626229337136204</v>
      </c>
    </row>
    <row r="161" spans="1:15" x14ac:dyDescent="0.25">
      <c r="A161" s="12">
        <f t="shared" si="4"/>
        <v>2</v>
      </c>
      <c r="B161" s="12">
        <v>2021</v>
      </c>
      <c r="C161" s="12">
        <v>6440</v>
      </c>
      <c r="E161" s="12" t="s">
        <v>13</v>
      </c>
      <c r="F161" s="12" t="s">
        <v>14</v>
      </c>
      <c r="G161" s="14">
        <v>44234</v>
      </c>
      <c r="H161" s="12" t="s">
        <v>34</v>
      </c>
      <c r="I161" s="12" t="s">
        <v>19</v>
      </c>
      <c r="J161" s="12" t="s">
        <v>26</v>
      </c>
      <c r="K161" s="12">
        <v>230.001</v>
      </c>
      <c r="L161" s="12">
        <v>200.1</v>
      </c>
      <c r="O161" s="13">
        <f t="shared" si="5"/>
        <v>0.86999621740775035</v>
      </c>
    </row>
    <row r="162" spans="1:15" x14ac:dyDescent="0.25">
      <c r="A162" s="12">
        <f t="shared" si="4"/>
        <v>2</v>
      </c>
      <c r="B162" s="12">
        <v>2021</v>
      </c>
      <c r="C162" s="12">
        <v>6441</v>
      </c>
      <c r="E162" s="12" t="s">
        <v>13</v>
      </c>
      <c r="F162" s="12" t="s">
        <v>14</v>
      </c>
      <c r="G162" s="14">
        <v>44235</v>
      </c>
      <c r="H162" s="12" t="s">
        <v>17</v>
      </c>
      <c r="I162" s="12" t="s">
        <v>19</v>
      </c>
      <c r="J162" s="12" t="s">
        <v>22</v>
      </c>
      <c r="K162" s="12">
        <v>230.00200000000001</v>
      </c>
      <c r="L162" s="12">
        <v>194.239</v>
      </c>
      <c r="O162" s="13">
        <f t="shared" si="5"/>
        <v>0.8445100477387153</v>
      </c>
    </row>
    <row r="163" spans="1:15" x14ac:dyDescent="0.25">
      <c r="A163" s="12">
        <f t="shared" si="4"/>
        <v>2</v>
      </c>
      <c r="B163" s="12">
        <v>2021</v>
      </c>
      <c r="C163" s="12">
        <v>6442</v>
      </c>
      <c r="E163" s="12" t="s">
        <v>13</v>
      </c>
      <c r="F163" s="12" t="s">
        <v>14</v>
      </c>
      <c r="G163" s="14">
        <v>44236</v>
      </c>
      <c r="H163" s="12" t="s">
        <v>17</v>
      </c>
      <c r="I163" s="12" t="s">
        <v>19</v>
      </c>
      <c r="J163" s="12" t="s">
        <v>22</v>
      </c>
      <c r="K163" s="12">
        <v>230.001</v>
      </c>
      <c r="L163" s="12">
        <v>202.316</v>
      </c>
      <c r="O163" s="13">
        <f t="shared" si="5"/>
        <v>0.87963095812626901</v>
      </c>
    </row>
    <row r="164" spans="1:15" x14ac:dyDescent="0.25">
      <c r="A164" s="12">
        <f t="shared" si="4"/>
        <v>2</v>
      </c>
      <c r="B164" s="12">
        <v>2021</v>
      </c>
      <c r="C164" s="12">
        <v>6443</v>
      </c>
      <c r="E164" s="12" t="s">
        <v>13</v>
      </c>
      <c r="F164" s="12" t="s">
        <v>14</v>
      </c>
      <c r="G164" s="14">
        <v>44237</v>
      </c>
      <c r="H164" s="12" t="s">
        <v>17</v>
      </c>
      <c r="I164" s="12" t="s">
        <v>19</v>
      </c>
      <c r="J164" s="12" t="s">
        <v>22</v>
      </c>
      <c r="K164" s="12">
        <v>229.99299999999999</v>
      </c>
      <c r="L164" s="12">
        <v>191.166</v>
      </c>
      <c r="O164" s="13">
        <f t="shared" si="5"/>
        <v>0.83118181857708717</v>
      </c>
    </row>
    <row r="165" spans="1:15" x14ac:dyDescent="0.25">
      <c r="A165" s="12">
        <f t="shared" si="4"/>
        <v>2</v>
      </c>
      <c r="B165" s="12">
        <v>2021</v>
      </c>
      <c r="C165" s="12">
        <v>6444</v>
      </c>
      <c r="E165" s="12" t="s">
        <v>13</v>
      </c>
      <c r="F165" s="12" t="s">
        <v>14</v>
      </c>
      <c r="G165" s="14">
        <v>44238</v>
      </c>
      <c r="H165" s="12" t="s">
        <v>17</v>
      </c>
      <c r="I165" s="12" t="s">
        <v>19</v>
      </c>
      <c r="J165" s="12" t="s">
        <v>22</v>
      </c>
      <c r="K165" s="12">
        <v>229.994</v>
      </c>
      <c r="L165" s="12">
        <v>204.50299999999999</v>
      </c>
      <c r="O165" s="13">
        <f t="shared" si="5"/>
        <v>0.88916667391323245</v>
      </c>
    </row>
    <row r="166" spans="1:15" x14ac:dyDescent="0.25">
      <c r="A166" s="12">
        <f t="shared" si="4"/>
        <v>2</v>
      </c>
      <c r="B166" s="12">
        <v>2021</v>
      </c>
      <c r="C166" s="12">
        <v>6445</v>
      </c>
      <c r="E166" s="12" t="s">
        <v>13</v>
      </c>
      <c r="F166" s="12" t="s">
        <v>14</v>
      </c>
      <c r="G166" s="14">
        <v>44239</v>
      </c>
      <c r="H166" s="12" t="s">
        <v>17</v>
      </c>
      <c r="I166" s="12" t="s">
        <v>19</v>
      </c>
      <c r="J166" s="12" t="s">
        <v>22</v>
      </c>
      <c r="K166" s="12">
        <v>230.03100000000001</v>
      </c>
      <c r="L166" s="12">
        <v>198.80600000000001</v>
      </c>
      <c r="O166" s="13">
        <f t="shared" si="5"/>
        <v>0.86425742617299406</v>
      </c>
    </row>
    <row r="167" spans="1:15" x14ac:dyDescent="0.25">
      <c r="A167" s="12">
        <f t="shared" si="4"/>
        <v>2</v>
      </c>
      <c r="B167" s="12">
        <v>2021</v>
      </c>
      <c r="C167" s="12">
        <v>6446</v>
      </c>
      <c r="E167" s="12" t="s">
        <v>13</v>
      </c>
      <c r="F167" s="12" t="s">
        <v>14</v>
      </c>
      <c r="G167" s="14">
        <v>44240</v>
      </c>
      <c r="H167" s="12" t="s">
        <v>36</v>
      </c>
      <c r="I167" s="12" t="s">
        <v>19</v>
      </c>
      <c r="J167" s="12" t="s">
        <v>22</v>
      </c>
      <c r="K167" s="12">
        <v>229.95699999999999</v>
      </c>
      <c r="L167" s="12">
        <v>184.6</v>
      </c>
      <c r="O167" s="13">
        <f t="shared" si="5"/>
        <v>0.80275877664085027</v>
      </c>
    </row>
    <row r="168" spans="1:15" x14ac:dyDescent="0.25">
      <c r="A168" s="12">
        <f t="shared" si="4"/>
        <v>2</v>
      </c>
      <c r="B168" s="12">
        <v>2021</v>
      </c>
      <c r="C168" s="12">
        <v>6447</v>
      </c>
      <c r="E168" s="12" t="s">
        <v>13</v>
      </c>
      <c r="F168" s="12" t="s">
        <v>14</v>
      </c>
      <c r="G168" s="14">
        <v>44241</v>
      </c>
      <c r="H168" s="12" t="s">
        <v>36</v>
      </c>
      <c r="I168" s="12" t="s">
        <v>19</v>
      </c>
      <c r="J168" s="12" t="s">
        <v>22</v>
      </c>
      <c r="K168" s="12">
        <v>229.95699999999999</v>
      </c>
      <c r="L168" s="12">
        <v>201.089</v>
      </c>
      <c r="O168" s="13">
        <f t="shared" si="5"/>
        <v>0.87446348665185236</v>
      </c>
    </row>
    <row r="169" spans="1:15" x14ac:dyDescent="0.25">
      <c r="A169" s="12">
        <f t="shared" si="4"/>
        <v>2</v>
      </c>
      <c r="B169" s="12">
        <v>2021</v>
      </c>
      <c r="C169" s="12">
        <v>6448</v>
      </c>
      <c r="E169" s="12" t="s">
        <v>13</v>
      </c>
      <c r="F169" s="12" t="s">
        <v>14</v>
      </c>
      <c r="G169" s="14">
        <v>44242</v>
      </c>
      <c r="H169" s="12" t="s">
        <v>17</v>
      </c>
      <c r="I169" s="12" t="s">
        <v>19</v>
      </c>
      <c r="J169" s="12" t="s">
        <v>22</v>
      </c>
      <c r="K169" s="12">
        <v>230</v>
      </c>
      <c r="L169" s="12">
        <v>192.899</v>
      </c>
      <c r="O169" s="13">
        <f t="shared" si="5"/>
        <v>0.83869130434782613</v>
      </c>
    </row>
    <row r="170" spans="1:15" x14ac:dyDescent="0.25">
      <c r="A170" s="12">
        <f t="shared" si="4"/>
        <v>2</v>
      </c>
      <c r="B170" s="12">
        <v>2021</v>
      </c>
      <c r="C170" s="12">
        <v>6449</v>
      </c>
      <c r="E170" s="12" t="s">
        <v>13</v>
      </c>
      <c r="F170" s="12" t="s">
        <v>14</v>
      </c>
      <c r="G170" s="14">
        <v>44243</v>
      </c>
      <c r="H170" s="12" t="s">
        <v>17</v>
      </c>
      <c r="I170" s="12" t="s">
        <v>19</v>
      </c>
      <c r="J170" s="12" t="s">
        <v>22</v>
      </c>
      <c r="K170" s="12">
        <v>229.999</v>
      </c>
      <c r="L170" s="12">
        <v>196.04400000000001</v>
      </c>
      <c r="O170" s="13">
        <f t="shared" si="5"/>
        <v>0.85236892334314507</v>
      </c>
    </row>
    <row r="171" spans="1:15" x14ac:dyDescent="0.25">
      <c r="A171" s="12">
        <f t="shared" si="4"/>
        <v>2</v>
      </c>
      <c r="B171" s="12">
        <v>2021</v>
      </c>
      <c r="C171" s="12">
        <v>6450</v>
      </c>
      <c r="E171" s="12" t="s">
        <v>13</v>
      </c>
      <c r="F171" s="12" t="s">
        <v>14</v>
      </c>
      <c r="G171" s="14">
        <v>44244</v>
      </c>
      <c r="H171" s="12" t="s">
        <v>17</v>
      </c>
      <c r="I171" s="12" t="s">
        <v>19</v>
      </c>
      <c r="J171" s="12" t="s">
        <v>22</v>
      </c>
      <c r="K171" s="12">
        <v>229.99100000000001</v>
      </c>
      <c r="L171" s="12">
        <v>190.75700000000001</v>
      </c>
      <c r="O171" s="13">
        <f t="shared" si="5"/>
        <v>0.82941071607149841</v>
      </c>
    </row>
    <row r="172" spans="1:15" x14ac:dyDescent="0.25">
      <c r="A172" s="12">
        <f t="shared" si="4"/>
        <v>2</v>
      </c>
      <c r="B172" s="12">
        <v>2021</v>
      </c>
      <c r="C172" s="12">
        <v>6451</v>
      </c>
      <c r="E172" s="12" t="s">
        <v>13</v>
      </c>
      <c r="F172" s="12" t="s">
        <v>14</v>
      </c>
      <c r="G172" s="14">
        <v>44245</v>
      </c>
      <c r="H172" s="12" t="s">
        <v>17</v>
      </c>
      <c r="I172" s="12" t="s">
        <v>19</v>
      </c>
      <c r="J172" s="12" t="s">
        <v>22</v>
      </c>
      <c r="K172" s="12">
        <v>229.99199999999999</v>
      </c>
      <c r="L172" s="12">
        <v>204.99299999999999</v>
      </c>
      <c r="O172" s="13">
        <f t="shared" si="5"/>
        <v>0.89130491495356357</v>
      </c>
    </row>
    <row r="173" spans="1:15" x14ac:dyDescent="0.25">
      <c r="A173" s="12">
        <f t="shared" si="4"/>
        <v>2</v>
      </c>
      <c r="B173" s="12">
        <v>2021</v>
      </c>
      <c r="C173" s="12">
        <v>6452</v>
      </c>
      <c r="E173" s="12" t="s">
        <v>13</v>
      </c>
      <c r="F173" s="12" t="s">
        <v>14</v>
      </c>
      <c r="G173" s="14">
        <v>44246</v>
      </c>
      <c r="H173" s="12" t="s">
        <v>17</v>
      </c>
      <c r="I173" s="12" t="s">
        <v>19</v>
      </c>
      <c r="J173" s="12" t="s">
        <v>22</v>
      </c>
      <c r="K173" s="12">
        <v>230.00399999999999</v>
      </c>
      <c r="L173" s="12">
        <v>194.23099999999999</v>
      </c>
      <c r="O173" s="13">
        <f t="shared" si="5"/>
        <v>0.84446792229700351</v>
      </c>
    </row>
    <row r="174" spans="1:15" x14ac:dyDescent="0.25">
      <c r="A174" s="12">
        <f t="shared" si="4"/>
        <v>2</v>
      </c>
      <c r="B174" s="12">
        <v>2021</v>
      </c>
      <c r="C174" s="12">
        <v>6453</v>
      </c>
      <c r="E174" s="12" t="s">
        <v>13</v>
      </c>
      <c r="F174" s="12" t="s">
        <v>14</v>
      </c>
      <c r="G174" s="14">
        <v>44247</v>
      </c>
      <c r="H174" s="12" t="s">
        <v>17</v>
      </c>
      <c r="I174" s="12" t="s">
        <v>19</v>
      </c>
      <c r="J174" s="12" t="s">
        <v>35</v>
      </c>
      <c r="K174" s="12">
        <v>230.001</v>
      </c>
      <c r="L174" s="12">
        <v>200.33600000000001</v>
      </c>
      <c r="O174" s="13">
        <f t="shared" si="5"/>
        <v>0.87102229990304392</v>
      </c>
    </row>
    <row r="175" spans="1:15" x14ac:dyDescent="0.25">
      <c r="A175" s="12">
        <f t="shared" si="4"/>
        <v>2</v>
      </c>
      <c r="B175" s="12">
        <v>2021</v>
      </c>
      <c r="C175" s="12">
        <v>6454</v>
      </c>
      <c r="E175" s="12" t="s">
        <v>13</v>
      </c>
      <c r="F175" s="12" t="s">
        <v>14</v>
      </c>
      <c r="G175" s="14">
        <v>44248</v>
      </c>
      <c r="H175" s="12" t="s">
        <v>17</v>
      </c>
      <c r="I175" s="12" t="s">
        <v>19</v>
      </c>
      <c r="J175" s="12" t="s">
        <v>35</v>
      </c>
      <c r="K175" s="12">
        <v>230.00200000000001</v>
      </c>
      <c r="L175" s="12">
        <v>192.149</v>
      </c>
      <c r="O175" s="13">
        <f t="shared" si="5"/>
        <v>0.83542317023330226</v>
      </c>
    </row>
    <row r="176" spans="1:15" x14ac:dyDescent="0.25">
      <c r="A176" s="12">
        <f t="shared" si="4"/>
        <v>2</v>
      </c>
      <c r="B176" s="12">
        <v>2021</v>
      </c>
      <c r="C176" s="12">
        <v>6455</v>
      </c>
      <c r="E176" s="12" t="s">
        <v>13</v>
      </c>
      <c r="F176" s="12" t="s">
        <v>14</v>
      </c>
      <c r="G176" s="14">
        <v>44249</v>
      </c>
      <c r="H176" s="12" t="s">
        <v>17</v>
      </c>
      <c r="I176" s="12" t="s">
        <v>19</v>
      </c>
      <c r="J176" s="12" t="s">
        <v>26</v>
      </c>
      <c r="K176" s="12">
        <v>230</v>
      </c>
      <c r="L176" s="12">
        <v>189.751</v>
      </c>
      <c r="O176" s="13">
        <f t="shared" si="5"/>
        <v>0.825004347826087</v>
      </c>
    </row>
    <row r="177" spans="1:15" x14ac:dyDescent="0.25">
      <c r="A177" s="12">
        <f t="shared" si="4"/>
        <v>2</v>
      </c>
      <c r="B177" s="12">
        <v>2021</v>
      </c>
      <c r="C177" s="12">
        <v>6456</v>
      </c>
      <c r="E177" s="12" t="s">
        <v>13</v>
      </c>
      <c r="F177" s="12" t="s">
        <v>14</v>
      </c>
      <c r="G177" s="14">
        <v>44250</v>
      </c>
      <c r="H177" s="12" t="s">
        <v>17</v>
      </c>
      <c r="I177" s="12" t="s">
        <v>19</v>
      </c>
      <c r="J177" s="12" t="s">
        <v>26</v>
      </c>
      <c r="K177" s="12">
        <v>230</v>
      </c>
      <c r="L177" s="12">
        <v>201.94200000000001</v>
      </c>
      <c r="O177" s="13">
        <f t="shared" si="5"/>
        <v>0.87800869565217399</v>
      </c>
    </row>
    <row r="178" spans="1:15" x14ac:dyDescent="0.25">
      <c r="A178" s="12">
        <f t="shared" si="4"/>
        <v>2</v>
      </c>
      <c r="B178" s="12">
        <v>2021</v>
      </c>
      <c r="C178" s="12">
        <v>6457</v>
      </c>
      <c r="E178" s="12" t="s">
        <v>13</v>
      </c>
      <c r="F178" s="12" t="s">
        <v>14</v>
      </c>
      <c r="G178" s="14">
        <v>44251</v>
      </c>
      <c r="H178" s="12" t="s">
        <v>17</v>
      </c>
      <c r="I178" s="12" t="s">
        <v>19</v>
      </c>
      <c r="J178" s="12" t="s">
        <v>22</v>
      </c>
      <c r="K178" s="12">
        <v>230.001</v>
      </c>
      <c r="L178" s="12">
        <v>191.881</v>
      </c>
      <c r="O178" s="13">
        <f t="shared" si="5"/>
        <v>0.8342615901669993</v>
      </c>
    </row>
    <row r="179" spans="1:15" x14ac:dyDescent="0.25">
      <c r="A179" s="12">
        <f t="shared" si="4"/>
        <v>2</v>
      </c>
      <c r="B179" s="12">
        <v>2021</v>
      </c>
      <c r="C179" s="12">
        <v>6458</v>
      </c>
      <c r="E179" s="12" t="s">
        <v>13</v>
      </c>
      <c r="F179" s="12" t="s">
        <v>14</v>
      </c>
      <c r="G179" s="14">
        <v>44252</v>
      </c>
      <c r="H179" s="12" t="s">
        <v>17</v>
      </c>
      <c r="I179" s="12" t="s">
        <v>19</v>
      </c>
      <c r="J179" s="12" t="s">
        <v>22</v>
      </c>
      <c r="K179" s="12">
        <v>230.00200000000001</v>
      </c>
      <c r="L179" s="12">
        <v>196.851</v>
      </c>
      <c r="O179" s="13">
        <f t="shared" si="5"/>
        <v>0.85586647072634148</v>
      </c>
    </row>
    <row r="180" spans="1:15" x14ac:dyDescent="0.25">
      <c r="A180" s="12">
        <f t="shared" si="4"/>
        <v>2</v>
      </c>
      <c r="B180" s="12">
        <v>2021</v>
      </c>
      <c r="C180" s="12">
        <v>6459</v>
      </c>
      <c r="E180" s="12" t="s">
        <v>13</v>
      </c>
      <c r="F180" s="12" t="s">
        <v>14</v>
      </c>
      <c r="G180" s="14">
        <v>44253</v>
      </c>
      <c r="H180" s="12" t="s">
        <v>17</v>
      </c>
      <c r="I180" s="12" t="s">
        <v>19</v>
      </c>
      <c r="J180" s="12" t="s">
        <v>22</v>
      </c>
      <c r="K180" s="12">
        <v>230.01499999999999</v>
      </c>
      <c r="L180" s="12">
        <v>197.15</v>
      </c>
      <c r="O180" s="13">
        <f t="shared" si="5"/>
        <v>0.85711801404256249</v>
      </c>
    </row>
    <row r="181" spans="1:15" x14ac:dyDescent="0.25">
      <c r="A181" s="12">
        <f t="shared" si="4"/>
        <v>2</v>
      </c>
      <c r="B181" s="12">
        <v>2021</v>
      </c>
      <c r="C181" s="12">
        <v>6460</v>
      </c>
      <c r="E181" s="12" t="s">
        <v>13</v>
      </c>
      <c r="F181" s="12" t="s">
        <v>14</v>
      </c>
      <c r="G181" s="14">
        <v>44254</v>
      </c>
      <c r="H181" s="12" t="s">
        <v>17</v>
      </c>
      <c r="I181" s="12" t="s">
        <v>19</v>
      </c>
      <c r="J181" s="12" t="s">
        <v>22</v>
      </c>
      <c r="K181" s="12">
        <v>219.989</v>
      </c>
      <c r="L181" s="12">
        <v>195</v>
      </c>
      <c r="O181" s="13">
        <f t="shared" si="5"/>
        <v>0.88640795676147444</v>
      </c>
    </row>
    <row r="182" spans="1:15" x14ac:dyDescent="0.25">
      <c r="A182" s="12">
        <f t="shared" si="4"/>
        <v>2</v>
      </c>
      <c r="B182" s="12">
        <v>2021</v>
      </c>
      <c r="C182" s="12">
        <v>6461</v>
      </c>
      <c r="E182" s="12" t="s">
        <v>13</v>
      </c>
      <c r="F182" s="12" t="s">
        <v>14</v>
      </c>
      <c r="G182" s="14">
        <v>44255</v>
      </c>
      <c r="H182" s="12" t="s">
        <v>17</v>
      </c>
      <c r="I182" s="12" t="s">
        <v>19</v>
      </c>
      <c r="J182" s="12" t="s">
        <v>22</v>
      </c>
      <c r="K182" s="12">
        <v>219.989</v>
      </c>
      <c r="L182" s="12">
        <v>195</v>
      </c>
      <c r="O182" s="13">
        <f t="shared" si="5"/>
        <v>0.88640795676147444</v>
      </c>
    </row>
    <row r="183" spans="1:15" x14ac:dyDescent="0.25">
      <c r="A183" s="12">
        <f t="shared" si="4"/>
        <v>3</v>
      </c>
      <c r="B183" s="12">
        <v>2021</v>
      </c>
      <c r="C183" s="12">
        <v>6462</v>
      </c>
      <c r="E183" s="12" t="s">
        <v>13</v>
      </c>
      <c r="F183" s="12" t="s">
        <v>14</v>
      </c>
      <c r="G183" s="14">
        <v>44256</v>
      </c>
      <c r="H183" s="12" t="s">
        <v>18</v>
      </c>
      <c r="I183" s="12" t="s">
        <v>20</v>
      </c>
      <c r="J183" s="12" t="s">
        <v>30</v>
      </c>
      <c r="K183" s="12">
        <v>234.5</v>
      </c>
      <c r="L183" s="12">
        <v>202.90600000000001</v>
      </c>
      <c r="O183" s="13">
        <f t="shared" si="5"/>
        <v>0.86527078891258002</v>
      </c>
    </row>
    <row r="184" spans="1:15" x14ac:dyDescent="0.25">
      <c r="A184" s="12">
        <f t="shared" si="4"/>
        <v>3</v>
      </c>
      <c r="B184" s="12">
        <v>2021</v>
      </c>
      <c r="C184" s="12">
        <v>6463</v>
      </c>
      <c r="E184" s="12" t="s">
        <v>13</v>
      </c>
      <c r="F184" s="12" t="s">
        <v>14</v>
      </c>
      <c r="G184" s="14">
        <v>44257</v>
      </c>
      <c r="H184" s="12" t="s">
        <v>18</v>
      </c>
      <c r="I184" s="12" t="s">
        <v>20</v>
      </c>
      <c r="J184" s="12" t="s">
        <v>30</v>
      </c>
      <c r="K184" s="12">
        <v>234.5</v>
      </c>
      <c r="L184" s="12">
        <v>203.09</v>
      </c>
      <c r="O184" s="13">
        <f t="shared" si="5"/>
        <v>0.86605543710021327</v>
      </c>
    </row>
    <row r="185" spans="1:15" x14ac:dyDescent="0.25">
      <c r="A185" s="12">
        <f t="shared" si="4"/>
        <v>3</v>
      </c>
      <c r="B185" s="12">
        <v>2021</v>
      </c>
      <c r="C185" s="12">
        <v>6464</v>
      </c>
      <c r="E185" s="12" t="s">
        <v>13</v>
      </c>
      <c r="F185" s="12" t="s">
        <v>14</v>
      </c>
      <c r="G185" s="14">
        <v>44258</v>
      </c>
      <c r="H185" s="12" t="s">
        <v>37</v>
      </c>
      <c r="I185" s="12" t="s">
        <v>19</v>
      </c>
      <c r="J185" s="12" t="s">
        <v>22</v>
      </c>
      <c r="K185" s="12">
        <v>229.965</v>
      </c>
      <c r="L185" s="12">
        <v>194.065</v>
      </c>
      <c r="O185" s="13">
        <f t="shared" si="5"/>
        <v>0.84388928750027181</v>
      </c>
    </row>
    <row r="186" spans="1:15" x14ac:dyDescent="0.25">
      <c r="A186" s="12">
        <f t="shared" si="4"/>
        <v>3</v>
      </c>
      <c r="B186" s="12">
        <v>2021</v>
      </c>
      <c r="C186" s="12">
        <v>6465</v>
      </c>
      <c r="E186" s="12" t="s">
        <v>13</v>
      </c>
      <c r="F186" s="12" t="s">
        <v>14</v>
      </c>
      <c r="G186" s="14">
        <v>44259</v>
      </c>
      <c r="H186" s="12" t="s">
        <v>37</v>
      </c>
      <c r="I186" s="12" t="s">
        <v>19</v>
      </c>
      <c r="J186" s="12" t="s">
        <v>22</v>
      </c>
      <c r="K186" s="12">
        <v>229.99700000000001</v>
      </c>
      <c r="L186" s="12">
        <v>194.59399999999999</v>
      </c>
      <c r="O186" s="13">
        <f t="shared" si="5"/>
        <v>0.84607190528572107</v>
      </c>
    </row>
    <row r="187" spans="1:15" x14ac:dyDescent="0.25">
      <c r="A187" s="12">
        <f t="shared" si="4"/>
        <v>3</v>
      </c>
      <c r="B187" s="12">
        <v>2021</v>
      </c>
      <c r="C187" s="12">
        <v>6466</v>
      </c>
      <c r="E187" s="12" t="s">
        <v>13</v>
      </c>
      <c r="F187" s="12" t="s">
        <v>14</v>
      </c>
      <c r="G187" s="14">
        <v>44260</v>
      </c>
      <c r="H187" s="12" t="s">
        <v>37</v>
      </c>
      <c r="I187" s="12" t="s">
        <v>19</v>
      </c>
      <c r="J187" s="12" t="s">
        <v>22</v>
      </c>
      <c r="K187" s="12">
        <v>229.99799999999999</v>
      </c>
      <c r="L187" s="12">
        <v>193.70599999999999</v>
      </c>
      <c r="O187" s="13">
        <f t="shared" si="5"/>
        <v>0.84220732354194383</v>
      </c>
    </row>
    <row r="188" spans="1:15" x14ac:dyDescent="0.25">
      <c r="A188" s="12">
        <f t="shared" si="4"/>
        <v>3</v>
      </c>
      <c r="B188" s="12">
        <v>2021</v>
      </c>
      <c r="C188" s="12">
        <v>6467</v>
      </c>
      <c r="E188" s="12" t="s">
        <v>13</v>
      </c>
      <c r="F188" s="12" t="s">
        <v>14</v>
      </c>
      <c r="G188" s="14">
        <v>44261</v>
      </c>
      <c r="H188" s="12" t="s">
        <v>37</v>
      </c>
      <c r="I188" s="12" t="s">
        <v>19</v>
      </c>
      <c r="J188" s="12" t="s">
        <v>22</v>
      </c>
      <c r="K188" s="12">
        <v>230.01599999999999</v>
      </c>
      <c r="L188" s="12">
        <v>197.27099999999999</v>
      </c>
      <c r="O188" s="13">
        <f t="shared" si="5"/>
        <v>0.85764033806343909</v>
      </c>
    </row>
    <row r="189" spans="1:15" x14ac:dyDescent="0.25">
      <c r="A189" s="12">
        <f t="shared" si="4"/>
        <v>3</v>
      </c>
      <c r="B189" s="12">
        <v>2021</v>
      </c>
      <c r="C189" s="12">
        <v>6468</v>
      </c>
      <c r="E189" s="12" t="s">
        <v>13</v>
      </c>
      <c r="F189" s="12" t="s">
        <v>14</v>
      </c>
      <c r="G189" s="14">
        <v>44262</v>
      </c>
      <c r="H189" s="12" t="s">
        <v>37</v>
      </c>
      <c r="I189" s="12" t="s">
        <v>19</v>
      </c>
      <c r="J189" s="12" t="s">
        <v>22</v>
      </c>
      <c r="K189" s="12">
        <v>230.01599999999999</v>
      </c>
      <c r="L189" s="12">
        <v>197.08600000000001</v>
      </c>
      <c r="O189" s="13">
        <f t="shared" si="5"/>
        <v>0.85683604618809139</v>
      </c>
    </row>
    <row r="190" spans="1:15" x14ac:dyDescent="0.25">
      <c r="A190" s="12">
        <f t="shared" si="4"/>
        <v>3</v>
      </c>
      <c r="B190" s="12">
        <v>2021</v>
      </c>
      <c r="C190" s="12">
        <v>6469</v>
      </c>
      <c r="E190" s="12" t="s">
        <v>13</v>
      </c>
      <c r="F190" s="12" t="s">
        <v>14</v>
      </c>
      <c r="G190" s="14">
        <v>44263</v>
      </c>
      <c r="H190" s="12" t="s">
        <v>37</v>
      </c>
      <c r="I190" s="12" t="s">
        <v>20</v>
      </c>
      <c r="J190" s="12" t="s">
        <v>31</v>
      </c>
      <c r="K190" s="12">
        <v>235.00200000000001</v>
      </c>
      <c r="L190" s="12">
        <v>200.78399999999999</v>
      </c>
      <c r="O190" s="13">
        <f t="shared" si="5"/>
        <v>0.85439272857252269</v>
      </c>
    </row>
    <row r="191" spans="1:15" x14ac:dyDescent="0.25">
      <c r="A191" s="12">
        <f t="shared" si="4"/>
        <v>3</v>
      </c>
      <c r="B191" s="12">
        <v>2021</v>
      </c>
      <c r="C191" s="12">
        <v>6470</v>
      </c>
      <c r="E191" s="12" t="s">
        <v>13</v>
      </c>
      <c r="F191" s="12" t="s">
        <v>14</v>
      </c>
      <c r="G191" s="14">
        <v>44264</v>
      </c>
      <c r="H191" s="12" t="s">
        <v>37</v>
      </c>
      <c r="I191" s="12" t="s">
        <v>20</v>
      </c>
      <c r="J191" s="12" t="s">
        <v>31</v>
      </c>
      <c r="K191" s="12">
        <v>235.00299999999999</v>
      </c>
      <c r="L191" s="12">
        <v>204.12200000000001</v>
      </c>
      <c r="O191" s="13">
        <f t="shared" si="5"/>
        <v>0.86859316689574184</v>
      </c>
    </row>
    <row r="192" spans="1:15" x14ac:dyDescent="0.25">
      <c r="A192" s="12">
        <f t="shared" si="4"/>
        <v>3</v>
      </c>
      <c r="B192" s="12">
        <v>2021</v>
      </c>
      <c r="C192" s="12">
        <v>6471</v>
      </c>
      <c r="E192" s="12" t="s">
        <v>13</v>
      </c>
      <c r="F192" s="12" t="s">
        <v>14</v>
      </c>
      <c r="G192" s="14">
        <v>44265</v>
      </c>
      <c r="H192" s="12" t="s">
        <v>37</v>
      </c>
      <c r="I192" s="12" t="s">
        <v>20</v>
      </c>
      <c r="J192" s="12" t="s">
        <v>29</v>
      </c>
      <c r="K192" s="12">
        <v>229.999</v>
      </c>
      <c r="L192" s="12">
        <v>197.88200000000001</v>
      </c>
      <c r="O192" s="13">
        <f t="shared" si="5"/>
        <v>0.86036026243592367</v>
      </c>
    </row>
    <row r="193" spans="1:15" x14ac:dyDescent="0.25">
      <c r="A193" s="12">
        <f t="shared" si="4"/>
        <v>3</v>
      </c>
      <c r="B193" s="12">
        <v>2021</v>
      </c>
      <c r="C193" s="12">
        <v>6472</v>
      </c>
      <c r="E193" s="12" t="s">
        <v>13</v>
      </c>
      <c r="F193" s="12" t="s">
        <v>14</v>
      </c>
      <c r="G193" s="14">
        <v>44266</v>
      </c>
      <c r="H193" s="12" t="s">
        <v>37</v>
      </c>
      <c r="I193" s="12" t="s">
        <v>20</v>
      </c>
      <c r="J193" s="12" t="s">
        <v>29</v>
      </c>
      <c r="K193" s="12">
        <v>230</v>
      </c>
      <c r="L193" s="12">
        <v>193.06700000000001</v>
      </c>
      <c r="O193" s="13">
        <f t="shared" si="5"/>
        <v>0.83942173913043483</v>
      </c>
    </row>
    <row r="194" spans="1:15" x14ac:dyDescent="0.25">
      <c r="A194" s="12">
        <f t="shared" ref="A194:A257" si="6">MONTH(G194)</f>
        <v>3</v>
      </c>
      <c r="B194" s="12">
        <v>2021</v>
      </c>
      <c r="C194" s="12">
        <v>6473</v>
      </c>
      <c r="E194" s="12" t="s">
        <v>13</v>
      </c>
      <c r="F194" s="12" t="s">
        <v>14</v>
      </c>
      <c r="G194" s="14">
        <v>44267</v>
      </c>
      <c r="H194" s="12" t="s">
        <v>17</v>
      </c>
      <c r="I194" s="12" t="s">
        <v>19</v>
      </c>
      <c r="J194" s="12" t="s">
        <v>25</v>
      </c>
      <c r="K194" s="12">
        <v>230.01400000000001</v>
      </c>
      <c r="L194" s="12">
        <v>193.37299999999999</v>
      </c>
      <c r="O194" s="13">
        <f t="shared" ref="O194:O257" si="7">L194/K194</f>
        <v>0.8407010008086464</v>
      </c>
    </row>
    <row r="195" spans="1:15" x14ac:dyDescent="0.25">
      <c r="A195" s="12">
        <f t="shared" si="6"/>
        <v>3</v>
      </c>
      <c r="B195" s="12">
        <v>2021</v>
      </c>
      <c r="C195" s="12">
        <v>6474</v>
      </c>
      <c r="E195" s="12" t="s">
        <v>13</v>
      </c>
      <c r="F195" s="12" t="s">
        <v>14</v>
      </c>
      <c r="G195" s="14">
        <v>44268</v>
      </c>
      <c r="H195" s="12" t="s">
        <v>17</v>
      </c>
      <c r="I195" s="12" t="s">
        <v>19</v>
      </c>
      <c r="J195" s="12" t="s">
        <v>25</v>
      </c>
      <c r="K195" s="12">
        <v>230.00299999999999</v>
      </c>
      <c r="L195" s="12">
        <v>191.05799999999999</v>
      </c>
      <c r="O195" s="13">
        <f t="shared" si="7"/>
        <v>0.83067612161580506</v>
      </c>
    </row>
    <row r="196" spans="1:15" x14ac:dyDescent="0.25">
      <c r="A196" s="12">
        <f t="shared" si="6"/>
        <v>3</v>
      </c>
      <c r="B196" s="12">
        <v>2021</v>
      </c>
      <c r="C196" s="12">
        <v>6475</v>
      </c>
      <c r="E196" s="12" t="s">
        <v>13</v>
      </c>
      <c r="F196" s="12" t="s">
        <v>14</v>
      </c>
      <c r="G196" s="14">
        <v>44269</v>
      </c>
      <c r="H196" s="12" t="s">
        <v>17</v>
      </c>
      <c r="I196" s="12" t="s">
        <v>19</v>
      </c>
      <c r="J196" s="12" t="s">
        <v>25</v>
      </c>
      <c r="K196" s="12">
        <v>230.00200000000001</v>
      </c>
      <c r="L196" s="12">
        <v>191.81299999999999</v>
      </c>
      <c r="O196" s="13">
        <f t="shared" si="7"/>
        <v>0.83396231337118798</v>
      </c>
    </row>
    <row r="197" spans="1:15" x14ac:dyDescent="0.25">
      <c r="A197" s="12">
        <f t="shared" si="6"/>
        <v>3</v>
      </c>
      <c r="B197" s="12">
        <v>2021</v>
      </c>
      <c r="C197" s="12">
        <v>6476</v>
      </c>
      <c r="E197" s="12" t="s">
        <v>13</v>
      </c>
      <c r="F197" s="12" t="s">
        <v>14</v>
      </c>
      <c r="G197" s="14">
        <v>44270</v>
      </c>
      <c r="H197" s="12" t="s">
        <v>17</v>
      </c>
      <c r="I197" s="12" t="s">
        <v>19</v>
      </c>
      <c r="J197" s="12" t="s">
        <v>25</v>
      </c>
      <c r="K197" s="12">
        <v>229.98500000000001</v>
      </c>
      <c r="L197" s="12">
        <v>189.74</v>
      </c>
      <c r="O197" s="13">
        <f t="shared" si="7"/>
        <v>0.82501032676044084</v>
      </c>
    </row>
    <row r="198" spans="1:15" x14ac:dyDescent="0.25">
      <c r="A198" s="12">
        <f t="shared" si="6"/>
        <v>3</v>
      </c>
      <c r="B198" s="12">
        <v>2021</v>
      </c>
      <c r="C198" s="12">
        <v>6477</v>
      </c>
      <c r="E198" s="12" t="s">
        <v>13</v>
      </c>
      <c r="F198" s="12" t="s">
        <v>14</v>
      </c>
      <c r="G198" s="14">
        <v>44271</v>
      </c>
      <c r="H198" s="12" t="s">
        <v>17</v>
      </c>
      <c r="I198" s="12" t="s">
        <v>19</v>
      </c>
      <c r="J198" s="12" t="s">
        <v>25</v>
      </c>
      <c r="K198" s="12">
        <v>229.98500000000001</v>
      </c>
      <c r="L198" s="12">
        <v>196.24799999999999</v>
      </c>
      <c r="O198" s="13">
        <f t="shared" si="7"/>
        <v>0.85330782442333186</v>
      </c>
    </row>
    <row r="199" spans="1:15" x14ac:dyDescent="0.25">
      <c r="A199" s="12">
        <f t="shared" si="6"/>
        <v>3</v>
      </c>
      <c r="B199" s="12">
        <v>2021</v>
      </c>
      <c r="C199" s="12">
        <v>6478</v>
      </c>
      <c r="E199" s="12" t="s">
        <v>13</v>
      </c>
      <c r="F199" s="12" t="s">
        <v>14</v>
      </c>
      <c r="G199" s="14">
        <v>44272</v>
      </c>
      <c r="H199" s="12" t="s">
        <v>34</v>
      </c>
      <c r="I199" s="12" t="s">
        <v>19</v>
      </c>
      <c r="J199" s="12" t="s">
        <v>26</v>
      </c>
      <c r="K199" s="12">
        <v>230.006</v>
      </c>
      <c r="L199" s="12">
        <v>197.52199999999999</v>
      </c>
      <c r="O199" s="13">
        <f t="shared" si="7"/>
        <v>0.85876890168082565</v>
      </c>
    </row>
    <row r="200" spans="1:15" x14ac:dyDescent="0.25">
      <c r="A200" s="12">
        <f t="shared" si="6"/>
        <v>3</v>
      </c>
      <c r="B200" s="12">
        <v>2021</v>
      </c>
      <c r="C200" s="12">
        <v>6479</v>
      </c>
      <c r="E200" s="12" t="s">
        <v>13</v>
      </c>
      <c r="F200" s="12" t="s">
        <v>14</v>
      </c>
      <c r="G200" s="14">
        <v>44273</v>
      </c>
      <c r="H200" s="12" t="s">
        <v>34</v>
      </c>
      <c r="I200" s="12" t="s">
        <v>19</v>
      </c>
      <c r="J200" s="12" t="s">
        <v>26</v>
      </c>
      <c r="K200" s="12">
        <v>230.005</v>
      </c>
      <c r="L200" s="12">
        <v>186.852</v>
      </c>
      <c r="O200" s="13">
        <f t="shared" si="7"/>
        <v>0.81238233951435845</v>
      </c>
    </row>
    <row r="201" spans="1:15" x14ac:dyDescent="0.25">
      <c r="A201" s="12">
        <f t="shared" si="6"/>
        <v>3</v>
      </c>
      <c r="B201" s="12">
        <v>2021</v>
      </c>
      <c r="C201" s="12">
        <v>6480</v>
      </c>
      <c r="E201" s="12" t="s">
        <v>13</v>
      </c>
      <c r="F201" s="12" t="s">
        <v>14</v>
      </c>
      <c r="G201" s="14">
        <v>44274</v>
      </c>
      <c r="H201" s="12" t="s">
        <v>34</v>
      </c>
      <c r="I201" s="12" t="s">
        <v>19</v>
      </c>
      <c r="J201" s="12" t="s">
        <v>22</v>
      </c>
      <c r="K201" s="12">
        <v>220.00200000000001</v>
      </c>
      <c r="L201" s="12">
        <v>183.72499999999999</v>
      </c>
      <c r="O201" s="13">
        <f t="shared" si="7"/>
        <v>0.83510604449050452</v>
      </c>
    </row>
    <row r="202" spans="1:15" x14ac:dyDescent="0.25">
      <c r="A202" s="12">
        <f t="shared" si="6"/>
        <v>3</v>
      </c>
      <c r="B202" s="12">
        <v>2021</v>
      </c>
      <c r="C202" s="12">
        <v>6481</v>
      </c>
      <c r="E202" s="12" t="s">
        <v>13</v>
      </c>
      <c r="F202" s="12" t="s">
        <v>14</v>
      </c>
      <c r="G202" s="14">
        <v>44275</v>
      </c>
      <c r="H202" s="12" t="s">
        <v>34</v>
      </c>
      <c r="I202" s="12" t="s">
        <v>19</v>
      </c>
      <c r="J202" s="12" t="s">
        <v>22</v>
      </c>
      <c r="K202" s="12">
        <v>220.00200000000001</v>
      </c>
      <c r="L202" s="12">
        <v>181.131</v>
      </c>
      <c r="O202" s="13">
        <f t="shared" si="7"/>
        <v>0.8233152425887037</v>
      </c>
    </row>
    <row r="203" spans="1:15" x14ac:dyDescent="0.25">
      <c r="A203" s="12">
        <f t="shared" si="6"/>
        <v>3</v>
      </c>
      <c r="B203" s="12">
        <v>2021</v>
      </c>
      <c r="C203" s="12">
        <v>6482</v>
      </c>
      <c r="E203" s="12" t="s">
        <v>13</v>
      </c>
      <c r="F203" s="12" t="s">
        <v>14</v>
      </c>
      <c r="G203" s="14">
        <v>44276</v>
      </c>
      <c r="H203" s="12" t="s">
        <v>37</v>
      </c>
      <c r="I203" s="12" t="s">
        <v>20</v>
      </c>
      <c r="J203" s="12" t="s">
        <v>29</v>
      </c>
      <c r="K203" s="12">
        <v>230</v>
      </c>
      <c r="L203" s="12">
        <v>189.64699999999999</v>
      </c>
      <c r="O203" s="13">
        <f t="shared" si="7"/>
        <v>0.82455217391304347</v>
      </c>
    </row>
    <row r="204" spans="1:15" x14ac:dyDescent="0.25">
      <c r="A204" s="12">
        <f t="shared" si="6"/>
        <v>3</v>
      </c>
      <c r="B204" s="12">
        <v>2021</v>
      </c>
      <c r="C204" s="12">
        <v>6483</v>
      </c>
      <c r="E204" s="12" t="s">
        <v>13</v>
      </c>
      <c r="F204" s="12" t="s">
        <v>14</v>
      </c>
      <c r="G204" s="14">
        <v>44277</v>
      </c>
      <c r="H204" s="12" t="s">
        <v>37</v>
      </c>
      <c r="I204" s="12" t="s">
        <v>20</v>
      </c>
      <c r="J204" s="12" t="s">
        <v>29</v>
      </c>
      <c r="K204" s="12">
        <v>230.001</v>
      </c>
      <c r="L204" s="12">
        <v>192.59</v>
      </c>
      <c r="O204" s="13">
        <f t="shared" si="7"/>
        <v>0.83734418546006317</v>
      </c>
    </row>
    <row r="205" spans="1:15" x14ac:dyDescent="0.25">
      <c r="A205" s="12">
        <f t="shared" si="6"/>
        <v>3</v>
      </c>
      <c r="B205" s="12">
        <v>2021</v>
      </c>
      <c r="C205" s="12">
        <v>6484</v>
      </c>
      <c r="E205" s="12" t="s">
        <v>13</v>
      </c>
      <c r="F205" s="12" t="s">
        <v>14</v>
      </c>
      <c r="G205" s="14">
        <v>44278</v>
      </c>
      <c r="H205" s="12" t="s">
        <v>17</v>
      </c>
      <c r="I205" s="12" t="s">
        <v>19</v>
      </c>
      <c r="J205" s="12" t="s">
        <v>22</v>
      </c>
      <c r="K205" s="12">
        <v>230.00700000000001</v>
      </c>
      <c r="L205" s="12">
        <v>192.52699999999999</v>
      </c>
      <c r="O205" s="13">
        <f t="shared" si="7"/>
        <v>0.83704843765624515</v>
      </c>
    </row>
    <row r="206" spans="1:15" x14ac:dyDescent="0.25">
      <c r="A206" s="12">
        <f t="shared" si="6"/>
        <v>3</v>
      </c>
      <c r="B206" s="12">
        <v>2021</v>
      </c>
      <c r="C206" s="12">
        <v>6485</v>
      </c>
      <c r="E206" s="12" t="s">
        <v>13</v>
      </c>
      <c r="F206" s="12" t="s">
        <v>14</v>
      </c>
      <c r="G206" s="14">
        <v>44279</v>
      </c>
      <c r="H206" s="12" t="s">
        <v>17</v>
      </c>
      <c r="I206" s="12" t="s">
        <v>19</v>
      </c>
      <c r="J206" s="12" t="s">
        <v>22</v>
      </c>
      <c r="K206" s="12">
        <v>230.00399999999999</v>
      </c>
      <c r="L206" s="12">
        <v>191.398</v>
      </c>
      <c r="O206" s="13">
        <f t="shared" si="7"/>
        <v>0.83215074520443122</v>
      </c>
    </row>
    <row r="207" spans="1:15" x14ac:dyDescent="0.25">
      <c r="A207" s="12">
        <f t="shared" si="6"/>
        <v>3</v>
      </c>
      <c r="B207" s="12">
        <v>2021</v>
      </c>
      <c r="C207" s="12">
        <v>6486</v>
      </c>
      <c r="E207" s="12" t="s">
        <v>13</v>
      </c>
      <c r="F207" s="12" t="s">
        <v>14</v>
      </c>
      <c r="G207" s="14">
        <v>44280</v>
      </c>
      <c r="H207" s="12" t="s">
        <v>17</v>
      </c>
      <c r="I207" s="12" t="s">
        <v>19</v>
      </c>
      <c r="J207" s="12" t="s">
        <v>22</v>
      </c>
      <c r="K207" s="12">
        <v>230.005</v>
      </c>
      <c r="L207" s="12">
        <v>191.86</v>
      </c>
      <c r="O207" s="13">
        <f t="shared" si="7"/>
        <v>0.83415577922219086</v>
      </c>
    </row>
    <row r="208" spans="1:15" x14ac:dyDescent="0.25">
      <c r="A208" s="12">
        <f t="shared" si="6"/>
        <v>3</v>
      </c>
      <c r="B208" s="12">
        <v>2021</v>
      </c>
      <c r="C208" s="12">
        <v>6487</v>
      </c>
      <c r="E208" s="12" t="s">
        <v>13</v>
      </c>
      <c r="F208" s="12" t="s">
        <v>14</v>
      </c>
      <c r="G208" s="14">
        <v>44281</v>
      </c>
      <c r="H208" s="12" t="s">
        <v>17</v>
      </c>
      <c r="I208" s="12" t="s">
        <v>19</v>
      </c>
      <c r="J208" s="12" t="s">
        <v>22</v>
      </c>
      <c r="K208" s="12">
        <v>230.00700000000001</v>
      </c>
      <c r="L208" s="12">
        <v>190.16300000000001</v>
      </c>
      <c r="O208" s="13">
        <f t="shared" si="7"/>
        <v>0.82677048959379495</v>
      </c>
    </row>
    <row r="209" spans="1:15" x14ac:dyDescent="0.25">
      <c r="A209" s="12">
        <f t="shared" si="6"/>
        <v>3</v>
      </c>
      <c r="B209" s="12">
        <v>2021</v>
      </c>
      <c r="C209" s="12">
        <v>6488</v>
      </c>
      <c r="E209" s="12" t="s">
        <v>13</v>
      </c>
      <c r="F209" s="12" t="s">
        <v>14</v>
      </c>
      <c r="G209" s="14">
        <v>44282</v>
      </c>
      <c r="H209" s="12" t="s">
        <v>17</v>
      </c>
      <c r="I209" s="12" t="s">
        <v>19</v>
      </c>
      <c r="J209" s="12" t="s">
        <v>22</v>
      </c>
      <c r="K209" s="12">
        <v>230.00800000000001</v>
      </c>
      <c r="L209" s="12">
        <v>190.96199999999999</v>
      </c>
      <c r="O209" s="13">
        <f t="shared" si="7"/>
        <v>0.83024068728044231</v>
      </c>
    </row>
    <row r="210" spans="1:15" x14ac:dyDescent="0.25">
      <c r="A210" s="12">
        <f t="shared" si="6"/>
        <v>3</v>
      </c>
      <c r="B210" s="12">
        <v>2021</v>
      </c>
      <c r="C210" s="12">
        <v>6489</v>
      </c>
      <c r="E210" s="12" t="s">
        <v>13</v>
      </c>
      <c r="F210" s="12" t="s">
        <v>14</v>
      </c>
      <c r="G210" s="14">
        <v>44283</v>
      </c>
      <c r="H210" s="12" t="s">
        <v>34</v>
      </c>
      <c r="I210" s="12" t="s">
        <v>19</v>
      </c>
      <c r="J210" s="12" t="s">
        <v>22</v>
      </c>
      <c r="K210" s="12">
        <v>230.00700000000001</v>
      </c>
      <c r="L210" s="12">
        <v>189.64</v>
      </c>
      <c r="O210" s="13">
        <f t="shared" si="7"/>
        <v>0.82449664575425963</v>
      </c>
    </row>
    <row r="211" spans="1:15" x14ac:dyDescent="0.25">
      <c r="A211" s="12">
        <f t="shared" si="6"/>
        <v>3</v>
      </c>
      <c r="B211" s="12">
        <v>2021</v>
      </c>
      <c r="C211" s="12">
        <v>6490</v>
      </c>
      <c r="E211" s="12" t="s">
        <v>13</v>
      </c>
      <c r="F211" s="12" t="s">
        <v>14</v>
      </c>
      <c r="G211" s="14">
        <v>44284</v>
      </c>
      <c r="H211" s="12" t="s">
        <v>18</v>
      </c>
      <c r="I211" s="12" t="s">
        <v>20</v>
      </c>
      <c r="J211" s="12" t="s">
        <v>31</v>
      </c>
      <c r="K211" s="12">
        <v>235.00299999999999</v>
      </c>
      <c r="L211" s="12">
        <v>196.363</v>
      </c>
      <c r="O211" s="13">
        <f t="shared" si="7"/>
        <v>0.83557656710765404</v>
      </c>
    </row>
    <row r="212" spans="1:15" x14ac:dyDescent="0.25">
      <c r="A212" s="12">
        <f t="shared" si="6"/>
        <v>3</v>
      </c>
      <c r="B212" s="12">
        <v>2021</v>
      </c>
      <c r="C212" s="12">
        <v>6491</v>
      </c>
      <c r="E212" s="12" t="s">
        <v>13</v>
      </c>
      <c r="F212" s="12" t="s">
        <v>14</v>
      </c>
      <c r="G212" s="14">
        <v>44285</v>
      </c>
      <c r="H212" s="12" t="s">
        <v>18</v>
      </c>
      <c r="I212" s="12" t="s">
        <v>20</v>
      </c>
      <c r="J212" s="12" t="s">
        <v>31</v>
      </c>
      <c r="K212" s="12">
        <v>235.00200000000001</v>
      </c>
      <c r="L212" s="12">
        <v>198.04900000000001</v>
      </c>
      <c r="O212" s="13">
        <f t="shared" si="7"/>
        <v>0.84275452974868303</v>
      </c>
    </row>
    <row r="213" spans="1:15" x14ac:dyDescent="0.25">
      <c r="A213" s="12">
        <f t="shared" si="6"/>
        <v>3</v>
      </c>
      <c r="B213" s="12">
        <v>2021</v>
      </c>
      <c r="C213" s="12">
        <v>6492</v>
      </c>
      <c r="E213" s="12" t="s">
        <v>13</v>
      </c>
      <c r="F213" s="12" t="s">
        <v>14</v>
      </c>
      <c r="G213" s="14">
        <v>44286</v>
      </c>
      <c r="H213" s="12" t="s">
        <v>37</v>
      </c>
      <c r="I213" s="12" t="s">
        <v>19</v>
      </c>
      <c r="J213" s="12" t="s">
        <v>22</v>
      </c>
      <c r="K213" s="12">
        <v>229.994</v>
      </c>
      <c r="L213" s="12">
        <v>187.749</v>
      </c>
      <c r="O213" s="13">
        <f t="shared" si="7"/>
        <v>0.81632129533813924</v>
      </c>
    </row>
    <row r="214" spans="1:15" x14ac:dyDescent="0.25">
      <c r="A214" s="12">
        <f t="shared" si="6"/>
        <v>4</v>
      </c>
      <c r="B214" s="12">
        <v>2021</v>
      </c>
      <c r="C214" s="12">
        <v>6493</v>
      </c>
      <c r="E214" s="12" t="s">
        <v>13</v>
      </c>
      <c r="F214" s="12" t="s">
        <v>14</v>
      </c>
      <c r="G214" s="14">
        <v>44287</v>
      </c>
      <c r="H214" s="12" t="s">
        <v>37</v>
      </c>
      <c r="I214" s="12" t="s">
        <v>19</v>
      </c>
      <c r="J214" s="12" t="s">
        <v>22</v>
      </c>
      <c r="K214" s="12">
        <v>229.99299999999999</v>
      </c>
      <c r="L214" s="12">
        <v>197.60599999999999</v>
      </c>
      <c r="O214" s="13">
        <f t="shared" si="7"/>
        <v>0.85918267077693666</v>
      </c>
    </row>
    <row r="215" spans="1:15" x14ac:dyDescent="0.25">
      <c r="A215" s="12">
        <f t="shared" si="6"/>
        <v>4</v>
      </c>
      <c r="B215" s="12">
        <v>2021</v>
      </c>
      <c r="C215" s="12">
        <v>6494</v>
      </c>
      <c r="E215" s="12" t="s">
        <v>13</v>
      </c>
      <c r="F215" s="12" t="s">
        <v>14</v>
      </c>
      <c r="G215" s="14">
        <v>44288</v>
      </c>
      <c r="H215" s="12" t="s">
        <v>37</v>
      </c>
      <c r="I215" s="12" t="s">
        <v>19</v>
      </c>
      <c r="J215" s="12" t="s">
        <v>22</v>
      </c>
      <c r="K215" s="12">
        <v>229.96700000000001</v>
      </c>
      <c r="L215" s="12">
        <v>191.29400000000001</v>
      </c>
      <c r="O215" s="13">
        <f t="shared" si="7"/>
        <v>0.83183239334339276</v>
      </c>
    </row>
    <row r="216" spans="1:15" x14ac:dyDescent="0.25">
      <c r="A216" s="12">
        <f t="shared" si="6"/>
        <v>4</v>
      </c>
      <c r="B216" s="12">
        <v>2021</v>
      </c>
      <c r="C216" s="12">
        <v>6495</v>
      </c>
      <c r="E216" s="12" t="s">
        <v>13</v>
      </c>
      <c r="F216" s="12" t="s">
        <v>14</v>
      </c>
      <c r="G216" s="14">
        <v>44289</v>
      </c>
      <c r="H216" s="12" t="s">
        <v>37</v>
      </c>
      <c r="I216" s="12" t="s">
        <v>19</v>
      </c>
      <c r="J216" s="12" t="s">
        <v>22</v>
      </c>
      <c r="K216" s="12">
        <v>229.99700000000001</v>
      </c>
      <c r="L216" s="12">
        <v>190.446</v>
      </c>
      <c r="O216" s="13">
        <f t="shared" si="7"/>
        <v>0.82803688743766213</v>
      </c>
    </row>
    <row r="217" spans="1:15" x14ac:dyDescent="0.25">
      <c r="A217" s="12">
        <f t="shared" si="6"/>
        <v>4</v>
      </c>
      <c r="B217" s="12">
        <v>2021</v>
      </c>
      <c r="C217" s="12">
        <v>6496</v>
      </c>
      <c r="E217" s="12" t="s">
        <v>13</v>
      </c>
      <c r="F217" s="12" t="s">
        <v>14</v>
      </c>
      <c r="G217" s="14">
        <v>44290</v>
      </c>
      <c r="H217" s="12" t="s">
        <v>37</v>
      </c>
      <c r="I217" s="12" t="s">
        <v>19</v>
      </c>
      <c r="J217" s="12" t="s">
        <v>22</v>
      </c>
      <c r="K217" s="12">
        <v>229.99799999999999</v>
      </c>
      <c r="L217" s="12">
        <v>185.90899999999999</v>
      </c>
      <c r="O217" s="13">
        <f t="shared" si="7"/>
        <v>0.80830702875677185</v>
      </c>
    </row>
    <row r="218" spans="1:15" x14ac:dyDescent="0.25">
      <c r="A218" s="12">
        <f t="shared" si="6"/>
        <v>4</v>
      </c>
      <c r="B218" s="12">
        <v>2021</v>
      </c>
      <c r="C218" s="12">
        <v>6497</v>
      </c>
      <c r="E218" s="12" t="s">
        <v>13</v>
      </c>
      <c r="F218" s="12" t="s">
        <v>14</v>
      </c>
      <c r="G218" s="14">
        <v>44291</v>
      </c>
      <c r="H218" s="12" t="s">
        <v>37</v>
      </c>
      <c r="I218" s="12" t="s">
        <v>20</v>
      </c>
      <c r="J218" s="12" t="s">
        <v>29</v>
      </c>
      <c r="K218" s="12">
        <v>230.03</v>
      </c>
      <c r="L218" s="12">
        <v>191.03800000000001</v>
      </c>
      <c r="O218" s="13">
        <f t="shared" si="7"/>
        <v>0.83049167499891319</v>
      </c>
    </row>
    <row r="219" spans="1:15" x14ac:dyDescent="0.25">
      <c r="A219" s="12">
        <f t="shared" si="6"/>
        <v>4</v>
      </c>
      <c r="B219" s="12">
        <v>2021</v>
      </c>
      <c r="C219" s="12">
        <v>6498</v>
      </c>
      <c r="E219" s="12" t="s">
        <v>13</v>
      </c>
      <c r="F219" s="12" t="s">
        <v>14</v>
      </c>
      <c r="G219" s="14">
        <v>44292</v>
      </c>
      <c r="H219" s="12" t="s">
        <v>37</v>
      </c>
      <c r="I219" s="12" t="s">
        <v>20</v>
      </c>
      <c r="J219" s="12" t="s">
        <v>29</v>
      </c>
      <c r="K219" s="12">
        <v>230.03</v>
      </c>
      <c r="L219" s="12">
        <v>192.60499999999999</v>
      </c>
      <c r="O219" s="13">
        <f t="shared" si="7"/>
        <v>0.83730382993522579</v>
      </c>
    </row>
    <row r="220" spans="1:15" x14ac:dyDescent="0.25">
      <c r="A220" s="12">
        <f t="shared" si="6"/>
        <v>4</v>
      </c>
      <c r="B220" s="12">
        <v>2021</v>
      </c>
      <c r="C220" s="12">
        <v>6499</v>
      </c>
      <c r="E220" s="12" t="s">
        <v>13</v>
      </c>
      <c r="F220" s="12" t="s">
        <v>14</v>
      </c>
      <c r="G220" s="14">
        <v>44293</v>
      </c>
      <c r="H220" s="12" t="s">
        <v>37</v>
      </c>
      <c r="I220" s="12" t="s">
        <v>20</v>
      </c>
      <c r="J220" s="12" t="s">
        <v>29</v>
      </c>
      <c r="K220" s="12">
        <v>229.982</v>
      </c>
      <c r="L220" s="12">
        <v>191.56899999999999</v>
      </c>
      <c r="O220" s="13">
        <f t="shared" si="7"/>
        <v>0.83297388491273228</v>
      </c>
    </row>
    <row r="221" spans="1:15" x14ac:dyDescent="0.25">
      <c r="A221" s="12">
        <f t="shared" si="6"/>
        <v>4</v>
      </c>
      <c r="B221" s="12">
        <v>2021</v>
      </c>
      <c r="C221" s="12">
        <v>6500</v>
      </c>
      <c r="E221" s="12" t="s">
        <v>13</v>
      </c>
      <c r="F221" s="12" t="s">
        <v>14</v>
      </c>
      <c r="G221" s="14">
        <v>44294</v>
      </c>
      <c r="H221" s="12" t="s">
        <v>37</v>
      </c>
      <c r="I221" s="12" t="s">
        <v>20</v>
      </c>
      <c r="J221" s="12" t="s">
        <v>29</v>
      </c>
      <c r="K221" s="12">
        <v>230</v>
      </c>
      <c r="L221" s="12">
        <v>194.34200000000001</v>
      </c>
      <c r="O221" s="13">
        <f t="shared" si="7"/>
        <v>0.84496521739130437</v>
      </c>
    </row>
    <row r="222" spans="1:15" x14ac:dyDescent="0.25">
      <c r="A222" s="12">
        <f t="shared" si="6"/>
        <v>4</v>
      </c>
      <c r="B222" s="12">
        <v>2021</v>
      </c>
      <c r="C222" s="12">
        <v>6501</v>
      </c>
      <c r="E222" s="12" t="s">
        <v>13</v>
      </c>
      <c r="F222" s="12" t="s">
        <v>14</v>
      </c>
      <c r="G222" s="14">
        <v>44295</v>
      </c>
      <c r="H222" s="12" t="s">
        <v>37</v>
      </c>
      <c r="I222" s="12" t="s">
        <v>20</v>
      </c>
      <c r="J222" s="12" t="s">
        <v>29</v>
      </c>
      <c r="K222" s="12">
        <v>230</v>
      </c>
      <c r="L222" s="12">
        <v>188.5</v>
      </c>
      <c r="O222" s="13">
        <f t="shared" si="7"/>
        <v>0.81956521739130439</v>
      </c>
    </row>
    <row r="223" spans="1:15" x14ac:dyDescent="0.25">
      <c r="A223" s="12">
        <f t="shared" si="6"/>
        <v>4</v>
      </c>
      <c r="B223" s="12">
        <v>2021</v>
      </c>
      <c r="C223" s="12">
        <v>6502</v>
      </c>
      <c r="E223" s="12" t="s">
        <v>13</v>
      </c>
      <c r="F223" s="12" t="s">
        <v>14</v>
      </c>
      <c r="G223" s="14">
        <v>44296</v>
      </c>
      <c r="H223" s="12" t="s">
        <v>17</v>
      </c>
      <c r="I223" s="12" t="s">
        <v>20</v>
      </c>
      <c r="J223" s="12" t="s">
        <v>30</v>
      </c>
      <c r="K223" s="12">
        <v>232.99600000000001</v>
      </c>
      <c r="L223" s="12">
        <v>195.446</v>
      </c>
      <c r="O223" s="13">
        <f t="shared" si="7"/>
        <v>0.8388384349945921</v>
      </c>
    </row>
    <row r="224" spans="1:15" x14ac:dyDescent="0.25">
      <c r="A224" s="12">
        <f t="shared" si="6"/>
        <v>4</v>
      </c>
      <c r="B224" s="12">
        <v>2021</v>
      </c>
      <c r="C224" s="12">
        <v>6503</v>
      </c>
      <c r="E224" s="12" t="s">
        <v>13</v>
      </c>
      <c r="F224" s="12" t="s">
        <v>14</v>
      </c>
      <c r="G224" s="14">
        <v>44297</v>
      </c>
      <c r="H224" s="12" t="s">
        <v>17</v>
      </c>
      <c r="I224" s="12" t="s">
        <v>20</v>
      </c>
      <c r="J224" s="12" t="s">
        <v>30</v>
      </c>
      <c r="K224" s="12">
        <v>232.99600000000001</v>
      </c>
      <c r="L224" s="12">
        <v>195.78899999999999</v>
      </c>
      <c r="O224" s="13">
        <f t="shared" si="7"/>
        <v>0.84031056327147235</v>
      </c>
    </row>
    <row r="225" spans="1:15" x14ac:dyDescent="0.25">
      <c r="A225" s="12">
        <f t="shared" si="6"/>
        <v>4</v>
      </c>
      <c r="B225" s="12">
        <v>2021</v>
      </c>
      <c r="C225" s="12">
        <v>6504</v>
      </c>
      <c r="E225" s="12" t="s">
        <v>13</v>
      </c>
      <c r="F225" s="12" t="s">
        <v>14</v>
      </c>
      <c r="G225" s="14">
        <v>44298</v>
      </c>
      <c r="H225" s="12" t="s">
        <v>17</v>
      </c>
      <c r="I225" s="12" t="s">
        <v>19</v>
      </c>
      <c r="J225" s="12" t="s">
        <v>22</v>
      </c>
      <c r="K225" s="12">
        <v>230.001</v>
      </c>
      <c r="L225" s="12">
        <v>188.28200000000001</v>
      </c>
      <c r="O225" s="13">
        <f t="shared" si="7"/>
        <v>0.81861383211377348</v>
      </c>
    </row>
    <row r="226" spans="1:15" x14ac:dyDescent="0.25">
      <c r="A226" s="12">
        <f t="shared" si="6"/>
        <v>4</v>
      </c>
      <c r="B226" s="12">
        <v>2021</v>
      </c>
      <c r="C226" s="12">
        <v>6505</v>
      </c>
      <c r="E226" s="12" t="s">
        <v>13</v>
      </c>
      <c r="F226" s="12" t="s">
        <v>14</v>
      </c>
      <c r="G226" s="14">
        <v>44299</v>
      </c>
      <c r="H226" s="12" t="s">
        <v>17</v>
      </c>
      <c r="I226" s="12" t="s">
        <v>19</v>
      </c>
      <c r="J226" s="12" t="s">
        <v>22</v>
      </c>
      <c r="K226" s="12">
        <v>229.98099999999999</v>
      </c>
      <c r="L226" s="12">
        <v>187.85499999999999</v>
      </c>
      <c r="O226" s="13">
        <f t="shared" si="7"/>
        <v>0.8168283466895091</v>
      </c>
    </row>
    <row r="227" spans="1:15" x14ac:dyDescent="0.25">
      <c r="A227" s="12">
        <f t="shared" si="6"/>
        <v>4</v>
      </c>
      <c r="B227" s="12">
        <v>2021</v>
      </c>
      <c r="C227" s="12">
        <v>6506</v>
      </c>
      <c r="E227" s="12" t="s">
        <v>13</v>
      </c>
      <c r="F227" s="12" t="s">
        <v>14</v>
      </c>
      <c r="G227" s="14">
        <v>44300</v>
      </c>
      <c r="H227" s="12" t="s">
        <v>17</v>
      </c>
      <c r="I227" s="12" t="s">
        <v>19</v>
      </c>
      <c r="J227" s="12" t="s">
        <v>22</v>
      </c>
      <c r="K227" s="12">
        <v>229.98099999999999</v>
      </c>
      <c r="L227" s="12">
        <v>188.65899999999999</v>
      </c>
      <c r="O227" s="13">
        <f t="shared" si="7"/>
        <v>0.8203242876585457</v>
      </c>
    </row>
    <row r="228" spans="1:15" x14ac:dyDescent="0.25">
      <c r="A228" s="12">
        <f t="shared" si="6"/>
        <v>4</v>
      </c>
      <c r="B228" s="12">
        <v>2021</v>
      </c>
      <c r="C228" s="12">
        <v>6507</v>
      </c>
      <c r="E228" s="12" t="s">
        <v>13</v>
      </c>
      <c r="F228" s="12" t="s">
        <v>14</v>
      </c>
      <c r="G228" s="14">
        <v>44301</v>
      </c>
      <c r="H228" s="12" t="s">
        <v>18</v>
      </c>
      <c r="I228" s="12" t="s">
        <v>20</v>
      </c>
      <c r="J228" s="12" t="s">
        <v>31</v>
      </c>
      <c r="K228" s="12">
        <v>232.999</v>
      </c>
      <c r="L228" s="12">
        <v>195.34800000000001</v>
      </c>
      <c r="O228" s="13">
        <f t="shared" si="7"/>
        <v>0.83840703178983611</v>
      </c>
    </row>
    <row r="229" spans="1:15" x14ac:dyDescent="0.25">
      <c r="A229" s="12">
        <f t="shared" si="6"/>
        <v>4</v>
      </c>
      <c r="B229" s="12">
        <v>2021</v>
      </c>
      <c r="C229" s="12">
        <v>6508</v>
      </c>
      <c r="E229" s="12" t="s">
        <v>13</v>
      </c>
      <c r="F229" s="12" t="s">
        <v>14</v>
      </c>
      <c r="G229" s="14">
        <v>44302</v>
      </c>
      <c r="H229" s="12" t="s">
        <v>18</v>
      </c>
      <c r="I229" s="12" t="s">
        <v>20</v>
      </c>
      <c r="J229" s="12" t="s">
        <v>31</v>
      </c>
      <c r="K229" s="12">
        <v>232.999</v>
      </c>
      <c r="L229" s="12">
        <v>201.977</v>
      </c>
      <c r="O229" s="13">
        <f t="shared" si="7"/>
        <v>0.86685779767295146</v>
      </c>
    </row>
    <row r="230" spans="1:15" x14ac:dyDescent="0.25">
      <c r="A230" s="12">
        <f t="shared" si="6"/>
        <v>4</v>
      </c>
      <c r="B230" s="12">
        <v>2021</v>
      </c>
      <c r="C230" s="12">
        <v>6509</v>
      </c>
      <c r="E230" s="12" t="s">
        <v>13</v>
      </c>
      <c r="F230" s="12" t="s">
        <v>14</v>
      </c>
      <c r="G230" s="14">
        <v>44303</v>
      </c>
      <c r="H230" s="12" t="s">
        <v>18</v>
      </c>
      <c r="I230" s="12" t="s">
        <v>20</v>
      </c>
      <c r="J230" s="12" t="s">
        <v>31</v>
      </c>
      <c r="K230" s="12">
        <v>233.00299999999999</v>
      </c>
      <c r="L230" s="12">
        <v>195.69800000000001</v>
      </c>
      <c r="O230" s="13">
        <f t="shared" si="7"/>
        <v>0.83989476530345109</v>
      </c>
    </row>
    <row r="231" spans="1:15" x14ac:dyDescent="0.25">
      <c r="A231" s="12">
        <f t="shared" si="6"/>
        <v>4</v>
      </c>
      <c r="B231" s="12">
        <v>2021</v>
      </c>
      <c r="C231" s="12">
        <v>6510</v>
      </c>
      <c r="E231" s="12" t="s">
        <v>13</v>
      </c>
      <c r="F231" s="12" t="s">
        <v>14</v>
      </c>
      <c r="G231" s="14">
        <v>44304</v>
      </c>
      <c r="H231" s="12" t="s">
        <v>18</v>
      </c>
      <c r="I231" s="12" t="s">
        <v>20</v>
      </c>
      <c r="J231" s="12" t="s">
        <v>31</v>
      </c>
      <c r="K231" s="12">
        <v>233.017</v>
      </c>
      <c r="L231" s="12">
        <v>200.3</v>
      </c>
      <c r="O231" s="13">
        <f t="shared" si="7"/>
        <v>0.85959393520644423</v>
      </c>
    </row>
    <row r="232" spans="1:15" x14ac:dyDescent="0.25">
      <c r="A232" s="12">
        <f t="shared" si="6"/>
        <v>4</v>
      </c>
      <c r="B232" s="12">
        <v>2021</v>
      </c>
      <c r="C232" s="12">
        <v>6511</v>
      </c>
      <c r="E232" s="12" t="s">
        <v>13</v>
      </c>
      <c r="F232" s="12" t="s">
        <v>14</v>
      </c>
      <c r="G232" s="14">
        <v>44305</v>
      </c>
      <c r="H232" s="12" t="s">
        <v>18</v>
      </c>
      <c r="I232" s="12" t="s">
        <v>20</v>
      </c>
      <c r="J232" s="12" t="s">
        <v>31</v>
      </c>
      <c r="K232" s="12">
        <v>233.018</v>
      </c>
      <c r="L232" s="12">
        <v>198.489</v>
      </c>
      <c r="O232" s="13">
        <f t="shared" si="7"/>
        <v>0.85181831446497702</v>
      </c>
    </row>
    <row r="233" spans="1:15" x14ac:dyDescent="0.25">
      <c r="A233" s="12">
        <f t="shared" si="6"/>
        <v>4</v>
      </c>
      <c r="B233" s="12">
        <v>2021</v>
      </c>
      <c r="C233" s="12">
        <v>6512</v>
      </c>
      <c r="E233" s="12" t="s">
        <v>13</v>
      </c>
      <c r="F233" s="12" t="s">
        <v>14</v>
      </c>
      <c r="G233" s="14">
        <v>44306</v>
      </c>
      <c r="H233" s="12" t="s">
        <v>34</v>
      </c>
      <c r="I233" s="12" t="s">
        <v>19</v>
      </c>
      <c r="J233" s="12" t="s">
        <v>22</v>
      </c>
      <c r="K233" s="12">
        <v>230.00299999999999</v>
      </c>
      <c r="L233" s="12">
        <v>185.73</v>
      </c>
      <c r="O233" s="13">
        <f t="shared" si="7"/>
        <v>0.80751120637556906</v>
      </c>
    </row>
    <row r="234" spans="1:15" x14ac:dyDescent="0.25">
      <c r="A234" s="12">
        <f t="shared" si="6"/>
        <v>4</v>
      </c>
      <c r="B234" s="12">
        <v>2021</v>
      </c>
      <c r="C234" s="12">
        <v>6513</v>
      </c>
      <c r="E234" s="12" t="s">
        <v>13</v>
      </c>
      <c r="F234" s="12" t="s">
        <v>14</v>
      </c>
      <c r="G234" s="14">
        <v>44307</v>
      </c>
      <c r="H234" s="12" t="s">
        <v>34</v>
      </c>
      <c r="I234" s="12" t="s">
        <v>19</v>
      </c>
      <c r="J234" s="12" t="s">
        <v>22</v>
      </c>
      <c r="K234" s="12">
        <v>230.00299999999999</v>
      </c>
      <c r="L234" s="12">
        <v>196.03200000000001</v>
      </c>
      <c r="O234" s="13">
        <f t="shared" si="7"/>
        <v>0.85230192649661096</v>
      </c>
    </row>
    <row r="235" spans="1:15" x14ac:dyDescent="0.25">
      <c r="A235" s="12">
        <f t="shared" si="6"/>
        <v>4</v>
      </c>
      <c r="B235" s="12">
        <v>2021</v>
      </c>
      <c r="C235" s="12">
        <v>6514</v>
      </c>
      <c r="E235" s="12" t="s">
        <v>13</v>
      </c>
      <c r="F235" s="12" t="s">
        <v>14</v>
      </c>
      <c r="G235" s="14">
        <v>44308</v>
      </c>
      <c r="H235" s="12" t="s">
        <v>34</v>
      </c>
      <c r="I235" s="12" t="s">
        <v>19</v>
      </c>
      <c r="J235" s="12" t="s">
        <v>22</v>
      </c>
      <c r="K235" s="12">
        <v>230.02</v>
      </c>
      <c r="L235" s="12">
        <v>190.11</v>
      </c>
      <c r="O235" s="13">
        <f t="shared" si="7"/>
        <v>0.82649334840448663</v>
      </c>
    </row>
    <row r="236" spans="1:15" x14ac:dyDescent="0.25">
      <c r="A236" s="12">
        <f t="shared" si="6"/>
        <v>4</v>
      </c>
      <c r="B236" s="12">
        <v>2021</v>
      </c>
      <c r="C236" s="12">
        <v>6515</v>
      </c>
      <c r="E236" s="12" t="s">
        <v>13</v>
      </c>
      <c r="F236" s="12" t="s">
        <v>14</v>
      </c>
      <c r="G236" s="14">
        <v>44309</v>
      </c>
      <c r="H236" s="12" t="s">
        <v>34</v>
      </c>
      <c r="I236" s="12" t="s">
        <v>19</v>
      </c>
      <c r="J236" s="12" t="s">
        <v>22</v>
      </c>
      <c r="K236" s="12">
        <v>229.99700000000001</v>
      </c>
      <c r="L236" s="12">
        <v>190.96899999999999</v>
      </c>
      <c r="O236" s="13">
        <f t="shared" si="7"/>
        <v>0.83031083014126261</v>
      </c>
    </row>
    <row r="237" spans="1:15" x14ac:dyDescent="0.25">
      <c r="A237" s="12">
        <f t="shared" si="6"/>
        <v>4</v>
      </c>
      <c r="B237" s="12">
        <v>2021</v>
      </c>
      <c r="C237" s="12">
        <v>6516</v>
      </c>
      <c r="E237" s="12" t="s">
        <v>13</v>
      </c>
      <c r="F237" s="12" t="s">
        <v>14</v>
      </c>
      <c r="G237" s="14">
        <v>44310</v>
      </c>
      <c r="H237" s="12" t="s">
        <v>34</v>
      </c>
      <c r="I237" s="12" t="s">
        <v>19</v>
      </c>
      <c r="J237" s="12" t="s">
        <v>22</v>
      </c>
      <c r="K237" s="12">
        <v>229.99799999999999</v>
      </c>
      <c r="L237" s="12">
        <v>190.64599999999999</v>
      </c>
      <c r="O237" s="13">
        <f t="shared" si="7"/>
        <v>0.82890286002486979</v>
      </c>
    </row>
    <row r="238" spans="1:15" x14ac:dyDescent="0.25">
      <c r="A238" s="12">
        <f t="shared" si="6"/>
        <v>4</v>
      </c>
      <c r="B238" s="12">
        <v>2021</v>
      </c>
      <c r="C238" s="12">
        <v>6517</v>
      </c>
      <c r="E238" s="12" t="s">
        <v>13</v>
      </c>
      <c r="F238" s="12" t="s">
        <v>14</v>
      </c>
      <c r="G238" s="14">
        <v>44311</v>
      </c>
      <c r="H238" s="12" t="s">
        <v>18</v>
      </c>
      <c r="I238" s="12" t="s">
        <v>20</v>
      </c>
      <c r="J238" s="12" t="s">
        <v>30</v>
      </c>
      <c r="K238" s="12">
        <v>233.01300000000001</v>
      </c>
      <c r="L238" s="12">
        <v>190.25399999999999</v>
      </c>
      <c r="O238" s="13">
        <f t="shared" si="7"/>
        <v>0.81649521700505978</v>
      </c>
    </row>
    <row r="239" spans="1:15" x14ac:dyDescent="0.25">
      <c r="A239" s="12">
        <f t="shared" si="6"/>
        <v>4</v>
      </c>
      <c r="B239" s="12">
        <v>2021</v>
      </c>
      <c r="C239" s="12">
        <v>6518</v>
      </c>
      <c r="E239" s="12" t="s">
        <v>13</v>
      </c>
      <c r="F239" s="12" t="s">
        <v>14</v>
      </c>
      <c r="G239" s="14">
        <v>44312</v>
      </c>
      <c r="H239" s="12" t="s">
        <v>18</v>
      </c>
      <c r="I239" s="12" t="s">
        <v>20</v>
      </c>
      <c r="J239" s="12" t="s">
        <v>30</v>
      </c>
      <c r="K239" s="12">
        <v>233.01300000000001</v>
      </c>
      <c r="L239" s="12">
        <v>199.67500000000001</v>
      </c>
      <c r="O239" s="13">
        <f t="shared" si="7"/>
        <v>0.85692643758073583</v>
      </c>
    </row>
    <row r="240" spans="1:15" x14ac:dyDescent="0.25">
      <c r="A240" s="12">
        <f t="shared" si="6"/>
        <v>4</v>
      </c>
      <c r="B240" s="12">
        <v>2021</v>
      </c>
      <c r="C240" s="12">
        <v>6519</v>
      </c>
      <c r="E240" s="12" t="s">
        <v>13</v>
      </c>
      <c r="F240" s="12" t="s">
        <v>14</v>
      </c>
      <c r="G240" s="14">
        <v>44313</v>
      </c>
      <c r="H240" s="12" t="s">
        <v>17</v>
      </c>
      <c r="I240" s="12" t="s">
        <v>20</v>
      </c>
      <c r="J240" s="12" t="s">
        <v>29</v>
      </c>
      <c r="K240" s="12">
        <v>232.999</v>
      </c>
      <c r="L240" s="12">
        <v>195.952</v>
      </c>
      <c r="O240" s="13">
        <f t="shared" si="7"/>
        <v>0.84099931759363777</v>
      </c>
    </row>
    <row r="241" spans="1:15" x14ac:dyDescent="0.25">
      <c r="A241" s="12">
        <f t="shared" si="6"/>
        <v>4</v>
      </c>
      <c r="B241" s="12">
        <v>2021</v>
      </c>
      <c r="C241" s="12">
        <v>6520</v>
      </c>
      <c r="E241" s="12" t="s">
        <v>13</v>
      </c>
      <c r="F241" s="12" t="s">
        <v>14</v>
      </c>
      <c r="G241" s="14">
        <v>44314</v>
      </c>
      <c r="H241" s="12" t="s">
        <v>17</v>
      </c>
      <c r="I241" s="12" t="s">
        <v>20</v>
      </c>
      <c r="J241" s="12" t="s">
        <v>29</v>
      </c>
      <c r="K241" s="12">
        <v>233</v>
      </c>
      <c r="L241" s="12">
        <v>198.536</v>
      </c>
      <c r="O241" s="13">
        <f t="shared" si="7"/>
        <v>0.85208583690987127</v>
      </c>
    </row>
    <row r="242" spans="1:15" x14ac:dyDescent="0.25">
      <c r="A242" s="12">
        <f t="shared" si="6"/>
        <v>4</v>
      </c>
      <c r="B242" s="12">
        <v>2021</v>
      </c>
      <c r="C242" s="12">
        <v>6521</v>
      </c>
      <c r="E242" s="12" t="s">
        <v>13</v>
      </c>
      <c r="F242" s="12" t="s">
        <v>14</v>
      </c>
      <c r="G242" s="14">
        <v>44315</v>
      </c>
      <c r="H242" s="12" t="s">
        <v>17</v>
      </c>
      <c r="I242" s="12" t="s">
        <v>19</v>
      </c>
      <c r="J242" s="12" t="s">
        <v>26</v>
      </c>
      <c r="K242" s="12">
        <v>230.00200000000001</v>
      </c>
      <c r="L242" s="12">
        <v>200.3</v>
      </c>
      <c r="O242" s="13">
        <f t="shared" si="7"/>
        <v>0.87086199250441299</v>
      </c>
    </row>
    <row r="243" spans="1:15" x14ac:dyDescent="0.25">
      <c r="A243" s="12">
        <f t="shared" si="6"/>
        <v>4</v>
      </c>
      <c r="B243" s="12">
        <v>2021</v>
      </c>
      <c r="C243" s="12">
        <v>6522</v>
      </c>
      <c r="E243" s="12" t="s">
        <v>13</v>
      </c>
      <c r="F243" s="12" t="s">
        <v>14</v>
      </c>
      <c r="G243" s="14">
        <v>44316</v>
      </c>
      <c r="H243" s="12" t="s">
        <v>17</v>
      </c>
      <c r="I243" s="12" t="s">
        <v>19</v>
      </c>
      <c r="J243" s="12" t="s">
        <v>26</v>
      </c>
      <c r="K243" s="12">
        <v>230.00200000000001</v>
      </c>
      <c r="L243" s="12">
        <v>194.88200000000001</v>
      </c>
      <c r="O243" s="13">
        <f t="shared" si="7"/>
        <v>0.84730567560282088</v>
      </c>
    </row>
    <row r="244" spans="1:15" x14ac:dyDescent="0.25">
      <c r="A244" s="12">
        <f t="shared" si="6"/>
        <v>5</v>
      </c>
      <c r="B244" s="12">
        <v>2021</v>
      </c>
      <c r="C244" s="12">
        <v>6523</v>
      </c>
      <c r="E244" s="12" t="s">
        <v>13</v>
      </c>
      <c r="F244" s="12" t="s">
        <v>14</v>
      </c>
      <c r="G244" s="14">
        <v>44317</v>
      </c>
      <c r="H244" s="12" t="s">
        <v>18</v>
      </c>
      <c r="I244" s="12" t="s">
        <v>20</v>
      </c>
      <c r="J244" s="12" t="s">
        <v>30</v>
      </c>
      <c r="K244" s="12">
        <v>232.00800000000001</v>
      </c>
      <c r="L244" s="12">
        <v>193.142</v>
      </c>
      <c r="O244" s="13">
        <f t="shared" si="7"/>
        <v>0.83247991448570735</v>
      </c>
    </row>
    <row r="245" spans="1:15" x14ac:dyDescent="0.25">
      <c r="A245" s="12">
        <f t="shared" si="6"/>
        <v>5</v>
      </c>
      <c r="B245" s="12">
        <v>2021</v>
      </c>
      <c r="C245" s="12">
        <v>6524</v>
      </c>
      <c r="E245" s="12" t="s">
        <v>13</v>
      </c>
      <c r="F245" s="12" t="s">
        <v>14</v>
      </c>
      <c r="G245" s="14">
        <v>44318</v>
      </c>
      <c r="H245" s="12" t="s">
        <v>18</v>
      </c>
      <c r="I245" s="12" t="s">
        <v>20</v>
      </c>
      <c r="J245" s="12" t="s">
        <v>30</v>
      </c>
      <c r="K245" s="12">
        <v>232.00800000000001</v>
      </c>
      <c r="L245" s="12">
        <v>193.76900000000001</v>
      </c>
      <c r="O245" s="13">
        <f t="shared" si="7"/>
        <v>0.83518240750318951</v>
      </c>
    </row>
    <row r="246" spans="1:15" x14ac:dyDescent="0.25">
      <c r="A246" s="12">
        <f t="shared" si="6"/>
        <v>5</v>
      </c>
      <c r="B246" s="12">
        <v>2021</v>
      </c>
      <c r="C246" s="12">
        <v>6525</v>
      </c>
      <c r="E246" s="12" t="s">
        <v>13</v>
      </c>
      <c r="F246" s="12" t="s">
        <v>14</v>
      </c>
      <c r="G246" s="14">
        <v>44319</v>
      </c>
      <c r="H246" s="12" t="s">
        <v>18</v>
      </c>
      <c r="I246" s="12" t="s">
        <v>20</v>
      </c>
      <c r="J246" s="12" t="s">
        <v>29</v>
      </c>
      <c r="K246" s="12">
        <v>232.029</v>
      </c>
      <c r="L246" s="12">
        <v>195.05600000000001</v>
      </c>
      <c r="O246" s="13">
        <f t="shared" si="7"/>
        <v>0.84065353899728057</v>
      </c>
    </row>
    <row r="247" spans="1:15" x14ac:dyDescent="0.25">
      <c r="A247" s="12">
        <f t="shared" si="6"/>
        <v>5</v>
      </c>
      <c r="B247" s="12">
        <v>2021</v>
      </c>
      <c r="C247" s="12">
        <v>6526</v>
      </c>
      <c r="E247" s="12" t="s">
        <v>13</v>
      </c>
      <c r="F247" s="12" t="s">
        <v>14</v>
      </c>
      <c r="G247" s="14">
        <v>44320</v>
      </c>
      <c r="H247" s="12" t="s">
        <v>18</v>
      </c>
      <c r="I247" s="12" t="s">
        <v>20</v>
      </c>
      <c r="J247" s="12" t="s">
        <v>29</v>
      </c>
      <c r="K247" s="12">
        <v>232.02799999999999</v>
      </c>
      <c r="L247" s="12">
        <v>193.19800000000001</v>
      </c>
      <c r="O247" s="13">
        <f t="shared" si="7"/>
        <v>0.83264950781802205</v>
      </c>
    </row>
    <row r="248" spans="1:15" x14ac:dyDescent="0.25">
      <c r="A248" s="12">
        <f t="shared" si="6"/>
        <v>5</v>
      </c>
      <c r="B248" s="12">
        <v>2021</v>
      </c>
      <c r="C248" s="12">
        <v>6527</v>
      </c>
      <c r="E248" s="12" t="s">
        <v>13</v>
      </c>
      <c r="F248" s="12" t="s">
        <v>14</v>
      </c>
      <c r="G248" s="14">
        <v>44321</v>
      </c>
      <c r="H248" s="12" t="s">
        <v>17</v>
      </c>
      <c r="I248" s="12" t="s">
        <v>19</v>
      </c>
      <c r="J248" s="12" t="s">
        <v>25</v>
      </c>
      <c r="K248" s="12">
        <v>230.00399999999999</v>
      </c>
      <c r="L248" s="12">
        <v>191.88399999999999</v>
      </c>
      <c r="O248" s="13">
        <f t="shared" si="7"/>
        <v>0.83426375193474889</v>
      </c>
    </row>
    <row r="249" spans="1:15" x14ac:dyDescent="0.25">
      <c r="A249" s="12">
        <f t="shared" si="6"/>
        <v>5</v>
      </c>
      <c r="B249" s="12">
        <v>2021</v>
      </c>
      <c r="C249" s="12">
        <v>6528</v>
      </c>
      <c r="E249" s="12" t="s">
        <v>13</v>
      </c>
      <c r="F249" s="12" t="s">
        <v>14</v>
      </c>
      <c r="G249" s="14">
        <v>44322</v>
      </c>
      <c r="H249" s="12" t="s">
        <v>17</v>
      </c>
      <c r="I249" s="12" t="s">
        <v>19</v>
      </c>
      <c r="J249" s="12" t="s">
        <v>25</v>
      </c>
      <c r="K249" s="12">
        <v>230</v>
      </c>
      <c r="L249" s="12">
        <v>192.095</v>
      </c>
      <c r="O249" s="13">
        <f t="shared" si="7"/>
        <v>0.83519565217391301</v>
      </c>
    </row>
    <row r="250" spans="1:15" x14ac:dyDescent="0.25">
      <c r="A250" s="12">
        <f t="shared" si="6"/>
        <v>5</v>
      </c>
      <c r="B250" s="12">
        <v>2021</v>
      </c>
      <c r="C250" s="12">
        <v>6529</v>
      </c>
      <c r="E250" s="12" t="s">
        <v>13</v>
      </c>
      <c r="F250" s="12" t="s">
        <v>14</v>
      </c>
      <c r="G250" s="14">
        <v>44323</v>
      </c>
      <c r="H250" s="12" t="s">
        <v>17</v>
      </c>
      <c r="I250" s="12" t="s">
        <v>19</v>
      </c>
      <c r="J250" s="12" t="s">
        <v>25</v>
      </c>
      <c r="K250" s="12">
        <v>230</v>
      </c>
      <c r="L250" s="12">
        <v>194.55699999999999</v>
      </c>
      <c r="O250" s="13">
        <f t="shared" si="7"/>
        <v>0.84589999999999999</v>
      </c>
    </row>
    <row r="251" spans="1:15" x14ac:dyDescent="0.25">
      <c r="A251" s="12">
        <f t="shared" si="6"/>
        <v>5</v>
      </c>
      <c r="B251" s="12">
        <v>2021</v>
      </c>
      <c r="C251" s="12">
        <v>6530</v>
      </c>
      <c r="E251" s="12" t="s">
        <v>13</v>
      </c>
      <c r="F251" s="12" t="s">
        <v>14</v>
      </c>
      <c r="G251" s="14">
        <v>44324</v>
      </c>
      <c r="H251" s="12" t="s">
        <v>17</v>
      </c>
      <c r="I251" s="12" t="s">
        <v>19</v>
      </c>
      <c r="J251" s="12" t="s">
        <v>25</v>
      </c>
      <c r="K251" s="12">
        <v>230</v>
      </c>
      <c r="L251" s="12">
        <v>187.90799999999999</v>
      </c>
      <c r="O251" s="13">
        <f t="shared" si="7"/>
        <v>0.81699130434782608</v>
      </c>
    </row>
    <row r="252" spans="1:15" x14ac:dyDescent="0.25">
      <c r="A252" s="12">
        <f t="shared" si="6"/>
        <v>5</v>
      </c>
      <c r="B252" s="12">
        <v>2021</v>
      </c>
      <c r="C252" s="12">
        <v>6531</v>
      </c>
      <c r="E252" s="12" t="s">
        <v>13</v>
      </c>
      <c r="F252" s="12" t="s">
        <v>14</v>
      </c>
      <c r="G252" s="14">
        <v>44325</v>
      </c>
      <c r="H252" s="12" t="s">
        <v>17</v>
      </c>
      <c r="I252" s="12" t="s">
        <v>19</v>
      </c>
      <c r="J252" s="12" t="s">
        <v>25</v>
      </c>
      <c r="K252" s="12">
        <v>230.001</v>
      </c>
      <c r="L252" s="12">
        <v>190.30799999999999</v>
      </c>
      <c r="O252" s="13">
        <f t="shared" si="7"/>
        <v>0.82742248946743702</v>
      </c>
    </row>
    <row r="253" spans="1:15" x14ac:dyDescent="0.25">
      <c r="A253" s="12">
        <f t="shared" si="6"/>
        <v>5</v>
      </c>
      <c r="B253" s="12">
        <v>2021</v>
      </c>
      <c r="C253" s="12">
        <v>6532</v>
      </c>
      <c r="E253" s="12" t="s">
        <v>13</v>
      </c>
      <c r="F253" s="12" t="s">
        <v>14</v>
      </c>
      <c r="G253" s="14">
        <v>44326</v>
      </c>
      <c r="H253" s="12" t="s">
        <v>18</v>
      </c>
      <c r="I253" s="12" t="s">
        <v>20</v>
      </c>
      <c r="J253" s="12" t="s">
        <v>30</v>
      </c>
      <c r="K253" s="12">
        <v>232.00299999999999</v>
      </c>
      <c r="L253" s="12">
        <v>189.453</v>
      </c>
      <c r="O253" s="13">
        <f t="shared" si="7"/>
        <v>0.81659719917414864</v>
      </c>
    </row>
    <row r="254" spans="1:15" x14ac:dyDescent="0.25">
      <c r="A254" s="12">
        <f t="shared" si="6"/>
        <v>5</v>
      </c>
      <c r="B254" s="12">
        <v>2021</v>
      </c>
      <c r="C254" s="12">
        <v>6533</v>
      </c>
      <c r="E254" s="12" t="s">
        <v>13</v>
      </c>
      <c r="F254" s="12" t="s">
        <v>14</v>
      </c>
      <c r="G254" s="14">
        <v>44327</v>
      </c>
      <c r="H254" s="12" t="s">
        <v>18</v>
      </c>
      <c r="I254" s="12" t="s">
        <v>20</v>
      </c>
      <c r="J254" s="12" t="s">
        <v>30</v>
      </c>
      <c r="K254" s="12">
        <v>232.00200000000001</v>
      </c>
      <c r="L254" s="12">
        <v>187.68899999999999</v>
      </c>
      <c r="O254" s="13">
        <f t="shared" si="7"/>
        <v>0.80899733622986003</v>
      </c>
    </row>
    <row r="255" spans="1:15" x14ac:dyDescent="0.25">
      <c r="A255" s="12">
        <f t="shared" si="6"/>
        <v>5</v>
      </c>
      <c r="B255" s="12">
        <v>2021</v>
      </c>
      <c r="C255" s="12">
        <v>6534</v>
      </c>
      <c r="E255" s="12" t="s">
        <v>13</v>
      </c>
      <c r="F255" s="12" t="s">
        <v>14</v>
      </c>
      <c r="G255" s="14">
        <v>44328</v>
      </c>
      <c r="H255" s="12" t="s">
        <v>37</v>
      </c>
      <c r="I255" s="12" t="s">
        <v>19</v>
      </c>
      <c r="J255" s="12" t="s">
        <v>22</v>
      </c>
      <c r="K255" s="12">
        <v>230.011</v>
      </c>
      <c r="L255" s="12">
        <v>190.352</v>
      </c>
      <c r="O255" s="13">
        <f t="shared" si="7"/>
        <v>0.82757781149597198</v>
      </c>
    </row>
    <row r="256" spans="1:15" x14ac:dyDescent="0.25">
      <c r="A256" s="12">
        <f t="shared" si="6"/>
        <v>5</v>
      </c>
      <c r="B256" s="12">
        <v>2021</v>
      </c>
      <c r="C256" s="12">
        <v>6535</v>
      </c>
      <c r="E256" s="12" t="s">
        <v>13</v>
      </c>
      <c r="F256" s="12" t="s">
        <v>14</v>
      </c>
      <c r="G256" s="14">
        <v>44329</v>
      </c>
      <c r="H256" s="12" t="s">
        <v>37</v>
      </c>
      <c r="I256" s="12" t="s">
        <v>19</v>
      </c>
      <c r="J256" s="12" t="s">
        <v>22</v>
      </c>
      <c r="K256" s="12">
        <v>230</v>
      </c>
      <c r="L256" s="12">
        <v>189.42099999999999</v>
      </c>
      <c r="O256" s="13">
        <f t="shared" si="7"/>
        <v>0.82356956521739122</v>
      </c>
    </row>
    <row r="257" spans="1:15" x14ac:dyDescent="0.25">
      <c r="A257" s="12">
        <f t="shared" si="6"/>
        <v>5</v>
      </c>
      <c r="B257" s="12">
        <v>2021</v>
      </c>
      <c r="C257" s="12">
        <v>6536</v>
      </c>
      <c r="E257" s="12" t="s">
        <v>13</v>
      </c>
      <c r="F257" s="12" t="s">
        <v>14</v>
      </c>
      <c r="G257" s="14">
        <v>44330</v>
      </c>
      <c r="H257" s="12" t="s">
        <v>37</v>
      </c>
      <c r="I257" s="12" t="s">
        <v>19</v>
      </c>
      <c r="J257" s="12" t="s">
        <v>22</v>
      </c>
      <c r="K257" s="12">
        <v>230</v>
      </c>
      <c r="L257" s="12">
        <v>189.55</v>
      </c>
      <c r="O257" s="13">
        <f t="shared" si="7"/>
        <v>0.82413043478260872</v>
      </c>
    </row>
    <row r="258" spans="1:15" x14ac:dyDescent="0.25">
      <c r="A258" s="12">
        <f t="shared" ref="A258:A321" si="8">MONTH(G258)</f>
        <v>5</v>
      </c>
      <c r="B258" s="12">
        <v>2021</v>
      </c>
      <c r="C258" s="12">
        <v>6537</v>
      </c>
      <c r="E258" s="12" t="s">
        <v>13</v>
      </c>
      <c r="F258" s="12" t="s">
        <v>14</v>
      </c>
      <c r="G258" s="14">
        <v>44331</v>
      </c>
      <c r="H258" s="12" t="s">
        <v>37</v>
      </c>
      <c r="I258" s="12" t="s">
        <v>19</v>
      </c>
      <c r="J258" s="12" t="s">
        <v>22</v>
      </c>
      <c r="K258" s="12">
        <v>229.99600000000001</v>
      </c>
      <c r="L258" s="12">
        <v>194.18</v>
      </c>
      <c r="O258" s="13">
        <f t="shared" ref="O258:O321" si="9">L258/K258</f>
        <v>0.84427555261830645</v>
      </c>
    </row>
    <row r="259" spans="1:15" x14ac:dyDescent="0.25">
      <c r="A259" s="12">
        <f t="shared" si="8"/>
        <v>5</v>
      </c>
      <c r="B259" s="12">
        <v>2021</v>
      </c>
      <c r="C259" s="12">
        <v>6538</v>
      </c>
      <c r="E259" s="12" t="s">
        <v>13</v>
      </c>
      <c r="F259" s="12" t="s">
        <v>14</v>
      </c>
      <c r="G259" s="14">
        <v>44332</v>
      </c>
      <c r="H259" s="12" t="s">
        <v>37</v>
      </c>
      <c r="I259" s="12" t="s">
        <v>19</v>
      </c>
      <c r="J259" s="12" t="s">
        <v>22</v>
      </c>
      <c r="K259" s="12">
        <v>229.995</v>
      </c>
      <c r="L259" s="12">
        <v>185.96199999999999</v>
      </c>
      <c r="O259" s="13">
        <f t="shared" si="9"/>
        <v>0.80854801191330239</v>
      </c>
    </row>
    <row r="260" spans="1:15" x14ac:dyDescent="0.25">
      <c r="A260" s="12">
        <f t="shared" si="8"/>
        <v>5</v>
      </c>
      <c r="B260" s="12">
        <v>2021</v>
      </c>
      <c r="C260" s="12">
        <v>6539</v>
      </c>
      <c r="E260" s="12" t="s">
        <v>13</v>
      </c>
      <c r="F260" s="12" t="s">
        <v>14</v>
      </c>
      <c r="G260" s="14">
        <v>44333</v>
      </c>
      <c r="H260" s="12" t="s">
        <v>36</v>
      </c>
      <c r="I260" s="12" t="s">
        <v>20</v>
      </c>
      <c r="J260" s="12" t="s">
        <v>30</v>
      </c>
      <c r="K260" s="12">
        <v>232.00299999999999</v>
      </c>
      <c r="L260" s="12">
        <v>190.9</v>
      </c>
      <c r="O260" s="13">
        <f t="shared" si="9"/>
        <v>0.82283418748895498</v>
      </c>
    </row>
    <row r="261" spans="1:15" x14ac:dyDescent="0.25">
      <c r="A261" s="12">
        <f t="shared" si="8"/>
        <v>5</v>
      </c>
      <c r="B261" s="12">
        <v>2021</v>
      </c>
      <c r="C261" s="12">
        <v>6540</v>
      </c>
      <c r="E261" s="12" t="s">
        <v>13</v>
      </c>
      <c r="F261" s="12" t="s">
        <v>14</v>
      </c>
      <c r="G261" s="14">
        <v>44334</v>
      </c>
      <c r="H261" s="12" t="s">
        <v>36</v>
      </c>
      <c r="I261" s="12" t="s">
        <v>20</v>
      </c>
      <c r="J261" s="12" t="s">
        <v>30</v>
      </c>
      <c r="K261" s="12">
        <v>232.00299999999999</v>
      </c>
      <c r="L261" s="12">
        <v>186.64</v>
      </c>
      <c r="O261" s="13">
        <f t="shared" si="9"/>
        <v>0.80447235596091426</v>
      </c>
    </row>
    <row r="262" spans="1:15" x14ac:dyDescent="0.25">
      <c r="A262" s="12">
        <f t="shared" si="8"/>
        <v>5</v>
      </c>
      <c r="B262" s="12">
        <v>2021</v>
      </c>
      <c r="C262" s="12">
        <v>6541</v>
      </c>
      <c r="E262" s="12" t="s">
        <v>13</v>
      </c>
      <c r="F262" s="12" t="s">
        <v>14</v>
      </c>
      <c r="G262" s="14">
        <v>44335</v>
      </c>
      <c r="H262" s="12" t="s">
        <v>18</v>
      </c>
      <c r="I262" s="12" t="s">
        <v>20</v>
      </c>
      <c r="J262" s="12" t="s">
        <v>31</v>
      </c>
      <c r="K262" s="12">
        <v>232.00299999999999</v>
      </c>
      <c r="L262" s="12">
        <v>196.327</v>
      </c>
      <c r="O262" s="13">
        <f t="shared" si="9"/>
        <v>0.8462261263862968</v>
      </c>
    </row>
    <row r="263" spans="1:15" x14ac:dyDescent="0.25">
      <c r="A263" s="12">
        <f t="shared" si="8"/>
        <v>5</v>
      </c>
      <c r="B263" s="12">
        <v>2021</v>
      </c>
      <c r="C263" s="12">
        <v>6542</v>
      </c>
      <c r="E263" s="12" t="s">
        <v>13</v>
      </c>
      <c r="F263" s="12" t="s">
        <v>14</v>
      </c>
      <c r="G263" s="14">
        <v>44336</v>
      </c>
      <c r="H263" s="12" t="s">
        <v>18</v>
      </c>
      <c r="I263" s="12" t="s">
        <v>20</v>
      </c>
      <c r="J263" s="12" t="s">
        <v>31</v>
      </c>
      <c r="K263" s="12">
        <v>232.00299999999999</v>
      </c>
      <c r="L263" s="12">
        <v>192.751</v>
      </c>
      <c r="O263" s="13">
        <f t="shared" si="9"/>
        <v>0.83081253259656129</v>
      </c>
    </row>
    <row r="264" spans="1:15" x14ac:dyDescent="0.25">
      <c r="A264" s="12">
        <f t="shared" si="8"/>
        <v>5</v>
      </c>
      <c r="B264" s="12">
        <v>2021</v>
      </c>
      <c r="C264" s="12">
        <v>6543</v>
      </c>
      <c r="E264" s="12" t="s">
        <v>13</v>
      </c>
      <c r="F264" s="12" t="s">
        <v>14</v>
      </c>
      <c r="G264" s="14">
        <v>44337</v>
      </c>
      <c r="H264" s="12" t="s">
        <v>17</v>
      </c>
      <c r="I264" s="12" t="s">
        <v>19</v>
      </c>
      <c r="J264" s="12" t="s">
        <v>22</v>
      </c>
      <c r="K264" s="12">
        <v>230.01599999999999</v>
      </c>
      <c r="L264" s="12">
        <v>190.32599999999999</v>
      </c>
      <c r="O264" s="13">
        <f t="shared" si="9"/>
        <v>0.82744678631051749</v>
      </c>
    </row>
    <row r="265" spans="1:15" x14ac:dyDescent="0.25">
      <c r="A265" s="12">
        <f t="shared" si="8"/>
        <v>5</v>
      </c>
      <c r="B265" s="12">
        <v>2021</v>
      </c>
      <c r="C265" s="12">
        <v>6544</v>
      </c>
      <c r="E265" s="12" t="s">
        <v>13</v>
      </c>
      <c r="F265" s="12" t="s">
        <v>14</v>
      </c>
      <c r="G265" s="14">
        <v>44338</v>
      </c>
      <c r="H265" s="12" t="s">
        <v>17</v>
      </c>
      <c r="I265" s="12" t="s">
        <v>19</v>
      </c>
      <c r="J265" s="12" t="s">
        <v>22</v>
      </c>
      <c r="K265" s="12">
        <v>229.99799999999999</v>
      </c>
      <c r="L265" s="12">
        <v>193</v>
      </c>
      <c r="O265" s="13">
        <f t="shared" si="9"/>
        <v>0.83913773163244898</v>
      </c>
    </row>
    <row r="266" spans="1:15" x14ac:dyDescent="0.25">
      <c r="A266" s="12">
        <f t="shared" si="8"/>
        <v>5</v>
      </c>
      <c r="B266" s="12">
        <v>2021</v>
      </c>
      <c r="C266" s="12">
        <v>6545</v>
      </c>
      <c r="E266" s="12" t="s">
        <v>13</v>
      </c>
      <c r="F266" s="12" t="s">
        <v>14</v>
      </c>
      <c r="G266" s="14">
        <v>44339</v>
      </c>
      <c r="H266" s="12" t="s">
        <v>17</v>
      </c>
      <c r="I266" s="12" t="s">
        <v>19</v>
      </c>
      <c r="J266" s="12" t="s">
        <v>22</v>
      </c>
      <c r="K266" s="12">
        <v>229.99799999999999</v>
      </c>
      <c r="L266" s="12">
        <v>190.78800000000001</v>
      </c>
      <c r="O266" s="13">
        <f t="shared" si="9"/>
        <v>0.82952025669788443</v>
      </c>
    </row>
    <row r="267" spans="1:15" x14ac:dyDescent="0.25">
      <c r="A267" s="12">
        <f t="shared" si="8"/>
        <v>5</v>
      </c>
      <c r="B267" s="12">
        <v>2021</v>
      </c>
      <c r="C267" s="12">
        <v>6546</v>
      </c>
      <c r="E267" s="12" t="s">
        <v>13</v>
      </c>
      <c r="F267" s="12" t="s">
        <v>14</v>
      </c>
      <c r="G267" s="14">
        <v>44340</v>
      </c>
      <c r="H267" s="12" t="s">
        <v>17</v>
      </c>
      <c r="I267" s="12" t="s">
        <v>19</v>
      </c>
      <c r="J267" s="12" t="s">
        <v>22</v>
      </c>
      <c r="K267" s="12">
        <v>230.006</v>
      </c>
      <c r="L267" s="12">
        <v>198.084</v>
      </c>
      <c r="O267" s="13">
        <f t="shared" si="9"/>
        <v>0.86121231620044691</v>
      </c>
    </row>
    <row r="268" spans="1:15" x14ac:dyDescent="0.25">
      <c r="A268" s="12">
        <f t="shared" si="8"/>
        <v>5</v>
      </c>
      <c r="B268" s="12">
        <v>2021</v>
      </c>
      <c r="C268" s="12">
        <v>6547</v>
      </c>
      <c r="E268" s="12" t="s">
        <v>13</v>
      </c>
      <c r="F268" s="12" t="s">
        <v>14</v>
      </c>
      <c r="G268" s="14">
        <v>44341</v>
      </c>
      <c r="H268" s="12" t="s">
        <v>17</v>
      </c>
      <c r="I268" s="12" t="s">
        <v>19</v>
      </c>
      <c r="J268" s="12" t="s">
        <v>22</v>
      </c>
      <c r="K268" s="12">
        <v>230.006</v>
      </c>
      <c r="L268" s="12">
        <v>189.601</v>
      </c>
      <c r="O268" s="13">
        <f t="shared" si="9"/>
        <v>0.82433066963470514</v>
      </c>
    </row>
    <row r="269" spans="1:15" x14ac:dyDescent="0.25">
      <c r="A269" s="12">
        <f t="shared" si="8"/>
        <v>5</v>
      </c>
      <c r="B269" s="12">
        <v>2021</v>
      </c>
      <c r="C269" s="12">
        <v>6548</v>
      </c>
      <c r="E269" s="12" t="s">
        <v>13</v>
      </c>
      <c r="F269" s="12" t="s">
        <v>14</v>
      </c>
      <c r="G269" s="14">
        <v>44342</v>
      </c>
      <c r="H269" s="12" t="s">
        <v>18</v>
      </c>
      <c r="I269" s="12" t="s">
        <v>20</v>
      </c>
      <c r="J269" s="12" t="s">
        <v>30</v>
      </c>
      <c r="K269" s="12">
        <v>232.005</v>
      </c>
      <c r="L269" s="12">
        <v>194.41</v>
      </c>
      <c r="O269" s="13">
        <f t="shared" si="9"/>
        <v>0.83795607853279019</v>
      </c>
    </row>
    <row r="270" spans="1:15" x14ac:dyDescent="0.25">
      <c r="A270" s="12">
        <f t="shared" si="8"/>
        <v>5</v>
      </c>
      <c r="B270" s="12">
        <v>2021</v>
      </c>
      <c r="C270" s="12">
        <v>6549</v>
      </c>
      <c r="E270" s="12" t="s">
        <v>13</v>
      </c>
      <c r="F270" s="12" t="s">
        <v>14</v>
      </c>
      <c r="G270" s="14">
        <v>44343</v>
      </c>
      <c r="H270" s="12" t="s">
        <v>18</v>
      </c>
      <c r="I270" s="12" t="s">
        <v>20</v>
      </c>
      <c r="J270" s="12" t="s">
        <v>30</v>
      </c>
      <c r="K270" s="12">
        <v>231.99199999999999</v>
      </c>
      <c r="L270" s="12">
        <v>191.38800000000001</v>
      </c>
      <c r="O270" s="13">
        <f t="shared" si="9"/>
        <v>0.82497672333528749</v>
      </c>
    </row>
    <row r="271" spans="1:15" x14ac:dyDescent="0.25">
      <c r="A271" s="12">
        <f t="shared" si="8"/>
        <v>5</v>
      </c>
      <c r="B271" s="12">
        <v>2021</v>
      </c>
      <c r="C271" s="12">
        <v>6550</v>
      </c>
      <c r="E271" s="12" t="s">
        <v>13</v>
      </c>
      <c r="F271" s="12" t="s">
        <v>14</v>
      </c>
      <c r="G271" s="14">
        <v>44344</v>
      </c>
      <c r="H271" s="12" t="s">
        <v>18</v>
      </c>
      <c r="I271" s="12" t="s">
        <v>20</v>
      </c>
      <c r="J271" s="12" t="s">
        <v>30</v>
      </c>
      <c r="K271" s="12">
        <v>231.99299999999999</v>
      </c>
      <c r="L271" s="12">
        <v>197.93600000000001</v>
      </c>
      <c r="O271" s="13">
        <f t="shared" si="9"/>
        <v>0.85319815684093925</v>
      </c>
    </row>
    <row r="272" spans="1:15" x14ac:dyDescent="0.25">
      <c r="A272" s="12">
        <f t="shared" si="8"/>
        <v>5</v>
      </c>
      <c r="B272" s="12">
        <v>2021</v>
      </c>
      <c r="C272" s="12">
        <v>6551</v>
      </c>
      <c r="E272" s="12" t="s">
        <v>13</v>
      </c>
      <c r="F272" s="12" t="s">
        <v>14</v>
      </c>
      <c r="G272" s="14">
        <v>44345</v>
      </c>
      <c r="H272" s="12" t="s">
        <v>18</v>
      </c>
      <c r="I272" s="12" t="s">
        <v>20</v>
      </c>
      <c r="J272" s="12" t="s">
        <v>30</v>
      </c>
      <c r="K272" s="12">
        <v>232.005</v>
      </c>
      <c r="L272" s="12">
        <v>194.11500000000001</v>
      </c>
      <c r="O272" s="13">
        <f t="shared" si="9"/>
        <v>0.83668455421219379</v>
      </c>
    </row>
    <row r="273" spans="1:15" x14ac:dyDescent="0.25">
      <c r="A273" s="12">
        <f t="shared" si="8"/>
        <v>5</v>
      </c>
      <c r="B273" s="12">
        <v>2021</v>
      </c>
      <c r="C273" s="12">
        <v>6552</v>
      </c>
      <c r="E273" s="12" t="s">
        <v>13</v>
      </c>
      <c r="F273" s="12" t="s">
        <v>14</v>
      </c>
      <c r="G273" s="14">
        <v>44346</v>
      </c>
      <c r="H273" s="12" t="s">
        <v>18</v>
      </c>
      <c r="I273" s="12" t="s">
        <v>20</v>
      </c>
      <c r="J273" s="12" t="s">
        <v>30</v>
      </c>
      <c r="K273" s="12">
        <v>232.005</v>
      </c>
      <c r="L273" s="12">
        <v>189</v>
      </c>
      <c r="O273" s="13">
        <f t="shared" si="9"/>
        <v>0.81463761556863001</v>
      </c>
    </row>
    <row r="274" spans="1:15" x14ac:dyDescent="0.25">
      <c r="A274" s="12">
        <f t="shared" si="8"/>
        <v>5</v>
      </c>
      <c r="B274" s="12">
        <v>2021</v>
      </c>
      <c r="C274" s="12">
        <v>6553</v>
      </c>
      <c r="E274" s="12" t="s">
        <v>13</v>
      </c>
      <c r="F274" s="12" t="s">
        <v>14</v>
      </c>
      <c r="G274" s="14">
        <v>44347</v>
      </c>
      <c r="H274" s="12" t="s">
        <v>17</v>
      </c>
      <c r="I274" s="12" t="s">
        <v>19</v>
      </c>
      <c r="J274" s="12" t="s">
        <v>25</v>
      </c>
      <c r="K274" s="12">
        <v>230.023</v>
      </c>
      <c r="L274" s="12">
        <v>194.86099999999999</v>
      </c>
      <c r="O274" s="13">
        <f t="shared" si="9"/>
        <v>0.84713702542789193</v>
      </c>
    </row>
    <row r="275" spans="1:15" x14ac:dyDescent="0.25">
      <c r="A275" s="12">
        <f t="shared" si="8"/>
        <v>6</v>
      </c>
      <c r="B275" s="12">
        <v>2021</v>
      </c>
      <c r="C275" s="12">
        <v>6554</v>
      </c>
      <c r="E275" s="12" t="s">
        <v>13</v>
      </c>
      <c r="F275" s="12" t="s">
        <v>14</v>
      </c>
      <c r="G275" s="14">
        <v>44348</v>
      </c>
      <c r="H275" s="12" t="s">
        <v>17</v>
      </c>
      <c r="I275" s="12" t="s">
        <v>19</v>
      </c>
      <c r="J275" s="12" t="s">
        <v>25</v>
      </c>
      <c r="K275" s="12">
        <v>230.001</v>
      </c>
      <c r="L275" s="12">
        <v>192.274</v>
      </c>
      <c r="O275" s="13">
        <f t="shared" si="9"/>
        <v>0.83597027839009397</v>
      </c>
    </row>
    <row r="276" spans="1:15" x14ac:dyDescent="0.25">
      <c r="A276" s="12">
        <f t="shared" si="8"/>
        <v>6</v>
      </c>
      <c r="B276" s="12">
        <v>2021</v>
      </c>
      <c r="C276" s="12">
        <v>6555</v>
      </c>
      <c r="E276" s="12" t="s">
        <v>13</v>
      </c>
      <c r="F276" s="12" t="s">
        <v>14</v>
      </c>
      <c r="G276" s="14">
        <v>44349</v>
      </c>
      <c r="H276" s="12" t="s">
        <v>17</v>
      </c>
      <c r="I276" s="12" t="s">
        <v>19</v>
      </c>
      <c r="J276" s="12" t="s">
        <v>25</v>
      </c>
      <c r="K276" s="12">
        <v>230.001</v>
      </c>
      <c r="L276" s="12">
        <v>193.55</v>
      </c>
      <c r="O276" s="13">
        <f t="shared" si="9"/>
        <v>0.84151808035617237</v>
      </c>
    </row>
    <row r="277" spans="1:15" x14ac:dyDescent="0.25">
      <c r="A277" s="12">
        <f t="shared" si="8"/>
        <v>6</v>
      </c>
      <c r="B277" s="12">
        <v>2021</v>
      </c>
      <c r="C277" s="12">
        <v>6556</v>
      </c>
      <c r="E277" s="12" t="s">
        <v>13</v>
      </c>
      <c r="F277" s="12" t="s">
        <v>14</v>
      </c>
      <c r="G277" s="14">
        <v>44350</v>
      </c>
      <c r="H277" s="12" t="s">
        <v>17</v>
      </c>
      <c r="I277" s="12" t="s">
        <v>19</v>
      </c>
      <c r="J277" s="12" t="s">
        <v>25</v>
      </c>
      <c r="K277" s="12">
        <v>229.99799999999999</v>
      </c>
      <c r="L277" s="12">
        <v>190.86600000000001</v>
      </c>
      <c r="O277" s="13">
        <f t="shared" si="9"/>
        <v>0.82985939008165299</v>
      </c>
    </row>
    <row r="278" spans="1:15" x14ac:dyDescent="0.25">
      <c r="A278" s="12">
        <f t="shared" si="8"/>
        <v>6</v>
      </c>
      <c r="B278" s="12">
        <v>2021</v>
      </c>
      <c r="C278" s="12">
        <v>6557</v>
      </c>
      <c r="E278" s="12" t="s">
        <v>13</v>
      </c>
      <c r="F278" s="12" t="s">
        <v>14</v>
      </c>
      <c r="G278" s="14">
        <v>44351</v>
      </c>
      <c r="H278" s="12" t="s">
        <v>17</v>
      </c>
      <c r="I278" s="12" t="s">
        <v>19</v>
      </c>
      <c r="J278" s="12" t="s">
        <v>25</v>
      </c>
      <c r="K278" s="12">
        <v>229.99799999999999</v>
      </c>
      <c r="L278" s="12">
        <v>193.55699999999999</v>
      </c>
      <c r="O278" s="13">
        <f t="shared" si="9"/>
        <v>0.841559491821668</v>
      </c>
    </row>
    <row r="279" spans="1:15" x14ac:dyDescent="0.25">
      <c r="A279" s="12">
        <f t="shared" si="8"/>
        <v>6</v>
      </c>
      <c r="B279" s="12">
        <v>2021</v>
      </c>
      <c r="C279" s="12">
        <v>6558</v>
      </c>
      <c r="E279" s="12" t="s">
        <v>13</v>
      </c>
      <c r="F279" s="12" t="s">
        <v>14</v>
      </c>
      <c r="G279" s="14">
        <v>44352</v>
      </c>
      <c r="H279" s="12" t="s">
        <v>37</v>
      </c>
      <c r="I279" s="12" t="s">
        <v>20</v>
      </c>
      <c r="J279" s="12" t="s">
        <v>31</v>
      </c>
      <c r="K279" s="12">
        <v>235.005</v>
      </c>
      <c r="L279" s="12">
        <v>196.26499999999999</v>
      </c>
      <c r="O279" s="13">
        <f t="shared" si="9"/>
        <v>0.83515244356503049</v>
      </c>
    </row>
    <row r="280" spans="1:15" x14ac:dyDescent="0.25">
      <c r="A280" s="12">
        <f t="shared" si="8"/>
        <v>6</v>
      </c>
      <c r="B280" s="12">
        <v>2021</v>
      </c>
      <c r="C280" s="12">
        <v>6559</v>
      </c>
      <c r="E280" s="12" t="s">
        <v>13</v>
      </c>
      <c r="F280" s="12" t="s">
        <v>14</v>
      </c>
      <c r="G280" s="14">
        <v>44353</v>
      </c>
      <c r="H280" s="12" t="s">
        <v>37</v>
      </c>
      <c r="I280" s="12" t="s">
        <v>20</v>
      </c>
      <c r="J280" s="12" t="s">
        <v>31</v>
      </c>
      <c r="K280" s="12">
        <v>235.00399999999999</v>
      </c>
      <c r="L280" s="12">
        <v>193.74299999999999</v>
      </c>
      <c r="O280" s="13">
        <f t="shared" si="9"/>
        <v>0.82442426511889155</v>
      </c>
    </row>
    <row r="281" spans="1:15" x14ac:dyDescent="0.25">
      <c r="A281" s="12">
        <f t="shared" si="8"/>
        <v>6</v>
      </c>
      <c r="B281" s="12">
        <v>2021</v>
      </c>
      <c r="C281" s="12">
        <v>6560</v>
      </c>
      <c r="E281" s="12" t="s">
        <v>13</v>
      </c>
      <c r="F281" s="12" t="s">
        <v>14</v>
      </c>
      <c r="G281" s="14">
        <v>44354</v>
      </c>
      <c r="H281" s="12" t="s">
        <v>17</v>
      </c>
      <c r="I281" s="12" t="s">
        <v>19</v>
      </c>
      <c r="J281" s="12" t="s">
        <v>35</v>
      </c>
      <c r="K281" s="12">
        <v>230.018</v>
      </c>
      <c r="L281" s="12">
        <v>189.67400000000001</v>
      </c>
      <c r="O281" s="13">
        <f t="shared" si="9"/>
        <v>0.82460503091062443</v>
      </c>
    </row>
    <row r="282" spans="1:15" x14ac:dyDescent="0.25">
      <c r="A282" s="12">
        <f t="shared" si="8"/>
        <v>6</v>
      </c>
      <c r="B282" s="12">
        <v>2021</v>
      </c>
      <c r="C282" s="12">
        <v>6561</v>
      </c>
      <c r="E282" s="12" t="s">
        <v>13</v>
      </c>
      <c r="F282" s="12" t="s">
        <v>14</v>
      </c>
      <c r="G282" s="14">
        <v>44355</v>
      </c>
      <c r="H282" s="12" t="s">
        <v>38</v>
      </c>
      <c r="I282" s="12" t="s">
        <v>19</v>
      </c>
      <c r="J282" s="12" t="s">
        <v>22</v>
      </c>
      <c r="K282" s="12">
        <v>230.00700000000001</v>
      </c>
      <c r="L282" s="12">
        <v>191.95599999999999</v>
      </c>
      <c r="O282" s="13">
        <f t="shared" si="9"/>
        <v>0.83456590451594947</v>
      </c>
    </row>
    <row r="283" spans="1:15" x14ac:dyDescent="0.25">
      <c r="A283" s="12">
        <f t="shared" si="8"/>
        <v>6</v>
      </c>
      <c r="B283" s="12">
        <v>2021</v>
      </c>
      <c r="C283" s="12">
        <v>6562</v>
      </c>
      <c r="E283" s="12" t="s">
        <v>13</v>
      </c>
      <c r="F283" s="12" t="s">
        <v>14</v>
      </c>
      <c r="G283" s="14">
        <v>44356</v>
      </c>
      <c r="H283" s="12" t="s">
        <v>38</v>
      </c>
      <c r="I283" s="12" t="s">
        <v>19</v>
      </c>
      <c r="J283" s="12" t="s">
        <v>22</v>
      </c>
      <c r="K283" s="12">
        <v>230.006</v>
      </c>
      <c r="L283" s="12">
        <v>188.429</v>
      </c>
      <c r="O283" s="13">
        <f t="shared" si="9"/>
        <v>0.81923515038738126</v>
      </c>
    </row>
    <row r="284" spans="1:15" x14ac:dyDescent="0.25">
      <c r="A284" s="12">
        <f t="shared" si="8"/>
        <v>6</v>
      </c>
      <c r="B284" s="12">
        <v>2021</v>
      </c>
      <c r="C284" s="12">
        <v>6563</v>
      </c>
      <c r="E284" s="12" t="s">
        <v>13</v>
      </c>
      <c r="F284" s="12" t="s">
        <v>14</v>
      </c>
      <c r="G284" s="14">
        <v>44357</v>
      </c>
      <c r="H284" s="12" t="s">
        <v>38</v>
      </c>
      <c r="I284" s="12" t="s">
        <v>19</v>
      </c>
      <c r="J284" s="12" t="s">
        <v>22</v>
      </c>
      <c r="K284" s="12">
        <v>230.006</v>
      </c>
      <c r="L284" s="12">
        <v>191.87700000000001</v>
      </c>
      <c r="O284" s="13">
        <f t="shared" si="9"/>
        <v>0.83422606366790431</v>
      </c>
    </row>
    <row r="285" spans="1:15" x14ac:dyDescent="0.25">
      <c r="A285" s="12">
        <f t="shared" si="8"/>
        <v>6</v>
      </c>
      <c r="B285" s="12">
        <v>2021</v>
      </c>
      <c r="C285" s="12">
        <v>6564</v>
      </c>
      <c r="E285" s="12" t="s">
        <v>13</v>
      </c>
      <c r="F285" s="12" t="s">
        <v>14</v>
      </c>
      <c r="G285" s="14">
        <v>44358</v>
      </c>
      <c r="H285" s="12" t="s">
        <v>17</v>
      </c>
      <c r="I285" s="12" t="s">
        <v>19</v>
      </c>
      <c r="J285" s="12" t="s">
        <v>25</v>
      </c>
      <c r="K285" s="12">
        <v>230.005</v>
      </c>
      <c r="L285" s="12">
        <v>193.91900000000001</v>
      </c>
      <c r="O285" s="13">
        <f t="shared" si="9"/>
        <v>0.8431077585269886</v>
      </c>
    </row>
    <row r="286" spans="1:15" x14ac:dyDescent="0.25">
      <c r="A286" s="12">
        <f t="shared" si="8"/>
        <v>6</v>
      </c>
      <c r="B286" s="12">
        <v>2021</v>
      </c>
      <c r="C286" s="12">
        <v>6565</v>
      </c>
      <c r="E286" s="12" t="s">
        <v>13</v>
      </c>
      <c r="F286" s="12" t="s">
        <v>14</v>
      </c>
      <c r="G286" s="14">
        <v>44359</v>
      </c>
      <c r="H286" s="12" t="s">
        <v>17</v>
      </c>
      <c r="I286" s="12" t="s">
        <v>19</v>
      </c>
      <c r="J286" s="12" t="s">
        <v>25</v>
      </c>
      <c r="K286" s="12">
        <v>230.005</v>
      </c>
      <c r="L286" s="12">
        <v>186.06200000000001</v>
      </c>
      <c r="O286" s="13">
        <f t="shared" si="9"/>
        <v>0.80894763157322669</v>
      </c>
    </row>
    <row r="287" spans="1:15" x14ac:dyDescent="0.25">
      <c r="A287" s="12">
        <f t="shared" si="8"/>
        <v>6</v>
      </c>
      <c r="B287" s="12">
        <v>2021</v>
      </c>
      <c r="C287" s="12">
        <v>6566</v>
      </c>
      <c r="E287" s="12" t="s">
        <v>13</v>
      </c>
      <c r="F287" s="12" t="s">
        <v>14</v>
      </c>
      <c r="G287" s="14">
        <v>44360</v>
      </c>
      <c r="H287" s="12" t="s">
        <v>18</v>
      </c>
      <c r="I287" s="12" t="s">
        <v>20</v>
      </c>
      <c r="J287" s="12" t="s">
        <v>31</v>
      </c>
      <c r="K287" s="12">
        <v>235.00700000000001</v>
      </c>
      <c r="L287" s="12">
        <v>203.101</v>
      </c>
      <c r="O287" s="13">
        <f t="shared" si="9"/>
        <v>0.86423383133268372</v>
      </c>
    </row>
    <row r="288" spans="1:15" x14ac:dyDescent="0.25">
      <c r="A288" s="12">
        <f t="shared" si="8"/>
        <v>6</v>
      </c>
      <c r="B288" s="12">
        <v>2021</v>
      </c>
      <c r="C288" s="12">
        <v>6567</v>
      </c>
      <c r="E288" s="12" t="s">
        <v>13</v>
      </c>
      <c r="F288" s="12" t="s">
        <v>14</v>
      </c>
      <c r="G288" s="14">
        <v>44361</v>
      </c>
      <c r="H288" s="12" t="s">
        <v>18</v>
      </c>
      <c r="I288" s="12" t="s">
        <v>20</v>
      </c>
      <c r="J288" s="12" t="s">
        <v>31</v>
      </c>
      <c r="K288" s="12">
        <v>235.006</v>
      </c>
      <c r="L288" s="12">
        <v>193.12899999999999</v>
      </c>
      <c r="O288" s="13">
        <f t="shared" si="9"/>
        <v>0.82180454967107219</v>
      </c>
    </row>
    <row r="289" spans="1:15" x14ac:dyDescent="0.25">
      <c r="A289" s="12">
        <f t="shared" si="8"/>
        <v>6</v>
      </c>
      <c r="B289" s="12">
        <v>2021</v>
      </c>
      <c r="C289" s="12">
        <v>6568</v>
      </c>
      <c r="E289" s="12" t="s">
        <v>13</v>
      </c>
      <c r="F289" s="12" t="s">
        <v>14</v>
      </c>
      <c r="G289" s="14">
        <v>44362</v>
      </c>
      <c r="H289" s="12" t="s">
        <v>37</v>
      </c>
      <c r="I289" s="12" t="s">
        <v>19</v>
      </c>
      <c r="J289" s="12" t="s">
        <v>27</v>
      </c>
      <c r="K289" s="12">
        <v>230</v>
      </c>
      <c r="L289" s="12">
        <v>189.899</v>
      </c>
      <c r="O289" s="13">
        <f t="shared" si="9"/>
        <v>0.82564782608695653</v>
      </c>
    </row>
    <row r="290" spans="1:15" x14ac:dyDescent="0.25">
      <c r="A290" s="12">
        <f t="shared" si="8"/>
        <v>6</v>
      </c>
      <c r="B290" s="12">
        <v>2021</v>
      </c>
      <c r="C290" s="12">
        <v>6569</v>
      </c>
      <c r="E290" s="12" t="s">
        <v>13</v>
      </c>
      <c r="F290" s="12" t="s">
        <v>14</v>
      </c>
      <c r="G290" s="14">
        <v>44363</v>
      </c>
      <c r="H290" s="12" t="s">
        <v>37</v>
      </c>
      <c r="I290" s="12" t="s">
        <v>19</v>
      </c>
      <c r="J290" s="12" t="s">
        <v>25</v>
      </c>
      <c r="K290" s="12">
        <v>230.00399999999999</v>
      </c>
      <c r="L290" s="12">
        <v>199.83099999999999</v>
      </c>
      <c r="O290" s="13">
        <f t="shared" si="9"/>
        <v>0.86881532495087044</v>
      </c>
    </row>
    <row r="291" spans="1:15" x14ac:dyDescent="0.25">
      <c r="A291" s="12">
        <f t="shared" si="8"/>
        <v>6</v>
      </c>
      <c r="B291" s="12">
        <v>2021</v>
      </c>
      <c r="C291" s="12">
        <v>6570</v>
      </c>
      <c r="E291" s="12" t="s">
        <v>13</v>
      </c>
      <c r="F291" s="12" t="s">
        <v>14</v>
      </c>
      <c r="G291" s="14">
        <v>44364</v>
      </c>
      <c r="H291" s="12" t="s">
        <v>37</v>
      </c>
      <c r="I291" s="12" t="s">
        <v>19</v>
      </c>
      <c r="J291" s="12" t="s">
        <v>25</v>
      </c>
      <c r="K291" s="12">
        <v>230.005</v>
      </c>
      <c r="L291" s="12">
        <v>190.64599999999999</v>
      </c>
      <c r="O291" s="13">
        <f t="shared" si="9"/>
        <v>0.82887763309493268</v>
      </c>
    </row>
    <row r="292" spans="1:15" x14ac:dyDescent="0.25">
      <c r="A292" s="12">
        <f t="shared" si="8"/>
        <v>6</v>
      </c>
      <c r="B292" s="12">
        <v>2021</v>
      </c>
      <c r="C292" s="12">
        <v>6571</v>
      </c>
      <c r="E292" s="12" t="s">
        <v>13</v>
      </c>
      <c r="F292" s="12" t="s">
        <v>14</v>
      </c>
      <c r="G292" s="14">
        <v>44365</v>
      </c>
      <c r="H292" s="12" t="s">
        <v>17</v>
      </c>
      <c r="I292" s="12" t="s">
        <v>19</v>
      </c>
      <c r="J292" s="12" t="s">
        <v>25</v>
      </c>
      <c r="K292" s="12">
        <v>230.00399999999999</v>
      </c>
      <c r="L292" s="12">
        <v>194.23500000000001</v>
      </c>
      <c r="O292" s="13">
        <f t="shared" si="9"/>
        <v>0.8444853132988992</v>
      </c>
    </row>
    <row r="293" spans="1:15" x14ac:dyDescent="0.25">
      <c r="A293" s="12">
        <f t="shared" si="8"/>
        <v>6</v>
      </c>
      <c r="B293" s="12">
        <v>2021</v>
      </c>
      <c r="C293" s="12">
        <v>6572</v>
      </c>
      <c r="E293" s="12" t="s">
        <v>13</v>
      </c>
      <c r="F293" s="12" t="s">
        <v>14</v>
      </c>
      <c r="G293" s="14">
        <v>44366</v>
      </c>
      <c r="H293" s="12" t="s">
        <v>17</v>
      </c>
      <c r="I293" s="12" t="s">
        <v>19</v>
      </c>
      <c r="J293" s="12" t="s">
        <v>25</v>
      </c>
      <c r="K293" s="12">
        <v>230.00299999999999</v>
      </c>
      <c r="L293" s="12">
        <v>189.124</v>
      </c>
      <c r="O293" s="13">
        <f t="shared" si="9"/>
        <v>0.82226753564083954</v>
      </c>
    </row>
    <row r="294" spans="1:15" x14ac:dyDescent="0.25">
      <c r="A294" s="12">
        <f t="shared" si="8"/>
        <v>6</v>
      </c>
      <c r="B294" s="12">
        <v>2021</v>
      </c>
      <c r="C294" s="12">
        <v>6573</v>
      </c>
      <c r="E294" s="12" t="s">
        <v>13</v>
      </c>
      <c r="F294" s="12" t="s">
        <v>14</v>
      </c>
      <c r="G294" s="14">
        <v>44367</v>
      </c>
      <c r="H294" s="12" t="s">
        <v>17</v>
      </c>
      <c r="I294" s="12" t="s">
        <v>19</v>
      </c>
      <c r="J294" s="12" t="s">
        <v>25</v>
      </c>
      <c r="K294" s="12">
        <v>230.023</v>
      </c>
      <c r="L294" s="12">
        <v>190.69900000000001</v>
      </c>
      <c r="O294" s="13">
        <f t="shared" si="9"/>
        <v>0.82904318263825794</v>
      </c>
    </row>
    <row r="295" spans="1:15" x14ac:dyDescent="0.25">
      <c r="A295" s="12">
        <f t="shared" si="8"/>
        <v>6</v>
      </c>
      <c r="B295" s="12">
        <v>2021</v>
      </c>
      <c r="C295" s="12">
        <v>6574</v>
      </c>
      <c r="E295" s="12" t="s">
        <v>13</v>
      </c>
      <c r="F295" s="12" t="s">
        <v>14</v>
      </c>
      <c r="G295" s="14">
        <v>44368</v>
      </c>
      <c r="H295" s="12" t="s">
        <v>17</v>
      </c>
      <c r="I295" s="12" t="s">
        <v>19</v>
      </c>
      <c r="J295" s="12" t="s">
        <v>25</v>
      </c>
      <c r="K295" s="12">
        <v>230.00299999999999</v>
      </c>
      <c r="L295" s="12">
        <v>191.11699999999999</v>
      </c>
      <c r="O295" s="13">
        <f t="shared" si="9"/>
        <v>0.83093264000904332</v>
      </c>
    </row>
    <row r="296" spans="1:15" x14ac:dyDescent="0.25">
      <c r="A296" s="12">
        <f t="shared" si="8"/>
        <v>6</v>
      </c>
      <c r="B296" s="12">
        <v>2021</v>
      </c>
      <c r="C296" s="12">
        <v>6575</v>
      </c>
      <c r="E296" s="12" t="s">
        <v>13</v>
      </c>
      <c r="F296" s="12" t="s">
        <v>14</v>
      </c>
      <c r="G296" s="14">
        <v>44369</v>
      </c>
      <c r="H296" s="12" t="s">
        <v>17</v>
      </c>
      <c r="I296" s="12" t="s">
        <v>19</v>
      </c>
      <c r="J296" s="12" t="s">
        <v>25</v>
      </c>
      <c r="K296" s="12">
        <v>230.00299999999999</v>
      </c>
      <c r="L296" s="12">
        <v>185.65199999999999</v>
      </c>
      <c r="O296" s="13">
        <f t="shared" si="9"/>
        <v>0.80717208036416921</v>
      </c>
    </row>
    <row r="297" spans="1:15" x14ac:dyDescent="0.25">
      <c r="A297" s="12">
        <f t="shared" si="8"/>
        <v>6</v>
      </c>
      <c r="B297" s="12">
        <v>2021</v>
      </c>
      <c r="C297" s="12">
        <v>6576</v>
      </c>
      <c r="E297" s="12" t="s">
        <v>13</v>
      </c>
      <c r="F297" s="12" t="s">
        <v>14</v>
      </c>
      <c r="G297" s="14">
        <v>44370</v>
      </c>
      <c r="H297" s="12" t="s">
        <v>18</v>
      </c>
      <c r="I297" s="12" t="s">
        <v>20</v>
      </c>
      <c r="J297" s="12" t="s">
        <v>31</v>
      </c>
      <c r="K297" s="12">
        <v>235.00899999999999</v>
      </c>
      <c r="L297" s="12">
        <v>202.16900000000001</v>
      </c>
      <c r="O297" s="13">
        <f t="shared" si="9"/>
        <v>0.86026067086792435</v>
      </c>
    </row>
    <row r="298" spans="1:15" x14ac:dyDescent="0.25">
      <c r="A298" s="12">
        <f t="shared" si="8"/>
        <v>6</v>
      </c>
      <c r="B298" s="12">
        <v>2021</v>
      </c>
      <c r="C298" s="12">
        <v>6577</v>
      </c>
      <c r="E298" s="12" t="s">
        <v>13</v>
      </c>
      <c r="F298" s="12" t="s">
        <v>14</v>
      </c>
      <c r="G298" s="14">
        <v>44371</v>
      </c>
      <c r="H298" s="12" t="s">
        <v>18</v>
      </c>
      <c r="I298" s="12" t="s">
        <v>20</v>
      </c>
      <c r="J298" s="12" t="s">
        <v>31</v>
      </c>
      <c r="K298" s="12">
        <v>235.01</v>
      </c>
      <c r="L298" s="12">
        <v>193.29</v>
      </c>
      <c r="O298" s="13">
        <f t="shared" si="9"/>
        <v>0.82247563933449641</v>
      </c>
    </row>
    <row r="299" spans="1:15" x14ac:dyDescent="0.25">
      <c r="A299" s="12">
        <f t="shared" si="8"/>
        <v>6</v>
      </c>
      <c r="B299" s="12">
        <v>2021</v>
      </c>
      <c r="C299" s="12">
        <v>6578</v>
      </c>
      <c r="E299" s="12" t="s">
        <v>13</v>
      </c>
      <c r="F299" s="12" t="s">
        <v>14</v>
      </c>
      <c r="G299" s="14">
        <v>44372</v>
      </c>
      <c r="H299" s="12" t="s">
        <v>17</v>
      </c>
      <c r="I299" s="12" t="s">
        <v>19</v>
      </c>
      <c r="J299" s="12" t="s">
        <v>25</v>
      </c>
      <c r="K299" s="12">
        <v>230.01400000000001</v>
      </c>
      <c r="L299" s="12">
        <v>192.23</v>
      </c>
      <c r="O299" s="13">
        <f t="shared" si="9"/>
        <v>0.83573173806811751</v>
      </c>
    </row>
    <row r="300" spans="1:15" x14ac:dyDescent="0.25">
      <c r="A300" s="12">
        <f t="shared" si="8"/>
        <v>6</v>
      </c>
      <c r="B300" s="12">
        <v>2021</v>
      </c>
      <c r="C300" s="12">
        <v>6579</v>
      </c>
      <c r="E300" s="12" t="s">
        <v>13</v>
      </c>
      <c r="F300" s="12" t="s">
        <v>14</v>
      </c>
      <c r="G300" s="14">
        <v>44373</v>
      </c>
      <c r="H300" s="12" t="s">
        <v>17</v>
      </c>
      <c r="I300" s="12" t="s">
        <v>19</v>
      </c>
      <c r="J300" s="12" t="s">
        <v>25</v>
      </c>
      <c r="K300" s="12">
        <v>230.01</v>
      </c>
      <c r="L300" s="12">
        <v>187.06299999999999</v>
      </c>
      <c r="O300" s="13">
        <f t="shared" si="9"/>
        <v>0.81328203121603404</v>
      </c>
    </row>
    <row r="301" spans="1:15" x14ac:dyDescent="0.25">
      <c r="A301" s="12">
        <f t="shared" si="8"/>
        <v>6</v>
      </c>
      <c r="B301" s="12">
        <v>2021</v>
      </c>
      <c r="C301" s="12">
        <v>6580</v>
      </c>
      <c r="E301" s="12" t="s">
        <v>13</v>
      </c>
      <c r="F301" s="12" t="s">
        <v>14</v>
      </c>
      <c r="G301" s="14">
        <v>44374</v>
      </c>
      <c r="H301" s="12" t="s">
        <v>17</v>
      </c>
      <c r="I301" s="12" t="s">
        <v>19</v>
      </c>
      <c r="J301" s="12" t="s">
        <v>25</v>
      </c>
      <c r="K301" s="12">
        <v>230.01</v>
      </c>
      <c r="L301" s="12">
        <v>193.489</v>
      </c>
      <c r="O301" s="13">
        <f t="shared" si="9"/>
        <v>0.84121994695882796</v>
      </c>
    </row>
    <row r="302" spans="1:15" x14ac:dyDescent="0.25">
      <c r="A302" s="12">
        <f t="shared" si="8"/>
        <v>6</v>
      </c>
      <c r="B302" s="12">
        <v>2021</v>
      </c>
      <c r="C302" s="12">
        <v>6581</v>
      </c>
      <c r="E302" s="12" t="s">
        <v>13</v>
      </c>
      <c r="F302" s="12" t="s">
        <v>14</v>
      </c>
      <c r="G302" s="14">
        <v>44375</v>
      </c>
      <c r="H302" s="12" t="s">
        <v>17</v>
      </c>
      <c r="I302" s="12" t="s">
        <v>19</v>
      </c>
      <c r="J302" s="12" t="s">
        <v>25</v>
      </c>
      <c r="K302" s="12">
        <v>230.005</v>
      </c>
      <c r="L302" s="12">
        <v>186.57</v>
      </c>
      <c r="O302" s="13">
        <f t="shared" si="9"/>
        <v>0.8111562792113215</v>
      </c>
    </row>
    <row r="303" spans="1:15" x14ac:dyDescent="0.25">
      <c r="A303" s="12">
        <f t="shared" si="8"/>
        <v>6</v>
      </c>
      <c r="B303" s="12">
        <v>2021</v>
      </c>
      <c r="C303" s="12">
        <v>6582</v>
      </c>
      <c r="E303" s="12" t="s">
        <v>13</v>
      </c>
      <c r="F303" s="12" t="s">
        <v>14</v>
      </c>
      <c r="G303" s="14">
        <v>44376</v>
      </c>
      <c r="H303" s="12" t="s">
        <v>17</v>
      </c>
      <c r="I303" s="12" t="s">
        <v>19</v>
      </c>
      <c r="J303" s="12" t="s">
        <v>25</v>
      </c>
      <c r="K303" s="12">
        <v>230.005</v>
      </c>
      <c r="L303" s="12">
        <v>188.309</v>
      </c>
      <c r="O303" s="13">
        <f t="shared" si="9"/>
        <v>0.81871698441338236</v>
      </c>
    </row>
    <row r="304" spans="1:15" x14ac:dyDescent="0.25">
      <c r="A304" s="12">
        <f t="shared" si="8"/>
        <v>6</v>
      </c>
      <c r="B304" s="12">
        <v>2021</v>
      </c>
      <c r="C304" s="12">
        <v>6583</v>
      </c>
      <c r="E304" s="12" t="s">
        <v>13</v>
      </c>
      <c r="F304" s="12" t="s">
        <v>14</v>
      </c>
      <c r="G304" s="14">
        <v>44377</v>
      </c>
      <c r="H304" s="12" t="s">
        <v>17</v>
      </c>
      <c r="I304" s="12" t="s">
        <v>19</v>
      </c>
      <c r="J304" s="12" t="s">
        <v>25</v>
      </c>
      <c r="K304" s="12">
        <v>230.02</v>
      </c>
      <c r="L304" s="12">
        <v>189.203</v>
      </c>
      <c r="O304" s="13">
        <f t="shared" si="9"/>
        <v>0.82255021302495435</v>
      </c>
    </row>
    <row r="305" spans="1:15" x14ac:dyDescent="0.25">
      <c r="A305" s="12">
        <f t="shared" si="8"/>
        <v>7</v>
      </c>
      <c r="B305" s="12">
        <v>2021</v>
      </c>
      <c r="C305" s="12">
        <v>6584</v>
      </c>
      <c r="E305" s="12" t="s">
        <v>13</v>
      </c>
      <c r="F305" s="12" t="s">
        <v>14</v>
      </c>
      <c r="G305" s="14">
        <v>44378</v>
      </c>
      <c r="H305" s="12" t="s">
        <v>17</v>
      </c>
      <c r="I305" s="12" t="s">
        <v>19</v>
      </c>
      <c r="J305" s="12" t="s">
        <v>25</v>
      </c>
      <c r="K305" s="12">
        <v>229.99600000000001</v>
      </c>
      <c r="L305" s="12">
        <v>192.2</v>
      </c>
      <c r="O305" s="13">
        <f t="shared" si="9"/>
        <v>0.83566670724708247</v>
      </c>
    </row>
    <row r="306" spans="1:15" x14ac:dyDescent="0.25">
      <c r="A306" s="12">
        <f t="shared" si="8"/>
        <v>7</v>
      </c>
      <c r="B306" s="12">
        <v>2021</v>
      </c>
      <c r="C306" s="12">
        <v>6585</v>
      </c>
      <c r="E306" s="12" t="s">
        <v>13</v>
      </c>
      <c r="F306" s="12" t="s">
        <v>14</v>
      </c>
      <c r="G306" s="14">
        <v>44379</v>
      </c>
      <c r="H306" s="12" t="s">
        <v>17</v>
      </c>
      <c r="I306" s="12" t="s">
        <v>19</v>
      </c>
      <c r="J306" s="12" t="s">
        <v>25</v>
      </c>
      <c r="K306" s="12">
        <v>229.99600000000001</v>
      </c>
      <c r="L306" s="12">
        <v>185.065</v>
      </c>
      <c r="O306" s="13">
        <f t="shared" si="9"/>
        <v>0.80464442859875818</v>
      </c>
    </row>
    <row r="307" spans="1:15" x14ac:dyDescent="0.25">
      <c r="A307" s="12">
        <f t="shared" si="8"/>
        <v>7</v>
      </c>
      <c r="B307" s="12">
        <v>2021</v>
      </c>
      <c r="C307" s="12">
        <v>6586</v>
      </c>
      <c r="E307" s="12" t="s">
        <v>13</v>
      </c>
      <c r="F307" s="12" t="s">
        <v>14</v>
      </c>
      <c r="G307" s="14">
        <v>44380</v>
      </c>
      <c r="H307" s="12" t="s">
        <v>17</v>
      </c>
      <c r="I307" s="12" t="s">
        <v>19</v>
      </c>
      <c r="J307" s="12" t="s">
        <v>25</v>
      </c>
      <c r="K307" s="12">
        <v>230.00800000000001</v>
      </c>
      <c r="L307" s="12">
        <v>190.09200000000001</v>
      </c>
      <c r="O307" s="13">
        <f t="shared" si="9"/>
        <v>0.82645821014921217</v>
      </c>
    </row>
    <row r="308" spans="1:15" x14ac:dyDescent="0.25">
      <c r="A308" s="12">
        <f t="shared" si="8"/>
        <v>7</v>
      </c>
      <c r="B308" s="12">
        <v>2021</v>
      </c>
      <c r="C308" s="12">
        <v>6587</v>
      </c>
      <c r="E308" s="12" t="s">
        <v>13</v>
      </c>
      <c r="F308" s="12" t="s">
        <v>14</v>
      </c>
      <c r="G308" s="14">
        <v>44381</v>
      </c>
      <c r="H308" s="12" t="s">
        <v>17</v>
      </c>
      <c r="I308" s="12" t="s">
        <v>19</v>
      </c>
      <c r="J308" s="12" t="s">
        <v>25</v>
      </c>
      <c r="K308" s="12">
        <v>230.00899999999999</v>
      </c>
      <c r="L308" s="12">
        <v>193.8</v>
      </c>
      <c r="O308" s="13">
        <f t="shared" si="9"/>
        <v>0.84257572529770586</v>
      </c>
    </row>
    <row r="309" spans="1:15" x14ac:dyDescent="0.25">
      <c r="A309" s="12">
        <f t="shared" si="8"/>
        <v>7</v>
      </c>
      <c r="B309" s="12">
        <v>2021</v>
      </c>
      <c r="C309" s="12">
        <v>6588</v>
      </c>
      <c r="E309" s="12" t="s">
        <v>13</v>
      </c>
      <c r="F309" s="12" t="s">
        <v>14</v>
      </c>
      <c r="G309" s="14">
        <v>44382</v>
      </c>
      <c r="H309" s="12" t="s">
        <v>18</v>
      </c>
      <c r="I309" s="12" t="s">
        <v>20</v>
      </c>
      <c r="J309" s="12" t="s">
        <v>30</v>
      </c>
      <c r="K309" s="12">
        <v>230.00299999999999</v>
      </c>
      <c r="L309" s="12">
        <v>192.476</v>
      </c>
      <c r="O309" s="13">
        <f t="shared" si="9"/>
        <v>0.83684125859227931</v>
      </c>
    </row>
    <row r="310" spans="1:15" x14ac:dyDescent="0.25">
      <c r="A310" s="12">
        <f t="shared" si="8"/>
        <v>7</v>
      </c>
      <c r="B310" s="12">
        <v>2021</v>
      </c>
      <c r="C310" s="12">
        <v>6589</v>
      </c>
      <c r="E310" s="12" t="s">
        <v>13</v>
      </c>
      <c r="F310" s="12" t="s">
        <v>14</v>
      </c>
      <c r="G310" s="14">
        <v>44383</v>
      </c>
      <c r="H310" s="12" t="s">
        <v>18</v>
      </c>
      <c r="I310" s="12" t="s">
        <v>20</v>
      </c>
      <c r="J310" s="12" t="s">
        <v>30</v>
      </c>
      <c r="K310" s="12">
        <v>230.00200000000001</v>
      </c>
      <c r="L310" s="12">
        <v>192.56</v>
      </c>
      <c r="O310" s="13">
        <f t="shared" si="9"/>
        <v>0.83721011121642419</v>
      </c>
    </row>
    <row r="311" spans="1:15" x14ac:dyDescent="0.25">
      <c r="A311" s="12">
        <f t="shared" si="8"/>
        <v>7</v>
      </c>
      <c r="B311" s="12">
        <v>2021</v>
      </c>
      <c r="C311" s="12">
        <v>6590</v>
      </c>
      <c r="E311" s="12" t="s">
        <v>13</v>
      </c>
      <c r="F311" s="12" t="s">
        <v>14</v>
      </c>
      <c r="G311" s="14">
        <v>44384</v>
      </c>
      <c r="H311" s="12" t="s">
        <v>18</v>
      </c>
      <c r="I311" s="12" t="s">
        <v>20</v>
      </c>
      <c r="J311" s="12" t="s">
        <v>30</v>
      </c>
      <c r="K311" s="12">
        <v>230.00200000000001</v>
      </c>
      <c r="L311" s="12">
        <v>196.708</v>
      </c>
      <c r="O311" s="13">
        <f t="shared" si="9"/>
        <v>0.85524473700228687</v>
      </c>
    </row>
    <row r="312" spans="1:15" x14ac:dyDescent="0.25">
      <c r="A312" s="12">
        <f t="shared" si="8"/>
        <v>7</v>
      </c>
      <c r="B312" s="12">
        <v>2021</v>
      </c>
      <c r="C312" s="12">
        <v>6591</v>
      </c>
      <c r="E312" s="12" t="s">
        <v>13</v>
      </c>
      <c r="F312" s="12" t="s">
        <v>14</v>
      </c>
      <c r="G312" s="14">
        <v>44385</v>
      </c>
      <c r="H312" s="12" t="s">
        <v>18</v>
      </c>
      <c r="I312" s="12" t="s">
        <v>20</v>
      </c>
      <c r="J312" s="12" t="s">
        <v>30</v>
      </c>
      <c r="K312" s="12">
        <v>230</v>
      </c>
      <c r="L312" s="12">
        <v>198.452</v>
      </c>
      <c r="O312" s="13">
        <f t="shared" si="9"/>
        <v>0.86283478260869562</v>
      </c>
    </row>
    <row r="313" spans="1:15" x14ac:dyDescent="0.25">
      <c r="A313" s="12">
        <f t="shared" si="8"/>
        <v>7</v>
      </c>
      <c r="B313" s="12">
        <v>2021</v>
      </c>
      <c r="C313" s="12">
        <v>6592</v>
      </c>
      <c r="E313" s="12" t="s">
        <v>13</v>
      </c>
      <c r="F313" s="12" t="s">
        <v>14</v>
      </c>
      <c r="G313" s="14">
        <v>44386</v>
      </c>
      <c r="H313" s="12" t="s">
        <v>18</v>
      </c>
      <c r="I313" s="12" t="s">
        <v>20</v>
      </c>
      <c r="J313" s="12" t="s">
        <v>30</v>
      </c>
      <c r="K313" s="12">
        <v>230.001</v>
      </c>
      <c r="L313" s="12">
        <v>188.31700000000001</v>
      </c>
      <c r="O313" s="13">
        <f t="shared" si="9"/>
        <v>0.81876600536519406</v>
      </c>
    </row>
    <row r="314" spans="1:15" x14ac:dyDescent="0.25">
      <c r="A314" s="12">
        <f t="shared" si="8"/>
        <v>7</v>
      </c>
      <c r="B314" s="12">
        <v>2021</v>
      </c>
      <c r="C314" s="12">
        <v>6593</v>
      </c>
      <c r="E314" s="12" t="s">
        <v>13</v>
      </c>
      <c r="F314" s="12" t="s">
        <v>14</v>
      </c>
      <c r="G314" s="14">
        <v>44387</v>
      </c>
      <c r="H314" s="12" t="s">
        <v>17</v>
      </c>
      <c r="I314" s="12" t="s">
        <v>19</v>
      </c>
      <c r="J314" s="12" t="s">
        <v>25</v>
      </c>
      <c r="K314" s="12">
        <v>225.01599999999999</v>
      </c>
      <c r="L314" s="12">
        <v>186.46299999999999</v>
      </c>
      <c r="O314" s="13">
        <f t="shared" si="9"/>
        <v>0.82866551711878267</v>
      </c>
    </row>
    <row r="315" spans="1:15" x14ac:dyDescent="0.25">
      <c r="A315" s="12">
        <f t="shared" si="8"/>
        <v>7</v>
      </c>
      <c r="B315" s="12">
        <v>2021</v>
      </c>
      <c r="C315" s="12">
        <v>6594</v>
      </c>
      <c r="E315" s="12" t="s">
        <v>13</v>
      </c>
      <c r="F315" s="12" t="s">
        <v>14</v>
      </c>
      <c r="G315" s="14">
        <v>44388</v>
      </c>
      <c r="H315" s="12" t="s">
        <v>17</v>
      </c>
      <c r="I315" s="12" t="s">
        <v>19</v>
      </c>
      <c r="J315" s="12" t="s">
        <v>25</v>
      </c>
      <c r="K315" s="12">
        <v>224.994</v>
      </c>
      <c r="L315" s="12">
        <v>190.53700000000001</v>
      </c>
      <c r="O315" s="13">
        <f t="shared" si="9"/>
        <v>0.84685369387628118</v>
      </c>
    </row>
    <row r="316" spans="1:15" x14ac:dyDescent="0.25">
      <c r="A316" s="12">
        <f t="shared" si="8"/>
        <v>7</v>
      </c>
      <c r="B316" s="12">
        <v>2021</v>
      </c>
      <c r="C316" s="12">
        <v>6595</v>
      </c>
      <c r="E316" s="12" t="s">
        <v>13</v>
      </c>
      <c r="F316" s="12" t="s">
        <v>14</v>
      </c>
      <c r="G316" s="14">
        <v>44389</v>
      </c>
      <c r="H316" s="12" t="s">
        <v>17</v>
      </c>
      <c r="I316" s="12" t="s">
        <v>19</v>
      </c>
      <c r="J316" s="12" t="s">
        <v>25</v>
      </c>
      <c r="K316" s="12">
        <v>224.99299999999999</v>
      </c>
      <c r="L316" s="12">
        <v>182.04900000000001</v>
      </c>
      <c r="O316" s="13">
        <f t="shared" si="9"/>
        <v>0.80913183965723379</v>
      </c>
    </row>
    <row r="317" spans="1:15" x14ac:dyDescent="0.25">
      <c r="A317" s="12">
        <f t="shared" si="8"/>
        <v>7</v>
      </c>
      <c r="B317" s="12">
        <v>2021</v>
      </c>
      <c r="C317" s="12">
        <v>6596</v>
      </c>
      <c r="E317" s="12" t="s">
        <v>13</v>
      </c>
      <c r="F317" s="12" t="s">
        <v>14</v>
      </c>
      <c r="G317" s="14">
        <v>44390</v>
      </c>
      <c r="H317" s="12" t="s">
        <v>17</v>
      </c>
      <c r="I317" s="12" t="s">
        <v>19</v>
      </c>
      <c r="J317" s="12" t="s">
        <v>25</v>
      </c>
      <c r="K317" s="12">
        <v>225.005</v>
      </c>
      <c r="L317" s="12">
        <v>186.55</v>
      </c>
      <c r="O317" s="13">
        <f t="shared" si="9"/>
        <v>0.82909268682918169</v>
      </c>
    </row>
    <row r="318" spans="1:15" x14ac:dyDescent="0.25">
      <c r="A318" s="12">
        <f t="shared" si="8"/>
        <v>7</v>
      </c>
      <c r="B318" s="12">
        <v>2021</v>
      </c>
      <c r="C318" s="12">
        <v>6597</v>
      </c>
      <c r="E318" s="12" t="s">
        <v>13</v>
      </c>
      <c r="F318" s="12" t="s">
        <v>14</v>
      </c>
      <c r="G318" s="14">
        <v>44391</v>
      </c>
      <c r="H318" s="12" t="s">
        <v>17</v>
      </c>
      <c r="I318" s="12" t="s">
        <v>19</v>
      </c>
      <c r="J318" s="12" t="s">
        <v>25</v>
      </c>
      <c r="K318" s="12">
        <v>225.005</v>
      </c>
      <c r="L318" s="12">
        <v>189.95</v>
      </c>
      <c r="O318" s="13">
        <f t="shared" si="9"/>
        <v>0.84420346214528563</v>
      </c>
    </row>
    <row r="319" spans="1:15" x14ac:dyDescent="0.25">
      <c r="A319" s="12">
        <f t="shared" si="8"/>
        <v>7</v>
      </c>
      <c r="B319" s="12">
        <v>2021</v>
      </c>
      <c r="C319" s="12">
        <v>6598</v>
      </c>
      <c r="E319" s="12" t="s">
        <v>13</v>
      </c>
      <c r="F319" s="12" t="s">
        <v>14</v>
      </c>
      <c r="G319" s="14">
        <v>44392</v>
      </c>
      <c r="H319" s="12" t="s">
        <v>17</v>
      </c>
      <c r="I319" s="12" t="s">
        <v>19</v>
      </c>
      <c r="J319" s="12" t="s">
        <v>27</v>
      </c>
      <c r="K319" s="12">
        <v>229.99600000000001</v>
      </c>
      <c r="L319" s="12">
        <v>185.45099999999999</v>
      </c>
      <c r="O319" s="13">
        <f t="shared" si="9"/>
        <v>0.8063227186559766</v>
      </c>
    </row>
    <row r="320" spans="1:15" x14ac:dyDescent="0.25">
      <c r="A320" s="12">
        <f t="shared" si="8"/>
        <v>7</v>
      </c>
      <c r="B320" s="12">
        <v>2021</v>
      </c>
      <c r="C320" s="12">
        <v>6599</v>
      </c>
      <c r="E320" s="12" t="s">
        <v>13</v>
      </c>
      <c r="F320" s="12" t="s">
        <v>14</v>
      </c>
      <c r="G320" s="14">
        <v>44393</v>
      </c>
      <c r="H320" s="12" t="s">
        <v>17</v>
      </c>
      <c r="I320" s="12" t="s">
        <v>19</v>
      </c>
      <c r="J320" s="12" t="s">
        <v>27</v>
      </c>
      <c r="K320" s="12">
        <v>225.00299999999999</v>
      </c>
      <c r="L320" s="12">
        <v>189.29</v>
      </c>
      <c r="O320" s="13">
        <f t="shared" si="9"/>
        <v>0.84127767185326419</v>
      </c>
    </row>
    <row r="321" spans="1:15" x14ac:dyDescent="0.25">
      <c r="A321" s="12">
        <f t="shared" si="8"/>
        <v>7</v>
      </c>
      <c r="B321" s="12">
        <v>2021</v>
      </c>
      <c r="C321" s="12">
        <v>6600</v>
      </c>
      <c r="E321" s="12" t="s">
        <v>13</v>
      </c>
      <c r="F321" s="12" t="s">
        <v>14</v>
      </c>
      <c r="G321" s="14">
        <v>44394</v>
      </c>
      <c r="H321" s="12" t="s">
        <v>17</v>
      </c>
      <c r="I321" s="12" t="s">
        <v>19</v>
      </c>
      <c r="J321" s="12" t="s">
        <v>27</v>
      </c>
      <c r="K321" s="12">
        <v>225.00299999999999</v>
      </c>
      <c r="L321" s="12">
        <v>179.83</v>
      </c>
      <c r="O321" s="13">
        <f t="shared" si="9"/>
        <v>0.79923378799393796</v>
      </c>
    </row>
    <row r="322" spans="1:15" x14ac:dyDescent="0.25">
      <c r="A322" s="12">
        <f t="shared" ref="A322:A385" si="10">MONTH(G322)</f>
        <v>7</v>
      </c>
      <c r="B322" s="12">
        <v>2021</v>
      </c>
      <c r="C322" s="12">
        <v>6601</v>
      </c>
      <c r="E322" s="12" t="s">
        <v>13</v>
      </c>
      <c r="F322" s="12" t="s">
        <v>14</v>
      </c>
      <c r="G322" s="14">
        <v>44395</v>
      </c>
      <c r="H322" s="12" t="s">
        <v>17</v>
      </c>
      <c r="I322" s="12" t="s">
        <v>19</v>
      </c>
      <c r="J322" s="12" t="s">
        <v>27</v>
      </c>
      <c r="K322" s="12">
        <v>225.00399999999999</v>
      </c>
      <c r="L322" s="12">
        <v>190.88200000000001</v>
      </c>
      <c r="O322" s="13">
        <f t="shared" ref="O322:O385" si="11">L322/K322</f>
        <v>0.84834936267799688</v>
      </c>
    </row>
    <row r="323" spans="1:15" x14ac:dyDescent="0.25">
      <c r="A323" s="12">
        <f t="shared" si="10"/>
        <v>7</v>
      </c>
      <c r="B323" s="12">
        <v>2021</v>
      </c>
      <c r="C323" s="12">
        <v>6602</v>
      </c>
      <c r="E323" s="12" t="s">
        <v>13</v>
      </c>
      <c r="F323" s="12" t="s">
        <v>14</v>
      </c>
      <c r="G323" s="14">
        <v>44396</v>
      </c>
      <c r="H323" s="12" t="s">
        <v>17</v>
      </c>
      <c r="I323" s="12" t="s">
        <v>19</v>
      </c>
      <c r="J323" s="12" t="s">
        <v>27</v>
      </c>
      <c r="K323" s="12">
        <v>225.00399999999999</v>
      </c>
      <c r="L323" s="12">
        <v>181.12100000000001</v>
      </c>
      <c r="O323" s="13">
        <f t="shared" si="11"/>
        <v>0.80496791168157023</v>
      </c>
    </row>
    <row r="324" spans="1:15" x14ac:dyDescent="0.25">
      <c r="A324" s="12">
        <f t="shared" si="10"/>
        <v>7</v>
      </c>
      <c r="B324" s="12">
        <v>2021</v>
      </c>
      <c r="C324" s="12">
        <v>6603</v>
      </c>
      <c r="E324" s="12" t="s">
        <v>13</v>
      </c>
      <c r="F324" s="12" t="s">
        <v>14</v>
      </c>
      <c r="G324" s="14">
        <v>44397</v>
      </c>
      <c r="H324" s="12" t="s">
        <v>37</v>
      </c>
      <c r="I324" s="12" t="s">
        <v>20</v>
      </c>
      <c r="J324" s="12" t="s">
        <v>29</v>
      </c>
      <c r="K324" s="12">
        <v>230.00200000000001</v>
      </c>
      <c r="L324" s="12">
        <v>183.74</v>
      </c>
      <c r="O324" s="13">
        <f t="shared" si="11"/>
        <v>0.79886261858592533</v>
      </c>
    </row>
    <row r="325" spans="1:15" x14ac:dyDescent="0.25">
      <c r="A325" s="12">
        <f t="shared" si="10"/>
        <v>7</v>
      </c>
      <c r="B325" s="12">
        <v>2021</v>
      </c>
      <c r="C325" s="12">
        <v>6604</v>
      </c>
      <c r="E325" s="12" t="s">
        <v>13</v>
      </c>
      <c r="F325" s="12" t="s">
        <v>14</v>
      </c>
      <c r="G325" s="14">
        <v>44398</v>
      </c>
      <c r="H325" s="12" t="s">
        <v>37</v>
      </c>
      <c r="I325" s="12" t="s">
        <v>20</v>
      </c>
      <c r="J325" s="12" t="s">
        <v>29</v>
      </c>
      <c r="K325" s="12">
        <v>229.99700000000001</v>
      </c>
      <c r="L325" s="12">
        <v>196.92099999999999</v>
      </c>
      <c r="O325" s="13">
        <f t="shared" si="11"/>
        <v>0.8561894285577637</v>
      </c>
    </row>
    <row r="326" spans="1:15" x14ac:dyDescent="0.25">
      <c r="A326" s="12">
        <f t="shared" si="10"/>
        <v>7</v>
      </c>
      <c r="B326" s="12">
        <v>2021</v>
      </c>
      <c r="C326" s="12">
        <v>6605</v>
      </c>
      <c r="E326" s="12" t="s">
        <v>13</v>
      </c>
      <c r="F326" s="12" t="s">
        <v>14</v>
      </c>
      <c r="G326" s="14">
        <v>44399</v>
      </c>
      <c r="H326" s="12" t="s">
        <v>37</v>
      </c>
      <c r="I326" s="12" t="s">
        <v>20</v>
      </c>
      <c r="J326" s="12" t="s">
        <v>29</v>
      </c>
      <c r="K326" s="12">
        <v>229.99799999999999</v>
      </c>
      <c r="L326" s="12">
        <v>190.428</v>
      </c>
      <c r="O326" s="13">
        <f t="shared" si="11"/>
        <v>0.82795502569587565</v>
      </c>
    </row>
    <row r="327" spans="1:15" x14ac:dyDescent="0.25">
      <c r="A327" s="12">
        <f t="shared" si="10"/>
        <v>7</v>
      </c>
      <c r="B327" s="12">
        <v>2021</v>
      </c>
      <c r="C327" s="12">
        <v>6606</v>
      </c>
      <c r="E327" s="12" t="s">
        <v>13</v>
      </c>
      <c r="F327" s="12" t="s">
        <v>14</v>
      </c>
      <c r="G327" s="14">
        <v>44400</v>
      </c>
      <c r="H327" s="12" t="s">
        <v>37</v>
      </c>
      <c r="I327" s="12" t="s">
        <v>20</v>
      </c>
      <c r="J327" s="12" t="s">
        <v>29</v>
      </c>
      <c r="K327" s="12">
        <v>230.001</v>
      </c>
      <c r="L327" s="12">
        <v>192.33199999999999</v>
      </c>
      <c r="O327" s="13">
        <f t="shared" si="11"/>
        <v>0.83622245120673389</v>
      </c>
    </row>
    <row r="328" spans="1:15" x14ac:dyDescent="0.25">
      <c r="A328" s="12">
        <f t="shared" si="10"/>
        <v>7</v>
      </c>
      <c r="B328" s="12">
        <v>2021</v>
      </c>
      <c r="C328" s="12">
        <v>6607</v>
      </c>
      <c r="E328" s="12" t="s">
        <v>13</v>
      </c>
      <c r="F328" s="12" t="s">
        <v>14</v>
      </c>
      <c r="G328" s="14">
        <v>44401</v>
      </c>
      <c r="H328" s="12" t="s">
        <v>37</v>
      </c>
      <c r="I328" s="12" t="s">
        <v>20</v>
      </c>
      <c r="J328" s="12" t="s">
        <v>29</v>
      </c>
      <c r="K328" s="12">
        <v>230.00200000000001</v>
      </c>
      <c r="L328" s="12">
        <v>202.89599999999999</v>
      </c>
      <c r="O328" s="13">
        <f t="shared" si="11"/>
        <v>0.88214885087955752</v>
      </c>
    </row>
    <row r="329" spans="1:15" x14ac:dyDescent="0.25">
      <c r="A329" s="12">
        <f t="shared" si="10"/>
        <v>7</v>
      </c>
      <c r="B329" s="12">
        <v>2021</v>
      </c>
      <c r="C329" s="12">
        <v>6608</v>
      </c>
      <c r="E329" s="12" t="s">
        <v>13</v>
      </c>
      <c r="F329" s="12" t="s">
        <v>14</v>
      </c>
      <c r="G329" s="14">
        <v>44402</v>
      </c>
      <c r="H329" s="12" t="s">
        <v>17</v>
      </c>
      <c r="I329" s="12" t="s">
        <v>19</v>
      </c>
      <c r="J329" s="12" t="s">
        <v>25</v>
      </c>
      <c r="K329" s="12">
        <v>225.012</v>
      </c>
      <c r="L329" s="12">
        <v>186.34899999999999</v>
      </c>
      <c r="O329" s="13">
        <f t="shared" si="11"/>
        <v>0.82817360851865673</v>
      </c>
    </row>
    <row r="330" spans="1:15" x14ac:dyDescent="0.25">
      <c r="A330" s="12">
        <f t="shared" si="10"/>
        <v>7</v>
      </c>
      <c r="B330" s="12">
        <v>2021</v>
      </c>
      <c r="C330" s="12">
        <v>6609</v>
      </c>
      <c r="E330" s="12" t="s">
        <v>13</v>
      </c>
      <c r="F330" s="12" t="s">
        <v>14</v>
      </c>
      <c r="G330" s="14">
        <v>44403</v>
      </c>
      <c r="H330" s="12" t="s">
        <v>17</v>
      </c>
      <c r="I330" s="12" t="s">
        <v>19</v>
      </c>
      <c r="J330" s="12" t="s">
        <v>25</v>
      </c>
      <c r="K330" s="12">
        <v>224.96899999999999</v>
      </c>
      <c r="L330" s="12">
        <v>193.416</v>
      </c>
      <c r="O330" s="13">
        <f t="shared" si="11"/>
        <v>0.85974512043881601</v>
      </c>
    </row>
    <row r="331" spans="1:15" x14ac:dyDescent="0.25">
      <c r="A331" s="12">
        <f t="shared" si="10"/>
        <v>7</v>
      </c>
      <c r="B331" s="12">
        <v>2021</v>
      </c>
      <c r="C331" s="12">
        <v>6610</v>
      </c>
      <c r="E331" s="12" t="s">
        <v>13</v>
      </c>
      <c r="F331" s="12" t="s">
        <v>14</v>
      </c>
      <c r="G331" s="14">
        <v>44404</v>
      </c>
      <c r="H331" s="12" t="s">
        <v>17</v>
      </c>
      <c r="I331" s="12" t="s">
        <v>19</v>
      </c>
      <c r="J331" s="12" t="s">
        <v>25</v>
      </c>
      <c r="K331" s="12">
        <v>224.96899999999999</v>
      </c>
      <c r="L331" s="12">
        <v>188.464</v>
      </c>
      <c r="O331" s="13">
        <f t="shared" si="11"/>
        <v>0.83773319879627861</v>
      </c>
    </row>
    <row r="332" spans="1:15" x14ac:dyDescent="0.25">
      <c r="A332" s="12">
        <f t="shared" si="10"/>
        <v>7</v>
      </c>
      <c r="B332" s="12">
        <v>2021</v>
      </c>
      <c r="C332" s="12">
        <v>6611</v>
      </c>
      <c r="E332" s="12" t="s">
        <v>13</v>
      </c>
      <c r="F332" s="12" t="s">
        <v>14</v>
      </c>
      <c r="G332" s="14">
        <v>44405</v>
      </c>
      <c r="H332" s="12" t="s">
        <v>17</v>
      </c>
      <c r="I332" s="12" t="s">
        <v>19</v>
      </c>
      <c r="J332" s="12" t="s">
        <v>25</v>
      </c>
      <c r="K332" s="12">
        <v>224.994</v>
      </c>
      <c r="L332" s="12">
        <v>193.08699999999999</v>
      </c>
      <c r="O332" s="13">
        <f t="shared" si="11"/>
        <v>0.85818732943989617</v>
      </c>
    </row>
    <row r="333" spans="1:15" x14ac:dyDescent="0.25">
      <c r="A333" s="12">
        <f t="shared" si="10"/>
        <v>7</v>
      </c>
      <c r="B333" s="12">
        <v>2021</v>
      </c>
      <c r="C333" s="12">
        <v>6612</v>
      </c>
      <c r="E333" s="12" t="s">
        <v>13</v>
      </c>
      <c r="F333" s="12" t="s">
        <v>14</v>
      </c>
      <c r="G333" s="14">
        <v>44406</v>
      </c>
      <c r="H333" s="12" t="s">
        <v>17</v>
      </c>
      <c r="I333" s="12" t="s">
        <v>19</v>
      </c>
      <c r="J333" s="12" t="s">
        <v>25</v>
      </c>
      <c r="K333" s="12">
        <v>224.995</v>
      </c>
      <c r="L333" s="12">
        <v>187.74299999999999</v>
      </c>
      <c r="O333" s="13">
        <f t="shared" si="11"/>
        <v>0.83443187626391691</v>
      </c>
    </row>
    <row r="334" spans="1:15" x14ac:dyDescent="0.25">
      <c r="A334" s="12">
        <f t="shared" si="10"/>
        <v>7</v>
      </c>
      <c r="B334" s="12">
        <v>2021</v>
      </c>
      <c r="C334" s="12">
        <v>6613</v>
      </c>
      <c r="E334" s="12" t="s">
        <v>13</v>
      </c>
      <c r="F334" s="12" t="s">
        <v>14</v>
      </c>
      <c r="G334" s="14">
        <v>44407</v>
      </c>
      <c r="H334" s="12" t="s">
        <v>18</v>
      </c>
      <c r="I334" s="12" t="s">
        <v>20</v>
      </c>
      <c r="J334" s="12" t="s">
        <v>31</v>
      </c>
      <c r="K334" s="12">
        <v>230.00299999999999</v>
      </c>
      <c r="L334" s="12">
        <v>199.96700000000001</v>
      </c>
      <c r="O334" s="13">
        <f t="shared" si="11"/>
        <v>0.86941039899479577</v>
      </c>
    </row>
    <row r="335" spans="1:15" x14ac:dyDescent="0.25">
      <c r="A335" s="12">
        <f t="shared" si="10"/>
        <v>7</v>
      </c>
      <c r="B335" s="12">
        <v>2021</v>
      </c>
      <c r="C335" s="12">
        <v>6614</v>
      </c>
      <c r="E335" s="12" t="s">
        <v>13</v>
      </c>
      <c r="F335" s="12" t="s">
        <v>14</v>
      </c>
      <c r="G335" s="14">
        <v>44408</v>
      </c>
      <c r="H335" s="12" t="s">
        <v>18</v>
      </c>
      <c r="I335" s="12" t="s">
        <v>20</v>
      </c>
      <c r="J335" s="12" t="s">
        <v>31</v>
      </c>
      <c r="K335" s="12">
        <v>230.00200000000001</v>
      </c>
      <c r="L335" s="12">
        <v>199</v>
      </c>
      <c r="O335" s="13">
        <f t="shared" si="11"/>
        <v>0.86520986774028052</v>
      </c>
    </row>
    <row r="336" spans="1:15" x14ac:dyDescent="0.25">
      <c r="A336" s="12">
        <f t="shared" si="10"/>
        <v>8</v>
      </c>
      <c r="B336" s="12">
        <v>2021</v>
      </c>
      <c r="C336" s="12">
        <v>6615</v>
      </c>
      <c r="E336" s="12" t="s">
        <v>13</v>
      </c>
      <c r="F336" s="12" t="s">
        <v>14</v>
      </c>
      <c r="G336" s="14">
        <v>44409</v>
      </c>
      <c r="H336" s="12" t="s">
        <v>18</v>
      </c>
      <c r="I336" s="12" t="s">
        <v>20</v>
      </c>
      <c r="J336" s="12" t="s">
        <v>31</v>
      </c>
      <c r="K336" s="12">
        <v>230.00299999999999</v>
      </c>
      <c r="L336" s="12">
        <v>200.6</v>
      </c>
      <c r="O336" s="13">
        <f t="shared" si="11"/>
        <v>0.87216253701038682</v>
      </c>
    </row>
    <row r="337" spans="1:15" x14ac:dyDescent="0.25">
      <c r="A337" s="12">
        <f t="shared" si="10"/>
        <v>8</v>
      </c>
      <c r="B337" s="12">
        <v>2021</v>
      </c>
      <c r="C337" s="12">
        <v>6616</v>
      </c>
      <c r="E337" s="12" t="s">
        <v>13</v>
      </c>
      <c r="F337" s="12" t="s">
        <v>14</v>
      </c>
      <c r="G337" s="14">
        <v>44410</v>
      </c>
      <c r="H337" s="12" t="s">
        <v>18</v>
      </c>
      <c r="I337" s="12" t="s">
        <v>20</v>
      </c>
      <c r="J337" s="12" t="s">
        <v>31</v>
      </c>
      <c r="K337" s="12">
        <v>230.00299999999999</v>
      </c>
      <c r="L337" s="12">
        <v>194.114</v>
      </c>
      <c r="O337" s="13">
        <f t="shared" si="11"/>
        <v>0.84396290483167613</v>
      </c>
    </row>
    <row r="338" spans="1:15" x14ac:dyDescent="0.25">
      <c r="A338" s="12">
        <f t="shared" si="10"/>
        <v>8</v>
      </c>
      <c r="B338" s="12">
        <v>2021</v>
      </c>
      <c r="C338" s="12">
        <v>6617</v>
      </c>
      <c r="E338" s="12" t="s">
        <v>13</v>
      </c>
      <c r="F338" s="12" t="s">
        <v>14</v>
      </c>
      <c r="G338" s="14">
        <v>44411</v>
      </c>
      <c r="H338" s="12" t="s">
        <v>17</v>
      </c>
      <c r="I338" s="12" t="s">
        <v>19</v>
      </c>
      <c r="J338" s="12" t="s">
        <v>25</v>
      </c>
      <c r="K338" s="12">
        <v>230.01</v>
      </c>
      <c r="L338" s="12">
        <v>196.14500000000001</v>
      </c>
      <c r="O338" s="13">
        <f t="shared" si="11"/>
        <v>0.85276727098821803</v>
      </c>
    </row>
    <row r="339" spans="1:15" x14ac:dyDescent="0.25">
      <c r="A339" s="12">
        <f t="shared" si="10"/>
        <v>8</v>
      </c>
      <c r="B339" s="12">
        <v>2021</v>
      </c>
      <c r="C339" s="12">
        <v>6618</v>
      </c>
      <c r="E339" s="12" t="s">
        <v>13</v>
      </c>
      <c r="F339" s="12" t="s">
        <v>14</v>
      </c>
      <c r="G339" s="14">
        <v>44412</v>
      </c>
      <c r="H339" s="12" t="s">
        <v>17</v>
      </c>
      <c r="I339" s="12" t="s">
        <v>19</v>
      </c>
      <c r="J339" s="12" t="s">
        <v>25</v>
      </c>
      <c r="K339" s="12">
        <v>230.01400000000001</v>
      </c>
      <c r="L339" s="12">
        <v>195.89699999999999</v>
      </c>
      <c r="O339" s="13">
        <f t="shared" si="11"/>
        <v>0.85167424591546592</v>
      </c>
    </row>
    <row r="340" spans="1:15" x14ac:dyDescent="0.25">
      <c r="A340" s="12">
        <f t="shared" si="10"/>
        <v>8</v>
      </c>
      <c r="B340" s="12">
        <v>2021</v>
      </c>
      <c r="C340" s="12">
        <v>6619</v>
      </c>
      <c r="E340" s="12" t="s">
        <v>13</v>
      </c>
      <c r="F340" s="12" t="s">
        <v>14</v>
      </c>
      <c r="G340" s="14">
        <v>44413</v>
      </c>
      <c r="H340" s="12" t="s">
        <v>17</v>
      </c>
      <c r="I340" s="12" t="s">
        <v>19</v>
      </c>
      <c r="J340" s="12" t="s">
        <v>25</v>
      </c>
      <c r="K340" s="12">
        <v>230.01300000000001</v>
      </c>
      <c r="L340" s="12">
        <v>193.328</v>
      </c>
      <c r="O340" s="13">
        <f t="shared" si="11"/>
        <v>0.84050901470786432</v>
      </c>
    </row>
    <row r="341" spans="1:15" x14ac:dyDescent="0.25">
      <c r="A341" s="12">
        <f t="shared" si="10"/>
        <v>8</v>
      </c>
      <c r="B341" s="12">
        <v>2021</v>
      </c>
      <c r="C341" s="12">
        <v>6620</v>
      </c>
      <c r="E341" s="12" t="s">
        <v>13</v>
      </c>
      <c r="F341" s="12" t="s">
        <v>14</v>
      </c>
      <c r="G341" s="14">
        <v>44414</v>
      </c>
      <c r="H341" s="12" t="s">
        <v>17</v>
      </c>
      <c r="I341" s="12" t="s">
        <v>19</v>
      </c>
      <c r="J341" s="12" t="s">
        <v>25</v>
      </c>
      <c r="K341" s="12">
        <v>229.989</v>
      </c>
      <c r="L341" s="12">
        <v>198.864</v>
      </c>
      <c r="O341" s="13">
        <f t="shared" si="11"/>
        <v>0.86466744061672518</v>
      </c>
    </row>
    <row r="342" spans="1:15" x14ac:dyDescent="0.25">
      <c r="A342" s="12">
        <f t="shared" si="10"/>
        <v>8</v>
      </c>
      <c r="B342" s="12">
        <v>2021</v>
      </c>
      <c r="C342" s="12">
        <v>6621</v>
      </c>
      <c r="E342" s="12" t="s">
        <v>13</v>
      </c>
      <c r="F342" s="12" t="s">
        <v>14</v>
      </c>
      <c r="G342" s="14">
        <v>44415</v>
      </c>
      <c r="H342" s="12" t="s">
        <v>17</v>
      </c>
      <c r="I342" s="12" t="s">
        <v>19</v>
      </c>
      <c r="J342" s="12" t="s">
        <v>25</v>
      </c>
      <c r="K342" s="12">
        <v>229.99</v>
      </c>
      <c r="L342" s="12">
        <v>190.22200000000001</v>
      </c>
      <c r="O342" s="13">
        <f t="shared" si="11"/>
        <v>0.82708813426670724</v>
      </c>
    </row>
    <row r="343" spans="1:15" x14ac:dyDescent="0.25">
      <c r="A343" s="12">
        <f t="shared" si="10"/>
        <v>8</v>
      </c>
      <c r="B343" s="12">
        <v>2021</v>
      </c>
      <c r="C343" s="12">
        <v>6622</v>
      </c>
      <c r="E343" s="12" t="s">
        <v>13</v>
      </c>
      <c r="F343" s="12" t="s">
        <v>14</v>
      </c>
      <c r="G343" s="14">
        <v>44416</v>
      </c>
      <c r="H343" s="12" t="s">
        <v>18</v>
      </c>
      <c r="I343" s="12" t="s">
        <v>20</v>
      </c>
      <c r="J343" s="12" t="s">
        <v>30</v>
      </c>
      <c r="K343" s="12">
        <v>230.017</v>
      </c>
      <c r="L343" s="12">
        <v>197</v>
      </c>
      <c r="O343" s="13">
        <f t="shared" si="11"/>
        <v>0.85645843568084101</v>
      </c>
    </row>
    <row r="344" spans="1:15" x14ac:dyDescent="0.25">
      <c r="A344" s="12">
        <f t="shared" si="10"/>
        <v>8</v>
      </c>
      <c r="B344" s="12">
        <v>2021</v>
      </c>
      <c r="C344" s="12">
        <v>6623</v>
      </c>
      <c r="E344" s="12" t="s">
        <v>13</v>
      </c>
      <c r="F344" s="12" t="s">
        <v>14</v>
      </c>
      <c r="G344" s="14">
        <v>44417</v>
      </c>
      <c r="H344" s="12" t="s">
        <v>18</v>
      </c>
      <c r="I344" s="12" t="s">
        <v>20</v>
      </c>
      <c r="J344" s="12" t="s">
        <v>30</v>
      </c>
      <c r="K344" s="12">
        <v>229.995</v>
      </c>
      <c r="L344" s="12">
        <v>198.00299999999999</v>
      </c>
      <c r="O344" s="13">
        <f t="shared" si="11"/>
        <v>0.86090132394182473</v>
      </c>
    </row>
    <row r="345" spans="1:15" x14ac:dyDescent="0.25">
      <c r="A345" s="12">
        <f t="shared" si="10"/>
        <v>8</v>
      </c>
      <c r="B345" s="12">
        <v>2021</v>
      </c>
      <c r="C345" s="12">
        <v>6624</v>
      </c>
      <c r="E345" s="12" t="s">
        <v>13</v>
      </c>
      <c r="F345" s="12" t="s">
        <v>14</v>
      </c>
      <c r="G345" s="14">
        <v>44418</v>
      </c>
      <c r="H345" s="12" t="s">
        <v>18</v>
      </c>
      <c r="I345" s="12" t="s">
        <v>20</v>
      </c>
      <c r="J345" s="12" t="s">
        <v>30</v>
      </c>
      <c r="K345" s="12">
        <v>229.995</v>
      </c>
      <c r="L345" s="12">
        <v>190.50200000000001</v>
      </c>
      <c r="O345" s="13">
        <f t="shared" si="11"/>
        <v>0.82828757146894505</v>
      </c>
    </row>
    <row r="346" spans="1:15" x14ac:dyDescent="0.25">
      <c r="A346" s="12">
        <f t="shared" si="10"/>
        <v>8</v>
      </c>
      <c r="B346" s="12">
        <v>2021</v>
      </c>
      <c r="C346" s="12">
        <v>6625</v>
      </c>
      <c r="E346" s="12" t="s">
        <v>13</v>
      </c>
      <c r="F346" s="12" t="s">
        <v>14</v>
      </c>
      <c r="G346" s="14">
        <v>44419</v>
      </c>
      <c r="H346" s="12" t="s">
        <v>18</v>
      </c>
      <c r="I346" s="12" t="s">
        <v>20</v>
      </c>
      <c r="J346" s="12" t="s">
        <v>30</v>
      </c>
      <c r="K346" s="12">
        <v>230.01</v>
      </c>
      <c r="L346" s="12">
        <v>201.49100000000001</v>
      </c>
      <c r="O346" s="13">
        <f t="shared" si="11"/>
        <v>0.87600973870701282</v>
      </c>
    </row>
    <row r="347" spans="1:15" x14ac:dyDescent="0.25">
      <c r="A347" s="12">
        <f t="shared" si="10"/>
        <v>8</v>
      </c>
      <c r="B347" s="12">
        <v>2021</v>
      </c>
      <c r="C347" s="12">
        <v>6626</v>
      </c>
      <c r="E347" s="12" t="s">
        <v>13</v>
      </c>
      <c r="F347" s="12" t="s">
        <v>14</v>
      </c>
      <c r="G347" s="14">
        <v>44420</v>
      </c>
      <c r="H347" s="12" t="s">
        <v>18</v>
      </c>
      <c r="I347" s="12" t="s">
        <v>20</v>
      </c>
      <c r="J347" s="12" t="s">
        <v>30</v>
      </c>
      <c r="K347" s="12">
        <v>230.011</v>
      </c>
      <c r="L347" s="12">
        <v>192.21600000000001</v>
      </c>
      <c r="O347" s="13">
        <f t="shared" si="11"/>
        <v>0.8356817717413515</v>
      </c>
    </row>
    <row r="348" spans="1:15" x14ac:dyDescent="0.25">
      <c r="A348" s="12">
        <f t="shared" si="10"/>
        <v>8</v>
      </c>
      <c r="B348" s="12">
        <v>2021</v>
      </c>
      <c r="C348" s="12">
        <v>6627</v>
      </c>
      <c r="E348" s="12" t="s">
        <v>13</v>
      </c>
      <c r="F348" s="12" t="s">
        <v>14</v>
      </c>
      <c r="G348" s="14">
        <v>44421</v>
      </c>
      <c r="H348" s="12" t="s">
        <v>17</v>
      </c>
      <c r="I348" s="12" t="s">
        <v>19</v>
      </c>
      <c r="J348" s="12" t="s">
        <v>27</v>
      </c>
      <c r="K348" s="12">
        <v>230.011</v>
      </c>
      <c r="L348" s="12">
        <v>194.14400000000001</v>
      </c>
      <c r="O348" s="13">
        <f t="shared" si="11"/>
        <v>0.84406397954880419</v>
      </c>
    </row>
    <row r="349" spans="1:15" x14ac:dyDescent="0.25">
      <c r="A349" s="12">
        <f t="shared" si="10"/>
        <v>8</v>
      </c>
      <c r="B349" s="12">
        <v>2021</v>
      </c>
      <c r="C349" s="12">
        <v>6628</v>
      </c>
      <c r="E349" s="12" t="s">
        <v>13</v>
      </c>
      <c r="F349" s="12" t="s">
        <v>14</v>
      </c>
      <c r="G349" s="14">
        <v>44422</v>
      </c>
      <c r="H349" s="12" t="s">
        <v>17</v>
      </c>
      <c r="I349" s="12" t="s">
        <v>19</v>
      </c>
      <c r="J349" s="12" t="s">
        <v>27</v>
      </c>
      <c r="K349" s="12">
        <v>230.00700000000001</v>
      </c>
      <c r="L349" s="12">
        <v>195.6</v>
      </c>
      <c r="O349" s="13">
        <f t="shared" si="11"/>
        <v>0.85040890059867735</v>
      </c>
    </row>
    <row r="350" spans="1:15" x14ac:dyDescent="0.25">
      <c r="A350" s="12">
        <f t="shared" si="10"/>
        <v>8</v>
      </c>
      <c r="B350" s="12">
        <v>2021</v>
      </c>
      <c r="C350" s="12">
        <v>6629</v>
      </c>
      <c r="E350" s="12" t="s">
        <v>13</v>
      </c>
      <c r="F350" s="12" t="s">
        <v>14</v>
      </c>
      <c r="G350" s="14">
        <v>44423</v>
      </c>
      <c r="H350" s="12" t="s">
        <v>17</v>
      </c>
      <c r="I350" s="12" t="s">
        <v>19</v>
      </c>
      <c r="J350" s="12" t="s">
        <v>27</v>
      </c>
      <c r="K350" s="12">
        <v>230.00800000000001</v>
      </c>
      <c r="L350" s="12">
        <v>193.77099999999999</v>
      </c>
      <c r="O350" s="13">
        <f t="shared" si="11"/>
        <v>0.8424533059719661</v>
      </c>
    </row>
    <row r="351" spans="1:15" x14ac:dyDescent="0.25">
      <c r="A351" s="12">
        <f t="shared" si="10"/>
        <v>8</v>
      </c>
      <c r="B351" s="12">
        <v>2021</v>
      </c>
      <c r="C351" s="12">
        <v>6630</v>
      </c>
      <c r="E351" s="12" t="s">
        <v>13</v>
      </c>
      <c r="F351" s="12" t="s">
        <v>14</v>
      </c>
      <c r="G351" s="14">
        <v>44424</v>
      </c>
      <c r="H351" s="12" t="s">
        <v>17</v>
      </c>
      <c r="I351" s="12" t="s">
        <v>19</v>
      </c>
      <c r="J351" s="12" t="s">
        <v>27</v>
      </c>
      <c r="K351" s="12">
        <v>230.006</v>
      </c>
      <c r="L351" s="12">
        <v>193.63</v>
      </c>
      <c r="O351" s="13">
        <f t="shared" si="11"/>
        <v>0.84184760397554848</v>
      </c>
    </row>
    <row r="352" spans="1:15" x14ac:dyDescent="0.25">
      <c r="A352" s="12">
        <f t="shared" si="10"/>
        <v>8</v>
      </c>
      <c r="B352" s="12">
        <v>2021</v>
      </c>
      <c r="C352" s="12">
        <v>6631</v>
      </c>
      <c r="E352" s="12" t="s">
        <v>13</v>
      </c>
      <c r="F352" s="12" t="s">
        <v>14</v>
      </c>
      <c r="G352" s="14">
        <v>44425</v>
      </c>
      <c r="H352" s="12" t="s">
        <v>17</v>
      </c>
      <c r="I352" s="12" t="s">
        <v>19</v>
      </c>
      <c r="J352" s="12" t="s">
        <v>27</v>
      </c>
      <c r="K352" s="12">
        <v>230.006</v>
      </c>
      <c r="L352" s="12">
        <v>190.09200000000001</v>
      </c>
      <c r="O352" s="13">
        <f t="shared" si="11"/>
        <v>0.8264653965548725</v>
      </c>
    </row>
    <row r="353" spans="1:15" x14ac:dyDescent="0.25">
      <c r="A353" s="12">
        <f t="shared" si="10"/>
        <v>8</v>
      </c>
      <c r="B353" s="12">
        <v>2021</v>
      </c>
      <c r="C353" s="12">
        <v>6632</v>
      </c>
      <c r="E353" s="12" t="s">
        <v>13</v>
      </c>
      <c r="F353" s="12" t="s">
        <v>14</v>
      </c>
      <c r="G353" s="14">
        <v>44426</v>
      </c>
      <c r="H353" s="12" t="s">
        <v>18</v>
      </c>
      <c r="I353" s="12" t="s">
        <v>20</v>
      </c>
      <c r="J353" s="12" t="s">
        <v>29</v>
      </c>
      <c r="K353" s="12">
        <v>229.99199999999999</v>
      </c>
      <c r="L353" s="12">
        <v>189.714</v>
      </c>
      <c r="O353" s="13">
        <f t="shared" si="11"/>
        <v>0.82487216946676412</v>
      </c>
    </row>
    <row r="354" spans="1:15" x14ac:dyDescent="0.25">
      <c r="A354" s="12">
        <f t="shared" si="10"/>
        <v>8</v>
      </c>
      <c r="B354" s="12">
        <v>2021</v>
      </c>
      <c r="C354" s="12">
        <v>6633</v>
      </c>
      <c r="E354" s="12" t="s">
        <v>13</v>
      </c>
      <c r="F354" s="12" t="s">
        <v>14</v>
      </c>
      <c r="G354" s="14">
        <v>44427</v>
      </c>
      <c r="H354" s="12" t="s">
        <v>18</v>
      </c>
      <c r="I354" s="12" t="s">
        <v>20</v>
      </c>
      <c r="J354" s="12" t="s">
        <v>29</v>
      </c>
      <c r="K354" s="12">
        <v>230.00299999999999</v>
      </c>
      <c r="L354" s="12">
        <v>200.547</v>
      </c>
      <c r="O354" s="13">
        <f t="shared" si="11"/>
        <v>0.87193210523341003</v>
      </c>
    </row>
    <row r="355" spans="1:15" x14ac:dyDescent="0.25">
      <c r="A355" s="12">
        <f t="shared" si="10"/>
        <v>8</v>
      </c>
      <c r="B355" s="12">
        <v>2021</v>
      </c>
      <c r="C355" s="12">
        <v>6634</v>
      </c>
      <c r="E355" s="12" t="s">
        <v>13</v>
      </c>
      <c r="F355" s="12" t="s">
        <v>14</v>
      </c>
      <c r="G355" s="14">
        <v>44428</v>
      </c>
      <c r="H355" s="12" t="s">
        <v>18</v>
      </c>
      <c r="I355" s="12" t="s">
        <v>20</v>
      </c>
      <c r="J355" s="12" t="s">
        <v>29</v>
      </c>
      <c r="K355" s="12">
        <v>230.00200000000001</v>
      </c>
      <c r="L355" s="12">
        <v>191.84399999999999</v>
      </c>
      <c r="O355" s="13">
        <f t="shared" si="11"/>
        <v>0.8340970948078712</v>
      </c>
    </row>
    <row r="356" spans="1:15" x14ac:dyDescent="0.25">
      <c r="A356" s="12">
        <f t="shared" si="10"/>
        <v>8</v>
      </c>
      <c r="B356" s="12">
        <v>2021</v>
      </c>
      <c r="C356" s="12">
        <v>6635</v>
      </c>
      <c r="E356" s="12" t="s">
        <v>13</v>
      </c>
      <c r="F356" s="12" t="s">
        <v>14</v>
      </c>
      <c r="G356" s="14">
        <v>44429</v>
      </c>
      <c r="H356" s="12" t="s">
        <v>18</v>
      </c>
      <c r="I356" s="12" t="s">
        <v>20</v>
      </c>
      <c r="J356" s="12" t="s">
        <v>29</v>
      </c>
      <c r="K356" s="12">
        <v>230.00899999999999</v>
      </c>
      <c r="L356" s="12">
        <v>198.58</v>
      </c>
      <c r="O356" s="13">
        <f t="shared" si="11"/>
        <v>0.8633575207926647</v>
      </c>
    </row>
    <row r="357" spans="1:15" x14ac:dyDescent="0.25">
      <c r="A357" s="12">
        <f t="shared" si="10"/>
        <v>8</v>
      </c>
      <c r="B357" s="12">
        <v>2021</v>
      </c>
      <c r="C357" s="12">
        <v>6636</v>
      </c>
      <c r="E357" s="12" t="s">
        <v>13</v>
      </c>
      <c r="F357" s="12" t="s">
        <v>14</v>
      </c>
      <c r="G357" s="14">
        <v>44430</v>
      </c>
      <c r="H357" s="12" t="s">
        <v>18</v>
      </c>
      <c r="I357" s="12" t="s">
        <v>20</v>
      </c>
      <c r="J357" s="12" t="s">
        <v>29</v>
      </c>
      <c r="K357" s="12">
        <v>230.00899999999999</v>
      </c>
      <c r="L357" s="12">
        <v>196.76499999999999</v>
      </c>
      <c r="O357" s="13">
        <f t="shared" si="11"/>
        <v>0.8554665252229261</v>
      </c>
    </row>
    <row r="358" spans="1:15" x14ac:dyDescent="0.25">
      <c r="A358" s="12">
        <f t="shared" si="10"/>
        <v>8</v>
      </c>
      <c r="B358" s="12">
        <v>2021</v>
      </c>
      <c r="C358" s="12">
        <v>6637</v>
      </c>
      <c r="E358" s="12" t="s">
        <v>13</v>
      </c>
      <c r="F358" s="12" t="s">
        <v>14</v>
      </c>
      <c r="G358" s="14">
        <v>44431</v>
      </c>
      <c r="H358" s="12" t="s">
        <v>17</v>
      </c>
      <c r="I358" s="12" t="s">
        <v>19</v>
      </c>
      <c r="J358" s="12" t="s">
        <v>27</v>
      </c>
      <c r="K358" s="12">
        <v>230.00800000000001</v>
      </c>
      <c r="L358" s="12">
        <v>193.495</v>
      </c>
      <c r="O358" s="13">
        <f t="shared" si="11"/>
        <v>0.84125334770964488</v>
      </c>
    </row>
    <row r="359" spans="1:15" x14ac:dyDescent="0.25">
      <c r="A359" s="12">
        <f t="shared" si="10"/>
        <v>8</v>
      </c>
      <c r="B359" s="12">
        <v>2021</v>
      </c>
      <c r="C359" s="12">
        <v>6638</v>
      </c>
      <c r="E359" s="12" t="s">
        <v>13</v>
      </c>
      <c r="F359" s="12" t="s">
        <v>14</v>
      </c>
      <c r="G359" s="14">
        <v>44432</v>
      </c>
      <c r="H359" s="12" t="s">
        <v>17</v>
      </c>
      <c r="I359" s="12" t="s">
        <v>19</v>
      </c>
      <c r="J359" s="12" t="s">
        <v>27</v>
      </c>
      <c r="K359" s="12">
        <v>230.005</v>
      </c>
      <c r="L359" s="12">
        <v>195.76400000000001</v>
      </c>
      <c r="O359" s="13">
        <f t="shared" si="11"/>
        <v>0.851129323275581</v>
      </c>
    </row>
    <row r="360" spans="1:15" x14ac:dyDescent="0.25">
      <c r="A360" s="12">
        <f t="shared" si="10"/>
        <v>8</v>
      </c>
      <c r="B360" s="12">
        <v>2021</v>
      </c>
      <c r="C360" s="12">
        <v>6639</v>
      </c>
      <c r="E360" s="12" t="s">
        <v>13</v>
      </c>
      <c r="F360" s="12" t="s">
        <v>14</v>
      </c>
      <c r="G360" s="14">
        <v>44433</v>
      </c>
      <c r="H360" s="12" t="s">
        <v>17</v>
      </c>
      <c r="I360" s="12" t="s">
        <v>19</v>
      </c>
      <c r="J360" s="12" t="s">
        <v>27</v>
      </c>
      <c r="K360" s="12">
        <v>230.005</v>
      </c>
      <c r="L360" s="12">
        <v>193.77099999999999</v>
      </c>
      <c r="O360" s="13">
        <f t="shared" si="11"/>
        <v>0.84246429425447267</v>
      </c>
    </row>
    <row r="361" spans="1:15" x14ac:dyDescent="0.25">
      <c r="A361" s="12">
        <f t="shared" si="10"/>
        <v>8</v>
      </c>
      <c r="B361" s="12">
        <v>2021</v>
      </c>
      <c r="C361" s="12">
        <v>6640</v>
      </c>
      <c r="E361" s="12" t="s">
        <v>13</v>
      </c>
      <c r="F361" s="12" t="s">
        <v>14</v>
      </c>
      <c r="G361" s="14">
        <v>44434</v>
      </c>
      <c r="H361" s="12" t="s">
        <v>17</v>
      </c>
      <c r="I361" s="12" t="s">
        <v>19</v>
      </c>
      <c r="J361" s="12" t="s">
        <v>27</v>
      </c>
      <c r="K361" s="12">
        <v>230.00399999999999</v>
      </c>
      <c r="L361" s="12">
        <v>195.874</v>
      </c>
      <c r="O361" s="13">
        <f t="shared" si="11"/>
        <v>0.85161127632562916</v>
      </c>
    </row>
    <row r="362" spans="1:15" x14ac:dyDescent="0.25">
      <c r="A362" s="12">
        <f t="shared" si="10"/>
        <v>8</v>
      </c>
      <c r="B362" s="12">
        <v>2021</v>
      </c>
      <c r="C362" s="12">
        <v>6641</v>
      </c>
      <c r="E362" s="12" t="s">
        <v>13</v>
      </c>
      <c r="F362" s="12" t="s">
        <v>14</v>
      </c>
      <c r="G362" s="14">
        <v>44435</v>
      </c>
      <c r="H362" s="12" t="s">
        <v>17</v>
      </c>
      <c r="I362" s="12" t="s">
        <v>19</v>
      </c>
      <c r="J362" s="12" t="s">
        <v>27</v>
      </c>
      <c r="K362" s="12">
        <v>230.00299999999999</v>
      </c>
      <c r="L362" s="12">
        <v>193.92</v>
      </c>
      <c r="O362" s="13">
        <f t="shared" si="11"/>
        <v>0.84311943757255337</v>
      </c>
    </row>
    <row r="363" spans="1:15" x14ac:dyDescent="0.25">
      <c r="A363" s="12">
        <f t="shared" si="10"/>
        <v>8</v>
      </c>
      <c r="B363" s="12">
        <v>2021</v>
      </c>
      <c r="C363" s="12">
        <v>6642</v>
      </c>
      <c r="E363" s="12" t="s">
        <v>13</v>
      </c>
      <c r="F363" s="12" t="s">
        <v>14</v>
      </c>
      <c r="G363" s="14">
        <v>44436</v>
      </c>
      <c r="H363" s="12" t="s">
        <v>37</v>
      </c>
      <c r="I363" s="12" t="s">
        <v>20</v>
      </c>
      <c r="J363" s="12" t="s">
        <v>30</v>
      </c>
      <c r="K363" s="12">
        <v>230.01300000000001</v>
      </c>
      <c r="L363" s="12">
        <v>196.90299999999999</v>
      </c>
      <c r="O363" s="13">
        <f t="shared" si="11"/>
        <v>0.8560516144739645</v>
      </c>
    </row>
    <row r="364" spans="1:15" x14ac:dyDescent="0.25">
      <c r="A364" s="12">
        <f t="shared" si="10"/>
        <v>8</v>
      </c>
      <c r="B364" s="12">
        <v>2021</v>
      </c>
      <c r="C364" s="12">
        <v>6643</v>
      </c>
      <c r="E364" s="12" t="s">
        <v>13</v>
      </c>
      <c r="F364" s="12" t="s">
        <v>14</v>
      </c>
      <c r="G364" s="14">
        <v>44437</v>
      </c>
      <c r="H364" s="12" t="s">
        <v>37</v>
      </c>
      <c r="I364" s="12" t="s">
        <v>20</v>
      </c>
      <c r="J364" s="12" t="s">
        <v>30</v>
      </c>
      <c r="K364" s="12">
        <v>230.006</v>
      </c>
      <c r="L364" s="12">
        <v>196.45</v>
      </c>
      <c r="O364" s="13">
        <f t="shared" si="11"/>
        <v>0.85410815370033821</v>
      </c>
    </row>
    <row r="365" spans="1:15" x14ac:dyDescent="0.25">
      <c r="A365" s="12">
        <f t="shared" si="10"/>
        <v>8</v>
      </c>
      <c r="B365" s="12">
        <v>2021</v>
      </c>
      <c r="C365" s="12">
        <v>6644</v>
      </c>
      <c r="E365" s="12" t="s">
        <v>13</v>
      </c>
      <c r="F365" s="12" t="s">
        <v>14</v>
      </c>
      <c r="G365" s="14">
        <v>44438</v>
      </c>
      <c r="H365" s="12" t="s">
        <v>37</v>
      </c>
      <c r="I365" s="12" t="s">
        <v>20</v>
      </c>
      <c r="J365" s="12" t="s">
        <v>30</v>
      </c>
      <c r="K365" s="12">
        <v>230.005</v>
      </c>
      <c r="L365" s="12">
        <v>189.73</v>
      </c>
      <c r="O365" s="13">
        <f t="shared" si="11"/>
        <v>0.82489511097584833</v>
      </c>
    </row>
    <row r="366" spans="1:15" x14ac:dyDescent="0.25">
      <c r="A366" s="12">
        <f t="shared" si="10"/>
        <v>8</v>
      </c>
      <c r="B366" s="12">
        <v>2021</v>
      </c>
      <c r="C366" s="12">
        <v>6645</v>
      </c>
      <c r="E366" s="12" t="s">
        <v>13</v>
      </c>
      <c r="F366" s="12" t="s">
        <v>14</v>
      </c>
      <c r="G366" s="14">
        <v>44439</v>
      </c>
      <c r="H366" s="12" t="s">
        <v>37</v>
      </c>
      <c r="I366" s="12" t="s">
        <v>20</v>
      </c>
      <c r="J366" s="12" t="s">
        <v>30</v>
      </c>
      <c r="K366" s="12">
        <v>230.01400000000001</v>
      </c>
      <c r="L366" s="12">
        <v>197.67</v>
      </c>
      <c r="O366" s="13">
        <f t="shared" si="11"/>
        <v>0.85938247237124687</v>
      </c>
    </row>
    <row r="367" spans="1:15" x14ac:dyDescent="0.25">
      <c r="A367" s="12">
        <f t="shared" si="10"/>
        <v>9</v>
      </c>
      <c r="B367" s="12">
        <v>2021</v>
      </c>
      <c r="C367" s="12">
        <v>6646</v>
      </c>
      <c r="E367" s="12" t="s">
        <v>13</v>
      </c>
      <c r="F367" s="12" t="s">
        <v>14</v>
      </c>
      <c r="G367" s="14">
        <v>44440</v>
      </c>
      <c r="H367" s="12" t="s">
        <v>37</v>
      </c>
      <c r="I367" s="12" t="s">
        <v>20</v>
      </c>
      <c r="J367" s="12" t="s">
        <v>30</v>
      </c>
      <c r="K367" s="12">
        <v>230.01300000000001</v>
      </c>
      <c r="L367" s="12">
        <v>182.899</v>
      </c>
      <c r="O367" s="13">
        <f t="shared" si="11"/>
        <v>0.79516809919439335</v>
      </c>
    </row>
    <row r="368" spans="1:15" x14ac:dyDescent="0.25">
      <c r="A368" s="12">
        <f t="shared" si="10"/>
        <v>9</v>
      </c>
      <c r="B368" s="12">
        <v>2021</v>
      </c>
      <c r="C368" s="12">
        <v>6647</v>
      </c>
      <c r="E368" s="12" t="s">
        <v>13</v>
      </c>
      <c r="F368" s="12" t="s">
        <v>14</v>
      </c>
      <c r="G368" s="14">
        <v>44441</v>
      </c>
      <c r="H368" s="12" t="s">
        <v>37</v>
      </c>
      <c r="I368" s="12" t="s">
        <v>19</v>
      </c>
      <c r="J368" s="12" t="s">
        <v>27</v>
      </c>
      <c r="K368" s="12">
        <v>230.00700000000001</v>
      </c>
      <c r="L368" s="12">
        <v>199.17699999999999</v>
      </c>
      <c r="O368" s="13">
        <f t="shared" si="11"/>
        <v>0.8659606011990939</v>
      </c>
    </row>
    <row r="369" spans="1:15" x14ac:dyDescent="0.25">
      <c r="A369" s="12">
        <f t="shared" si="10"/>
        <v>9</v>
      </c>
      <c r="B369" s="12">
        <v>2021</v>
      </c>
      <c r="C369" s="12">
        <v>6648</v>
      </c>
      <c r="E369" s="12" t="s">
        <v>13</v>
      </c>
      <c r="F369" s="12" t="s">
        <v>14</v>
      </c>
      <c r="G369" s="14">
        <v>44442</v>
      </c>
      <c r="H369" s="12" t="s">
        <v>37</v>
      </c>
      <c r="I369" s="12" t="s">
        <v>19</v>
      </c>
      <c r="J369" s="12" t="s">
        <v>27</v>
      </c>
      <c r="K369" s="12">
        <v>230.006</v>
      </c>
      <c r="L369" s="12">
        <v>192.714</v>
      </c>
      <c r="O369" s="13">
        <f t="shared" si="11"/>
        <v>0.83786509917132601</v>
      </c>
    </row>
    <row r="370" spans="1:15" x14ac:dyDescent="0.25">
      <c r="A370" s="12">
        <f t="shared" si="10"/>
        <v>9</v>
      </c>
      <c r="B370" s="12">
        <v>2021</v>
      </c>
      <c r="C370" s="12">
        <v>6649</v>
      </c>
      <c r="E370" s="12" t="s">
        <v>13</v>
      </c>
      <c r="F370" s="12" t="s">
        <v>14</v>
      </c>
      <c r="G370" s="14">
        <v>44443</v>
      </c>
      <c r="H370" s="12" t="s">
        <v>37</v>
      </c>
      <c r="I370" s="12" t="s">
        <v>19</v>
      </c>
      <c r="J370" s="12" t="s">
        <v>27</v>
      </c>
      <c r="K370" s="12">
        <v>230.00399999999999</v>
      </c>
      <c r="L370" s="12">
        <v>199.60400000000001</v>
      </c>
      <c r="O370" s="13">
        <f t="shared" si="11"/>
        <v>0.86782838559329412</v>
      </c>
    </row>
    <row r="371" spans="1:15" x14ac:dyDescent="0.25">
      <c r="A371" s="12">
        <f t="shared" si="10"/>
        <v>9</v>
      </c>
      <c r="B371" s="12">
        <v>2021</v>
      </c>
      <c r="C371" s="12">
        <v>6650</v>
      </c>
      <c r="E371" s="12" t="s">
        <v>13</v>
      </c>
      <c r="F371" s="12" t="s">
        <v>14</v>
      </c>
      <c r="G371" s="14">
        <v>44444</v>
      </c>
      <c r="H371" s="12" t="s">
        <v>37</v>
      </c>
      <c r="I371" s="12" t="s">
        <v>19</v>
      </c>
      <c r="J371" s="12" t="s">
        <v>27</v>
      </c>
      <c r="K371" s="12">
        <v>230.00399999999999</v>
      </c>
      <c r="L371" s="12">
        <v>190.114</v>
      </c>
      <c r="O371" s="13">
        <f t="shared" si="11"/>
        <v>0.82656823359593756</v>
      </c>
    </row>
    <row r="372" spans="1:15" x14ac:dyDescent="0.25">
      <c r="A372" s="12">
        <f t="shared" si="10"/>
        <v>9</v>
      </c>
      <c r="B372" s="12">
        <v>2021</v>
      </c>
      <c r="C372" s="12">
        <v>6651</v>
      </c>
      <c r="E372" s="12" t="s">
        <v>13</v>
      </c>
      <c r="F372" s="12" t="s">
        <v>14</v>
      </c>
      <c r="G372" s="14">
        <v>44445</v>
      </c>
      <c r="H372" s="12" t="s">
        <v>34</v>
      </c>
      <c r="I372" s="12" t="s">
        <v>19</v>
      </c>
      <c r="J372" s="12" t="s">
        <v>39</v>
      </c>
      <c r="K372" s="12">
        <v>225.00899999999999</v>
      </c>
      <c r="L372" s="12">
        <v>189.58199999999999</v>
      </c>
      <c r="O372" s="13">
        <f t="shared" si="11"/>
        <v>0.84255296454808482</v>
      </c>
    </row>
    <row r="373" spans="1:15" x14ac:dyDescent="0.25">
      <c r="A373" s="12">
        <f t="shared" si="10"/>
        <v>9</v>
      </c>
      <c r="B373" s="12">
        <v>2021</v>
      </c>
      <c r="C373" s="12">
        <v>6652</v>
      </c>
      <c r="E373" s="12" t="s">
        <v>13</v>
      </c>
      <c r="F373" s="12" t="s">
        <v>14</v>
      </c>
      <c r="G373" s="14">
        <v>44446</v>
      </c>
      <c r="H373" s="12" t="s">
        <v>34</v>
      </c>
      <c r="I373" s="12" t="s">
        <v>19</v>
      </c>
      <c r="J373" s="12" t="s">
        <v>40</v>
      </c>
      <c r="K373" s="12">
        <v>225.001</v>
      </c>
      <c r="L373" s="12">
        <v>192.833</v>
      </c>
      <c r="O373" s="13">
        <f t="shared" si="11"/>
        <v>0.85703174652557101</v>
      </c>
    </row>
    <row r="374" spans="1:15" x14ac:dyDescent="0.25">
      <c r="A374" s="12">
        <f t="shared" si="10"/>
        <v>9</v>
      </c>
      <c r="B374" s="12">
        <v>2021</v>
      </c>
      <c r="C374" s="12">
        <v>6653</v>
      </c>
      <c r="E374" s="12" t="s">
        <v>13</v>
      </c>
      <c r="F374" s="12" t="s">
        <v>14</v>
      </c>
      <c r="G374" s="14">
        <v>44447</v>
      </c>
      <c r="H374" s="12" t="s">
        <v>18</v>
      </c>
      <c r="I374" s="12" t="s">
        <v>20</v>
      </c>
      <c r="J374" s="12" t="s">
        <v>29</v>
      </c>
      <c r="K374" s="12">
        <v>230.01900000000001</v>
      </c>
      <c r="L374" s="12">
        <v>188.43600000000001</v>
      </c>
      <c r="O374" s="13">
        <f t="shared" si="11"/>
        <v>0.81921928188540949</v>
      </c>
    </row>
    <row r="375" spans="1:15" x14ac:dyDescent="0.25">
      <c r="A375" s="12">
        <f t="shared" si="10"/>
        <v>9</v>
      </c>
      <c r="B375" s="12">
        <v>2021</v>
      </c>
      <c r="C375" s="12">
        <v>6654</v>
      </c>
      <c r="E375" s="12" t="s">
        <v>13</v>
      </c>
      <c r="F375" s="12" t="s">
        <v>14</v>
      </c>
      <c r="G375" s="14">
        <v>44448</v>
      </c>
      <c r="H375" s="12" t="s">
        <v>18</v>
      </c>
      <c r="I375" s="12" t="s">
        <v>20</v>
      </c>
      <c r="J375" s="12" t="s">
        <v>29</v>
      </c>
      <c r="K375" s="12">
        <v>230.018</v>
      </c>
      <c r="L375" s="12">
        <v>185.245</v>
      </c>
      <c r="O375" s="13">
        <f t="shared" si="11"/>
        <v>0.80535001608569767</v>
      </c>
    </row>
    <row r="376" spans="1:15" x14ac:dyDescent="0.25">
      <c r="A376" s="12">
        <f t="shared" si="10"/>
        <v>9</v>
      </c>
      <c r="B376" s="12">
        <v>2021</v>
      </c>
      <c r="C376" s="12">
        <v>6655</v>
      </c>
      <c r="E376" s="12" t="s">
        <v>13</v>
      </c>
      <c r="F376" s="12" t="s">
        <v>14</v>
      </c>
      <c r="G376" s="14">
        <v>44449</v>
      </c>
      <c r="H376" s="12" t="s">
        <v>18</v>
      </c>
      <c r="I376" s="12" t="s">
        <v>20</v>
      </c>
      <c r="J376" s="12" t="s">
        <v>29</v>
      </c>
      <c r="K376" s="12">
        <v>229.964</v>
      </c>
      <c r="L376" s="12">
        <v>197.49700000000001</v>
      </c>
      <c r="O376" s="13">
        <f t="shared" si="11"/>
        <v>0.85881703223113193</v>
      </c>
    </row>
    <row r="377" spans="1:15" x14ac:dyDescent="0.25">
      <c r="A377" s="12">
        <f t="shared" si="10"/>
        <v>9</v>
      </c>
      <c r="B377" s="12">
        <v>2021</v>
      </c>
      <c r="C377" s="12">
        <v>6656</v>
      </c>
      <c r="E377" s="12" t="s">
        <v>13</v>
      </c>
      <c r="F377" s="12" t="s">
        <v>14</v>
      </c>
      <c r="G377" s="14">
        <v>44450</v>
      </c>
      <c r="H377" s="12" t="s">
        <v>18</v>
      </c>
      <c r="I377" s="12" t="s">
        <v>20</v>
      </c>
      <c r="J377" s="12" t="s">
        <v>29</v>
      </c>
      <c r="K377" s="12">
        <v>230</v>
      </c>
      <c r="L377" s="12">
        <v>197.20099999999999</v>
      </c>
      <c r="O377" s="13">
        <f t="shared" si="11"/>
        <v>0.857395652173913</v>
      </c>
    </row>
    <row r="378" spans="1:15" x14ac:dyDescent="0.25">
      <c r="A378" s="12">
        <f t="shared" si="10"/>
        <v>9</v>
      </c>
      <c r="B378" s="12">
        <v>2021</v>
      </c>
      <c r="C378" s="12">
        <v>6657</v>
      </c>
      <c r="E378" s="12" t="s">
        <v>13</v>
      </c>
      <c r="F378" s="12" t="s">
        <v>14</v>
      </c>
      <c r="G378" s="14">
        <v>44451</v>
      </c>
      <c r="H378" s="12" t="s">
        <v>18</v>
      </c>
      <c r="I378" s="12" t="s">
        <v>20</v>
      </c>
      <c r="J378" s="12" t="s">
        <v>29</v>
      </c>
      <c r="K378" s="12">
        <v>230</v>
      </c>
      <c r="L378" s="12">
        <v>175.55</v>
      </c>
      <c r="O378" s="13">
        <f t="shared" si="11"/>
        <v>0.76326086956521744</v>
      </c>
    </row>
    <row r="379" spans="1:15" x14ac:dyDescent="0.25">
      <c r="A379" s="12">
        <f t="shared" si="10"/>
        <v>9</v>
      </c>
      <c r="B379" s="12">
        <v>2021</v>
      </c>
      <c r="C379" s="12">
        <v>6658</v>
      </c>
      <c r="E379" s="12" t="s">
        <v>13</v>
      </c>
      <c r="F379" s="12" t="s">
        <v>14</v>
      </c>
      <c r="G379" s="14">
        <v>44452</v>
      </c>
      <c r="H379" s="12" t="s">
        <v>36</v>
      </c>
      <c r="I379" s="12" t="s">
        <v>20</v>
      </c>
      <c r="J379" s="12" t="s">
        <v>30</v>
      </c>
      <c r="K379" s="12">
        <v>229.999</v>
      </c>
      <c r="L379" s="12">
        <v>198.41900000000001</v>
      </c>
      <c r="O379" s="13">
        <f t="shared" si="11"/>
        <v>0.86269505519589218</v>
      </c>
    </row>
    <row r="380" spans="1:15" x14ac:dyDescent="0.25">
      <c r="A380" s="12">
        <f t="shared" si="10"/>
        <v>9</v>
      </c>
      <c r="B380" s="12">
        <v>2021</v>
      </c>
      <c r="C380" s="12">
        <v>6659</v>
      </c>
      <c r="E380" s="12" t="s">
        <v>13</v>
      </c>
      <c r="F380" s="12" t="s">
        <v>14</v>
      </c>
      <c r="G380" s="14">
        <v>44453</v>
      </c>
      <c r="H380" s="12" t="s">
        <v>36</v>
      </c>
      <c r="I380" s="12" t="s">
        <v>20</v>
      </c>
      <c r="J380" s="12" t="s">
        <v>30</v>
      </c>
      <c r="K380" s="12">
        <v>229.999</v>
      </c>
      <c r="L380" s="12">
        <v>189.67400000000001</v>
      </c>
      <c r="O380" s="13">
        <f t="shared" si="11"/>
        <v>0.82467315075282943</v>
      </c>
    </row>
    <row r="381" spans="1:15" x14ac:dyDescent="0.25">
      <c r="A381" s="12">
        <f t="shared" si="10"/>
        <v>9</v>
      </c>
      <c r="B381" s="12">
        <v>2021</v>
      </c>
      <c r="C381" s="12">
        <v>6660</v>
      </c>
      <c r="E381" s="12" t="s">
        <v>13</v>
      </c>
      <c r="F381" s="12" t="s">
        <v>14</v>
      </c>
      <c r="G381" s="14">
        <v>44454</v>
      </c>
      <c r="H381" s="12" t="s">
        <v>18</v>
      </c>
      <c r="I381" s="12" t="s">
        <v>20</v>
      </c>
      <c r="J381" s="12" t="s">
        <v>30</v>
      </c>
      <c r="K381" s="12">
        <v>229.988</v>
      </c>
      <c r="L381" s="12">
        <v>183.535</v>
      </c>
      <c r="O381" s="13">
        <f t="shared" si="11"/>
        <v>0.79801989669026208</v>
      </c>
    </row>
    <row r="382" spans="1:15" x14ac:dyDescent="0.25">
      <c r="A382" s="12">
        <f t="shared" si="10"/>
        <v>9</v>
      </c>
      <c r="B382" s="12">
        <v>2021</v>
      </c>
      <c r="C382" s="12">
        <v>6661</v>
      </c>
      <c r="E382" s="12" t="s">
        <v>13</v>
      </c>
      <c r="F382" s="12" t="s">
        <v>14</v>
      </c>
      <c r="G382" s="14">
        <v>44455</v>
      </c>
      <c r="H382" s="12" t="s">
        <v>18</v>
      </c>
      <c r="I382" s="12" t="s">
        <v>20</v>
      </c>
      <c r="J382" s="12" t="s">
        <v>30</v>
      </c>
      <c r="K382" s="12">
        <v>229.988</v>
      </c>
      <c r="L382" s="12">
        <v>176.69200000000001</v>
      </c>
      <c r="O382" s="13">
        <f t="shared" si="11"/>
        <v>0.76826617040889089</v>
      </c>
    </row>
    <row r="383" spans="1:15" x14ac:dyDescent="0.25">
      <c r="A383" s="12">
        <f t="shared" si="10"/>
        <v>9</v>
      </c>
      <c r="B383" s="12">
        <v>2021</v>
      </c>
      <c r="C383" s="12">
        <v>6662</v>
      </c>
      <c r="E383" s="12" t="s">
        <v>13</v>
      </c>
      <c r="F383" s="12" t="s">
        <v>14</v>
      </c>
      <c r="G383" s="14">
        <v>44456</v>
      </c>
      <c r="H383" s="12" t="s">
        <v>17</v>
      </c>
      <c r="I383" s="12" t="s">
        <v>19</v>
      </c>
      <c r="J383" s="12" t="s">
        <v>39</v>
      </c>
      <c r="K383" s="12">
        <v>230.01599999999999</v>
      </c>
      <c r="L383" s="12">
        <v>163.06700000000001</v>
      </c>
      <c r="O383" s="13">
        <f t="shared" si="11"/>
        <v>0.70893763912075691</v>
      </c>
    </row>
    <row r="384" spans="1:15" x14ac:dyDescent="0.25">
      <c r="A384" s="12">
        <f t="shared" si="10"/>
        <v>9</v>
      </c>
      <c r="B384" s="12">
        <v>2021</v>
      </c>
      <c r="C384" s="12">
        <v>6663</v>
      </c>
      <c r="E384" s="12" t="s">
        <v>13</v>
      </c>
      <c r="F384" s="12" t="s">
        <v>14</v>
      </c>
      <c r="G384" s="14">
        <v>44457</v>
      </c>
      <c r="H384" s="12" t="s">
        <v>17</v>
      </c>
      <c r="I384" s="12" t="s">
        <v>19</v>
      </c>
      <c r="J384" s="12" t="s">
        <v>39</v>
      </c>
      <c r="K384" s="12">
        <v>230.01599999999999</v>
      </c>
      <c r="L384" s="12">
        <v>157.232</v>
      </c>
      <c r="O384" s="13">
        <f t="shared" si="11"/>
        <v>0.68356983861992215</v>
      </c>
    </row>
    <row r="385" spans="1:15" x14ac:dyDescent="0.25">
      <c r="A385" s="12">
        <f t="shared" si="10"/>
        <v>9</v>
      </c>
      <c r="B385" s="12">
        <v>2021</v>
      </c>
      <c r="C385" s="12">
        <v>6664</v>
      </c>
      <c r="E385" s="12" t="s">
        <v>13</v>
      </c>
      <c r="F385" s="12" t="s">
        <v>14</v>
      </c>
      <c r="G385" s="14">
        <v>44458</v>
      </c>
      <c r="H385" s="12" t="s">
        <v>17</v>
      </c>
      <c r="I385" s="12" t="s">
        <v>19</v>
      </c>
      <c r="J385" s="12" t="s">
        <v>39</v>
      </c>
      <c r="K385" s="12">
        <v>230.01499999999999</v>
      </c>
      <c r="L385" s="12">
        <v>168.10400000000001</v>
      </c>
      <c r="O385" s="13">
        <f t="shared" si="11"/>
        <v>0.73083929308958118</v>
      </c>
    </row>
    <row r="386" spans="1:15" x14ac:dyDescent="0.25">
      <c r="A386" s="12">
        <f t="shared" ref="A386:A449" si="12">MONTH(G386)</f>
        <v>9</v>
      </c>
      <c r="B386" s="12">
        <v>2021</v>
      </c>
      <c r="C386" s="12">
        <v>6665</v>
      </c>
      <c r="E386" s="12" t="s">
        <v>13</v>
      </c>
      <c r="F386" s="12" t="s">
        <v>14</v>
      </c>
      <c r="G386" s="14">
        <v>44459</v>
      </c>
      <c r="H386" s="12" t="s">
        <v>17</v>
      </c>
      <c r="I386" s="12" t="s">
        <v>19</v>
      </c>
      <c r="J386" s="12" t="s">
        <v>41</v>
      </c>
      <c r="K386" s="12">
        <v>230.029</v>
      </c>
      <c r="L386" s="12">
        <v>195.66</v>
      </c>
      <c r="O386" s="13">
        <f t="shared" ref="O386:O449" si="13">L386/K386</f>
        <v>0.85058840407079106</v>
      </c>
    </row>
    <row r="387" spans="1:15" x14ac:dyDescent="0.25">
      <c r="A387" s="12">
        <f t="shared" si="12"/>
        <v>9</v>
      </c>
      <c r="B387" s="12">
        <v>2021</v>
      </c>
      <c r="C387" s="12">
        <v>6666</v>
      </c>
      <c r="E387" s="12" t="s">
        <v>13</v>
      </c>
      <c r="F387" s="12" t="s">
        <v>14</v>
      </c>
      <c r="G387" s="14">
        <v>44460</v>
      </c>
      <c r="H387" s="12" t="s">
        <v>17</v>
      </c>
      <c r="I387" s="12" t="s">
        <v>19</v>
      </c>
      <c r="J387" s="12" t="s">
        <v>40</v>
      </c>
      <c r="K387" s="12">
        <v>230.01300000000001</v>
      </c>
      <c r="L387" s="12">
        <v>193.65</v>
      </c>
      <c r="O387" s="13">
        <f t="shared" si="13"/>
        <v>0.84190893558190194</v>
      </c>
    </row>
    <row r="388" spans="1:15" x14ac:dyDescent="0.25">
      <c r="A388" s="12">
        <f t="shared" si="12"/>
        <v>9</v>
      </c>
      <c r="B388" s="12">
        <v>2021</v>
      </c>
      <c r="C388" s="12">
        <v>6667</v>
      </c>
      <c r="E388" s="12" t="s">
        <v>13</v>
      </c>
      <c r="F388" s="12" t="s">
        <v>14</v>
      </c>
      <c r="G388" s="14">
        <v>44461</v>
      </c>
      <c r="H388" s="12" t="s">
        <v>18</v>
      </c>
      <c r="I388" s="12" t="s">
        <v>20</v>
      </c>
      <c r="J388" s="12" t="s">
        <v>42</v>
      </c>
      <c r="K388" s="12">
        <v>230.005</v>
      </c>
      <c r="L388" s="12">
        <v>176.99100000000001</v>
      </c>
      <c r="O388" s="13">
        <f t="shared" si="13"/>
        <v>0.76950935849220681</v>
      </c>
    </row>
    <row r="389" spans="1:15" x14ac:dyDescent="0.25">
      <c r="A389" s="12">
        <f t="shared" si="12"/>
        <v>9</v>
      </c>
      <c r="B389" s="12">
        <v>2021</v>
      </c>
      <c r="C389" s="12">
        <v>6668</v>
      </c>
      <c r="E389" s="12" t="s">
        <v>13</v>
      </c>
      <c r="F389" s="12" t="s">
        <v>14</v>
      </c>
      <c r="G389" s="14">
        <v>44462</v>
      </c>
      <c r="H389" s="12" t="s">
        <v>18</v>
      </c>
      <c r="I389" s="12" t="s">
        <v>20</v>
      </c>
      <c r="J389" s="12" t="s">
        <v>30</v>
      </c>
      <c r="K389" s="12">
        <v>229.99600000000001</v>
      </c>
      <c r="L389" s="12">
        <v>171.7</v>
      </c>
      <c r="O389" s="13">
        <f t="shared" si="13"/>
        <v>0.74653472234299723</v>
      </c>
    </row>
    <row r="390" spans="1:15" x14ac:dyDescent="0.25">
      <c r="A390" s="12">
        <f t="shared" si="12"/>
        <v>9</v>
      </c>
      <c r="B390" s="12">
        <v>2021</v>
      </c>
      <c r="C390" s="12">
        <v>6669</v>
      </c>
      <c r="E390" s="12" t="s">
        <v>13</v>
      </c>
      <c r="F390" s="12" t="s">
        <v>14</v>
      </c>
      <c r="G390" s="14">
        <v>44463</v>
      </c>
      <c r="H390" s="12" t="s">
        <v>18</v>
      </c>
      <c r="I390" s="12" t="s">
        <v>20</v>
      </c>
      <c r="J390" s="12" t="s">
        <v>30</v>
      </c>
      <c r="K390" s="12">
        <v>229.99600000000001</v>
      </c>
      <c r="L390" s="12">
        <v>181.358</v>
      </c>
      <c r="O390" s="13">
        <f t="shared" si="13"/>
        <v>0.78852675698707797</v>
      </c>
    </row>
    <row r="391" spans="1:15" x14ac:dyDescent="0.25">
      <c r="A391" s="12">
        <f t="shared" si="12"/>
        <v>9</v>
      </c>
      <c r="B391" s="12">
        <v>2021</v>
      </c>
      <c r="C391" s="12">
        <v>6670</v>
      </c>
      <c r="E391" s="12" t="s">
        <v>13</v>
      </c>
      <c r="F391" s="12" t="s">
        <v>14</v>
      </c>
      <c r="G391" s="14">
        <v>44464</v>
      </c>
      <c r="H391" s="12" t="s">
        <v>18</v>
      </c>
      <c r="I391" s="12" t="s">
        <v>20</v>
      </c>
      <c r="J391" s="12" t="s">
        <v>29</v>
      </c>
      <c r="K391" s="12">
        <v>230</v>
      </c>
      <c r="L391" s="12">
        <v>175.381</v>
      </c>
      <c r="O391" s="13">
        <f t="shared" si="13"/>
        <v>0.76252608695652169</v>
      </c>
    </row>
    <row r="392" spans="1:15" x14ac:dyDescent="0.25">
      <c r="A392" s="12">
        <f t="shared" si="12"/>
        <v>9</v>
      </c>
      <c r="B392" s="12">
        <v>2021</v>
      </c>
      <c r="C392" s="12">
        <v>6671</v>
      </c>
      <c r="E392" s="12" t="s">
        <v>13</v>
      </c>
      <c r="F392" s="12" t="s">
        <v>14</v>
      </c>
      <c r="G392" s="14">
        <v>44465</v>
      </c>
      <c r="H392" s="12" t="s">
        <v>17</v>
      </c>
      <c r="I392" s="12" t="s">
        <v>19</v>
      </c>
      <c r="J392" s="12" t="s">
        <v>43</v>
      </c>
      <c r="K392" s="12">
        <v>229.99199999999999</v>
      </c>
      <c r="L392" s="12">
        <v>177.19399999999999</v>
      </c>
      <c r="O392" s="13">
        <f t="shared" si="13"/>
        <v>0.7704354934084664</v>
      </c>
    </row>
    <row r="393" spans="1:15" x14ac:dyDescent="0.25">
      <c r="A393" s="12">
        <f t="shared" si="12"/>
        <v>9</v>
      </c>
      <c r="B393" s="12">
        <v>2021</v>
      </c>
      <c r="C393" s="12">
        <v>6672</v>
      </c>
      <c r="E393" s="12" t="s">
        <v>13</v>
      </c>
      <c r="F393" s="12" t="s">
        <v>14</v>
      </c>
      <c r="G393" s="14">
        <v>44466</v>
      </c>
      <c r="H393" s="12" t="s">
        <v>18</v>
      </c>
      <c r="I393" s="12" t="s">
        <v>20</v>
      </c>
      <c r="J393" s="12" t="s">
        <v>44</v>
      </c>
      <c r="K393" s="12">
        <v>230.01300000000001</v>
      </c>
      <c r="L393" s="12">
        <v>189.73699999999999</v>
      </c>
      <c r="O393" s="13">
        <f t="shared" si="13"/>
        <v>0.82489685365609766</v>
      </c>
    </row>
    <row r="394" spans="1:15" x14ac:dyDescent="0.25">
      <c r="A394" s="12">
        <f t="shared" si="12"/>
        <v>9</v>
      </c>
      <c r="B394" s="12">
        <v>2021</v>
      </c>
      <c r="C394" s="12">
        <v>6673</v>
      </c>
      <c r="E394" s="12" t="s">
        <v>13</v>
      </c>
      <c r="F394" s="12" t="s">
        <v>14</v>
      </c>
      <c r="G394" s="14">
        <v>44467</v>
      </c>
      <c r="H394" s="12" t="s">
        <v>17</v>
      </c>
      <c r="I394" s="12" t="s">
        <v>20</v>
      </c>
      <c r="J394" s="12" t="s">
        <v>39</v>
      </c>
      <c r="K394" s="12">
        <v>230</v>
      </c>
      <c r="L394" s="12">
        <v>200.114</v>
      </c>
      <c r="O394" s="13">
        <f t="shared" si="13"/>
        <v>0.87006086956521744</v>
      </c>
    </row>
    <row r="395" spans="1:15" x14ac:dyDescent="0.25">
      <c r="A395" s="12">
        <f t="shared" si="12"/>
        <v>9</v>
      </c>
      <c r="B395" s="12">
        <v>2021</v>
      </c>
      <c r="C395" s="12">
        <v>6674</v>
      </c>
      <c r="E395" s="12" t="s">
        <v>13</v>
      </c>
      <c r="F395" s="12" t="s">
        <v>14</v>
      </c>
      <c r="G395" s="14">
        <v>44468</v>
      </c>
      <c r="H395" s="12" t="s">
        <v>17</v>
      </c>
      <c r="I395" s="12" t="s">
        <v>20</v>
      </c>
      <c r="J395" s="12" t="s">
        <v>39</v>
      </c>
      <c r="K395" s="12">
        <v>230</v>
      </c>
      <c r="L395" s="12">
        <v>196.399</v>
      </c>
      <c r="O395" s="13">
        <f t="shared" si="13"/>
        <v>0.85390869565217387</v>
      </c>
    </row>
    <row r="396" spans="1:15" x14ac:dyDescent="0.25">
      <c r="A396" s="12">
        <f t="shared" si="12"/>
        <v>9</v>
      </c>
      <c r="B396" s="12">
        <v>2021</v>
      </c>
      <c r="C396" s="12">
        <v>6675</v>
      </c>
      <c r="E396" s="12" t="s">
        <v>13</v>
      </c>
      <c r="F396" s="12" t="s">
        <v>14</v>
      </c>
      <c r="G396" s="14">
        <v>44469</v>
      </c>
      <c r="H396" s="12" t="s">
        <v>17</v>
      </c>
      <c r="I396" s="12" t="s">
        <v>20</v>
      </c>
      <c r="J396" s="12" t="s">
        <v>39</v>
      </c>
      <c r="K396" s="12">
        <v>230</v>
      </c>
      <c r="L396" s="12">
        <v>192.946</v>
      </c>
      <c r="O396" s="13">
        <f t="shared" si="13"/>
        <v>0.83889565217391304</v>
      </c>
    </row>
    <row r="397" spans="1:15" x14ac:dyDescent="0.25">
      <c r="A397" s="12">
        <f t="shared" si="12"/>
        <v>10</v>
      </c>
      <c r="B397" s="12">
        <v>2021</v>
      </c>
      <c r="C397" s="12">
        <v>6676</v>
      </c>
      <c r="E397" s="12" t="s">
        <v>13</v>
      </c>
      <c r="F397" s="12" t="s">
        <v>14</v>
      </c>
      <c r="G397" s="14">
        <v>44470</v>
      </c>
      <c r="H397" s="12" t="s">
        <v>18</v>
      </c>
      <c r="I397" s="12" t="s">
        <v>20</v>
      </c>
      <c r="J397" s="12" t="s">
        <v>42</v>
      </c>
      <c r="K397" s="12">
        <v>230.011</v>
      </c>
      <c r="L397" s="12">
        <v>195.87</v>
      </c>
      <c r="O397" s="13">
        <f t="shared" si="13"/>
        <v>0.85156796848846361</v>
      </c>
    </row>
    <row r="398" spans="1:15" x14ac:dyDescent="0.25">
      <c r="A398" s="12">
        <f t="shared" si="12"/>
        <v>10</v>
      </c>
      <c r="B398" s="12">
        <v>2021</v>
      </c>
      <c r="C398" s="12">
        <v>6677</v>
      </c>
      <c r="E398" s="12" t="s">
        <v>13</v>
      </c>
      <c r="F398" s="12" t="s">
        <v>14</v>
      </c>
      <c r="G398" s="14">
        <v>44471</v>
      </c>
      <c r="H398" s="12" t="s">
        <v>18</v>
      </c>
      <c r="I398" s="12" t="s">
        <v>20</v>
      </c>
      <c r="J398" s="12" t="s">
        <v>42</v>
      </c>
      <c r="K398" s="12">
        <v>230.011</v>
      </c>
      <c r="L398" s="12">
        <v>193.71199999999999</v>
      </c>
      <c r="O398" s="13">
        <f t="shared" si="13"/>
        <v>0.84218580850481062</v>
      </c>
    </row>
    <row r="399" spans="1:15" x14ac:dyDescent="0.25">
      <c r="A399" s="12">
        <f t="shared" si="12"/>
        <v>10</v>
      </c>
      <c r="B399" s="12">
        <v>2021</v>
      </c>
      <c r="C399" s="12">
        <v>6678</v>
      </c>
      <c r="E399" s="12" t="s">
        <v>13</v>
      </c>
      <c r="F399" s="12" t="s">
        <v>14</v>
      </c>
      <c r="G399" s="14">
        <v>44472</v>
      </c>
      <c r="H399" s="12" t="s">
        <v>18</v>
      </c>
      <c r="I399" s="12" t="s">
        <v>20</v>
      </c>
      <c r="J399" s="12" t="s">
        <v>42</v>
      </c>
      <c r="K399" s="12">
        <v>230.005</v>
      </c>
      <c r="L399" s="12">
        <v>198.32400000000001</v>
      </c>
      <c r="O399" s="13">
        <f t="shared" si="13"/>
        <v>0.8622595160974762</v>
      </c>
    </row>
    <row r="400" spans="1:15" x14ac:dyDescent="0.25">
      <c r="A400" s="12">
        <f t="shared" si="12"/>
        <v>10</v>
      </c>
      <c r="B400" s="12">
        <v>2021</v>
      </c>
      <c r="C400" s="12">
        <v>6679</v>
      </c>
      <c r="E400" s="12" t="s">
        <v>13</v>
      </c>
      <c r="F400" s="12" t="s">
        <v>14</v>
      </c>
      <c r="G400" s="14">
        <v>44473</v>
      </c>
      <c r="H400" s="12" t="s">
        <v>18</v>
      </c>
      <c r="I400" s="12" t="s">
        <v>20</v>
      </c>
      <c r="J400" s="12" t="s">
        <v>42</v>
      </c>
      <c r="K400" s="12">
        <v>225.00399999999999</v>
      </c>
      <c r="L400" s="12">
        <v>194.05799999999999</v>
      </c>
      <c r="O400" s="13">
        <f t="shared" si="13"/>
        <v>0.86246466729480364</v>
      </c>
    </row>
    <row r="401" spans="1:15" x14ac:dyDescent="0.25">
      <c r="A401" s="12">
        <f t="shared" si="12"/>
        <v>10</v>
      </c>
      <c r="B401" s="12">
        <v>2021</v>
      </c>
      <c r="C401" s="12">
        <v>6680</v>
      </c>
      <c r="E401" s="12" t="s">
        <v>13</v>
      </c>
      <c r="F401" s="12" t="s">
        <v>14</v>
      </c>
      <c r="G401" s="14">
        <v>44474</v>
      </c>
      <c r="H401" s="12" t="s">
        <v>18</v>
      </c>
      <c r="I401" s="12" t="s">
        <v>20</v>
      </c>
      <c r="J401" s="12" t="s">
        <v>42</v>
      </c>
      <c r="K401" s="12">
        <v>225.00399999999999</v>
      </c>
      <c r="L401" s="12">
        <v>193.577</v>
      </c>
      <c r="O401" s="13">
        <f t="shared" si="13"/>
        <v>0.86032692752128859</v>
      </c>
    </row>
    <row r="402" spans="1:15" x14ac:dyDescent="0.25">
      <c r="A402" s="12">
        <f t="shared" si="12"/>
        <v>10</v>
      </c>
      <c r="B402" s="12">
        <v>2021</v>
      </c>
      <c r="C402" s="12">
        <v>6681</v>
      </c>
      <c r="E402" s="12" t="s">
        <v>13</v>
      </c>
      <c r="F402" s="12" t="s">
        <v>14</v>
      </c>
      <c r="G402" s="14">
        <v>44475</v>
      </c>
      <c r="H402" s="12" t="s">
        <v>18</v>
      </c>
      <c r="I402" s="12" t="s">
        <v>20</v>
      </c>
      <c r="J402" s="12" t="s">
        <v>44</v>
      </c>
      <c r="K402" s="12">
        <v>225.00899999999999</v>
      </c>
      <c r="L402" s="12">
        <v>191.29599999999999</v>
      </c>
      <c r="O402" s="13">
        <f t="shared" si="13"/>
        <v>0.85017043762693933</v>
      </c>
    </row>
    <row r="403" spans="1:15" x14ac:dyDescent="0.25">
      <c r="A403" s="12">
        <f t="shared" si="12"/>
        <v>10</v>
      </c>
      <c r="B403" s="12">
        <v>2021</v>
      </c>
      <c r="C403" s="12">
        <v>6682</v>
      </c>
      <c r="E403" s="12" t="s">
        <v>13</v>
      </c>
      <c r="F403" s="12" t="s">
        <v>14</v>
      </c>
      <c r="G403" s="14">
        <v>44476</v>
      </c>
      <c r="H403" s="12" t="s">
        <v>18</v>
      </c>
      <c r="I403" s="12" t="s">
        <v>20</v>
      </c>
      <c r="J403" s="12" t="s">
        <v>44</v>
      </c>
      <c r="K403" s="12">
        <v>225.00299999999999</v>
      </c>
      <c r="L403" s="12">
        <v>190.251</v>
      </c>
      <c r="O403" s="13">
        <f t="shared" si="13"/>
        <v>0.8455487260169865</v>
      </c>
    </row>
    <row r="404" spans="1:15" x14ac:dyDescent="0.25">
      <c r="A404" s="12">
        <f t="shared" si="12"/>
        <v>10</v>
      </c>
      <c r="B404" s="12">
        <v>2021</v>
      </c>
      <c r="C404" s="12">
        <v>6683</v>
      </c>
      <c r="E404" s="12" t="s">
        <v>13</v>
      </c>
      <c r="F404" s="12" t="s">
        <v>14</v>
      </c>
      <c r="G404" s="14">
        <v>44477</v>
      </c>
      <c r="H404" s="12" t="s">
        <v>18</v>
      </c>
      <c r="I404" s="12" t="s">
        <v>20</v>
      </c>
      <c r="J404" s="12" t="s">
        <v>44</v>
      </c>
      <c r="K404" s="12">
        <v>225.00200000000001</v>
      </c>
      <c r="L404" s="12">
        <v>190.16900000000001</v>
      </c>
      <c r="O404" s="13">
        <f t="shared" si="13"/>
        <v>0.84518804277295312</v>
      </c>
    </row>
    <row r="405" spans="1:15" x14ac:dyDescent="0.25">
      <c r="A405" s="12">
        <f t="shared" si="12"/>
        <v>10</v>
      </c>
      <c r="B405" s="12">
        <v>2021</v>
      </c>
      <c r="C405" s="12">
        <v>6684</v>
      </c>
      <c r="E405" s="12" t="s">
        <v>13</v>
      </c>
      <c r="F405" s="12" t="s">
        <v>14</v>
      </c>
      <c r="G405" s="14">
        <v>44478</v>
      </c>
      <c r="H405" s="12" t="s">
        <v>18</v>
      </c>
      <c r="I405" s="12" t="s">
        <v>20</v>
      </c>
      <c r="J405" s="12" t="s">
        <v>44</v>
      </c>
      <c r="K405" s="12">
        <v>230</v>
      </c>
      <c r="L405" s="12">
        <v>190.35300000000001</v>
      </c>
      <c r="O405" s="13">
        <f t="shared" si="13"/>
        <v>0.8276217391304348</v>
      </c>
    </row>
    <row r="406" spans="1:15" x14ac:dyDescent="0.25">
      <c r="A406" s="12">
        <f t="shared" si="12"/>
        <v>10</v>
      </c>
      <c r="B406" s="12">
        <v>2021</v>
      </c>
      <c r="C406" s="12">
        <v>6685</v>
      </c>
      <c r="E406" s="12" t="s">
        <v>13</v>
      </c>
      <c r="F406" s="12" t="s">
        <v>14</v>
      </c>
      <c r="G406" s="14">
        <v>44479</v>
      </c>
      <c r="H406" s="12" t="s">
        <v>18</v>
      </c>
      <c r="I406" s="12" t="s">
        <v>20</v>
      </c>
      <c r="J406" s="12" t="s">
        <v>44</v>
      </c>
      <c r="K406" s="12">
        <v>230</v>
      </c>
      <c r="L406" s="12">
        <v>181.76900000000001</v>
      </c>
      <c r="O406" s="13">
        <f t="shared" si="13"/>
        <v>0.7903</v>
      </c>
    </row>
    <row r="407" spans="1:15" x14ac:dyDescent="0.25">
      <c r="A407" s="12">
        <f t="shared" si="12"/>
        <v>10</v>
      </c>
      <c r="B407" s="12">
        <v>2021</v>
      </c>
      <c r="C407" s="12">
        <v>6686</v>
      </c>
      <c r="E407" s="12" t="s">
        <v>13</v>
      </c>
      <c r="F407" s="12" t="s">
        <v>14</v>
      </c>
      <c r="G407" s="14">
        <v>44480</v>
      </c>
      <c r="H407" s="12" t="s">
        <v>18</v>
      </c>
      <c r="I407" s="12" t="s">
        <v>20</v>
      </c>
      <c r="J407" s="12" t="s">
        <v>42</v>
      </c>
      <c r="K407" s="12">
        <v>225.001</v>
      </c>
      <c r="L407" s="12">
        <v>188.02600000000001</v>
      </c>
      <c r="O407" s="13">
        <f t="shared" si="13"/>
        <v>0.835667397033791</v>
      </c>
    </row>
    <row r="408" spans="1:15" x14ac:dyDescent="0.25">
      <c r="A408" s="12">
        <f t="shared" si="12"/>
        <v>10</v>
      </c>
      <c r="B408" s="12">
        <v>2021</v>
      </c>
      <c r="C408" s="12">
        <v>6687</v>
      </c>
      <c r="E408" s="12" t="s">
        <v>13</v>
      </c>
      <c r="F408" s="12" t="s">
        <v>14</v>
      </c>
      <c r="G408" s="14">
        <v>44481</v>
      </c>
      <c r="H408" s="12" t="s">
        <v>18</v>
      </c>
      <c r="I408" s="12" t="s">
        <v>20</v>
      </c>
      <c r="J408" s="12" t="s">
        <v>44</v>
      </c>
      <c r="K408" s="12">
        <v>225.02500000000001</v>
      </c>
      <c r="L408" s="12">
        <v>189.76400000000001</v>
      </c>
      <c r="O408" s="13">
        <f t="shared" si="13"/>
        <v>0.8433018553494056</v>
      </c>
    </row>
    <row r="409" spans="1:15" x14ac:dyDescent="0.25">
      <c r="A409" s="12">
        <f t="shared" si="12"/>
        <v>10</v>
      </c>
      <c r="B409" s="12">
        <v>2021</v>
      </c>
      <c r="C409" s="12">
        <v>6688</v>
      </c>
      <c r="E409" s="12" t="s">
        <v>13</v>
      </c>
      <c r="F409" s="12" t="s">
        <v>14</v>
      </c>
      <c r="G409" s="14">
        <v>44482</v>
      </c>
      <c r="H409" s="12" t="s">
        <v>18</v>
      </c>
      <c r="I409" s="12" t="s">
        <v>20</v>
      </c>
      <c r="J409" s="12" t="s">
        <v>44</v>
      </c>
      <c r="K409" s="12">
        <v>225.02500000000001</v>
      </c>
      <c r="L409" s="12">
        <v>191.065</v>
      </c>
      <c r="O409" s="13">
        <f t="shared" si="13"/>
        <v>0.84908343517386953</v>
      </c>
    </row>
    <row r="410" spans="1:15" x14ac:dyDescent="0.25">
      <c r="A410" s="12">
        <f t="shared" si="12"/>
        <v>10</v>
      </c>
      <c r="B410" s="12">
        <v>2021</v>
      </c>
      <c r="C410" s="12">
        <v>6689</v>
      </c>
      <c r="E410" s="12" t="s">
        <v>13</v>
      </c>
      <c r="F410" s="12" t="s">
        <v>14</v>
      </c>
      <c r="G410" s="14">
        <v>44483</v>
      </c>
      <c r="H410" s="12" t="s">
        <v>18</v>
      </c>
      <c r="I410" s="12" t="s">
        <v>20</v>
      </c>
      <c r="J410" s="12" t="s">
        <v>44</v>
      </c>
      <c r="K410" s="12">
        <v>225.00299999999999</v>
      </c>
      <c r="L410" s="12">
        <v>190.988</v>
      </c>
      <c r="O410" s="13">
        <f t="shared" si="13"/>
        <v>0.84882423789905026</v>
      </c>
    </row>
    <row r="411" spans="1:15" x14ac:dyDescent="0.25">
      <c r="A411" s="12">
        <f t="shared" si="12"/>
        <v>10</v>
      </c>
      <c r="B411" s="12">
        <v>2021</v>
      </c>
      <c r="C411" s="12">
        <v>6690</v>
      </c>
      <c r="E411" s="12" t="s">
        <v>13</v>
      </c>
      <c r="F411" s="12" t="s">
        <v>14</v>
      </c>
      <c r="G411" s="14">
        <v>44484</v>
      </c>
      <c r="H411" s="12" t="s">
        <v>18</v>
      </c>
      <c r="I411" s="12" t="s">
        <v>20</v>
      </c>
      <c r="J411" s="12" t="s">
        <v>44</v>
      </c>
      <c r="K411" s="12">
        <v>225.00399999999999</v>
      </c>
      <c r="L411" s="12">
        <v>186.69300000000001</v>
      </c>
      <c r="O411" s="13">
        <f t="shared" si="13"/>
        <v>0.8297319158770512</v>
      </c>
    </row>
    <row r="412" spans="1:15" x14ac:dyDescent="0.25">
      <c r="A412" s="12">
        <f t="shared" si="12"/>
        <v>10</v>
      </c>
      <c r="B412" s="12">
        <v>2021</v>
      </c>
      <c r="C412" s="12">
        <v>6691</v>
      </c>
      <c r="E412" s="12" t="s">
        <v>13</v>
      </c>
      <c r="F412" s="12" t="s">
        <v>14</v>
      </c>
      <c r="G412" s="14">
        <v>44485</v>
      </c>
      <c r="H412" s="12" t="s">
        <v>18</v>
      </c>
      <c r="I412" s="12" t="s">
        <v>20</v>
      </c>
      <c r="J412" s="12" t="s">
        <v>44</v>
      </c>
      <c r="K412" s="12">
        <v>224.99299999999999</v>
      </c>
      <c r="L412" s="12">
        <v>191.98400000000001</v>
      </c>
      <c r="O412" s="13">
        <f t="shared" si="13"/>
        <v>0.85328876898392403</v>
      </c>
    </row>
    <row r="413" spans="1:15" x14ac:dyDescent="0.25">
      <c r="A413" s="12">
        <f t="shared" si="12"/>
        <v>10</v>
      </c>
      <c r="B413" s="12">
        <v>2021</v>
      </c>
      <c r="C413" s="12">
        <v>6692</v>
      </c>
      <c r="E413" s="12" t="s">
        <v>13</v>
      </c>
      <c r="F413" s="12" t="s">
        <v>14</v>
      </c>
      <c r="G413" s="14">
        <v>44486</v>
      </c>
      <c r="H413" s="12" t="s">
        <v>18</v>
      </c>
      <c r="I413" s="12" t="s">
        <v>20</v>
      </c>
      <c r="J413" s="12" t="s">
        <v>44</v>
      </c>
      <c r="K413" s="12">
        <v>225.00200000000001</v>
      </c>
      <c r="L413" s="12">
        <v>192.227</v>
      </c>
      <c r="O413" s="13">
        <f t="shared" si="13"/>
        <v>0.85433462813663874</v>
      </c>
    </row>
    <row r="414" spans="1:15" x14ac:dyDescent="0.25">
      <c r="A414" s="12">
        <f t="shared" si="12"/>
        <v>10</v>
      </c>
      <c r="B414" s="12">
        <v>2021</v>
      </c>
      <c r="C414" s="12">
        <v>6693</v>
      </c>
      <c r="E414" s="12" t="s">
        <v>13</v>
      </c>
      <c r="F414" s="12" t="s">
        <v>14</v>
      </c>
      <c r="G414" s="14">
        <v>44487</v>
      </c>
      <c r="H414" s="12" t="s">
        <v>18</v>
      </c>
      <c r="I414" s="12" t="s">
        <v>20</v>
      </c>
      <c r="J414" s="12" t="s">
        <v>44</v>
      </c>
      <c r="K414" s="12">
        <v>225.00200000000001</v>
      </c>
      <c r="L414" s="12">
        <v>188.98400000000001</v>
      </c>
      <c r="O414" s="13">
        <f t="shared" si="13"/>
        <v>0.83992142292068517</v>
      </c>
    </row>
    <row r="415" spans="1:15" x14ac:dyDescent="0.25">
      <c r="A415" s="12">
        <f t="shared" si="12"/>
        <v>10</v>
      </c>
      <c r="B415" s="12">
        <v>2021</v>
      </c>
      <c r="C415" s="12">
        <v>6694</v>
      </c>
      <c r="E415" s="12" t="s">
        <v>13</v>
      </c>
      <c r="F415" s="12" t="s">
        <v>14</v>
      </c>
      <c r="G415" s="14">
        <v>44488</v>
      </c>
      <c r="H415" s="12" t="s">
        <v>18</v>
      </c>
      <c r="I415" s="12" t="s">
        <v>20</v>
      </c>
      <c r="J415" s="12" t="s">
        <v>44</v>
      </c>
      <c r="K415" s="12">
        <v>225.00200000000001</v>
      </c>
      <c r="L415" s="12">
        <v>192.809</v>
      </c>
      <c r="O415" s="13">
        <f t="shared" si="13"/>
        <v>0.85692127181091715</v>
      </c>
    </row>
    <row r="416" spans="1:15" x14ac:dyDescent="0.25">
      <c r="A416" s="12">
        <f t="shared" si="12"/>
        <v>10</v>
      </c>
      <c r="B416" s="12">
        <v>2021</v>
      </c>
      <c r="C416" s="12">
        <v>6695</v>
      </c>
      <c r="E416" s="12" t="s">
        <v>13</v>
      </c>
      <c r="F416" s="12" t="s">
        <v>14</v>
      </c>
      <c r="G416" s="14">
        <v>44489</v>
      </c>
      <c r="H416" s="12" t="s">
        <v>18</v>
      </c>
      <c r="I416" s="12" t="s">
        <v>20</v>
      </c>
      <c r="J416" s="12" t="s">
        <v>44</v>
      </c>
      <c r="K416" s="12">
        <v>225.00299999999999</v>
      </c>
      <c r="L416" s="12">
        <v>183.20500000000001</v>
      </c>
      <c r="O416" s="13">
        <f t="shared" si="13"/>
        <v>0.81423358799660461</v>
      </c>
    </row>
    <row r="417" spans="1:15" x14ac:dyDescent="0.25">
      <c r="A417" s="12">
        <f t="shared" si="12"/>
        <v>10</v>
      </c>
      <c r="B417" s="12">
        <v>2021</v>
      </c>
      <c r="C417" s="12">
        <v>6696</v>
      </c>
      <c r="E417" s="12" t="s">
        <v>13</v>
      </c>
      <c r="F417" s="12" t="s">
        <v>14</v>
      </c>
      <c r="G417" s="14">
        <v>44490</v>
      </c>
      <c r="H417" s="12" t="s">
        <v>18</v>
      </c>
      <c r="I417" s="12" t="s">
        <v>20</v>
      </c>
      <c r="J417" s="12" t="s">
        <v>44</v>
      </c>
      <c r="K417" s="12">
        <v>225.00899999999999</v>
      </c>
      <c r="L417" s="12">
        <v>193.767</v>
      </c>
      <c r="O417" s="13">
        <f t="shared" si="13"/>
        <v>0.86115222057784357</v>
      </c>
    </row>
    <row r="418" spans="1:15" x14ac:dyDescent="0.25">
      <c r="A418" s="12">
        <f t="shared" si="12"/>
        <v>10</v>
      </c>
      <c r="B418" s="12">
        <v>2021</v>
      </c>
      <c r="C418" s="12">
        <v>6697</v>
      </c>
      <c r="E418" s="12" t="s">
        <v>13</v>
      </c>
      <c r="F418" s="12" t="s">
        <v>14</v>
      </c>
      <c r="G418" s="14">
        <v>44491</v>
      </c>
      <c r="H418" s="12" t="s">
        <v>18</v>
      </c>
      <c r="I418" s="12" t="s">
        <v>20</v>
      </c>
      <c r="J418" s="12" t="s">
        <v>45</v>
      </c>
      <c r="K418" s="12">
        <v>225.02</v>
      </c>
      <c r="L418" s="12">
        <v>185.90899999999999</v>
      </c>
      <c r="O418" s="13">
        <f t="shared" si="13"/>
        <v>0.82618878321926936</v>
      </c>
    </row>
    <row r="419" spans="1:15" x14ac:dyDescent="0.25">
      <c r="A419" s="12">
        <f t="shared" si="12"/>
        <v>10</v>
      </c>
      <c r="B419" s="12">
        <v>2021</v>
      </c>
      <c r="C419" s="12">
        <v>6698</v>
      </c>
      <c r="E419" s="12" t="s">
        <v>13</v>
      </c>
      <c r="F419" s="12" t="s">
        <v>14</v>
      </c>
      <c r="G419" s="14">
        <v>44492</v>
      </c>
      <c r="H419" s="12" t="s">
        <v>18</v>
      </c>
      <c r="I419" s="12" t="s">
        <v>20</v>
      </c>
      <c r="J419" s="12" t="s">
        <v>45</v>
      </c>
      <c r="K419" s="12">
        <v>225.02099999999999</v>
      </c>
      <c r="L419" s="12">
        <v>190.94200000000001</v>
      </c>
      <c r="O419" s="13">
        <f t="shared" si="13"/>
        <v>0.84855191293257082</v>
      </c>
    </row>
    <row r="420" spans="1:15" x14ac:dyDescent="0.25">
      <c r="A420" s="12">
        <f t="shared" si="12"/>
        <v>10</v>
      </c>
      <c r="B420" s="12">
        <v>2021</v>
      </c>
      <c r="C420" s="12">
        <v>6699</v>
      </c>
      <c r="E420" s="12" t="s">
        <v>13</v>
      </c>
      <c r="F420" s="12" t="s">
        <v>14</v>
      </c>
      <c r="G420" s="14">
        <v>44493</v>
      </c>
      <c r="H420" s="12" t="s">
        <v>17</v>
      </c>
      <c r="I420" s="12" t="s">
        <v>19</v>
      </c>
      <c r="J420" s="12" t="s">
        <v>41</v>
      </c>
      <c r="K420" s="12">
        <v>225.017</v>
      </c>
      <c r="L420" s="12">
        <v>185.16300000000001</v>
      </c>
      <c r="O420" s="13">
        <f t="shared" si="13"/>
        <v>0.82288449317162715</v>
      </c>
    </row>
    <row r="421" spans="1:15" x14ac:dyDescent="0.25">
      <c r="A421" s="12">
        <f t="shared" si="12"/>
        <v>10</v>
      </c>
      <c r="B421" s="12">
        <v>2021</v>
      </c>
      <c r="C421" s="12">
        <v>6700</v>
      </c>
      <c r="E421" s="12" t="s">
        <v>13</v>
      </c>
      <c r="F421" s="12" t="s">
        <v>14</v>
      </c>
      <c r="G421" s="14">
        <v>44494</v>
      </c>
      <c r="H421" s="12" t="s">
        <v>17</v>
      </c>
      <c r="I421" s="12" t="s">
        <v>19</v>
      </c>
      <c r="J421" s="12" t="s">
        <v>41</v>
      </c>
      <c r="K421" s="12">
        <v>225.018</v>
      </c>
      <c r="L421" s="12">
        <v>190.089</v>
      </c>
      <c r="O421" s="13">
        <f t="shared" si="13"/>
        <v>0.84477241820654347</v>
      </c>
    </row>
    <row r="422" spans="1:15" x14ac:dyDescent="0.25">
      <c r="A422" s="12">
        <f t="shared" si="12"/>
        <v>10</v>
      </c>
      <c r="B422" s="12">
        <v>2021</v>
      </c>
      <c r="C422" s="12">
        <v>6701</v>
      </c>
      <c r="E422" s="12" t="s">
        <v>13</v>
      </c>
      <c r="F422" s="12" t="s">
        <v>14</v>
      </c>
      <c r="G422" s="14">
        <v>44495</v>
      </c>
      <c r="H422" s="12" t="s">
        <v>18</v>
      </c>
      <c r="I422" s="12" t="s">
        <v>20</v>
      </c>
      <c r="J422" s="12" t="s">
        <v>44</v>
      </c>
      <c r="K422" s="12">
        <v>225.04900000000001</v>
      </c>
      <c r="L422" s="12">
        <v>195.54</v>
      </c>
      <c r="O422" s="13">
        <f t="shared" si="13"/>
        <v>0.86887744446764925</v>
      </c>
    </row>
    <row r="423" spans="1:15" x14ac:dyDescent="0.25">
      <c r="A423" s="12">
        <f t="shared" si="12"/>
        <v>10</v>
      </c>
      <c r="B423" s="12">
        <v>2021</v>
      </c>
      <c r="C423" s="12">
        <v>6702</v>
      </c>
      <c r="E423" s="12" t="s">
        <v>13</v>
      </c>
      <c r="F423" s="12" t="s">
        <v>14</v>
      </c>
      <c r="G423" s="14">
        <v>44496</v>
      </c>
      <c r="H423" s="12" t="s">
        <v>18</v>
      </c>
      <c r="I423" s="12" t="s">
        <v>20</v>
      </c>
      <c r="J423" s="12" t="s">
        <v>44</v>
      </c>
      <c r="K423" s="12">
        <v>225.08799999999999</v>
      </c>
      <c r="L423" s="12">
        <v>185.26599999999999</v>
      </c>
      <c r="O423" s="13">
        <f t="shared" si="13"/>
        <v>0.8230825277224908</v>
      </c>
    </row>
    <row r="424" spans="1:15" x14ac:dyDescent="0.25">
      <c r="A424" s="12">
        <f t="shared" si="12"/>
        <v>10</v>
      </c>
      <c r="B424" s="12">
        <v>2021</v>
      </c>
      <c r="C424" s="12">
        <v>6703</v>
      </c>
      <c r="E424" s="12" t="s">
        <v>13</v>
      </c>
      <c r="F424" s="12" t="s">
        <v>14</v>
      </c>
      <c r="G424" s="14">
        <v>44497</v>
      </c>
      <c r="H424" s="12" t="s">
        <v>18</v>
      </c>
      <c r="I424" s="12" t="s">
        <v>20</v>
      </c>
      <c r="J424" s="12" t="s">
        <v>44</v>
      </c>
      <c r="K424" s="12">
        <v>225.08799999999999</v>
      </c>
      <c r="L424" s="12">
        <v>192.82900000000001</v>
      </c>
      <c r="O424" s="13">
        <f t="shared" si="13"/>
        <v>0.85668271964742682</v>
      </c>
    </row>
    <row r="425" spans="1:15" x14ac:dyDescent="0.25">
      <c r="A425" s="12">
        <f t="shared" si="12"/>
        <v>10</v>
      </c>
      <c r="B425" s="12">
        <v>2021</v>
      </c>
      <c r="C425" s="12">
        <v>6704</v>
      </c>
      <c r="E425" s="12" t="s">
        <v>13</v>
      </c>
      <c r="F425" s="12" t="s">
        <v>14</v>
      </c>
      <c r="G425" s="14">
        <v>44498</v>
      </c>
      <c r="H425" s="12" t="s">
        <v>18</v>
      </c>
      <c r="I425" s="12" t="s">
        <v>20</v>
      </c>
      <c r="J425" s="12" t="s">
        <v>44</v>
      </c>
      <c r="K425" s="12">
        <v>224.995</v>
      </c>
      <c r="L425" s="12">
        <v>186.02799999999999</v>
      </c>
      <c r="O425" s="13">
        <f t="shared" si="13"/>
        <v>0.82680948465521453</v>
      </c>
    </row>
    <row r="426" spans="1:15" x14ac:dyDescent="0.25">
      <c r="A426" s="12">
        <f t="shared" si="12"/>
        <v>10</v>
      </c>
      <c r="B426" s="12">
        <v>2021</v>
      </c>
      <c r="C426" s="12">
        <v>6705</v>
      </c>
      <c r="E426" s="12" t="s">
        <v>13</v>
      </c>
      <c r="F426" s="12" t="s">
        <v>14</v>
      </c>
      <c r="G426" s="14">
        <v>44499</v>
      </c>
      <c r="H426" s="12" t="s">
        <v>18</v>
      </c>
      <c r="I426" s="12" t="s">
        <v>20</v>
      </c>
      <c r="J426" s="12" t="s">
        <v>44</v>
      </c>
      <c r="K426" s="12">
        <v>224.995</v>
      </c>
      <c r="L426" s="12">
        <v>190.97200000000001</v>
      </c>
      <c r="O426" s="13">
        <f t="shared" si="13"/>
        <v>0.84878330629569543</v>
      </c>
    </row>
    <row r="427" spans="1:15" x14ac:dyDescent="0.25">
      <c r="A427" s="12">
        <f t="shared" si="12"/>
        <v>10</v>
      </c>
      <c r="B427" s="12">
        <v>2021</v>
      </c>
      <c r="C427" s="12">
        <v>6706</v>
      </c>
      <c r="E427" s="12" t="s">
        <v>13</v>
      </c>
      <c r="F427" s="12" t="s">
        <v>14</v>
      </c>
      <c r="G427" s="14">
        <v>44500</v>
      </c>
      <c r="H427" s="12" t="s">
        <v>17</v>
      </c>
      <c r="I427" s="12" t="s">
        <v>19</v>
      </c>
      <c r="J427" s="12" t="s">
        <v>41</v>
      </c>
      <c r="K427" s="12">
        <v>230.01599999999999</v>
      </c>
      <c r="L427" s="12">
        <v>193.58600000000001</v>
      </c>
      <c r="O427" s="13">
        <f t="shared" si="13"/>
        <v>0.84161971341124109</v>
      </c>
    </row>
    <row r="428" spans="1:15" x14ac:dyDescent="0.25">
      <c r="A428" s="12">
        <f t="shared" si="12"/>
        <v>11</v>
      </c>
      <c r="B428" s="12">
        <v>2021</v>
      </c>
      <c r="C428" s="12">
        <v>6707</v>
      </c>
      <c r="E428" s="12" t="s">
        <v>13</v>
      </c>
      <c r="F428" s="12" t="s">
        <v>14</v>
      </c>
      <c r="G428" s="14">
        <v>44501</v>
      </c>
      <c r="H428" s="12" t="s">
        <v>17</v>
      </c>
      <c r="I428" s="12" t="s">
        <v>19</v>
      </c>
      <c r="J428" s="12" t="s">
        <v>41</v>
      </c>
      <c r="K428" s="12">
        <v>230.042</v>
      </c>
      <c r="L428" s="12">
        <v>196.36799999999999</v>
      </c>
      <c r="O428" s="13">
        <f t="shared" si="13"/>
        <v>0.85361803496752764</v>
      </c>
    </row>
    <row r="429" spans="1:15" x14ac:dyDescent="0.25">
      <c r="A429" s="12">
        <f t="shared" si="12"/>
        <v>11</v>
      </c>
      <c r="B429" s="12">
        <v>2021</v>
      </c>
      <c r="C429" s="12">
        <v>6708</v>
      </c>
      <c r="E429" s="12" t="s">
        <v>13</v>
      </c>
      <c r="F429" s="12" t="s">
        <v>14</v>
      </c>
      <c r="G429" s="14">
        <v>44502</v>
      </c>
      <c r="H429" s="12" t="s">
        <v>17</v>
      </c>
      <c r="I429" s="12" t="s">
        <v>19</v>
      </c>
      <c r="J429" s="12" t="s">
        <v>41</v>
      </c>
      <c r="K429" s="12">
        <v>230.041</v>
      </c>
      <c r="L429" s="12">
        <v>192.06800000000001</v>
      </c>
      <c r="O429" s="13">
        <f t="shared" si="13"/>
        <v>0.83492942562412797</v>
      </c>
    </row>
    <row r="430" spans="1:15" x14ac:dyDescent="0.25">
      <c r="A430" s="12">
        <f t="shared" si="12"/>
        <v>11</v>
      </c>
      <c r="B430" s="12">
        <v>2021</v>
      </c>
      <c r="C430" s="12">
        <v>6709</v>
      </c>
      <c r="E430" s="12" t="s">
        <v>13</v>
      </c>
      <c r="F430" s="12" t="s">
        <v>14</v>
      </c>
      <c r="G430" s="14">
        <v>44503</v>
      </c>
      <c r="H430" s="12" t="s">
        <v>17</v>
      </c>
      <c r="I430" s="12" t="s">
        <v>19</v>
      </c>
      <c r="J430" s="12" t="s">
        <v>41</v>
      </c>
      <c r="K430" s="12">
        <v>229.99199999999999</v>
      </c>
      <c r="L430" s="12">
        <v>194.822</v>
      </c>
      <c r="O430" s="13">
        <f t="shared" si="13"/>
        <v>0.84708163762217825</v>
      </c>
    </row>
    <row r="431" spans="1:15" x14ac:dyDescent="0.25">
      <c r="A431" s="12">
        <f t="shared" si="12"/>
        <v>11</v>
      </c>
      <c r="B431" s="12">
        <v>2021</v>
      </c>
      <c r="C431" s="12">
        <v>6710</v>
      </c>
      <c r="E431" s="12" t="s">
        <v>13</v>
      </c>
      <c r="F431" s="12" t="s">
        <v>14</v>
      </c>
      <c r="G431" s="14">
        <v>44504</v>
      </c>
      <c r="H431" s="12" t="s">
        <v>17</v>
      </c>
      <c r="I431" s="12" t="s">
        <v>19</v>
      </c>
      <c r="J431" s="12" t="s">
        <v>41</v>
      </c>
      <c r="K431" s="12">
        <v>229.99199999999999</v>
      </c>
      <c r="L431" s="12">
        <v>199.25899999999999</v>
      </c>
      <c r="O431" s="13">
        <f t="shared" si="13"/>
        <v>0.86637361299523463</v>
      </c>
    </row>
    <row r="432" spans="1:15" x14ac:dyDescent="0.25">
      <c r="A432" s="12">
        <f t="shared" si="12"/>
        <v>11</v>
      </c>
      <c r="B432" s="12">
        <v>2021</v>
      </c>
      <c r="C432" s="12">
        <v>6711</v>
      </c>
      <c r="E432" s="12" t="s">
        <v>13</v>
      </c>
      <c r="F432" s="12" t="s">
        <v>14</v>
      </c>
      <c r="G432" s="14">
        <v>44505</v>
      </c>
      <c r="H432" s="12" t="s">
        <v>18</v>
      </c>
      <c r="I432" s="12" t="s">
        <v>20</v>
      </c>
      <c r="J432" s="12" t="s">
        <v>44</v>
      </c>
      <c r="K432" s="12">
        <v>225.024</v>
      </c>
      <c r="L432" s="12">
        <v>191.89500000000001</v>
      </c>
      <c r="O432" s="13">
        <f t="shared" si="13"/>
        <v>0.85277570392491475</v>
      </c>
    </row>
    <row r="433" spans="1:15" x14ac:dyDescent="0.25">
      <c r="A433" s="12">
        <f t="shared" si="12"/>
        <v>11</v>
      </c>
      <c r="B433" s="12">
        <v>2021</v>
      </c>
      <c r="C433" s="12">
        <v>6712</v>
      </c>
      <c r="E433" s="12" t="s">
        <v>13</v>
      </c>
      <c r="F433" s="12" t="s">
        <v>14</v>
      </c>
      <c r="G433" s="14">
        <v>44506</v>
      </c>
      <c r="H433" s="12" t="s">
        <v>18</v>
      </c>
      <c r="I433" s="12" t="s">
        <v>20</v>
      </c>
      <c r="J433" s="12" t="s">
        <v>44</v>
      </c>
      <c r="K433" s="12">
        <v>225.005</v>
      </c>
      <c r="L433" s="12">
        <v>189.291</v>
      </c>
      <c r="O433" s="13">
        <f t="shared" si="13"/>
        <v>0.84127463834137017</v>
      </c>
    </row>
    <row r="434" spans="1:15" x14ac:dyDescent="0.25">
      <c r="A434" s="12">
        <f t="shared" si="12"/>
        <v>11</v>
      </c>
      <c r="B434" s="12">
        <v>2021</v>
      </c>
      <c r="C434" s="12">
        <v>6713</v>
      </c>
      <c r="E434" s="12" t="s">
        <v>13</v>
      </c>
      <c r="F434" s="12" t="s">
        <v>14</v>
      </c>
      <c r="G434" s="14">
        <v>44507</v>
      </c>
      <c r="H434" s="12" t="s">
        <v>18</v>
      </c>
      <c r="I434" s="12" t="s">
        <v>20</v>
      </c>
      <c r="J434" s="12" t="s">
        <v>44</v>
      </c>
      <c r="K434" s="12">
        <v>225.00399999999999</v>
      </c>
      <c r="L434" s="12">
        <v>188.41300000000001</v>
      </c>
      <c r="O434" s="13">
        <f t="shared" si="13"/>
        <v>0.83737622442267701</v>
      </c>
    </row>
    <row r="435" spans="1:15" x14ac:dyDescent="0.25">
      <c r="A435" s="12">
        <f t="shared" si="12"/>
        <v>11</v>
      </c>
      <c r="B435" s="12">
        <v>2021</v>
      </c>
      <c r="C435" s="12">
        <v>6714</v>
      </c>
      <c r="E435" s="12" t="s">
        <v>13</v>
      </c>
      <c r="F435" s="12" t="s">
        <v>14</v>
      </c>
      <c r="G435" s="14">
        <v>44508</v>
      </c>
      <c r="H435" s="12" t="s">
        <v>18</v>
      </c>
      <c r="I435" s="12" t="s">
        <v>20</v>
      </c>
      <c r="J435" s="12" t="s">
        <v>44</v>
      </c>
      <c r="K435" s="12">
        <v>225.00299999999999</v>
      </c>
      <c r="L435" s="12">
        <v>186.83</v>
      </c>
      <c r="O435" s="13">
        <f t="shared" si="13"/>
        <v>0.83034448429576502</v>
      </c>
    </row>
    <row r="436" spans="1:15" x14ac:dyDescent="0.25">
      <c r="A436" s="12">
        <f t="shared" si="12"/>
        <v>11</v>
      </c>
      <c r="B436" s="12">
        <v>2021</v>
      </c>
      <c r="C436" s="12">
        <v>6715</v>
      </c>
      <c r="E436" s="12" t="s">
        <v>13</v>
      </c>
      <c r="F436" s="12" t="s">
        <v>14</v>
      </c>
      <c r="G436" s="14">
        <v>44509</v>
      </c>
      <c r="H436" s="12" t="s">
        <v>18</v>
      </c>
      <c r="I436" s="12" t="s">
        <v>20</v>
      </c>
      <c r="J436" s="12" t="s">
        <v>44</v>
      </c>
      <c r="K436" s="12">
        <v>225.00299999999999</v>
      </c>
      <c r="L436" s="12">
        <v>191.50800000000001</v>
      </c>
      <c r="O436" s="13">
        <f t="shared" si="13"/>
        <v>0.8511353181957575</v>
      </c>
    </row>
    <row r="437" spans="1:15" x14ac:dyDescent="0.25">
      <c r="A437" s="12">
        <f t="shared" si="12"/>
        <v>11</v>
      </c>
      <c r="B437" s="12">
        <v>2021</v>
      </c>
      <c r="C437" s="12">
        <v>6716</v>
      </c>
      <c r="E437" s="12" t="s">
        <v>13</v>
      </c>
      <c r="F437" s="12" t="s">
        <v>14</v>
      </c>
      <c r="G437" s="14">
        <v>44510</v>
      </c>
      <c r="H437" s="12" t="s">
        <v>37</v>
      </c>
      <c r="I437" s="12" t="s">
        <v>19</v>
      </c>
      <c r="J437" s="12" t="s">
        <v>40</v>
      </c>
      <c r="K437" s="12">
        <v>230.00800000000001</v>
      </c>
      <c r="L437" s="12">
        <v>192.04499999999999</v>
      </c>
      <c r="O437" s="13">
        <f t="shared" si="13"/>
        <v>0.83494921915759446</v>
      </c>
    </row>
    <row r="438" spans="1:15" x14ac:dyDescent="0.25">
      <c r="A438" s="12">
        <f t="shared" si="12"/>
        <v>11</v>
      </c>
      <c r="B438" s="12">
        <v>2021</v>
      </c>
      <c r="C438" s="12">
        <v>6717</v>
      </c>
      <c r="E438" s="12" t="s">
        <v>13</v>
      </c>
      <c r="F438" s="12" t="s">
        <v>14</v>
      </c>
      <c r="G438" s="14">
        <v>44511</v>
      </c>
      <c r="H438" s="12" t="s">
        <v>37</v>
      </c>
      <c r="I438" s="12" t="s">
        <v>19</v>
      </c>
      <c r="J438" s="12" t="s">
        <v>40</v>
      </c>
      <c r="K438" s="12">
        <v>230.00299999999999</v>
      </c>
      <c r="L438" s="12">
        <v>192.7</v>
      </c>
      <c r="O438" s="13">
        <f t="shared" si="13"/>
        <v>0.83781515893270952</v>
      </c>
    </row>
    <row r="439" spans="1:15" x14ac:dyDescent="0.25">
      <c r="A439" s="12">
        <f t="shared" si="12"/>
        <v>11</v>
      </c>
      <c r="B439" s="12">
        <v>2021</v>
      </c>
      <c r="C439" s="12">
        <v>6718</v>
      </c>
      <c r="E439" s="12" t="s">
        <v>13</v>
      </c>
      <c r="F439" s="12" t="s">
        <v>14</v>
      </c>
      <c r="G439" s="14">
        <v>44512</v>
      </c>
      <c r="H439" s="12" t="s">
        <v>37</v>
      </c>
      <c r="I439" s="12" t="s">
        <v>19</v>
      </c>
      <c r="J439" s="12" t="s">
        <v>40</v>
      </c>
      <c r="K439" s="12">
        <v>230.00200000000001</v>
      </c>
      <c r="L439" s="12">
        <v>193.988</v>
      </c>
      <c r="O439" s="13">
        <f t="shared" si="13"/>
        <v>0.84341875288040968</v>
      </c>
    </row>
    <row r="440" spans="1:15" x14ac:dyDescent="0.25">
      <c r="A440" s="12">
        <f t="shared" si="12"/>
        <v>11</v>
      </c>
      <c r="B440" s="12">
        <v>2021</v>
      </c>
      <c r="C440" s="12">
        <v>6719</v>
      </c>
      <c r="E440" s="12" t="s">
        <v>13</v>
      </c>
      <c r="F440" s="12" t="s">
        <v>14</v>
      </c>
      <c r="G440" s="14">
        <v>44513</v>
      </c>
      <c r="H440" s="12" t="s">
        <v>37</v>
      </c>
      <c r="I440" s="12" t="s">
        <v>19</v>
      </c>
      <c r="J440" s="12" t="s">
        <v>40</v>
      </c>
      <c r="K440" s="12">
        <v>230.00399999999999</v>
      </c>
      <c r="L440" s="12">
        <v>191</v>
      </c>
      <c r="O440" s="13">
        <f t="shared" si="13"/>
        <v>0.83042034051581715</v>
      </c>
    </row>
    <row r="441" spans="1:15" x14ac:dyDescent="0.25">
      <c r="A441" s="12">
        <f t="shared" si="12"/>
        <v>11</v>
      </c>
      <c r="B441" s="12">
        <v>2021</v>
      </c>
      <c r="C441" s="12">
        <v>6720</v>
      </c>
      <c r="E441" s="12" t="s">
        <v>13</v>
      </c>
      <c r="F441" s="12" t="s">
        <v>14</v>
      </c>
      <c r="G441" s="14">
        <v>44514</v>
      </c>
      <c r="H441" s="12" t="s">
        <v>37</v>
      </c>
      <c r="I441" s="12" t="s">
        <v>19</v>
      </c>
      <c r="J441" s="12" t="s">
        <v>40</v>
      </c>
      <c r="K441" s="12">
        <v>230.005</v>
      </c>
      <c r="L441" s="12">
        <v>198.702</v>
      </c>
      <c r="O441" s="13">
        <f t="shared" si="13"/>
        <v>0.86390295863133415</v>
      </c>
    </row>
    <row r="442" spans="1:15" x14ac:dyDescent="0.25">
      <c r="A442" s="12">
        <f t="shared" si="12"/>
        <v>11</v>
      </c>
      <c r="B442" s="12">
        <v>2021</v>
      </c>
      <c r="C442" s="12">
        <v>6721</v>
      </c>
      <c r="E442" s="12" t="s">
        <v>13</v>
      </c>
      <c r="F442" s="12" t="s">
        <v>14</v>
      </c>
      <c r="G442" s="14">
        <v>44515</v>
      </c>
      <c r="H442" s="12" t="s">
        <v>18</v>
      </c>
      <c r="I442" s="12" t="s">
        <v>20</v>
      </c>
      <c r="J442" s="12" t="s">
        <v>44</v>
      </c>
      <c r="K442" s="12">
        <v>224.995</v>
      </c>
      <c r="L442" s="12">
        <v>189.10300000000001</v>
      </c>
      <c r="O442" s="13">
        <f t="shared" si="13"/>
        <v>0.84047645503233404</v>
      </c>
    </row>
    <row r="443" spans="1:15" x14ac:dyDescent="0.25">
      <c r="A443" s="12">
        <f t="shared" si="12"/>
        <v>11</v>
      </c>
      <c r="B443" s="12">
        <v>2021</v>
      </c>
      <c r="C443" s="12">
        <v>6722</v>
      </c>
      <c r="E443" s="12" t="s">
        <v>13</v>
      </c>
      <c r="F443" s="12" t="s">
        <v>14</v>
      </c>
      <c r="G443" s="14">
        <v>44516</v>
      </c>
      <c r="H443" s="12" t="s">
        <v>18</v>
      </c>
      <c r="I443" s="12" t="s">
        <v>20</v>
      </c>
      <c r="J443" s="12" t="s">
        <v>44</v>
      </c>
      <c r="K443" s="12">
        <v>225.00200000000001</v>
      </c>
      <c r="L443" s="12">
        <v>192.649</v>
      </c>
      <c r="O443" s="13">
        <f t="shared" si="13"/>
        <v>0.8562101670207376</v>
      </c>
    </row>
    <row r="444" spans="1:15" x14ac:dyDescent="0.25">
      <c r="A444" s="12">
        <f t="shared" si="12"/>
        <v>11</v>
      </c>
      <c r="B444" s="12">
        <v>2021</v>
      </c>
      <c r="C444" s="12">
        <v>6723</v>
      </c>
      <c r="E444" s="12" t="s">
        <v>13</v>
      </c>
      <c r="F444" s="12" t="s">
        <v>14</v>
      </c>
      <c r="G444" s="14">
        <v>44517</v>
      </c>
      <c r="H444" s="12" t="s">
        <v>18</v>
      </c>
      <c r="I444" s="12" t="s">
        <v>20</v>
      </c>
      <c r="J444" s="12" t="s">
        <v>44</v>
      </c>
      <c r="K444" s="12">
        <v>225.001</v>
      </c>
      <c r="L444" s="12">
        <v>186.428</v>
      </c>
      <c r="O444" s="13">
        <f t="shared" si="13"/>
        <v>0.82856520637686049</v>
      </c>
    </row>
    <row r="445" spans="1:15" x14ac:dyDescent="0.25">
      <c r="A445" s="12">
        <f t="shared" si="12"/>
        <v>11</v>
      </c>
      <c r="B445" s="12">
        <v>2021</v>
      </c>
      <c r="C445" s="12">
        <v>6724</v>
      </c>
      <c r="E445" s="12" t="s">
        <v>13</v>
      </c>
      <c r="F445" s="12" t="s">
        <v>14</v>
      </c>
      <c r="G445" s="14">
        <v>44518</v>
      </c>
      <c r="H445" s="12" t="s">
        <v>18</v>
      </c>
      <c r="I445" s="12" t="s">
        <v>20</v>
      </c>
      <c r="J445" s="12" t="s">
        <v>44</v>
      </c>
      <c r="K445" s="12">
        <v>224.98699999999999</v>
      </c>
      <c r="L445" s="12">
        <v>185.18</v>
      </c>
      <c r="O445" s="13">
        <f t="shared" si="13"/>
        <v>0.82306977736491449</v>
      </c>
    </row>
    <row r="446" spans="1:15" x14ac:dyDescent="0.25">
      <c r="A446" s="12">
        <f t="shared" si="12"/>
        <v>11</v>
      </c>
      <c r="B446" s="12">
        <v>2021</v>
      </c>
      <c r="C446" s="12">
        <v>6725</v>
      </c>
      <c r="E446" s="12" t="s">
        <v>13</v>
      </c>
      <c r="F446" s="12" t="s">
        <v>14</v>
      </c>
      <c r="G446" s="14">
        <v>44519</v>
      </c>
      <c r="H446" s="12" t="s">
        <v>18</v>
      </c>
      <c r="I446" s="12" t="s">
        <v>20</v>
      </c>
      <c r="J446" s="12" t="s">
        <v>44</v>
      </c>
      <c r="K446" s="12">
        <v>224.98699999999999</v>
      </c>
      <c r="L446" s="12">
        <v>197.03800000000001</v>
      </c>
      <c r="O446" s="13">
        <f t="shared" si="13"/>
        <v>0.87577504478036516</v>
      </c>
    </row>
    <row r="447" spans="1:15" x14ac:dyDescent="0.25">
      <c r="A447" s="12">
        <f t="shared" si="12"/>
        <v>11</v>
      </c>
      <c r="B447" s="12">
        <v>2021</v>
      </c>
      <c r="C447" s="12">
        <v>6726</v>
      </c>
      <c r="E447" s="12" t="s">
        <v>13</v>
      </c>
      <c r="F447" s="12" t="s">
        <v>14</v>
      </c>
      <c r="G447" s="14">
        <v>44520</v>
      </c>
      <c r="H447" s="12" t="s">
        <v>34</v>
      </c>
      <c r="I447" s="12" t="s">
        <v>19</v>
      </c>
      <c r="J447" s="12" t="s">
        <v>43</v>
      </c>
      <c r="K447" s="12">
        <v>230</v>
      </c>
      <c r="L447" s="12">
        <v>186.62100000000001</v>
      </c>
      <c r="O447" s="13">
        <f t="shared" si="13"/>
        <v>0.81139565217391307</v>
      </c>
    </row>
    <row r="448" spans="1:15" x14ac:dyDescent="0.25">
      <c r="A448" s="12">
        <f t="shared" si="12"/>
        <v>11</v>
      </c>
      <c r="B448" s="12">
        <v>2021</v>
      </c>
      <c r="C448" s="12">
        <v>6727</v>
      </c>
      <c r="E448" s="12" t="s">
        <v>13</v>
      </c>
      <c r="F448" s="12" t="s">
        <v>14</v>
      </c>
      <c r="G448" s="14">
        <v>44521</v>
      </c>
      <c r="H448" s="12" t="s">
        <v>34</v>
      </c>
      <c r="I448" s="12" t="s">
        <v>19</v>
      </c>
      <c r="J448" s="12" t="s">
        <v>43</v>
      </c>
      <c r="K448" s="12">
        <v>230.001</v>
      </c>
      <c r="L448" s="12">
        <v>196.75200000000001</v>
      </c>
      <c r="O448" s="13">
        <f t="shared" si="13"/>
        <v>0.85543975895756974</v>
      </c>
    </row>
    <row r="449" spans="1:15" x14ac:dyDescent="0.25">
      <c r="A449" s="12">
        <f t="shared" si="12"/>
        <v>11</v>
      </c>
      <c r="B449" s="12">
        <v>2021</v>
      </c>
      <c r="C449" s="12">
        <v>6728</v>
      </c>
      <c r="E449" s="12" t="s">
        <v>13</v>
      </c>
      <c r="F449" s="12" t="s">
        <v>14</v>
      </c>
      <c r="G449" s="14">
        <v>44522</v>
      </c>
      <c r="H449" s="12" t="s">
        <v>34</v>
      </c>
      <c r="I449" s="12" t="s">
        <v>19</v>
      </c>
      <c r="J449" s="12" t="s">
        <v>39</v>
      </c>
      <c r="K449" s="12">
        <v>230.006</v>
      </c>
      <c r="L449" s="12">
        <v>182.11799999999999</v>
      </c>
      <c r="O449" s="13">
        <f t="shared" si="13"/>
        <v>0.79179673573732856</v>
      </c>
    </row>
    <row r="450" spans="1:15" x14ac:dyDescent="0.25">
      <c r="A450" s="12">
        <f t="shared" ref="A450:A513" si="14">MONTH(G450)</f>
        <v>11</v>
      </c>
      <c r="B450" s="12">
        <v>2021</v>
      </c>
      <c r="C450" s="12">
        <v>6729</v>
      </c>
      <c r="E450" s="12" t="s">
        <v>13</v>
      </c>
      <c r="F450" s="12" t="s">
        <v>14</v>
      </c>
      <c r="G450" s="14">
        <v>44523</v>
      </c>
      <c r="H450" s="12" t="s">
        <v>34</v>
      </c>
      <c r="I450" s="12" t="s">
        <v>19</v>
      </c>
      <c r="J450" s="12" t="s">
        <v>39</v>
      </c>
      <c r="K450" s="12">
        <v>230.006</v>
      </c>
      <c r="L450" s="12">
        <v>199.471</v>
      </c>
      <c r="O450" s="13">
        <f t="shared" ref="O450:O513" si="15">L450/K450</f>
        <v>0.8672425936714695</v>
      </c>
    </row>
    <row r="451" spans="1:15" x14ac:dyDescent="0.25">
      <c r="A451" s="12">
        <f t="shared" si="14"/>
        <v>11</v>
      </c>
      <c r="B451" s="12">
        <v>2021</v>
      </c>
      <c r="C451" s="12">
        <v>6730</v>
      </c>
      <c r="E451" s="12" t="s">
        <v>13</v>
      </c>
      <c r="F451" s="12" t="s">
        <v>14</v>
      </c>
      <c r="G451" s="14">
        <v>44524</v>
      </c>
      <c r="H451" s="12" t="s">
        <v>18</v>
      </c>
      <c r="I451" s="12" t="s">
        <v>20</v>
      </c>
      <c r="J451" s="12" t="s">
        <v>45</v>
      </c>
      <c r="K451" s="12">
        <v>225.01300000000001</v>
      </c>
      <c r="L451" s="12">
        <v>189.53700000000001</v>
      </c>
      <c r="O451" s="13">
        <f t="shared" si="15"/>
        <v>0.84233799824899003</v>
      </c>
    </row>
    <row r="452" spans="1:15" x14ac:dyDescent="0.25">
      <c r="A452" s="12">
        <f t="shared" si="14"/>
        <v>11</v>
      </c>
      <c r="B452" s="12">
        <v>2021</v>
      </c>
      <c r="C452" s="12">
        <v>6731</v>
      </c>
      <c r="E452" s="12" t="s">
        <v>13</v>
      </c>
      <c r="F452" s="12" t="s">
        <v>14</v>
      </c>
      <c r="G452" s="14">
        <v>44525</v>
      </c>
      <c r="H452" s="12" t="s">
        <v>18</v>
      </c>
      <c r="I452" s="12" t="s">
        <v>20</v>
      </c>
      <c r="J452" s="12" t="s">
        <v>45</v>
      </c>
      <c r="K452" s="12">
        <v>225.01400000000001</v>
      </c>
      <c r="L452" s="12">
        <v>198.27799999999999</v>
      </c>
      <c r="O452" s="13">
        <f t="shared" si="15"/>
        <v>0.88118072653257118</v>
      </c>
    </row>
    <row r="453" spans="1:15" x14ac:dyDescent="0.25">
      <c r="A453" s="12">
        <f t="shared" si="14"/>
        <v>11</v>
      </c>
      <c r="B453" s="12">
        <v>2021</v>
      </c>
      <c r="C453" s="12">
        <v>6732</v>
      </c>
      <c r="E453" s="12" t="s">
        <v>13</v>
      </c>
      <c r="F453" s="12" t="s">
        <v>14</v>
      </c>
      <c r="G453" s="14">
        <v>44526</v>
      </c>
      <c r="H453" s="12" t="s">
        <v>18</v>
      </c>
      <c r="I453" s="12" t="s">
        <v>20</v>
      </c>
      <c r="J453" s="12" t="s">
        <v>45</v>
      </c>
      <c r="K453" s="12">
        <v>225.001</v>
      </c>
      <c r="L453" s="12">
        <v>185.64599999999999</v>
      </c>
      <c r="O453" s="13">
        <f t="shared" si="15"/>
        <v>0.82508966626814984</v>
      </c>
    </row>
    <row r="454" spans="1:15" x14ac:dyDescent="0.25">
      <c r="A454" s="12">
        <f t="shared" si="14"/>
        <v>11</v>
      </c>
      <c r="B454" s="12">
        <v>2021</v>
      </c>
      <c r="C454" s="12">
        <v>6733</v>
      </c>
      <c r="E454" s="12" t="s">
        <v>13</v>
      </c>
      <c r="F454" s="12" t="s">
        <v>14</v>
      </c>
      <c r="G454" s="14">
        <v>44527</v>
      </c>
      <c r="H454" s="12" t="s">
        <v>18</v>
      </c>
      <c r="I454" s="12" t="s">
        <v>20</v>
      </c>
      <c r="J454" s="12" t="s">
        <v>45</v>
      </c>
      <c r="K454" s="12">
        <v>225.001</v>
      </c>
      <c r="L454" s="12">
        <v>204.24</v>
      </c>
      <c r="O454" s="13">
        <f t="shared" si="15"/>
        <v>0.90772929898089338</v>
      </c>
    </row>
    <row r="455" spans="1:15" x14ac:dyDescent="0.25">
      <c r="A455" s="12">
        <f t="shared" si="14"/>
        <v>11</v>
      </c>
      <c r="B455" s="12">
        <v>2021</v>
      </c>
      <c r="C455" s="12">
        <v>6734</v>
      </c>
      <c r="E455" s="12" t="s">
        <v>13</v>
      </c>
      <c r="F455" s="12" t="s">
        <v>14</v>
      </c>
      <c r="G455" s="14">
        <v>44528</v>
      </c>
      <c r="H455" s="12" t="s">
        <v>18</v>
      </c>
      <c r="I455" s="12" t="s">
        <v>20</v>
      </c>
      <c r="J455" s="12" t="s">
        <v>42</v>
      </c>
      <c r="K455" s="12">
        <v>225.00200000000001</v>
      </c>
      <c r="L455" s="12">
        <v>189.059</v>
      </c>
      <c r="O455" s="13">
        <f t="shared" si="15"/>
        <v>0.84025475329108179</v>
      </c>
    </row>
    <row r="456" spans="1:15" x14ac:dyDescent="0.25">
      <c r="A456" s="12">
        <f t="shared" si="14"/>
        <v>11</v>
      </c>
      <c r="B456" s="12">
        <v>2021</v>
      </c>
      <c r="C456" s="12">
        <v>6735</v>
      </c>
      <c r="E456" s="12" t="s">
        <v>13</v>
      </c>
      <c r="F456" s="12" t="s">
        <v>14</v>
      </c>
      <c r="G456" s="14">
        <v>44529</v>
      </c>
      <c r="H456" s="12" t="s">
        <v>18</v>
      </c>
      <c r="I456" s="12" t="s">
        <v>20</v>
      </c>
      <c r="J456" s="12" t="s">
        <v>42</v>
      </c>
      <c r="K456" s="12">
        <v>225.00399999999999</v>
      </c>
      <c r="L456" s="12">
        <v>181.26499999999999</v>
      </c>
      <c r="O456" s="13">
        <f t="shared" si="15"/>
        <v>0.80560790030399454</v>
      </c>
    </row>
    <row r="457" spans="1:15" x14ac:dyDescent="0.25">
      <c r="A457" s="12">
        <f t="shared" si="14"/>
        <v>12</v>
      </c>
      <c r="B457" s="12">
        <v>2021</v>
      </c>
      <c r="C457" s="12">
        <v>6736</v>
      </c>
      <c r="E457" s="12" t="s">
        <v>13</v>
      </c>
      <c r="F457" s="12" t="s">
        <v>14</v>
      </c>
      <c r="G457" s="14">
        <v>44531</v>
      </c>
      <c r="H457" s="12" t="s">
        <v>18</v>
      </c>
      <c r="I457" s="12" t="s">
        <v>20</v>
      </c>
      <c r="J457" s="12" t="s">
        <v>42</v>
      </c>
      <c r="K457" s="12">
        <v>225.00299999999999</v>
      </c>
      <c r="L457" s="12">
        <v>194.63</v>
      </c>
      <c r="O457" s="13">
        <f t="shared" si="15"/>
        <v>0.86501068874637232</v>
      </c>
    </row>
    <row r="458" spans="1:15" x14ac:dyDescent="0.25">
      <c r="A458" s="12">
        <f t="shared" si="14"/>
        <v>12</v>
      </c>
      <c r="B458" s="12">
        <v>2021</v>
      </c>
      <c r="C458" s="12">
        <v>6737</v>
      </c>
      <c r="E458" s="12" t="s">
        <v>13</v>
      </c>
      <c r="F458" s="12" t="s">
        <v>14</v>
      </c>
      <c r="G458" s="14">
        <v>44531</v>
      </c>
      <c r="H458" s="12" t="s">
        <v>18</v>
      </c>
      <c r="I458" s="12" t="s">
        <v>20</v>
      </c>
      <c r="J458" s="12" t="s">
        <v>42</v>
      </c>
      <c r="K458" s="12">
        <v>225.00700000000001</v>
      </c>
      <c r="L458" s="12">
        <v>182.678</v>
      </c>
      <c r="O458" s="13">
        <f t="shared" si="15"/>
        <v>0.81187696382779195</v>
      </c>
    </row>
    <row r="459" spans="1:15" x14ac:dyDescent="0.25">
      <c r="A459" s="12">
        <f t="shared" si="14"/>
        <v>12</v>
      </c>
      <c r="B459" s="12">
        <v>2021</v>
      </c>
      <c r="C459" s="12">
        <v>6738</v>
      </c>
      <c r="E459" s="12" t="s">
        <v>13</v>
      </c>
      <c r="F459" s="12" t="s">
        <v>14</v>
      </c>
      <c r="G459" s="14">
        <v>44532</v>
      </c>
      <c r="H459" s="12" t="s">
        <v>18</v>
      </c>
      <c r="I459" s="12" t="s">
        <v>20</v>
      </c>
      <c r="J459" s="12" t="s">
        <v>42</v>
      </c>
      <c r="K459" s="12">
        <v>225.00700000000001</v>
      </c>
      <c r="L459" s="12">
        <v>200.95400000000001</v>
      </c>
      <c r="O459" s="13">
        <f t="shared" si="15"/>
        <v>0.89310110352122385</v>
      </c>
    </row>
    <row r="460" spans="1:15" x14ac:dyDescent="0.25">
      <c r="A460" s="12">
        <f t="shared" si="14"/>
        <v>12</v>
      </c>
      <c r="B460" s="12">
        <v>2021</v>
      </c>
      <c r="C460" s="12">
        <v>6739</v>
      </c>
      <c r="E460" s="12" t="s">
        <v>13</v>
      </c>
      <c r="F460" s="12" t="s">
        <v>14</v>
      </c>
      <c r="G460" s="14">
        <v>44533</v>
      </c>
      <c r="H460" s="12" t="s">
        <v>46</v>
      </c>
      <c r="I460" s="12" t="s">
        <v>19</v>
      </c>
      <c r="J460" s="12" t="s">
        <v>47</v>
      </c>
      <c r="K460" s="12">
        <v>225.018</v>
      </c>
      <c r="L460" s="12">
        <v>192.15299999999999</v>
      </c>
      <c r="O460" s="13">
        <f t="shared" si="15"/>
        <v>0.85394501773191478</v>
      </c>
    </row>
    <row r="461" spans="1:15" x14ac:dyDescent="0.25">
      <c r="A461" s="12">
        <f t="shared" si="14"/>
        <v>12</v>
      </c>
      <c r="B461" s="12">
        <v>2021</v>
      </c>
      <c r="C461" s="12">
        <v>6740</v>
      </c>
      <c r="E461" s="12" t="s">
        <v>13</v>
      </c>
      <c r="F461" s="12" t="s">
        <v>14</v>
      </c>
      <c r="G461" s="14">
        <v>44534</v>
      </c>
      <c r="H461" s="12" t="s">
        <v>17</v>
      </c>
      <c r="I461" s="12" t="s">
        <v>19</v>
      </c>
      <c r="J461" s="12" t="s">
        <v>41</v>
      </c>
      <c r="K461" s="12">
        <v>230.03800000000001</v>
      </c>
      <c r="L461" s="12">
        <v>190.59800000000001</v>
      </c>
      <c r="O461" s="13">
        <f t="shared" si="15"/>
        <v>0.82855006564132883</v>
      </c>
    </row>
    <row r="462" spans="1:15" x14ac:dyDescent="0.25">
      <c r="A462" s="12">
        <f t="shared" si="14"/>
        <v>12</v>
      </c>
      <c r="B462" s="12">
        <v>2021</v>
      </c>
      <c r="C462" s="12">
        <v>6741</v>
      </c>
      <c r="E462" s="12" t="s">
        <v>13</v>
      </c>
      <c r="F462" s="12" t="s">
        <v>14</v>
      </c>
      <c r="G462" s="14">
        <v>44535</v>
      </c>
      <c r="H462" s="12" t="s">
        <v>17</v>
      </c>
      <c r="I462" s="12" t="s">
        <v>19</v>
      </c>
      <c r="J462" s="12" t="s">
        <v>41</v>
      </c>
      <c r="K462" s="12">
        <v>230.03899999999999</v>
      </c>
      <c r="L462" s="12">
        <v>198.16</v>
      </c>
      <c r="O462" s="13">
        <f t="shared" si="15"/>
        <v>0.86141915066575669</v>
      </c>
    </row>
    <row r="463" spans="1:15" x14ac:dyDescent="0.25">
      <c r="A463" s="12">
        <f t="shared" si="14"/>
        <v>12</v>
      </c>
      <c r="B463" s="12">
        <v>2021</v>
      </c>
      <c r="C463" s="12">
        <v>6742</v>
      </c>
      <c r="E463" s="12" t="s">
        <v>13</v>
      </c>
      <c r="F463" s="12" t="s">
        <v>14</v>
      </c>
      <c r="G463" s="14">
        <v>44536</v>
      </c>
      <c r="H463" s="12" t="s">
        <v>18</v>
      </c>
      <c r="I463" s="12" t="s">
        <v>19</v>
      </c>
      <c r="J463" s="12" t="s">
        <v>40</v>
      </c>
      <c r="K463" s="12">
        <v>229.99799999999999</v>
      </c>
      <c r="L463" s="12">
        <v>188.078</v>
      </c>
      <c r="O463" s="13">
        <f t="shared" si="15"/>
        <v>0.81773754554387434</v>
      </c>
    </row>
    <row r="464" spans="1:15" x14ac:dyDescent="0.25">
      <c r="A464" s="12">
        <f t="shared" si="14"/>
        <v>12</v>
      </c>
      <c r="B464" s="12">
        <v>2021</v>
      </c>
      <c r="C464" s="12">
        <v>6743</v>
      </c>
      <c r="E464" s="12" t="s">
        <v>13</v>
      </c>
      <c r="F464" s="12" t="s">
        <v>14</v>
      </c>
      <c r="G464" s="14">
        <v>44537</v>
      </c>
      <c r="H464" s="12" t="s">
        <v>18</v>
      </c>
      <c r="I464" s="12" t="s">
        <v>19</v>
      </c>
      <c r="J464" s="12" t="s">
        <v>40</v>
      </c>
      <c r="K464" s="12">
        <v>229.99799999999999</v>
      </c>
      <c r="L464" s="12">
        <v>195.93899999999999</v>
      </c>
      <c r="O464" s="13">
        <f t="shared" si="15"/>
        <v>0.85191610361829229</v>
      </c>
    </row>
    <row r="465" spans="1:15" x14ac:dyDescent="0.25">
      <c r="A465" s="12">
        <f t="shared" si="14"/>
        <v>12</v>
      </c>
      <c r="B465" s="12">
        <v>2021</v>
      </c>
      <c r="C465" s="12">
        <v>6744</v>
      </c>
      <c r="E465" s="12" t="s">
        <v>13</v>
      </c>
      <c r="F465" s="12" t="s">
        <v>14</v>
      </c>
      <c r="G465" s="14">
        <v>44538</v>
      </c>
      <c r="H465" s="12" t="s">
        <v>18</v>
      </c>
      <c r="I465" s="12" t="s">
        <v>19</v>
      </c>
      <c r="J465" s="12" t="s">
        <v>40</v>
      </c>
      <c r="K465" s="12">
        <v>229.95400000000001</v>
      </c>
      <c r="L465" s="12">
        <v>192.9</v>
      </c>
      <c r="O465" s="13">
        <f t="shared" si="15"/>
        <v>0.83886342485888477</v>
      </c>
    </row>
    <row r="466" spans="1:15" x14ac:dyDescent="0.25">
      <c r="A466" s="12">
        <f t="shared" si="14"/>
        <v>12</v>
      </c>
      <c r="B466" s="12">
        <v>2021</v>
      </c>
      <c r="C466" s="12">
        <v>6745</v>
      </c>
      <c r="E466" s="12" t="s">
        <v>13</v>
      </c>
      <c r="F466" s="12" t="s">
        <v>14</v>
      </c>
      <c r="G466" s="14">
        <v>44539</v>
      </c>
      <c r="H466" s="12" t="s">
        <v>18</v>
      </c>
      <c r="I466" s="12" t="s">
        <v>19</v>
      </c>
      <c r="J466" s="12" t="s">
        <v>40</v>
      </c>
      <c r="K466" s="12">
        <v>229.988</v>
      </c>
      <c r="L466" s="12">
        <v>190.12799999999999</v>
      </c>
      <c r="O466" s="13">
        <f t="shared" si="15"/>
        <v>0.82668660973616004</v>
      </c>
    </row>
    <row r="467" spans="1:15" x14ac:dyDescent="0.25">
      <c r="A467" s="12">
        <f t="shared" si="14"/>
        <v>12</v>
      </c>
      <c r="B467" s="12">
        <v>2021</v>
      </c>
      <c r="C467" s="12">
        <v>6746</v>
      </c>
      <c r="E467" s="12" t="s">
        <v>13</v>
      </c>
      <c r="F467" s="12" t="s">
        <v>14</v>
      </c>
      <c r="G467" s="14">
        <v>44540</v>
      </c>
      <c r="H467" s="12" t="s">
        <v>18</v>
      </c>
      <c r="I467" s="12" t="s">
        <v>19</v>
      </c>
      <c r="J467" s="12" t="s">
        <v>40</v>
      </c>
      <c r="K467" s="12">
        <v>229.988</v>
      </c>
      <c r="L467" s="12">
        <v>198.77500000000001</v>
      </c>
      <c r="O467" s="13">
        <f t="shared" si="15"/>
        <v>0.86428422352470569</v>
      </c>
    </row>
    <row r="468" spans="1:15" x14ac:dyDescent="0.25">
      <c r="A468" s="12">
        <f t="shared" si="14"/>
        <v>12</v>
      </c>
      <c r="B468" s="12">
        <v>2021</v>
      </c>
      <c r="C468" s="12">
        <v>6747</v>
      </c>
      <c r="E468" s="12" t="s">
        <v>13</v>
      </c>
      <c r="F468" s="12" t="s">
        <v>14</v>
      </c>
      <c r="G468" s="14">
        <v>44541</v>
      </c>
      <c r="H468" s="12" t="s">
        <v>18</v>
      </c>
      <c r="I468" s="12" t="s">
        <v>20</v>
      </c>
      <c r="J468" s="12" t="s">
        <v>44</v>
      </c>
      <c r="K468" s="12">
        <v>225</v>
      </c>
      <c r="L468" s="12">
        <v>198.16800000000001</v>
      </c>
      <c r="O468" s="13">
        <f t="shared" si="15"/>
        <v>0.88074666666666668</v>
      </c>
    </row>
    <row r="469" spans="1:15" x14ac:dyDescent="0.25">
      <c r="A469" s="12">
        <f t="shared" si="14"/>
        <v>12</v>
      </c>
      <c r="B469" s="12">
        <v>2021</v>
      </c>
      <c r="C469" s="12">
        <v>6748</v>
      </c>
      <c r="E469" s="12" t="s">
        <v>13</v>
      </c>
      <c r="F469" s="12" t="s">
        <v>14</v>
      </c>
      <c r="G469" s="14">
        <v>44542</v>
      </c>
      <c r="H469" s="12" t="s">
        <v>18</v>
      </c>
      <c r="I469" s="12" t="s">
        <v>20</v>
      </c>
      <c r="J469" s="12" t="s">
        <v>44</v>
      </c>
      <c r="K469" s="12">
        <v>225.06299999999999</v>
      </c>
      <c r="L469" s="12">
        <v>189.83199999999999</v>
      </c>
      <c r="O469" s="13">
        <f t="shared" si="15"/>
        <v>0.84346160852739016</v>
      </c>
    </row>
    <row r="470" spans="1:15" x14ac:dyDescent="0.25">
      <c r="A470" s="12">
        <f t="shared" si="14"/>
        <v>12</v>
      </c>
      <c r="B470" s="12">
        <v>2021</v>
      </c>
      <c r="C470" s="12">
        <v>6749</v>
      </c>
      <c r="E470" s="12" t="s">
        <v>13</v>
      </c>
      <c r="F470" s="12" t="s">
        <v>14</v>
      </c>
      <c r="G470" s="14">
        <v>44543</v>
      </c>
      <c r="H470" s="12" t="s">
        <v>18</v>
      </c>
      <c r="I470" s="12" t="s">
        <v>20</v>
      </c>
      <c r="J470" s="12" t="s">
        <v>44</v>
      </c>
      <c r="K470" s="12">
        <v>225.06200000000001</v>
      </c>
      <c r="L470" s="12">
        <v>196.19300000000001</v>
      </c>
      <c r="O470" s="13">
        <f t="shared" si="15"/>
        <v>0.87172867920839592</v>
      </c>
    </row>
    <row r="471" spans="1:15" x14ac:dyDescent="0.25">
      <c r="A471" s="12">
        <f t="shared" si="14"/>
        <v>12</v>
      </c>
      <c r="B471" s="12">
        <v>2021</v>
      </c>
      <c r="C471" s="12">
        <v>6750</v>
      </c>
      <c r="E471" s="12" t="s">
        <v>13</v>
      </c>
      <c r="F471" s="12" t="s">
        <v>14</v>
      </c>
      <c r="G471" s="14">
        <v>44544</v>
      </c>
      <c r="H471" s="12" t="s">
        <v>18</v>
      </c>
      <c r="I471" s="12" t="s">
        <v>20</v>
      </c>
      <c r="J471" s="12" t="s">
        <v>44</v>
      </c>
      <c r="K471" s="12">
        <v>225.018</v>
      </c>
      <c r="L471" s="12">
        <v>186.05799999999999</v>
      </c>
      <c r="O471" s="13">
        <f t="shared" si="15"/>
        <v>0.82685829578078196</v>
      </c>
    </row>
    <row r="472" spans="1:15" x14ac:dyDescent="0.25">
      <c r="A472" s="12">
        <f t="shared" si="14"/>
        <v>12</v>
      </c>
      <c r="B472" s="12">
        <v>2021</v>
      </c>
      <c r="C472" s="12">
        <v>6751</v>
      </c>
      <c r="E472" s="12" t="s">
        <v>13</v>
      </c>
      <c r="F472" s="12" t="s">
        <v>14</v>
      </c>
      <c r="G472" s="14">
        <v>44545</v>
      </c>
      <c r="H472" s="12" t="s">
        <v>18</v>
      </c>
      <c r="I472" s="12" t="s">
        <v>20</v>
      </c>
      <c r="J472" s="12" t="s">
        <v>44</v>
      </c>
      <c r="K472" s="12">
        <v>225.018</v>
      </c>
      <c r="L472" s="12">
        <v>197.77699999999999</v>
      </c>
      <c r="O472" s="13">
        <f t="shared" si="15"/>
        <v>0.87893857380298457</v>
      </c>
    </row>
    <row r="473" spans="1:15" x14ac:dyDescent="0.25">
      <c r="A473" s="12">
        <f t="shared" si="14"/>
        <v>12</v>
      </c>
      <c r="B473" s="12">
        <v>2021</v>
      </c>
      <c r="C473" s="12">
        <v>6752</v>
      </c>
      <c r="E473" s="12" t="s">
        <v>13</v>
      </c>
      <c r="F473" s="12" t="s">
        <v>14</v>
      </c>
      <c r="G473" s="14">
        <v>44546</v>
      </c>
      <c r="H473" s="12" t="s">
        <v>17</v>
      </c>
      <c r="I473" s="12" t="s">
        <v>19</v>
      </c>
      <c r="J473" s="12" t="s">
        <v>35</v>
      </c>
      <c r="K473" s="12">
        <v>225</v>
      </c>
      <c r="L473" s="12">
        <v>190.273</v>
      </c>
      <c r="O473" s="13">
        <f t="shared" si="15"/>
        <v>0.84565777777777773</v>
      </c>
    </row>
    <row r="474" spans="1:15" x14ac:dyDescent="0.25">
      <c r="A474" s="12">
        <f t="shared" si="14"/>
        <v>12</v>
      </c>
      <c r="B474" s="12">
        <v>2021</v>
      </c>
      <c r="C474" s="12">
        <v>6753</v>
      </c>
      <c r="E474" s="12" t="s">
        <v>13</v>
      </c>
      <c r="F474" s="12" t="s">
        <v>14</v>
      </c>
      <c r="G474" s="14">
        <v>44547</v>
      </c>
      <c r="H474" s="12" t="s">
        <v>18</v>
      </c>
      <c r="I474" s="12" t="s">
        <v>19</v>
      </c>
      <c r="J474" s="12" t="s">
        <v>39</v>
      </c>
      <c r="K474" s="12">
        <v>230.00899999999999</v>
      </c>
      <c r="L474" s="12">
        <v>185.232</v>
      </c>
      <c r="O474" s="13">
        <f t="shared" si="15"/>
        <v>0.80532500902138615</v>
      </c>
    </row>
    <row r="475" spans="1:15" x14ac:dyDescent="0.25">
      <c r="A475" s="12">
        <f t="shared" si="14"/>
        <v>12</v>
      </c>
      <c r="B475" s="12">
        <v>2021</v>
      </c>
      <c r="C475" s="12">
        <v>6754</v>
      </c>
      <c r="E475" s="12" t="s">
        <v>13</v>
      </c>
      <c r="F475" s="12" t="s">
        <v>14</v>
      </c>
      <c r="G475" s="14">
        <v>44548</v>
      </c>
      <c r="H475" s="12" t="s">
        <v>18</v>
      </c>
      <c r="I475" s="12" t="s">
        <v>19</v>
      </c>
      <c r="J475" s="12" t="s">
        <v>39</v>
      </c>
      <c r="K475" s="12">
        <v>230.00899999999999</v>
      </c>
      <c r="L475" s="12">
        <v>205.4</v>
      </c>
      <c r="O475" s="13">
        <f t="shared" si="15"/>
        <v>0.89300853444865214</v>
      </c>
    </row>
    <row r="476" spans="1:15" x14ac:dyDescent="0.25">
      <c r="A476" s="12">
        <f t="shared" si="14"/>
        <v>12</v>
      </c>
      <c r="B476" s="12">
        <v>2021</v>
      </c>
      <c r="C476" s="12">
        <v>6755</v>
      </c>
      <c r="E476" s="12" t="s">
        <v>13</v>
      </c>
      <c r="F476" s="12" t="s">
        <v>14</v>
      </c>
      <c r="G476" s="14">
        <v>44549</v>
      </c>
      <c r="H476" s="12" t="s">
        <v>18</v>
      </c>
      <c r="I476" s="12" t="s">
        <v>19</v>
      </c>
      <c r="J476" s="12" t="s">
        <v>39</v>
      </c>
      <c r="K476" s="12">
        <v>229.99799999999999</v>
      </c>
      <c r="L476" s="12">
        <v>189.09700000000001</v>
      </c>
      <c r="O476" s="13">
        <f t="shared" si="15"/>
        <v>0.82216801885233792</v>
      </c>
    </row>
    <row r="477" spans="1:15" x14ac:dyDescent="0.25">
      <c r="A477" s="12">
        <f t="shared" si="14"/>
        <v>12</v>
      </c>
      <c r="B477" s="12">
        <v>2021</v>
      </c>
      <c r="C477" s="12">
        <v>6756</v>
      </c>
      <c r="E477" s="12" t="s">
        <v>13</v>
      </c>
      <c r="F477" s="12" t="s">
        <v>14</v>
      </c>
      <c r="G477" s="14">
        <v>44550</v>
      </c>
      <c r="H477" s="12" t="s">
        <v>18</v>
      </c>
      <c r="I477" s="12" t="s">
        <v>19</v>
      </c>
      <c r="J477" s="12" t="s">
        <v>39</v>
      </c>
      <c r="K477" s="12">
        <v>229.999</v>
      </c>
      <c r="L477" s="12">
        <v>201.06800000000001</v>
      </c>
      <c r="O477" s="13">
        <f t="shared" si="15"/>
        <v>0.87421249657607214</v>
      </c>
    </row>
    <row r="478" spans="1:15" x14ac:dyDescent="0.25">
      <c r="A478" s="12">
        <f t="shared" si="14"/>
        <v>12</v>
      </c>
      <c r="B478" s="12">
        <v>2021</v>
      </c>
      <c r="C478" s="12">
        <v>6757</v>
      </c>
      <c r="E478" s="12" t="s">
        <v>13</v>
      </c>
      <c r="F478" s="12" t="s">
        <v>14</v>
      </c>
      <c r="G478" s="14">
        <v>44551</v>
      </c>
      <c r="H478" s="12" t="s">
        <v>18</v>
      </c>
      <c r="I478" s="12" t="s">
        <v>19</v>
      </c>
      <c r="J478" s="12" t="s">
        <v>39</v>
      </c>
      <c r="K478" s="12">
        <v>230.00399999999999</v>
      </c>
      <c r="L478" s="12">
        <v>194.078</v>
      </c>
      <c r="O478" s="13">
        <f t="shared" si="15"/>
        <v>0.84380271647449612</v>
      </c>
    </row>
    <row r="479" spans="1:15" x14ac:dyDescent="0.25">
      <c r="A479" s="12">
        <f t="shared" si="14"/>
        <v>12</v>
      </c>
      <c r="B479" s="12">
        <v>2021</v>
      </c>
      <c r="C479" s="12">
        <v>6758</v>
      </c>
      <c r="E479" s="12" t="s">
        <v>13</v>
      </c>
      <c r="F479" s="12" t="s">
        <v>14</v>
      </c>
      <c r="G479" s="14">
        <v>44552</v>
      </c>
      <c r="H479" s="12" t="s">
        <v>17</v>
      </c>
      <c r="I479" s="12" t="s">
        <v>19</v>
      </c>
      <c r="J479" s="12" t="s">
        <v>40</v>
      </c>
      <c r="K479" s="12">
        <v>230.00399999999999</v>
      </c>
      <c r="L479" s="12">
        <v>197.399</v>
      </c>
      <c r="O479" s="13">
        <f t="shared" si="15"/>
        <v>0.85824159579833403</v>
      </c>
    </row>
    <row r="480" spans="1:15" x14ac:dyDescent="0.25">
      <c r="A480" s="12">
        <f t="shared" si="14"/>
        <v>12</v>
      </c>
      <c r="B480" s="12">
        <v>2021</v>
      </c>
      <c r="C480" s="12">
        <v>6759</v>
      </c>
      <c r="E480" s="12" t="s">
        <v>13</v>
      </c>
      <c r="F480" s="12" t="s">
        <v>14</v>
      </c>
      <c r="G480" s="14">
        <v>44553</v>
      </c>
      <c r="H480" s="12" t="s">
        <v>17</v>
      </c>
      <c r="I480" s="12" t="s">
        <v>19</v>
      </c>
      <c r="J480" s="12" t="s">
        <v>40</v>
      </c>
      <c r="K480" s="12">
        <v>230.005</v>
      </c>
      <c r="L480" s="12">
        <v>200.97900000000001</v>
      </c>
      <c r="O480" s="13">
        <f t="shared" si="15"/>
        <v>0.87380274341862141</v>
      </c>
    </row>
    <row r="481" spans="1:15" x14ac:dyDescent="0.25">
      <c r="A481" s="12">
        <f t="shared" si="14"/>
        <v>12</v>
      </c>
      <c r="B481" s="12">
        <v>2021</v>
      </c>
      <c r="C481" s="12">
        <v>6760</v>
      </c>
      <c r="E481" s="12" t="s">
        <v>13</v>
      </c>
      <c r="F481" s="12" t="s">
        <v>14</v>
      </c>
      <c r="G481" s="14">
        <v>44554</v>
      </c>
      <c r="H481" s="12" t="s">
        <v>17</v>
      </c>
      <c r="I481" s="12" t="s">
        <v>19</v>
      </c>
      <c r="J481" s="12" t="s">
        <v>40</v>
      </c>
      <c r="K481" s="12">
        <v>230.00200000000001</v>
      </c>
      <c r="L481" s="12">
        <v>192.767</v>
      </c>
      <c r="O481" s="13">
        <f t="shared" si="15"/>
        <v>0.83811010339040526</v>
      </c>
    </row>
    <row r="482" spans="1:15" x14ac:dyDescent="0.25">
      <c r="A482" s="12">
        <f t="shared" si="14"/>
        <v>12</v>
      </c>
      <c r="B482" s="12">
        <v>2021</v>
      </c>
      <c r="C482" s="12">
        <v>6761</v>
      </c>
      <c r="E482" s="12" t="s">
        <v>13</v>
      </c>
      <c r="F482" s="12" t="s">
        <v>14</v>
      </c>
      <c r="G482" s="14">
        <v>44555</v>
      </c>
      <c r="H482" s="12" t="s">
        <v>17</v>
      </c>
      <c r="I482" s="12" t="s">
        <v>19</v>
      </c>
      <c r="J482" s="12" t="s">
        <v>40</v>
      </c>
      <c r="K482" s="12">
        <v>230.00299999999999</v>
      </c>
      <c r="L482" s="12">
        <v>199.49600000000001</v>
      </c>
      <c r="O482" s="13">
        <f t="shared" si="15"/>
        <v>0.86736259961826589</v>
      </c>
    </row>
    <row r="483" spans="1:15" x14ac:dyDescent="0.25">
      <c r="A483" s="12">
        <f t="shared" si="14"/>
        <v>12</v>
      </c>
      <c r="B483" s="12">
        <v>2021</v>
      </c>
      <c r="C483" s="12">
        <v>6762</v>
      </c>
      <c r="E483" s="12" t="s">
        <v>13</v>
      </c>
      <c r="F483" s="12" t="s">
        <v>14</v>
      </c>
      <c r="G483" s="14">
        <v>44556</v>
      </c>
      <c r="H483" s="12" t="s">
        <v>17</v>
      </c>
      <c r="I483" s="12" t="s">
        <v>19</v>
      </c>
      <c r="J483" s="12" t="s">
        <v>40</v>
      </c>
      <c r="K483" s="12">
        <v>230.00299999999999</v>
      </c>
      <c r="L483" s="12">
        <v>197.30600000000001</v>
      </c>
      <c r="O483" s="13">
        <f t="shared" si="15"/>
        <v>0.85784098468280856</v>
      </c>
    </row>
    <row r="484" spans="1:15" x14ac:dyDescent="0.25">
      <c r="A484" s="12">
        <f t="shared" si="14"/>
        <v>12</v>
      </c>
      <c r="B484" s="12">
        <v>2021</v>
      </c>
      <c r="C484" s="12">
        <v>6763</v>
      </c>
      <c r="E484" s="12" t="s">
        <v>13</v>
      </c>
      <c r="F484" s="12" t="s">
        <v>14</v>
      </c>
      <c r="G484" s="14">
        <v>44557</v>
      </c>
      <c r="H484" s="12" t="s">
        <v>17</v>
      </c>
      <c r="I484" s="12" t="s">
        <v>19</v>
      </c>
      <c r="J484" s="12" t="s">
        <v>41</v>
      </c>
      <c r="K484" s="12">
        <v>230</v>
      </c>
      <c r="L484" s="12">
        <v>196.05699999999999</v>
      </c>
      <c r="O484" s="13">
        <f t="shared" si="15"/>
        <v>0.85242173913043473</v>
      </c>
    </row>
    <row r="485" spans="1:15" x14ac:dyDescent="0.25">
      <c r="A485" s="12">
        <f t="shared" si="14"/>
        <v>12</v>
      </c>
      <c r="B485" s="12">
        <v>2021</v>
      </c>
      <c r="C485" s="12">
        <v>6764</v>
      </c>
      <c r="E485" s="12" t="s">
        <v>13</v>
      </c>
      <c r="F485" s="12" t="s">
        <v>14</v>
      </c>
      <c r="G485" s="14">
        <v>44558</v>
      </c>
      <c r="H485" s="12" t="s">
        <v>17</v>
      </c>
      <c r="I485" s="12" t="s">
        <v>19</v>
      </c>
      <c r="J485" s="12" t="s">
        <v>41</v>
      </c>
      <c r="K485" s="12">
        <v>230</v>
      </c>
      <c r="L485" s="12">
        <v>197.202</v>
      </c>
      <c r="O485" s="13">
        <f t="shared" si="15"/>
        <v>0.85739999999999994</v>
      </c>
    </row>
    <row r="486" spans="1:15" x14ac:dyDescent="0.25">
      <c r="A486" s="12">
        <f t="shared" si="14"/>
        <v>12</v>
      </c>
      <c r="B486" s="12">
        <v>2021</v>
      </c>
      <c r="C486" s="12">
        <v>6765</v>
      </c>
      <c r="E486" s="12" t="s">
        <v>13</v>
      </c>
      <c r="F486" s="12" t="s">
        <v>14</v>
      </c>
      <c r="G486" s="14">
        <v>44559</v>
      </c>
      <c r="H486" s="12" t="s">
        <v>17</v>
      </c>
      <c r="I486" s="12" t="s">
        <v>19</v>
      </c>
      <c r="J486" s="12" t="s">
        <v>41</v>
      </c>
      <c r="K486" s="12">
        <v>230</v>
      </c>
      <c r="L486" s="12">
        <v>191.18299999999999</v>
      </c>
      <c r="O486" s="13">
        <f t="shared" si="15"/>
        <v>0.83123043478260872</v>
      </c>
    </row>
    <row r="487" spans="1:15" x14ac:dyDescent="0.25">
      <c r="A487" s="12">
        <f t="shared" si="14"/>
        <v>12</v>
      </c>
      <c r="B487" s="12">
        <v>2021</v>
      </c>
      <c r="C487" s="12">
        <v>6766</v>
      </c>
      <c r="E487" s="12" t="s">
        <v>13</v>
      </c>
      <c r="F487" s="12" t="s">
        <v>14</v>
      </c>
      <c r="G487" s="14">
        <v>44560</v>
      </c>
      <c r="H487" s="12" t="s">
        <v>17</v>
      </c>
      <c r="I487" s="12" t="s">
        <v>19</v>
      </c>
      <c r="J487" s="12" t="s">
        <v>41</v>
      </c>
      <c r="K487" s="12">
        <v>230</v>
      </c>
      <c r="L487" s="12">
        <v>191.85400000000001</v>
      </c>
      <c r="O487" s="13">
        <f t="shared" si="15"/>
        <v>0.83414782608695659</v>
      </c>
    </row>
    <row r="488" spans="1:15" x14ac:dyDescent="0.25">
      <c r="A488" s="12">
        <f t="shared" si="14"/>
        <v>12</v>
      </c>
      <c r="B488" s="12">
        <v>2021</v>
      </c>
      <c r="C488" s="12">
        <v>6767</v>
      </c>
      <c r="E488" s="12" t="s">
        <v>13</v>
      </c>
      <c r="F488" s="12" t="s">
        <v>14</v>
      </c>
      <c r="G488" s="14">
        <v>44561</v>
      </c>
      <c r="H488" s="12" t="s">
        <v>17</v>
      </c>
      <c r="I488" s="12" t="s">
        <v>19</v>
      </c>
      <c r="J488" s="12" t="s">
        <v>41</v>
      </c>
      <c r="K488" s="12">
        <v>229.999</v>
      </c>
      <c r="L488" s="12">
        <v>199.64599999999999</v>
      </c>
      <c r="O488" s="13">
        <f t="shared" si="15"/>
        <v>0.86802986099939561</v>
      </c>
    </row>
    <row r="489" spans="1:15" x14ac:dyDescent="0.25">
      <c r="A489" s="12">
        <f t="shared" si="14"/>
        <v>1</v>
      </c>
      <c r="B489" s="12">
        <v>2022</v>
      </c>
      <c r="C489" s="12">
        <v>6768</v>
      </c>
      <c r="E489" s="12" t="s">
        <v>13</v>
      </c>
      <c r="F489" s="12" t="s">
        <v>14</v>
      </c>
      <c r="G489" s="14">
        <v>44562</v>
      </c>
      <c r="H489" s="12" t="s">
        <v>18</v>
      </c>
      <c r="I489" s="12" t="s">
        <v>19</v>
      </c>
      <c r="J489" s="12" t="s">
        <v>41</v>
      </c>
      <c r="K489" s="12">
        <v>230.012</v>
      </c>
      <c r="L489" s="12">
        <v>194.91900000000001</v>
      </c>
      <c r="O489" s="13">
        <f t="shared" si="15"/>
        <v>0.84742969932003553</v>
      </c>
    </row>
    <row r="490" spans="1:15" x14ac:dyDescent="0.25">
      <c r="A490" s="12">
        <f t="shared" si="14"/>
        <v>1</v>
      </c>
      <c r="B490" s="12">
        <v>2022</v>
      </c>
      <c r="C490" s="12">
        <v>6769</v>
      </c>
      <c r="E490" s="12" t="s">
        <v>13</v>
      </c>
      <c r="F490" s="12" t="s">
        <v>14</v>
      </c>
      <c r="G490" s="14">
        <v>44563</v>
      </c>
      <c r="H490" s="12" t="s">
        <v>18</v>
      </c>
      <c r="I490" s="12" t="s">
        <v>19</v>
      </c>
      <c r="J490" s="12" t="s">
        <v>41</v>
      </c>
      <c r="K490" s="12">
        <v>230.01300000000001</v>
      </c>
      <c r="L490" s="12">
        <v>187.98599999999999</v>
      </c>
      <c r="O490" s="13">
        <f t="shared" si="15"/>
        <v>0.81728424045597414</v>
      </c>
    </row>
    <row r="491" spans="1:15" x14ac:dyDescent="0.25">
      <c r="A491" s="12">
        <f t="shared" si="14"/>
        <v>1</v>
      </c>
      <c r="B491" s="12">
        <v>2022</v>
      </c>
      <c r="C491" s="12">
        <v>6770</v>
      </c>
      <c r="E491" s="12" t="s">
        <v>13</v>
      </c>
      <c r="F491" s="12" t="s">
        <v>14</v>
      </c>
      <c r="G491" s="14">
        <v>44564</v>
      </c>
      <c r="H491" s="12" t="s">
        <v>18</v>
      </c>
      <c r="I491" s="12" t="s">
        <v>19</v>
      </c>
      <c r="J491" s="12" t="s">
        <v>41</v>
      </c>
      <c r="K491" s="12">
        <v>230.01300000000001</v>
      </c>
      <c r="L491" s="12">
        <v>199.94200000000001</v>
      </c>
      <c r="O491" s="13">
        <f t="shared" si="15"/>
        <v>0.86926391117023827</v>
      </c>
    </row>
    <row r="492" spans="1:15" x14ac:dyDescent="0.25">
      <c r="A492" s="12">
        <f t="shared" si="14"/>
        <v>1</v>
      </c>
      <c r="B492" s="12">
        <v>2022</v>
      </c>
      <c r="C492" s="12">
        <v>6771</v>
      </c>
      <c r="E492" s="12" t="s">
        <v>13</v>
      </c>
      <c r="F492" s="12" t="s">
        <v>14</v>
      </c>
      <c r="G492" s="14">
        <v>44565</v>
      </c>
      <c r="H492" s="12" t="s">
        <v>18</v>
      </c>
      <c r="I492" s="12" t="s">
        <v>19</v>
      </c>
      <c r="J492" s="12" t="s">
        <v>41</v>
      </c>
      <c r="K492" s="12">
        <v>230.012</v>
      </c>
      <c r="L492" s="12">
        <v>195.18700000000001</v>
      </c>
      <c r="O492" s="13">
        <f t="shared" si="15"/>
        <v>0.84859485592056072</v>
      </c>
    </row>
    <row r="493" spans="1:15" x14ac:dyDescent="0.25">
      <c r="A493" s="12">
        <f t="shared" si="14"/>
        <v>1</v>
      </c>
      <c r="B493" s="12">
        <v>2022</v>
      </c>
      <c r="C493" s="12">
        <v>6772</v>
      </c>
      <c r="E493" s="12" t="s">
        <v>13</v>
      </c>
      <c r="F493" s="12" t="s">
        <v>14</v>
      </c>
      <c r="G493" s="14">
        <v>44566</v>
      </c>
      <c r="H493" s="12" t="s">
        <v>18</v>
      </c>
      <c r="I493" s="12" t="s">
        <v>19</v>
      </c>
      <c r="J493" s="12" t="s">
        <v>41</v>
      </c>
      <c r="K493" s="12">
        <v>230.011</v>
      </c>
      <c r="L493" s="12">
        <v>197.28200000000001</v>
      </c>
      <c r="O493" s="13">
        <f t="shared" si="15"/>
        <v>0.85770680532670185</v>
      </c>
    </row>
    <row r="494" spans="1:15" x14ac:dyDescent="0.25">
      <c r="A494" s="12">
        <f t="shared" si="14"/>
        <v>1</v>
      </c>
      <c r="B494" s="12">
        <v>2022</v>
      </c>
      <c r="C494" s="12">
        <v>6773</v>
      </c>
      <c r="E494" s="12" t="s">
        <v>13</v>
      </c>
      <c r="F494" s="12" t="s">
        <v>14</v>
      </c>
      <c r="G494" s="14">
        <v>44567</v>
      </c>
      <c r="H494" s="12" t="s">
        <v>18</v>
      </c>
      <c r="I494" s="12" t="s">
        <v>19</v>
      </c>
      <c r="J494" s="12" t="s">
        <v>40</v>
      </c>
      <c r="K494" s="12">
        <v>230.02099999999999</v>
      </c>
      <c r="L494" s="12">
        <v>192.42599999999999</v>
      </c>
      <c r="O494" s="13">
        <f t="shared" si="15"/>
        <v>0.83655840118945657</v>
      </c>
    </row>
    <row r="495" spans="1:15" x14ac:dyDescent="0.25">
      <c r="A495" s="12">
        <f t="shared" si="14"/>
        <v>1</v>
      </c>
      <c r="B495" s="12">
        <v>2022</v>
      </c>
      <c r="C495" s="12">
        <v>6774</v>
      </c>
      <c r="E495" s="12" t="s">
        <v>13</v>
      </c>
      <c r="F495" s="12" t="s">
        <v>14</v>
      </c>
      <c r="G495" s="14">
        <v>44568</v>
      </c>
      <c r="H495" s="12" t="s">
        <v>18</v>
      </c>
      <c r="I495" s="12" t="s">
        <v>19</v>
      </c>
      <c r="J495" s="12" t="s">
        <v>40</v>
      </c>
      <c r="K495" s="12">
        <v>229.999</v>
      </c>
      <c r="L495" s="12">
        <v>188.267</v>
      </c>
      <c r="O495" s="13">
        <f t="shared" si="15"/>
        <v>0.81855573285101235</v>
      </c>
    </row>
    <row r="496" spans="1:15" x14ac:dyDescent="0.25">
      <c r="A496" s="12">
        <f t="shared" si="14"/>
        <v>1</v>
      </c>
      <c r="B496" s="12">
        <v>2022</v>
      </c>
      <c r="C496" s="12">
        <v>6775</v>
      </c>
      <c r="E496" s="12" t="s">
        <v>13</v>
      </c>
      <c r="F496" s="12" t="s">
        <v>14</v>
      </c>
      <c r="G496" s="14">
        <v>44569</v>
      </c>
      <c r="H496" s="12" t="s">
        <v>18</v>
      </c>
      <c r="I496" s="12" t="s">
        <v>19</v>
      </c>
      <c r="J496" s="12" t="s">
        <v>40</v>
      </c>
      <c r="K496" s="12">
        <v>229.99799999999999</v>
      </c>
      <c r="L496" s="12">
        <v>201.48599999999999</v>
      </c>
      <c r="O496" s="13">
        <f t="shared" si="15"/>
        <v>0.8760337046409099</v>
      </c>
    </row>
    <row r="497" spans="1:15" x14ac:dyDescent="0.25">
      <c r="A497" s="12">
        <f t="shared" si="14"/>
        <v>1</v>
      </c>
      <c r="B497" s="12">
        <v>2022</v>
      </c>
      <c r="C497" s="12">
        <v>6776</v>
      </c>
      <c r="E497" s="12" t="s">
        <v>13</v>
      </c>
      <c r="F497" s="12" t="s">
        <v>14</v>
      </c>
      <c r="G497" s="14">
        <v>44570</v>
      </c>
      <c r="H497" s="12" t="s">
        <v>18</v>
      </c>
      <c r="I497" s="12" t="s">
        <v>19</v>
      </c>
      <c r="J497" s="12" t="s">
        <v>40</v>
      </c>
      <c r="K497" s="12">
        <v>230.00399999999999</v>
      </c>
      <c r="L497" s="12">
        <v>195.04300000000001</v>
      </c>
      <c r="O497" s="13">
        <f t="shared" si="15"/>
        <v>0.84799829568181428</v>
      </c>
    </row>
    <row r="498" spans="1:15" x14ac:dyDescent="0.25">
      <c r="A498" s="12">
        <f t="shared" si="14"/>
        <v>1</v>
      </c>
      <c r="B498" s="12">
        <v>2022</v>
      </c>
      <c r="C498" s="12">
        <v>6777</v>
      </c>
      <c r="E498" s="12" t="s">
        <v>13</v>
      </c>
      <c r="F498" s="12" t="s">
        <v>14</v>
      </c>
      <c r="G498" s="14">
        <v>44571</v>
      </c>
      <c r="H498" s="12" t="s">
        <v>18</v>
      </c>
      <c r="I498" s="12" t="s">
        <v>19</v>
      </c>
      <c r="J498" s="12" t="s">
        <v>40</v>
      </c>
      <c r="K498" s="12">
        <v>230.00299999999999</v>
      </c>
      <c r="L498" s="12">
        <v>199.09800000000001</v>
      </c>
      <c r="O498" s="13">
        <f t="shared" si="15"/>
        <v>0.86563218740625136</v>
      </c>
    </row>
    <row r="499" spans="1:15" x14ac:dyDescent="0.25">
      <c r="A499" s="12">
        <f t="shared" si="14"/>
        <v>1</v>
      </c>
      <c r="B499" s="12">
        <v>2022</v>
      </c>
      <c r="C499" s="12">
        <v>6778</v>
      </c>
      <c r="E499" s="12" t="s">
        <v>13</v>
      </c>
      <c r="F499" s="12" t="s">
        <v>14</v>
      </c>
      <c r="G499" s="14">
        <v>44572</v>
      </c>
      <c r="H499" s="12" t="s">
        <v>46</v>
      </c>
      <c r="I499" s="12" t="s">
        <v>20</v>
      </c>
      <c r="J499" s="12" t="s">
        <v>48</v>
      </c>
      <c r="K499" s="12">
        <v>225.01599999999999</v>
      </c>
      <c r="L499" s="12">
        <v>190.58799999999999</v>
      </c>
      <c r="O499" s="13">
        <f t="shared" si="15"/>
        <v>0.8469975468411135</v>
      </c>
    </row>
    <row r="500" spans="1:15" x14ac:dyDescent="0.25">
      <c r="A500" s="12">
        <f t="shared" si="14"/>
        <v>1</v>
      </c>
      <c r="B500" s="12">
        <v>2022</v>
      </c>
      <c r="C500" s="12">
        <v>6779</v>
      </c>
      <c r="E500" s="12" t="s">
        <v>13</v>
      </c>
      <c r="F500" s="12" t="s">
        <v>14</v>
      </c>
      <c r="G500" s="14">
        <v>44573</v>
      </c>
      <c r="H500" s="12" t="s">
        <v>37</v>
      </c>
      <c r="I500" s="12" t="s">
        <v>19</v>
      </c>
      <c r="J500" s="12" t="s">
        <v>40</v>
      </c>
      <c r="K500" s="12">
        <v>230.00200000000001</v>
      </c>
      <c r="L500" s="12">
        <v>201.179</v>
      </c>
      <c r="O500" s="13">
        <f t="shared" si="15"/>
        <v>0.87468369840262261</v>
      </c>
    </row>
    <row r="501" spans="1:15" x14ac:dyDescent="0.25">
      <c r="A501" s="12">
        <f t="shared" si="14"/>
        <v>1</v>
      </c>
      <c r="B501" s="12">
        <v>2022</v>
      </c>
      <c r="C501" s="12">
        <v>6780</v>
      </c>
      <c r="E501" s="12" t="s">
        <v>13</v>
      </c>
      <c r="F501" s="12" t="s">
        <v>14</v>
      </c>
      <c r="G501" s="14">
        <v>44574</v>
      </c>
      <c r="H501" s="12" t="s">
        <v>37</v>
      </c>
      <c r="I501" s="12" t="s">
        <v>19</v>
      </c>
      <c r="J501" s="12" t="s">
        <v>40</v>
      </c>
      <c r="K501" s="12">
        <v>230.00299999999999</v>
      </c>
      <c r="L501" s="12">
        <v>183.47200000000001</v>
      </c>
      <c r="O501" s="13">
        <f t="shared" si="15"/>
        <v>0.7976939431224811</v>
      </c>
    </row>
    <row r="502" spans="1:15" x14ac:dyDescent="0.25">
      <c r="A502" s="12">
        <f t="shared" si="14"/>
        <v>1</v>
      </c>
      <c r="B502" s="12">
        <v>2022</v>
      </c>
      <c r="C502" s="12">
        <v>6781</v>
      </c>
      <c r="E502" s="12" t="s">
        <v>13</v>
      </c>
      <c r="F502" s="12" t="s">
        <v>14</v>
      </c>
      <c r="G502" s="14">
        <v>44575</v>
      </c>
      <c r="H502" s="12" t="s">
        <v>37</v>
      </c>
      <c r="I502" s="12" t="s">
        <v>19</v>
      </c>
      <c r="J502" s="12" t="s">
        <v>40</v>
      </c>
      <c r="K502" s="12">
        <v>229.99600000000001</v>
      </c>
      <c r="L502" s="12">
        <v>196.00399999999999</v>
      </c>
      <c r="O502" s="13">
        <f t="shared" si="15"/>
        <v>0.8522061253239186</v>
      </c>
    </row>
    <row r="503" spans="1:15" x14ac:dyDescent="0.25">
      <c r="A503" s="12">
        <f t="shared" si="14"/>
        <v>1</v>
      </c>
      <c r="B503" s="12">
        <v>2022</v>
      </c>
      <c r="C503" s="12">
        <v>6782</v>
      </c>
      <c r="E503" s="12" t="s">
        <v>13</v>
      </c>
      <c r="F503" s="12" t="s">
        <v>14</v>
      </c>
      <c r="G503" s="14">
        <v>44576</v>
      </c>
      <c r="H503" s="12" t="s">
        <v>37</v>
      </c>
      <c r="I503" s="12" t="s">
        <v>19</v>
      </c>
      <c r="J503" s="12" t="s">
        <v>40</v>
      </c>
      <c r="K503" s="12">
        <v>229.99700000000001</v>
      </c>
      <c r="L503" s="12">
        <v>189.64</v>
      </c>
      <c r="O503" s="13">
        <f t="shared" si="15"/>
        <v>0.82453249390209427</v>
      </c>
    </row>
    <row r="504" spans="1:15" x14ac:dyDescent="0.25">
      <c r="A504" s="12">
        <f t="shared" si="14"/>
        <v>1</v>
      </c>
      <c r="B504" s="12">
        <v>2022</v>
      </c>
      <c r="C504" s="12">
        <v>6783</v>
      </c>
      <c r="E504" s="12" t="s">
        <v>13</v>
      </c>
      <c r="F504" s="12" t="s">
        <v>14</v>
      </c>
      <c r="G504" s="14">
        <v>44577</v>
      </c>
      <c r="H504" s="12" t="s">
        <v>37</v>
      </c>
      <c r="I504" s="12" t="s">
        <v>19</v>
      </c>
      <c r="J504" s="12" t="s">
        <v>40</v>
      </c>
      <c r="K504" s="12">
        <v>229.994</v>
      </c>
      <c r="L504" s="12">
        <v>194.578</v>
      </c>
      <c r="O504" s="13">
        <f t="shared" si="15"/>
        <v>0.84601337426193723</v>
      </c>
    </row>
    <row r="505" spans="1:15" x14ac:dyDescent="0.25">
      <c r="A505" s="12">
        <f t="shared" si="14"/>
        <v>1</v>
      </c>
      <c r="B505" s="12">
        <v>2022</v>
      </c>
      <c r="C505" s="12">
        <v>6784</v>
      </c>
      <c r="E505" s="12" t="s">
        <v>13</v>
      </c>
      <c r="F505" s="12" t="s">
        <v>14</v>
      </c>
      <c r="G505" s="14">
        <v>44578</v>
      </c>
      <c r="H505" s="12" t="s">
        <v>17</v>
      </c>
      <c r="I505" s="12" t="s">
        <v>19</v>
      </c>
      <c r="J505" s="12" t="s">
        <v>41</v>
      </c>
      <c r="K505" s="12">
        <v>230.00200000000001</v>
      </c>
      <c r="L505" s="12">
        <v>193.05099999999999</v>
      </c>
      <c r="O505" s="13">
        <f t="shared" si="15"/>
        <v>0.83934487526195412</v>
      </c>
    </row>
    <row r="506" spans="1:15" x14ac:dyDescent="0.25">
      <c r="A506" s="12">
        <f t="shared" si="14"/>
        <v>1</v>
      </c>
      <c r="B506" s="12">
        <v>2022</v>
      </c>
      <c r="C506" s="12">
        <v>6785</v>
      </c>
      <c r="E506" s="12" t="s">
        <v>13</v>
      </c>
      <c r="F506" s="12" t="s">
        <v>14</v>
      </c>
      <c r="G506" s="14">
        <v>44579</v>
      </c>
      <c r="H506" s="12" t="s">
        <v>17</v>
      </c>
      <c r="I506" s="12" t="s">
        <v>19</v>
      </c>
      <c r="J506" s="12" t="s">
        <v>41</v>
      </c>
      <c r="K506" s="12">
        <v>230.00299999999999</v>
      </c>
      <c r="L506" s="12">
        <v>198.37100000000001</v>
      </c>
      <c r="O506" s="13">
        <f t="shared" si="15"/>
        <v>0.86247135906922967</v>
      </c>
    </row>
    <row r="507" spans="1:15" x14ac:dyDescent="0.25">
      <c r="A507" s="12">
        <f t="shared" si="14"/>
        <v>1</v>
      </c>
      <c r="B507" s="12">
        <v>2022</v>
      </c>
      <c r="C507" s="12">
        <v>6786</v>
      </c>
      <c r="E507" s="12" t="s">
        <v>13</v>
      </c>
      <c r="F507" s="12" t="s">
        <v>14</v>
      </c>
      <c r="G507" s="14">
        <v>44580</v>
      </c>
      <c r="H507" s="12" t="s">
        <v>17</v>
      </c>
      <c r="I507" s="12" t="s">
        <v>19</v>
      </c>
      <c r="J507" s="12" t="s">
        <v>41</v>
      </c>
      <c r="K507" s="12">
        <v>230.001</v>
      </c>
      <c r="L507" s="12">
        <v>192.4</v>
      </c>
      <c r="O507" s="13">
        <f t="shared" si="15"/>
        <v>0.83651810209520827</v>
      </c>
    </row>
    <row r="508" spans="1:15" x14ac:dyDescent="0.25">
      <c r="A508" s="12">
        <f t="shared" si="14"/>
        <v>1</v>
      </c>
      <c r="B508" s="12">
        <v>2022</v>
      </c>
      <c r="C508" s="12">
        <v>6787</v>
      </c>
      <c r="E508" s="12" t="s">
        <v>13</v>
      </c>
      <c r="F508" s="12" t="s">
        <v>14</v>
      </c>
      <c r="G508" s="14">
        <v>44581</v>
      </c>
      <c r="H508" s="12" t="s">
        <v>17</v>
      </c>
      <c r="I508" s="12" t="s">
        <v>19</v>
      </c>
      <c r="J508" s="12" t="s">
        <v>41</v>
      </c>
      <c r="K508" s="12">
        <v>230.001</v>
      </c>
      <c r="L508" s="12">
        <v>191.428</v>
      </c>
      <c r="O508" s="13">
        <f t="shared" si="15"/>
        <v>0.83229203351289771</v>
      </c>
    </row>
    <row r="509" spans="1:15" x14ac:dyDescent="0.25">
      <c r="A509" s="12">
        <f t="shared" si="14"/>
        <v>1</v>
      </c>
      <c r="B509" s="12">
        <v>2022</v>
      </c>
      <c r="C509" s="12">
        <v>6788</v>
      </c>
      <c r="E509" s="12" t="s">
        <v>13</v>
      </c>
      <c r="F509" s="12" t="s">
        <v>14</v>
      </c>
      <c r="G509" s="14">
        <v>44582</v>
      </c>
      <c r="H509" s="12" t="s">
        <v>17</v>
      </c>
      <c r="I509" s="12" t="s">
        <v>19</v>
      </c>
      <c r="J509" s="12" t="s">
        <v>41</v>
      </c>
      <c r="K509" s="12">
        <v>230.00200000000001</v>
      </c>
      <c r="L509" s="12">
        <v>202.87200000000001</v>
      </c>
      <c r="O509" s="13">
        <f t="shared" si="15"/>
        <v>0.88204450396083511</v>
      </c>
    </row>
    <row r="510" spans="1:15" x14ac:dyDescent="0.25">
      <c r="A510" s="12">
        <f t="shared" si="14"/>
        <v>1</v>
      </c>
      <c r="B510" s="12">
        <v>2022</v>
      </c>
      <c r="C510" s="12">
        <v>6789</v>
      </c>
      <c r="E510" s="12" t="s">
        <v>13</v>
      </c>
      <c r="F510" s="12" t="s">
        <v>14</v>
      </c>
      <c r="G510" s="14">
        <v>44583</v>
      </c>
      <c r="H510" s="12" t="s">
        <v>17</v>
      </c>
      <c r="I510" s="12" t="s">
        <v>20</v>
      </c>
      <c r="J510" s="12" t="s">
        <v>42</v>
      </c>
      <c r="K510" s="12">
        <v>229.99600000000001</v>
      </c>
      <c r="L510" s="12">
        <v>190.34200000000001</v>
      </c>
      <c r="O510" s="13">
        <f t="shared" si="15"/>
        <v>0.82758830588358057</v>
      </c>
    </row>
    <row r="511" spans="1:15" x14ac:dyDescent="0.25">
      <c r="A511" s="12">
        <f t="shared" si="14"/>
        <v>1</v>
      </c>
      <c r="B511" s="12">
        <v>2022</v>
      </c>
      <c r="C511" s="12">
        <v>6790</v>
      </c>
      <c r="E511" s="12" t="s">
        <v>13</v>
      </c>
      <c r="F511" s="12" t="s">
        <v>14</v>
      </c>
      <c r="G511" s="14">
        <v>44584</v>
      </c>
      <c r="H511" s="12" t="s">
        <v>17</v>
      </c>
      <c r="I511" s="12" t="s">
        <v>20</v>
      </c>
      <c r="J511" s="12" t="s">
        <v>42</v>
      </c>
      <c r="K511" s="12">
        <v>229.99600000000001</v>
      </c>
      <c r="L511" s="12">
        <v>195.87899999999999</v>
      </c>
      <c r="O511" s="13">
        <f t="shared" si="15"/>
        <v>0.85166263761108885</v>
      </c>
    </row>
    <row r="512" spans="1:15" x14ac:dyDescent="0.25">
      <c r="A512" s="12">
        <f t="shared" si="14"/>
        <v>1</v>
      </c>
      <c r="B512" s="12">
        <v>2022</v>
      </c>
      <c r="C512" s="12">
        <v>6791</v>
      </c>
      <c r="E512" s="12" t="s">
        <v>13</v>
      </c>
      <c r="F512" s="12" t="s">
        <v>14</v>
      </c>
      <c r="G512" s="14">
        <v>44585</v>
      </c>
      <c r="H512" s="12" t="s">
        <v>46</v>
      </c>
      <c r="I512" s="12" t="s">
        <v>19</v>
      </c>
      <c r="J512" s="12" t="s">
        <v>49</v>
      </c>
      <c r="K512" s="12">
        <v>225</v>
      </c>
      <c r="L512" s="12">
        <v>188.1</v>
      </c>
      <c r="O512" s="13">
        <f t="shared" si="15"/>
        <v>0.83599999999999997</v>
      </c>
    </row>
    <row r="513" spans="1:15" x14ac:dyDescent="0.25">
      <c r="A513" s="12">
        <f t="shared" si="14"/>
        <v>1</v>
      </c>
      <c r="B513" s="12">
        <v>2022</v>
      </c>
      <c r="C513" s="12">
        <v>6792</v>
      </c>
      <c r="E513" s="12" t="s">
        <v>13</v>
      </c>
      <c r="F513" s="12" t="s">
        <v>14</v>
      </c>
      <c r="G513" s="14">
        <v>44586</v>
      </c>
      <c r="H513" s="12" t="s">
        <v>18</v>
      </c>
      <c r="I513" s="12" t="s">
        <v>19</v>
      </c>
      <c r="J513" s="12" t="s">
        <v>41</v>
      </c>
      <c r="K513" s="12">
        <v>229.995</v>
      </c>
      <c r="L513" s="12">
        <v>189.02699999999999</v>
      </c>
      <c r="O513" s="13">
        <f t="shared" si="15"/>
        <v>0.82187438857366457</v>
      </c>
    </row>
    <row r="514" spans="1:15" x14ac:dyDescent="0.25">
      <c r="A514" s="12">
        <f t="shared" ref="A514:A577" si="16">MONTH(G514)</f>
        <v>1</v>
      </c>
      <c r="B514" s="12">
        <v>2022</v>
      </c>
      <c r="C514" s="12">
        <v>6793</v>
      </c>
      <c r="E514" s="12" t="s">
        <v>13</v>
      </c>
      <c r="F514" s="12" t="s">
        <v>14</v>
      </c>
      <c r="G514" s="14">
        <v>44587</v>
      </c>
      <c r="H514" s="12" t="s">
        <v>18</v>
      </c>
      <c r="I514" s="12" t="s">
        <v>19</v>
      </c>
      <c r="J514" s="12" t="s">
        <v>41</v>
      </c>
      <c r="K514" s="12">
        <v>229.99600000000001</v>
      </c>
      <c r="L514" s="12">
        <v>203.85400000000001</v>
      </c>
      <c r="O514" s="13">
        <f t="shared" ref="O514:O577" si="17">L514/K514</f>
        <v>0.8863371536896294</v>
      </c>
    </row>
    <row r="515" spans="1:15" x14ac:dyDescent="0.25">
      <c r="A515" s="12">
        <f t="shared" si="16"/>
        <v>1</v>
      </c>
      <c r="B515" s="12">
        <v>2022</v>
      </c>
      <c r="C515" s="12">
        <v>6794</v>
      </c>
      <c r="E515" s="12" t="s">
        <v>13</v>
      </c>
      <c r="F515" s="12" t="s">
        <v>14</v>
      </c>
      <c r="G515" s="14">
        <v>44588</v>
      </c>
      <c r="H515" s="12" t="s">
        <v>18</v>
      </c>
      <c r="I515" s="12" t="s">
        <v>19</v>
      </c>
      <c r="J515" s="12" t="s">
        <v>41</v>
      </c>
      <c r="K515" s="12">
        <v>229.994</v>
      </c>
      <c r="L515" s="12">
        <v>185.82400000000001</v>
      </c>
      <c r="O515" s="13">
        <f t="shared" si="17"/>
        <v>0.80795151177856817</v>
      </c>
    </row>
    <row r="516" spans="1:15" x14ac:dyDescent="0.25">
      <c r="A516" s="12">
        <f t="shared" si="16"/>
        <v>1</v>
      </c>
      <c r="B516" s="12">
        <v>2022</v>
      </c>
      <c r="C516" s="12">
        <v>6795</v>
      </c>
      <c r="E516" s="12" t="s">
        <v>13</v>
      </c>
      <c r="F516" s="12" t="s">
        <v>14</v>
      </c>
      <c r="G516" s="14">
        <v>44589</v>
      </c>
      <c r="H516" s="12" t="s">
        <v>18</v>
      </c>
      <c r="I516" s="12" t="s">
        <v>19</v>
      </c>
      <c r="J516" s="12" t="s">
        <v>41</v>
      </c>
      <c r="K516" s="12">
        <v>229.994</v>
      </c>
      <c r="L516" s="12">
        <v>205.48500000000001</v>
      </c>
      <c r="O516" s="13">
        <f t="shared" si="17"/>
        <v>0.89343635051349168</v>
      </c>
    </row>
    <row r="517" spans="1:15" x14ac:dyDescent="0.25">
      <c r="A517" s="12">
        <f t="shared" si="16"/>
        <v>1</v>
      </c>
      <c r="B517" s="12">
        <v>2022</v>
      </c>
      <c r="C517" s="12">
        <v>6796</v>
      </c>
      <c r="E517" s="12" t="s">
        <v>13</v>
      </c>
      <c r="F517" s="12" t="s">
        <v>14</v>
      </c>
      <c r="G517" s="14">
        <v>44590</v>
      </c>
      <c r="H517" s="12" t="s">
        <v>18</v>
      </c>
      <c r="I517" s="12" t="s">
        <v>19</v>
      </c>
      <c r="J517" s="12" t="s">
        <v>41</v>
      </c>
      <c r="K517" s="12">
        <v>230.00399999999999</v>
      </c>
      <c r="L517" s="12">
        <v>197.3</v>
      </c>
      <c r="O517" s="13">
        <f t="shared" si="17"/>
        <v>0.85781116850141748</v>
      </c>
    </row>
    <row r="518" spans="1:15" x14ac:dyDescent="0.25">
      <c r="A518" s="12">
        <f t="shared" si="16"/>
        <v>1</v>
      </c>
      <c r="B518" s="12">
        <v>2022</v>
      </c>
      <c r="C518" s="12">
        <v>6797</v>
      </c>
      <c r="E518" s="12" t="s">
        <v>13</v>
      </c>
      <c r="F518" s="12" t="s">
        <v>14</v>
      </c>
      <c r="G518" s="14">
        <v>44591</v>
      </c>
      <c r="H518" s="12" t="s">
        <v>17</v>
      </c>
      <c r="I518" s="12" t="s">
        <v>19</v>
      </c>
      <c r="J518" s="12" t="s">
        <v>35</v>
      </c>
      <c r="K518" s="12">
        <v>230.00399999999999</v>
      </c>
      <c r="L518" s="12">
        <v>191.63200000000001</v>
      </c>
      <c r="O518" s="13">
        <f t="shared" si="17"/>
        <v>0.83316811881532504</v>
      </c>
    </row>
    <row r="519" spans="1:15" x14ac:dyDescent="0.25">
      <c r="A519" s="12">
        <f t="shared" si="16"/>
        <v>1</v>
      </c>
      <c r="B519" s="12">
        <v>2022</v>
      </c>
      <c r="C519" s="12">
        <v>6798</v>
      </c>
      <c r="E519" s="12" t="s">
        <v>13</v>
      </c>
      <c r="F519" s="12" t="s">
        <v>14</v>
      </c>
      <c r="G519" s="14">
        <v>44592</v>
      </c>
      <c r="H519" s="12" t="s">
        <v>17</v>
      </c>
      <c r="I519" s="12" t="s">
        <v>19</v>
      </c>
      <c r="J519" s="12" t="s">
        <v>35</v>
      </c>
      <c r="K519" s="12">
        <v>230.00299999999999</v>
      </c>
      <c r="L519" s="12">
        <v>192</v>
      </c>
      <c r="O519" s="13">
        <f t="shared" si="17"/>
        <v>0.83477172036886482</v>
      </c>
    </row>
    <row r="520" spans="1:15" x14ac:dyDescent="0.25">
      <c r="A520" s="12">
        <f t="shared" si="16"/>
        <v>2</v>
      </c>
      <c r="B520" s="12">
        <v>2022</v>
      </c>
      <c r="C520" s="12">
        <v>6799</v>
      </c>
      <c r="E520" s="12" t="s">
        <v>13</v>
      </c>
      <c r="F520" s="12" t="s">
        <v>14</v>
      </c>
      <c r="G520" s="14">
        <v>44593</v>
      </c>
      <c r="H520" s="12" t="s">
        <v>17</v>
      </c>
      <c r="I520" s="12" t="s">
        <v>19</v>
      </c>
      <c r="J520" s="12" t="s">
        <v>40</v>
      </c>
      <c r="K520" s="12">
        <v>230.001</v>
      </c>
      <c r="L520" s="12">
        <v>190.22300000000001</v>
      </c>
      <c r="O520" s="13">
        <f t="shared" si="17"/>
        <v>0.82705292585684409</v>
      </c>
    </row>
    <row r="521" spans="1:15" x14ac:dyDescent="0.25">
      <c r="A521" s="12">
        <f t="shared" si="16"/>
        <v>2</v>
      </c>
      <c r="B521" s="12">
        <v>2022</v>
      </c>
      <c r="C521" s="12">
        <v>6800</v>
      </c>
      <c r="E521" s="12" t="s">
        <v>13</v>
      </c>
      <c r="F521" s="12" t="s">
        <v>14</v>
      </c>
      <c r="G521" s="14">
        <v>44594</v>
      </c>
      <c r="H521" s="12" t="s">
        <v>17</v>
      </c>
      <c r="I521" s="12" t="s">
        <v>19</v>
      </c>
      <c r="J521" s="12" t="s">
        <v>40</v>
      </c>
      <c r="K521" s="12">
        <v>230.001</v>
      </c>
      <c r="L521" s="12">
        <v>196.976</v>
      </c>
      <c r="O521" s="13">
        <f t="shared" si="17"/>
        <v>0.85641366776666183</v>
      </c>
    </row>
    <row r="522" spans="1:15" x14ac:dyDescent="0.25">
      <c r="A522" s="12">
        <f t="shared" si="16"/>
        <v>2</v>
      </c>
      <c r="B522" s="12">
        <v>2022</v>
      </c>
      <c r="C522" s="12">
        <v>6801</v>
      </c>
      <c r="E522" s="12" t="s">
        <v>13</v>
      </c>
      <c r="F522" s="12" t="s">
        <v>14</v>
      </c>
      <c r="G522" s="14">
        <v>44595</v>
      </c>
      <c r="H522" s="12" t="s">
        <v>17</v>
      </c>
      <c r="I522" s="12" t="s">
        <v>19</v>
      </c>
      <c r="J522" s="12" t="s">
        <v>40</v>
      </c>
      <c r="K522" s="12">
        <v>230.06800000000001</v>
      </c>
      <c r="L522" s="12">
        <v>195.119</v>
      </c>
      <c r="O522" s="13">
        <f t="shared" si="17"/>
        <v>0.84809273779925931</v>
      </c>
    </row>
    <row r="523" spans="1:15" x14ac:dyDescent="0.25">
      <c r="A523" s="12">
        <f t="shared" si="16"/>
        <v>2</v>
      </c>
      <c r="B523" s="12">
        <v>2022</v>
      </c>
      <c r="C523" s="12">
        <v>6802</v>
      </c>
      <c r="E523" s="12" t="s">
        <v>13</v>
      </c>
      <c r="F523" s="12" t="s">
        <v>14</v>
      </c>
      <c r="G523" s="14">
        <v>44596</v>
      </c>
      <c r="H523" s="12" t="s">
        <v>17</v>
      </c>
      <c r="I523" s="12" t="s">
        <v>19</v>
      </c>
      <c r="J523" s="12" t="s">
        <v>40</v>
      </c>
      <c r="K523" s="12">
        <v>229.99700000000001</v>
      </c>
      <c r="L523" s="12">
        <v>181.58699999999999</v>
      </c>
      <c r="O523" s="13">
        <f t="shared" si="17"/>
        <v>0.78951899372600498</v>
      </c>
    </row>
    <row r="524" spans="1:15" x14ac:dyDescent="0.25">
      <c r="A524" s="12">
        <f t="shared" si="16"/>
        <v>2</v>
      </c>
      <c r="B524" s="12">
        <v>2022</v>
      </c>
      <c r="C524" s="12">
        <v>6803</v>
      </c>
      <c r="E524" s="12" t="s">
        <v>13</v>
      </c>
      <c r="F524" s="12" t="s">
        <v>14</v>
      </c>
      <c r="G524" s="14">
        <v>44597</v>
      </c>
      <c r="H524" s="12" t="s">
        <v>17</v>
      </c>
      <c r="I524" s="12" t="s">
        <v>19</v>
      </c>
      <c r="J524" s="12" t="s">
        <v>40</v>
      </c>
      <c r="K524" s="12">
        <v>229.99700000000001</v>
      </c>
      <c r="L524" s="12">
        <v>205.32499999999999</v>
      </c>
      <c r="O524" s="13">
        <f t="shared" si="17"/>
        <v>0.89272903559611638</v>
      </c>
    </row>
    <row r="525" spans="1:15" x14ac:dyDescent="0.25">
      <c r="A525" s="12">
        <f t="shared" si="16"/>
        <v>2</v>
      </c>
      <c r="B525" s="12">
        <v>2022</v>
      </c>
      <c r="C525" s="12">
        <v>6804</v>
      </c>
      <c r="E525" s="12" t="s">
        <v>13</v>
      </c>
      <c r="F525" s="12" t="s">
        <v>14</v>
      </c>
      <c r="G525" s="14">
        <v>44598</v>
      </c>
      <c r="H525" s="12" t="s">
        <v>17</v>
      </c>
      <c r="I525" s="12" t="s">
        <v>20</v>
      </c>
      <c r="J525" s="12" t="s">
        <v>42</v>
      </c>
      <c r="K525" s="12">
        <v>230.001</v>
      </c>
      <c r="L525" s="12">
        <v>186.364</v>
      </c>
      <c r="O525" s="13">
        <f t="shared" si="17"/>
        <v>0.81027473793592197</v>
      </c>
    </row>
    <row r="526" spans="1:15" x14ac:dyDescent="0.25">
      <c r="A526" s="12">
        <f t="shared" si="16"/>
        <v>2</v>
      </c>
      <c r="B526" s="12">
        <v>2022</v>
      </c>
      <c r="C526" s="12">
        <v>6805</v>
      </c>
      <c r="E526" s="12" t="s">
        <v>13</v>
      </c>
      <c r="F526" s="12" t="s">
        <v>14</v>
      </c>
      <c r="G526" s="14">
        <v>44599</v>
      </c>
      <c r="H526" s="12" t="s">
        <v>17</v>
      </c>
      <c r="I526" s="12" t="s">
        <v>20</v>
      </c>
      <c r="J526" s="12" t="s">
        <v>42</v>
      </c>
      <c r="K526" s="12">
        <v>230.001</v>
      </c>
      <c r="L526" s="12">
        <v>206.887</v>
      </c>
      <c r="O526" s="13">
        <f t="shared" si="17"/>
        <v>0.8995047847618054</v>
      </c>
    </row>
    <row r="527" spans="1:15" x14ac:dyDescent="0.25">
      <c r="A527" s="12">
        <f t="shared" si="16"/>
        <v>2</v>
      </c>
      <c r="B527" s="12">
        <v>2022</v>
      </c>
      <c r="C527" s="12">
        <v>6806</v>
      </c>
      <c r="E527" s="12" t="s">
        <v>13</v>
      </c>
      <c r="F527" s="12" t="s">
        <v>14</v>
      </c>
      <c r="G527" s="14">
        <v>44600</v>
      </c>
      <c r="H527" s="12" t="s">
        <v>17</v>
      </c>
      <c r="I527" s="12" t="s">
        <v>20</v>
      </c>
      <c r="J527" s="12" t="s">
        <v>42</v>
      </c>
      <c r="K527" s="12">
        <v>230.00200000000001</v>
      </c>
      <c r="L527" s="12">
        <v>196.00700000000001</v>
      </c>
      <c r="O527" s="13">
        <f t="shared" si="17"/>
        <v>0.85219693741793545</v>
      </c>
    </row>
    <row r="528" spans="1:15" x14ac:dyDescent="0.25">
      <c r="A528" s="12">
        <f t="shared" si="16"/>
        <v>2</v>
      </c>
      <c r="B528" s="12">
        <v>2022</v>
      </c>
      <c r="C528" s="12">
        <v>6807</v>
      </c>
      <c r="E528" s="12" t="s">
        <v>13</v>
      </c>
      <c r="F528" s="12" t="s">
        <v>14</v>
      </c>
      <c r="G528" s="14">
        <v>44601</v>
      </c>
      <c r="H528" s="12" t="s">
        <v>17</v>
      </c>
      <c r="I528" s="12" t="s">
        <v>20</v>
      </c>
      <c r="J528" s="12" t="s">
        <v>44</v>
      </c>
      <c r="K528" s="12">
        <v>230.005</v>
      </c>
      <c r="L528" s="12">
        <v>183.90799999999999</v>
      </c>
      <c r="O528" s="13">
        <f t="shared" si="17"/>
        <v>0.79958261776917894</v>
      </c>
    </row>
    <row r="529" spans="1:15" x14ac:dyDescent="0.25">
      <c r="A529" s="12">
        <f t="shared" si="16"/>
        <v>2</v>
      </c>
      <c r="B529" s="12">
        <v>2022</v>
      </c>
      <c r="C529" s="12">
        <v>6808</v>
      </c>
      <c r="E529" s="12" t="s">
        <v>13</v>
      </c>
      <c r="F529" s="12" t="s">
        <v>14</v>
      </c>
      <c r="G529" s="14">
        <v>44602</v>
      </c>
      <c r="H529" s="12" t="s">
        <v>17</v>
      </c>
      <c r="I529" s="12" t="s">
        <v>20</v>
      </c>
      <c r="J529" s="12" t="s">
        <v>44</v>
      </c>
      <c r="K529" s="12">
        <v>230.00399999999999</v>
      </c>
      <c r="L529" s="12">
        <v>200.48099999999999</v>
      </c>
      <c r="O529" s="13">
        <f t="shared" si="17"/>
        <v>0.87164136275890858</v>
      </c>
    </row>
    <row r="530" spans="1:15" x14ac:dyDescent="0.25">
      <c r="A530" s="12">
        <f t="shared" si="16"/>
        <v>2</v>
      </c>
      <c r="B530" s="12">
        <v>2022</v>
      </c>
      <c r="C530" s="12">
        <v>6809</v>
      </c>
      <c r="E530" s="12" t="s">
        <v>13</v>
      </c>
      <c r="F530" s="12" t="s">
        <v>14</v>
      </c>
      <c r="G530" s="14">
        <v>44603</v>
      </c>
      <c r="H530" s="12" t="s">
        <v>17</v>
      </c>
      <c r="I530" s="12" t="s">
        <v>19</v>
      </c>
      <c r="J530" s="12" t="s">
        <v>41</v>
      </c>
      <c r="K530" s="12">
        <v>230.00399999999999</v>
      </c>
      <c r="L530" s="12">
        <v>182.99700000000001</v>
      </c>
      <c r="O530" s="13">
        <f t="shared" si="17"/>
        <v>0.79562529347315714</v>
      </c>
    </row>
    <row r="531" spans="1:15" x14ac:dyDescent="0.25">
      <c r="A531" s="12">
        <f t="shared" si="16"/>
        <v>2</v>
      </c>
      <c r="B531" s="12">
        <v>2022</v>
      </c>
      <c r="C531" s="12">
        <v>6810</v>
      </c>
      <c r="E531" s="12" t="s">
        <v>13</v>
      </c>
      <c r="F531" s="12" t="s">
        <v>14</v>
      </c>
      <c r="G531" s="14">
        <v>44604</v>
      </c>
      <c r="H531" s="12" t="s">
        <v>17</v>
      </c>
      <c r="I531" s="12" t="s">
        <v>19</v>
      </c>
      <c r="J531" s="12" t="s">
        <v>41</v>
      </c>
      <c r="K531" s="12">
        <v>230.00299999999999</v>
      </c>
      <c r="L531" s="12">
        <v>208.661</v>
      </c>
      <c r="O531" s="13">
        <f t="shared" si="17"/>
        <v>0.90720990595774842</v>
      </c>
    </row>
    <row r="532" spans="1:15" x14ac:dyDescent="0.25">
      <c r="A532" s="12">
        <f t="shared" si="16"/>
        <v>2</v>
      </c>
      <c r="B532" s="12">
        <v>2022</v>
      </c>
      <c r="C532" s="12">
        <v>6811</v>
      </c>
      <c r="E532" s="12" t="s">
        <v>13</v>
      </c>
      <c r="F532" s="12" t="s">
        <v>14</v>
      </c>
      <c r="G532" s="14">
        <v>44605</v>
      </c>
      <c r="H532" s="12" t="s">
        <v>17</v>
      </c>
      <c r="I532" s="12" t="s">
        <v>19</v>
      </c>
      <c r="J532" s="12" t="s">
        <v>41</v>
      </c>
      <c r="K532" s="12">
        <v>229.98599999999999</v>
      </c>
      <c r="L532" s="12">
        <v>194.15899999999999</v>
      </c>
      <c r="O532" s="13">
        <f t="shared" si="17"/>
        <v>0.84422095257972229</v>
      </c>
    </row>
    <row r="533" spans="1:15" x14ac:dyDescent="0.25">
      <c r="A533" s="12">
        <f t="shared" si="16"/>
        <v>2</v>
      </c>
      <c r="B533" s="12">
        <v>2022</v>
      </c>
      <c r="C533" s="12">
        <v>6812</v>
      </c>
      <c r="E533" s="12" t="s">
        <v>13</v>
      </c>
      <c r="F533" s="12" t="s">
        <v>14</v>
      </c>
      <c r="G533" s="14">
        <v>44606</v>
      </c>
      <c r="H533" s="12" t="s">
        <v>17</v>
      </c>
      <c r="I533" s="12" t="s">
        <v>19</v>
      </c>
      <c r="J533" s="12" t="s">
        <v>41</v>
      </c>
      <c r="K533" s="12">
        <v>230.00299999999999</v>
      </c>
      <c r="L533" s="12">
        <v>188.536</v>
      </c>
      <c r="O533" s="13">
        <f t="shared" si="17"/>
        <v>0.81971104724720989</v>
      </c>
    </row>
    <row r="534" spans="1:15" x14ac:dyDescent="0.25">
      <c r="A534" s="12">
        <f t="shared" si="16"/>
        <v>2</v>
      </c>
      <c r="B534" s="12">
        <v>2022</v>
      </c>
      <c r="C534" s="12">
        <v>6813</v>
      </c>
      <c r="E534" s="12" t="s">
        <v>13</v>
      </c>
      <c r="F534" s="12" t="s">
        <v>14</v>
      </c>
      <c r="G534" s="14">
        <v>44607</v>
      </c>
      <c r="H534" s="12" t="s">
        <v>17</v>
      </c>
      <c r="I534" s="12" t="s">
        <v>19</v>
      </c>
      <c r="J534" s="12" t="s">
        <v>41</v>
      </c>
      <c r="K534" s="12">
        <v>230.00200000000001</v>
      </c>
      <c r="L534" s="12">
        <v>203.97399999999999</v>
      </c>
      <c r="O534" s="13">
        <f t="shared" si="17"/>
        <v>0.88683576664550734</v>
      </c>
    </row>
    <row r="535" spans="1:15" x14ac:dyDescent="0.25">
      <c r="A535" s="12">
        <f t="shared" si="16"/>
        <v>2</v>
      </c>
      <c r="B535" s="12">
        <v>2022</v>
      </c>
      <c r="C535" s="12">
        <v>6814</v>
      </c>
      <c r="E535" s="12" t="s">
        <v>13</v>
      </c>
      <c r="F535" s="12" t="s">
        <v>14</v>
      </c>
      <c r="G535" s="14">
        <v>44608</v>
      </c>
      <c r="H535" s="12" t="s">
        <v>18</v>
      </c>
      <c r="I535" s="12" t="s">
        <v>19</v>
      </c>
      <c r="J535" s="12" t="s">
        <v>40</v>
      </c>
      <c r="K535" s="12">
        <v>230.108</v>
      </c>
      <c r="L535" s="12">
        <v>195.03899999999999</v>
      </c>
      <c r="O535" s="13">
        <f t="shared" si="17"/>
        <v>0.84759764979922469</v>
      </c>
    </row>
    <row r="536" spans="1:15" x14ac:dyDescent="0.25">
      <c r="A536" s="12">
        <f t="shared" si="16"/>
        <v>2</v>
      </c>
      <c r="B536" s="12">
        <v>2022</v>
      </c>
      <c r="C536" s="12">
        <v>6815</v>
      </c>
      <c r="E536" s="12" t="s">
        <v>13</v>
      </c>
      <c r="F536" s="12" t="s">
        <v>14</v>
      </c>
      <c r="G536" s="14">
        <v>44609</v>
      </c>
      <c r="H536" s="12" t="s">
        <v>18</v>
      </c>
      <c r="I536" s="12" t="s">
        <v>19</v>
      </c>
      <c r="J536" s="12" t="s">
        <v>40</v>
      </c>
      <c r="K536" s="12">
        <v>230.05699999999999</v>
      </c>
      <c r="L536" s="12">
        <v>189.44900000000001</v>
      </c>
      <c r="O536" s="13">
        <f t="shared" si="17"/>
        <v>0.8234872227317579</v>
      </c>
    </row>
    <row r="537" spans="1:15" x14ac:dyDescent="0.25">
      <c r="A537" s="12">
        <f t="shared" si="16"/>
        <v>2</v>
      </c>
      <c r="B537" s="12">
        <v>2022</v>
      </c>
      <c r="C537" s="12">
        <v>6816</v>
      </c>
      <c r="E537" s="12" t="s">
        <v>13</v>
      </c>
      <c r="F537" s="12" t="s">
        <v>14</v>
      </c>
      <c r="G537" s="14">
        <v>44610</v>
      </c>
      <c r="H537" s="12" t="s">
        <v>18</v>
      </c>
      <c r="I537" s="12" t="s">
        <v>19</v>
      </c>
      <c r="J537" s="12" t="s">
        <v>40</v>
      </c>
      <c r="K537" s="12">
        <v>230.05699999999999</v>
      </c>
      <c r="L537" s="12">
        <v>203.279</v>
      </c>
      <c r="O537" s="13">
        <f t="shared" si="17"/>
        <v>0.88360275931616949</v>
      </c>
    </row>
    <row r="538" spans="1:15" x14ac:dyDescent="0.25">
      <c r="A538" s="12">
        <f t="shared" si="16"/>
        <v>2</v>
      </c>
      <c r="B538" s="12">
        <v>2022</v>
      </c>
      <c r="C538" s="12">
        <v>6817</v>
      </c>
      <c r="E538" s="12" t="s">
        <v>13</v>
      </c>
      <c r="F538" s="12" t="s">
        <v>14</v>
      </c>
      <c r="G538" s="14">
        <v>44611</v>
      </c>
      <c r="H538" s="12" t="s">
        <v>18</v>
      </c>
      <c r="I538" s="12" t="s">
        <v>19</v>
      </c>
      <c r="J538" s="12" t="s">
        <v>40</v>
      </c>
      <c r="K538" s="12">
        <v>230</v>
      </c>
      <c r="L538" s="12">
        <v>187.61699999999999</v>
      </c>
      <c r="O538" s="13">
        <f t="shared" si="17"/>
        <v>0.81572608695652171</v>
      </c>
    </row>
    <row r="539" spans="1:15" x14ac:dyDescent="0.25">
      <c r="A539" s="12">
        <f t="shared" si="16"/>
        <v>2</v>
      </c>
      <c r="B539" s="12">
        <v>2022</v>
      </c>
      <c r="C539" s="12">
        <v>6818</v>
      </c>
      <c r="E539" s="12" t="s">
        <v>13</v>
      </c>
      <c r="F539" s="12" t="s">
        <v>14</v>
      </c>
      <c r="G539" s="14">
        <v>44612</v>
      </c>
      <c r="H539" s="12" t="s">
        <v>18</v>
      </c>
      <c r="I539" s="12" t="s">
        <v>19</v>
      </c>
      <c r="J539" s="12" t="s">
        <v>40</v>
      </c>
      <c r="K539" s="12">
        <v>229.999</v>
      </c>
      <c r="L539" s="12">
        <v>202.66300000000001</v>
      </c>
      <c r="O539" s="13">
        <f t="shared" si="17"/>
        <v>0.88114730933612762</v>
      </c>
    </row>
    <row r="540" spans="1:15" x14ac:dyDescent="0.25">
      <c r="A540" s="12">
        <f t="shared" si="16"/>
        <v>2</v>
      </c>
      <c r="B540" s="12">
        <v>2022</v>
      </c>
      <c r="C540" s="12">
        <v>6819</v>
      </c>
      <c r="E540" s="12" t="s">
        <v>13</v>
      </c>
      <c r="F540" s="12" t="s">
        <v>14</v>
      </c>
      <c r="G540" s="14">
        <v>44613</v>
      </c>
      <c r="H540" s="12" t="s">
        <v>46</v>
      </c>
      <c r="I540" s="12" t="s">
        <v>20</v>
      </c>
      <c r="J540" s="12" t="s">
        <v>48</v>
      </c>
      <c r="K540" s="12">
        <v>225.001</v>
      </c>
      <c r="L540" s="12">
        <v>193.733</v>
      </c>
      <c r="O540" s="13">
        <f t="shared" si="17"/>
        <v>0.86103172874787226</v>
      </c>
    </row>
    <row r="541" spans="1:15" x14ac:dyDescent="0.25">
      <c r="A541" s="12">
        <f t="shared" si="16"/>
        <v>2</v>
      </c>
      <c r="B541" s="12">
        <v>2022</v>
      </c>
      <c r="C541" s="12">
        <v>6820</v>
      </c>
      <c r="E541" s="12" t="s">
        <v>13</v>
      </c>
      <c r="F541" s="12" t="s">
        <v>14</v>
      </c>
      <c r="G541" s="14">
        <v>44614</v>
      </c>
      <c r="H541" s="12" t="s">
        <v>18</v>
      </c>
      <c r="I541" s="12" t="s">
        <v>19</v>
      </c>
      <c r="J541" s="12" t="s">
        <v>43</v>
      </c>
      <c r="K541" s="12">
        <v>229.99799999999999</v>
      </c>
      <c r="L541" s="12">
        <v>186.703</v>
      </c>
      <c r="O541" s="13">
        <f t="shared" si="17"/>
        <v>0.81175923268897998</v>
      </c>
    </row>
    <row r="542" spans="1:15" x14ac:dyDescent="0.25">
      <c r="A542" s="12">
        <f t="shared" si="16"/>
        <v>2</v>
      </c>
      <c r="B542" s="12">
        <v>2022</v>
      </c>
      <c r="C542" s="12">
        <v>6821</v>
      </c>
      <c r="E542" s="12" t="s">
        <v>13</v>
      </c>
      <c r="F542" s="12" t="s">
        <v>14</v>
      </c>
      <c r="G542" s="14">
        <v>44615</v>
      </c>
      <c r="H542" s="12" t="s">
        <v>18</v>
      </c>
      <c r="I542" s="12" t="s">
        <v>19</v>
      </c>
      <c r="J542" s="12" t="s">
        <v>43</v>
      </c>
      <c r="K542" s="12">
        <v>229.99799999999999</v>
      </c>
      <c r="L542" s="12">
        <v>201.489</v>
      </c>
      <c r="O542" s="13">
        <f t="shared" si="17"/>
        <v>0.87604674823259343</v>
      </c>
    </row>
    <row r="543" spans="1:15" x14ac:dyDescent="0.25">
      <c r="A543" s="12">
        <f t="shared" si="16"/>
        <v>2</v>
      </c>
      <c r="B543" s="12">
        <v>2022</v>
      </c>
      <c r="C543" s="12">
        <v>6822</v>
      </c>
      <c r="E543" s="12" t="s">
        <v>13</v>
      </c>
      <c r="F543" s="12" t="s">
        <v>14</v>
      </c>
      <c r="G543" s="14">
        <v>44616</v>
      </c>
      <c r="H543" s="12" t="s">
        <v>18</v>
      </c>
      <c r="I543" s="12" t="s">
        <v>19</v>
      </c>
      <c r="J543" s="12" t="s">
        <v>43</v>
      </c>
      <c r="K543" s="12">
        <v>230.03800000000001</v>
      </c>
      <c r="L543" s="12">
        <v>195.30600000000001</v>
      </c>
      <c r="O543" s="13">
        <f t="shared" si="17"/>
        <v>0.84901624948921484</v>
      </c>
    </row>
    <row r="544" spans="1:15" x14ac:dyDescent="0.25">
      <c r="A544" s="12">
        <f t="shared" si="16"/>
        <v>2</v>
      </c>
      <c r="B544" s="12">
        <v>2022</v>
      </c>
      <c r="C544" s="12">
        <v>6823</v>
      </c>
      <c r="E544" s="12" t="s">
        <v>13</v>
      </c>
      <c r="F544" s="12" t="s">
        <v>14</v>
      </c>
      <c r="G544" s="14">
        <v>44617</v>
      </c>
      <c r="H544" s="12" t="s">
        <v>18</v>
      </c>
      <c r="I544" s="12" t="s">
        <v>19</v>
      </c>
      <c r="J544" s="12" t="s">
        <v>43</v>
      </c>
      <c r="K544" s="12">
        <v>229.99700000000001</v>
      </c>
      <c r="L544" s="12">
        <v>192.541</v>
      </c>
      <c r="O544" s="13">
        <f t="shared" si="17"/>
        <v>0.83714570190045956</v>
      </c>
    </row>
    <row r="545" spans="1:15" x14ac:dyDescent="0.25">
      <c r="A545" s="12">
        <f t="shared" si="16"/>
        <v>2</v>
      </c>
      <c r="B545" s="12">
        <v>2022</v>
      </c>
      <c r="C545" s="12">
        <v>6824</v>
      </c>
      <c r="E545" s="12" t="s">
        <v>13</v>
      </c>
      <c r="F545" s="12" t="s">
        <v>14</v>
      </c>
      <c r="G545" s="14">
        <v>44618</v>
      </c>
      <c r="H545" s="12" t="s">
        <v>18</v>
      </c>
      <c r="I545" s="12" t="s">
        <v>19</v>
      </c>
      <c r="J545" s="12" t="s">
        <v>43</v>
      </c>
      <c r="K545" s="12">
        <v>229.99600000000001</v>
      </c>
      <c r="L545" s="12">
        <v>197.06899999999999</v>
      </c>
      <c r="O545" s="13">
        <f t="shared" si="17"/>
        <v>0.85683664063722842</v>
      </c>
    </row>
    <row r="546" spans="1:15" x14ac:dyDescent="0.25">
      <c r="A546" s="12">
        <f t="shared" si="16"/>
        <v>2</v>
      </c>
      <c r="B546" s="12">
        <v>2022</v>
      </c>
      <c r="C546" s="12">
        <v>6825</v>
      </c>
      <c r="E546" s="12" t="s">
        <v>13</v>
      </c>
      <c r="F546" s="12" t="s">
        <v>14</v>
      </c>
      <c r="G546" s="14">
        <v>44619</v>
      </c>
      <c r="H546" s="12" t="s">
        <v>17</v>
      </c>
      <c r="I546" s="12" t="s">
        <v>19</v>
      </c>
      <c r="J546" s="12" t="s">
        <v>35</v>
      </c>
      <c r="K546" s="12">
        <v>230</v>
      </c>
      <c r="L546" s="12">
        <v>191.673</v>
      </c>
      <c r="O546" s="13">
        <f t="shared" si="17"/>
        <v>0.83336086956521738</v>
      </c>
    </row>
    <row r="547" spans="1:15" x14ac:dyDescent="0.25">
      <c r="A547" s="12">
        <f t="shared" si="16"/>
        <v>2</v>
      </c>
      <c r="B547" s="12">
        <v>2022</v>
      </c>
      <c r="C547" s="12">
        <v>6826</v>
      </c>
      <c r="E547" s="12" t="s">
        <v>13</v>
      </c>
      <c r="F547" s="12" t="s">
        <v>14</v>
      </c>
      <c r="G547" s="14">
        <v>44620</v>
      </c>
      <c r="H547" s="12" t="s">
        <v>17</v>
      </c>
      <c r="I547" s="12" t="s">
        <v>19</v>
      </c>
      <c r="J547" s="12" t="s">
        <v>35</v>
      </c>
      <c r="K547" s="12">
        <v>230</v>
      </c>
      <c r="L547" s="12">
        <v>197.71299999999999</v>
      </c>
      <c r="O547" s="13">
        <f t="shared" si="17"/>
        <v>0.85962173913043471</v>
      </c>
    </row>
    <row r="548" spans="1:15" x14ac:dyDescent="0.25">
      <c r="A548" s="12">
        <f t="shared" si="16"/>
        <v>3</v>
      </c>
      <c r="B548" s="12">
        <v>2022</v>
      </c>
      <c r="C548" s="12">
        <v>6827</v>
      </c>
      <c r="E548" s="12" t="s">
        <v>13</v>
      </c>
      <c r="F548" s="12" t="s">
        <v>14</v>
      </c>
      <c r="G548" s="14">
        <v>44621</v>
      </c>
      <c r="H548" s="12" t="s">
        <v>17</v>
      </c>
      <c r="I548" s="12" t="s">
        <v>19</v>
      </c>
      <c r="J548" s="12" t="s">
        <v>35</v>
      </c>
      <c r="K548" s="12">
        <v>230.00299999999999</v>
      </c>
      <c r="L548" s="12">
        <v>194.506</v>
      </c>
      <c r="O548" s="13">
        <f t="shared" si="17"/>
        <v>0.84566723042742931</v>
      </c>
    </row>
    <row r="549" spans="1:15" x14ac:dyDescent="0.25">
      <c r="A549" s="12">
        <f t="shared" si="16"/>
        <v>3</v>
      </c>
      <c r="B549" s="12">
        <v>2022</v>
      </c>
      <c r="C549" s="12">
        <v>6828</v>
      </c>
      <c r="E549" s="12" t="s">
        <v>13</v>
      </c>
      <c r="F549" s="12" t="s">
        <v>14</v>
      </c>
      <c r="G549" s="14">
        <v>44622</v>
      </c>
      <c r="H549" s="12" t="s">
        <v>17</v>
      </c>
      <c r="I549" s="12" t="s">
        <v>19</v>
      </c>
      <c r="J549" s="12" t="s">
        <v>35</v>
      </c>
      <c r="K549" s="12">
        <v>229.999</v>
      </c>
      <c r="L549" s="12">
        <v>184.95599999999999</v>
      </c>
      <c r="O549" s="13">
        <f t="shared" si="17"/>
        <v>0.80416001808703508</v>
      </c>
    </row>
    <row r="550" spans="1:15" x14ac:dyDescent="0.25">
      <c r="A550" s="12">
        <f t="shared" si="16"/>
        <v>3</v>
      </c>
      <c r="B550" s="12">
        <v>2022</v>
      </c>
      <c r="C550" s="12">
        <v>6829</v>
      </c>
      <c r="E550" s="12" t="s">
        <v>13</v>
      </c>
      <c r="F550" s="12" t="s">
        <v>14</v>
      </c>
      <c r="G550" s="14">
        <v>44623</v>
      </c>
      <c r="H550" s="12" t="s">
        <v>17</v>
      </c>
      <c r="I550" s="12" t="s">
        <v>19</v>
      </c>
      <c r="J550" s="12" t="s">
        <v>35</v>
      </c>
      <c r="K550" s="12">
        <v>230</v>
      </c>
      <c r="L550" s="12">
        <v>206.054</v>
      </c>
      <c r="O550" s="13">
        <f t="shared" si="17"/>
        <v>0.89588695652173911</v>
      </c>
    </row>
    <row r="551" spans="1:15" x14ac:dyDescent="0.25">
      <c r="A551" s="12">
        <f t="shared" si="16"/>
        <v>3</v>
      </c>
      <c r="B551" s="12">
        <v>2022</v>
      </c>
      <c r="C551" s="12">
        <v>6830</v>
      </c>
      <c r="E551" s="12" t="s">
        <v>13</v>
      </c>
      <c r="F551" s="12" t="s">
        <v>14</v>
      </c>
      <c r="G551" s="14">
        <v>44624</v>
      </c>
      <c r="H551" s="12" t="s">
        <v>18</v>
      </c>
      <c r="I551" s="12" t="s">
        <v>19</v>
      </c>
      <c r="J551" s="12" t="s">
        <v>40</v>
      </c>
      <c r="K551" s="12">
        <v>230</v>
      </c>
      <c r="L551" s="12">
        <v>179.93100000000001</v>
      </c>
      <c r="O551" s="13">
        <f t="shared" si="17"/>
        <v>0.78230869565217398</v>
      </c>
    </row>
    <row r="552" spans="1:15" x14ac:dyDescent="0.25">
      <c r="A552" s="12">
        <f t="shared" si="16"/>
        <v>3</v>
      </c>
      <c r="B552" s="12">
        <v>2022</v>
      </c>
      <c r="C552" s="12">
        <v>6831</v>
      </c>
      <c r="E552" s="12" t="s">
        <v>13</v>
      </c>
      <c r="F552" s="12" t="s">
        <v>14</v>
      </c>
      <c r="G552" s="14">
        <v>44625</v>
      </c>
      <c r="H552" s="12" t="s">
        <v>18</v>
      </c>
      <c r="I552" s="12" t="s">
        <v>19</v>
      </c>
      <c r="J552" s="12" t="s">
        <v>40</v>
      </c>
      <c r="K552" s="12">
        <v>230</v>
      </c>
      <c r="L552" s="12">
        <v>209</v>
      </c>
      <c r="O552" s="13">
        <f t="shared" si="17"/>
        <v>0.90869565217391302</v>
      </c>
    </row>
    <row r="553" spans="1:15" x14ac:dyDescent="0.25">
      <c r="A553" s="12">
        <f t="shared" si="16"/>
        <v>3</v>
      </c>
      <c r="B553" s="12">
        <v>2022</v>
      </c>
      <c r="C553" s="12">
        <v>6832</v>
      </c>
      <c r="E553" s="12" t="s">
        <v>13</v>
      </c>
      <c r="F553" s="12" t="s">
        <v>14</v>
      </c>
      <c r="G553" s="14">
        <v>44626</v>
      </c>
      <c r="H553" s="12" t="s">
        <v>18</v>
      </c>
      <c r="I553" s="12" t="s">
        <v>19</v>
      </c>
      <c r="J553" s="12" t="s">
        <v>40</v>
      </c>
      <c r="K553" s="12">
        <v>230</v>
      </c>
      <c r="L553" s="12">
        <v>195.333</v>
      </c>
      <c r="O553" s="13">
        <f t="shared" si="17"/>
        <v>0.84927391304347821</v>
      </c>
    </row>
    <row r="554" spans="1:15" x14ac:dyDescent="0.25">
      <c r="A554" s="12">
        <f t="shared" si="16"/>
        <v>3</v>
      </c>
      <c r="B554" s="12">
        <v>2022</v>
      </c>
      <c r="C554" s="12">
        <v>6833</v>
      </c>
      <c r="E554" s="12" t="s">
        <v>13</v>
      </c>
      <c r="F554" s="12" t="s">
        <v>14</v>
      </c>
      <c r="G554" s="14">
        <v>44627</v>
      </c>
      <c r="H554" s="12" t="s">
        <v>18</v>
      </c>
      <c r="I554" s="12" t="s">
        <v>19</v>
      </c>
      <c r="J554" s="12" t="s">
        <v>40</v>
      </c>
      <c r="K554" s="12">
        <v>230.02199999999999</v>
      </c>
      <c r="L554" s="12">
        <v>193.13200000000001</v>
      </c>
      <c r="O554" s="13">
        <f t="shared" si="17"/>
        <v>0.83962403596177759</v>
      </c>
    </row>
    <row r="555" spans="1:15" x14ac:dyDescent="0.25">
      <c r="A555" s="12">
        <f t="shared" si="16"/>
        <v>3</v>
      </c>
      <c r="B555" s="12">
        <v>2022</v>
      </c>
      <c r="C555" s="12">
        <v>6834</v>
      </c>
      <c r="E555" s="12" t="s">
        <v>13</v>
      </c>
      <c r="F555" s="12" t="s">
        <v>14</v>
      </c>
      <c r="G555" s="14">
        <v>44628</v>
      </c>
      <c r="H555" s="12" t="s">
        <v>18</v>
      </c>
      <c r="I555" s="12" t="s">
        <v>19</v>
      </c>
      <c r="J555" s="12" t="s">
        <v>40</v>
      </c>
      <c r="K555" s="12">
        <v>230.02199999999999</v>
      </c>
      <c r="L555" s="12">
        <v>199.24</v>
      </c>
      <c r="O555" s="13">
        <f t="shared" si="17"/>
        <v>0.8661780177548235</v>
      </c>
    </row>
    <row r="556" spans="1:15" x14ac:dyDescent="0.25">
      <c r="A556" s="12">
        <f t="shared" si="16"/>
        <v>3</v>
      </c>
      <c r="B556" s="12">
        <v>2022</v>
      </c>
      <c r="C556" s="12">
        <v>6835</v>
      </c>
      <c r="E556" s="12" t="s">
        <v>13</v>
      </c>
      <c r="F556" s="12" t="s">
        <v>14</v>
      </c>
      <c r="G556" s="14">
        <v>44629</v>
      </c>
      <c r="H556" s="12" t="s">
        <v>37</v>
      </c>
      <c r="I556" s="12" t="s">
        <v>20</v>
      </c>
      <c r="J556" s="12" t="s">
        <v>45</v>
      </c>
      <c r="K556" s="12">
        <v>230.00200000000001</v>
      </c>
      <c r="L556" s="12">
        <v>192.59399999999999</v>
      </c>
      <c r="O556" s="13">
        <f t="shared" si="17"/>
        <v>0.83735793601794761</v>
      </c>
    </row>
    <row r="557" spans="1:15" x14ac:dyDescent="0.25">
      <c r="A557" s="12">
        <f t="shared" si="16"/>
        <v>3</v>
      </c>
      <c r="B557" s="12">
        <v>2022</v>
      </c>
      <c r="C557" s="12">
        <v>6836</v>
      </c>
      <c r="E557" s="12" t="s">
        <v>13</v>
      </c>
      <c r="F557" s="12" t="s">
        <v>14</v>
      </c>
      <c r="G557" s="14">
        <v>44630</v>
      </c>
      <c r="H557" s="12" t="s">
        <v>37</v>
      </c>
      <c r="I557" s="12" t="s">
        <v>20</v>
      </c>
      <c r="J557" s="12" t="s">
        <v>45</v>
      </c>
      <c r="K557" s="12">
        <v>230.00200000000001</v>
      </c>
      <c r="L557" s="12">
        <v>199.29499999999999</v>
      </c>
      <c r="O557" s="13">
        <f t="shared" si="17"/>
        <v>0.86649246528291046</v>
      </c>
    </row>
    <row r="558" spans="1:15" x14ac:dyDescent="0.25">
      <c r="A558" s="12">
        <f t="shared" si="16"/>
        <v>3</v>
      </c>
      <c r="B558" s="12">
        <v>2022</v>
      </c>
      <c r="C558" s="12">
        <v>6837</v>
      </c>
      <c r="E558" s="12" t="s">
        <v>13</v>
      </c>
      <c r="F558" s="12" t="s">
        <v>14</v>
      </c>
      <c r="G558" s="14">
        <v>44631</v>
      </c>
      <c r="H558" s="12" t="s">
        <v>37</v>
      </c>
      <c r="I558" s="12" t="s">
        <v>20</v>
      </c>
      <c r="J558" s="12" t="s">
        <v>42</v>
      </c>
      <c r="K558" s="12">
        <v>230.00200000000001</v>
      </c>
      <c r="L558" s="12">
        <v>187.94399999999999</v>
      </c>
      <c r="O558" s="13">
        <f t="shared" si="17"/>
        <v>0.81714072051547371</v>
      </c>
    </row>
    <row r="559" spans="1:15" x14ac:dyDescent="0.25">
      <c r="A559" s="12">
        <f t="shared" si="16"/>
        <v>3</v>
      </c>
      <c r="B559" s="12">
        <v>2022</v>
      </c>
      <c r="C559" s="12">
        <v>6838</v>
      </c>
      <c r="E559" s="12" t="s">
        <v>13</v>
      </c>
      <c r="F559" s="12" t="s">
        <v>14</v>
      </c>
      <c r="G559" s="14">
        <v>44632</v>
      </c>
      <c r="H559" s="12" t="s">
        <v>37</v>
      </c>
      <c r="I559" s="12" t="s">
        <v>20</v>
      </c>
      <c r="J559" s="12" t="s">
        <v>42</v>
      </c>
      <c r="K559" s="12">
        <v>230.00299999999999</v>
      </c>
      <c r="L559" s="12">
        <v>195.27</v>
      </c>
      <c r="O559" s="13">
        <f t="shared" si="17"/>
        <v>0.8489889262313971</v>
      </c>
    </row>
    <row r="560" spans="1:15" x14ac:dyDescent="0.25">
      <c r="A560" s="12">
        <f t="shared" si="16"/>
        <v>3</v>
      </c>
      <c r="B560" s="12">
        <v>2022</v>
      </c>
      <c r="C560" s="12">
        <v>6839</v>
      </c>
      <c r="E560" s="12" t="s">
        <v>13</v>
      </c>
      <c r="F560" s="12" t="s">
        <v>14</v>
      </c>
      <c r="G560" s="14">
        <v>44633</v>
      </c>
      <c r="H560" s="12" t="s">
        <v>18</v>
      </c>
      <c r="I560" s="12" t="s">
        <v>19</v>
      </c>
      <c r="J560" s="12" t="s">
        <v>40</v>
      </c>
      <c r="K560" s="12">
        <v>230.03</v>
      </c>
      <c r="L560" s="12">
        <v>195.126</v>
      </c>
      <c r="O560" s="13">
        <f t="shared" si="17"/>
        <v>0.84826327000825985</v>
      </c>
    </row>
    <row r="561" spans="1:15" x14ac:dyDescent="0.25">
      <c r="A561" s="12">
        <f t="shared" si="16"/>
        <v>3</v>
      </c>
      <c r="B561" s="12">
        <v>2022</v>
      </c>
      <c r="C561" s="12">
        <v>6840</v>
      </c>
      <c r="E561" s="12" t="s">
        <v>13</v>
      </c>
      <c r="F561" s="12" t="s">
        <v>14</v>
      </c>
      <c r="G561" s="14">
        <v>44634</v>
      </c>
      <c r="H561" s="12" t="s">
        <v>18</v>
      </c>
      <c r="I561" s="12" t="s">
        <v>19</v>
      </c>
      <c r="J561" s="12" t="s">
        <v>40</v>
      </c>
      <c r="K561" s="12">
        <v>230.03800000000001</v>
      </c>
      <c r="L561" s="12">
        <v>192.67</v>
      </c>
      <c r="O561" s="13">
        <f t="shared" si="17"/>
        <v>0.83755727314617578</v>
      </c>
    </row>
    <row r="562" spans="1:15" x14ac:dyDescent="0.25">
      <c r="A562" s="12">
        <f t="shared" si="16"/>
        <v>3</v>
      </c>
      <c r="B562" s="12">
        <v>2022</v>
      </c>
      <c r="C562" s="12">
        <v>6841</v>
      </c>
      <c r="E562" s="12" t="s">
        <v>13</v>
      </c>
      <c r="F562" s="12" t="s">
        <v>14</v>
      </c>
      <c r="G562" s="14">
        <v>44635</v>
      </c>
      <c r="H562" s="12" t="s">
        <v>18</v>
      </c>
      <c r="I562" s="12" t="s">
        <v>19</v>
      </c>
      <c r="J562" s="12" t="s">
        <v>40</v>
      </c>
      <c r="K562" s="12">
        <v>230.03700000000001</v>
      </c>
      <c r="L562" s="12">
        <v>200.631</v>
      </c>
      <c r="O562" s="13">
        <f t="shared" si="17"/>
        <v>0.87216839030242954</v>
      </c>
    </row>
    <row r="563" spans="1:15" x14ac:dyDescent="0.25">
      <c r="A563" s="12">
        <f t="shared" si="16"/>
        <v>3</v>
      </c>
      <c r="B563" s="12">
        <v>2022</v>
      </c>
      <c r="C563" s="12">
        <v>6842</v>
      </c>
      <c r="E563" s="12" t="s">
        <v>13</v>
      </c>
      <c r="F563" s="12" t="s">
        <v>14</v>
      </c>
      <c r="G563" s="14">
        <v>44636</v>
      </c>
      <c r="H563" s="12" t="s">
        <v>18</v>
      </c>
      <c r="I563" s="12" t="s">
        <v>19</v>
      </c>
      <c r="J563" s="12" t="s">
        <v>40</v>
      </c>
      <c r="K563" s="12">
        <v>230.001</v>
      </c>
      <c r="L563" s="12">
        <v>193.23400000000001</v>
      </c>
      <c r="O563" s="13">
        <f t="shared" si="17"/>
        <v>0.84014417328620317</v>
      </c>
    </row>
    <row r="564" spans="1:15" x14ac:dyDescent="0.25">
      <c r="A564" s="12">
        <f t="shared" si="16"/>
        <v>3</v>
      </c>
      <c r="B564" s="12">
        <v>2022</v>
      </c>
      <c r="C564" s="12">
        <v>6843</v>
      </c>
      <c r="E564" s="12" t="s">
        <v>13</v>
      </c>
      <c r="F564" s="12" t="s">
        <v>14</v>
      </c>
      <c r="G564" s="14">
        <v>44637</v>
      </c>
      <c r="H564" s="12" t="s">
        <v>18</v>
      </c>
      <c r="I564" s="12" t="s">
        <v>19</v>
      </c>
      <c r="J564" s="12" t="s">
        <v>40</v>
      </c>
      <c r="K564" s="12">
        <v>230</v>
      </c>
      <c r="L564" s="12">
        <v>197.61099999999999</v>
      </c>
      <c r="O564" s="13">
        <f t="shared" si="17"/>
        <v>0.85917826086956517</v>
      </c>
    </row>
    <row r="565" spans="1:15" x14ac:dyDescent="0.25">
      <c r="A565" s="12">
        <f t="shared" si="16"/>
        <v>3</v>
      </c>
      <c r="B565" s="12">
        <v>2022</v>
      </c>
      <c r="C565" s="12">
        <v>6844</v>
      </c>
      <c r="E565" s="12" t="s">
        <v>13</v>
      </c>
      <c r="F565" s="12" t="s">
        <v>14</v>
      </c>
      <c r="G565" s="14">
        <v>44638</v>
      </c>
      <c r="H565" s="12" t="s">
        <v>37</v>
      </c>
      <c r="I565" s="12" t="s">
        <v>20</v>
      </c>
      <c r="J565" s="12" t="s">
        <v>45</v>
      </c>
      <c r="K565" s="12">
        <v>230.00399999999999</v>
      </c>
      <c r="L565" s="12">
        <v>194.61699999999999</v>
      </c>
      <c r="O565" s="13">
        <f t="shared" si="17"/>
        <v>0.84614615397993076</v>
      </c>
    </row>
    <row r="566" spans="1:15" x14ac:dyDescent="0.25">
      <c r="A566" s="12">
        <f t="shared" si="16"/>
        <v>3</v>
      </c>
      <c r="B566" s="12">
        <v>2022</v>
      </c>
      <c r="C566" s="12">
        <v>6845</v>
      </c>
      <c r="E566" s="12" t="s">
        <v>13</v>
      </c>
      <c r="F566" s="12" t="s">
        <v>14</v>
      </c>
      <c r="G566" s="14">
        <v>44639</v>
      </c>
      <c r="H566" s="12" t="s">
        <v>37</v>
      </c>
      <c r="I566" s="12" t="s">
        <v>20</v>
      </c>
      <c r="J566" s="12" t="s">
        <v>45</v>
      </c>
      <c r="K566" s="12">
        <v>230.00399999999999</v>
      </c>
      <c r="L566" s="12">
        <v>197.268</v>
      </c>
      <c r="O566" s="13">
        <f t="shared" si="17"/>
        <v>0.85767204048625245</v>
      </c>
    </row>
    <row r="567" spans="1:15" x14ac:dyDescent="0.25">
      <c r="A567" s="12">
        <f t="shared" si="16"/>
        <v>3</v>
      </c>
      <c r="B567" s="12">
        <v>2022</v>
      </c>
      <c r="C567" s="12">
        <v>6846</v>
      </c>
      <c r="E567" s="12" t="s">
        <v>13</v>
      </c>
      <c r="F567" s="12" t="s">
        <v>14</v>
      </c>
      <c r="G567" s="14">
        <v>44640</v>
      </c>
      <c r="H567" s="12" t="s">
        <v>37</v>
      </c>
      <c r="I567" s="12" t="s">
        <v>20</v>
      </c>
      <c r="J567" s="12" t="s">
        <v>42</v>
      </c>
      <c r="K567" s="12">
        <v>230.005</v>
      </c>
      <c r="L567" s="12">
        <v>192.72300000000001</v>
      </c>
      <c r="O567" s="13">
        <f t="shared" si="17"/>
        <v>0.8379078715680095</v>
      </c>
    </row>
    <row r="568" spans="1:15" x14ac:dyDescent="0.25">
      <c r="A568" s="12">
        <f t="shared" si="16"/>
        <v>3</v>
      </c>
      <c r="B568" s="12">
        <v>2022</v>
      </c>
      <c r="C568" s="12">
        <v>6847</v>
      </c>
      <c r="E568" s="12" t="s">
        <v>13</v>
      </c>
      <c r="F568" s="12" t="s">
        <v>14</v>
      </c>
      <c r="G568" s="14">
        <v>44641</v>
      </c>
      <c r="H568" s="12" t="s">
        <v>37</v>
      </c>
      <c r="I568" s="12" t="s">
        <v>20</v>
      </c>
      <c r="J568" s="12" t="s">
        <v>42</v>
      </c>
      <c r="K568" s="12">
        <v>230.005</v>
      </c>
      <c r="L568" s="12">
        <v>197.91800000000001</v>
      </c>
      <c r="O568" s="13">
        <f t="shared" si="17"/>
        <v>0.86049433707962875</v>
      </c>
    </row>
    <row r="569" spans="1:15" x14ac:dyDescent="0.25">
      <c r="A569" s="12">
        <f t="shared" si="16"/>
        <v>3</v>
      </c>
      <c r="B569" s="12">
        <v>2022</v>
      </c>
      <c r="C569" s="12">
        <v>6848</v>
      </c>
      <c r="E569" s="12" t="s">
        <v>13</v>
      </c>
      <c r="F569" s="12" t="s">
        <v>14</v>
      </c>
      <c r="G569" s="14">
        <v>44642</v>
      </c>
      <c r="H569" s="12" t="s">
        <v>17</v>
      </c>
      <c r="I569" s="12" t="s">
        <v>19</v>
      </c>
      <c r="J569" s="12" t="s">
        <v>49</v>
      </c>
      <c r="K569" s="12">
        <v>230.011</v>
      </c>
      <c r="L569" s="12">
        <v>193.92500000000001</v>
      </c>
      <c r="O569" s="13">
        <f t="shared" si="17"/>
        <v>0.84311185117233534</v>
      </c>
    </row>
    <row r="570" spans="1:15" x14ac:dyDescent="0.25">
      <c r="A570" s="12">
        <f t="shared" si="16"/>
        <v>3</v>
      </c>
      <c r="B570" s="12">
        <v>2022</v>
      </c>
      <c r="C570" s="12">
        <v>6849</v>
      </c>
      <c r="E570" s="12" t="s">
        <v>13</v>
      </c>
      <c r="F570" s="12" t="s">
        <v>14</v>
      </c>
      <c r="G570" s="14">
        <v>44643</v>
      </c>
      <c r="H570" s="12" t="s">
        <v>18</v>
      </c>
      <c r="I570" s="12" t="s">
        <v>19</v>
      </c>
      <c r="J570" s="12" t="s">
        <v>40</v>
      </c>
      <c r="K570" s="12">
        <v>229.999</v>
      </c>
      <c r="L570" s="12">
        <v>190.98699999999999</v>
      </c>
      <c r="O570" s="13">
        <f t="shared" si="17"/>
        <v>0.83038187122552709</v>
      </c>
    </row>
    <row r="571" spans="1:15" x14ac:dyDescent="0.25">
      <c r="A571" s="12">
        <f t="shared" si="16"/>
        <v>3</v>
      </c>
      <c r="B571" s="12">
        <v>2022</v>
      </c>
      <c r="C571" s="12">
        <v>6850</v>
      </c>
      <c r="E571" s="12" t="s">
        <v>13</v>
      </c>
      <c r="F571" s="12" t="s">
        <v>14</v>
      </c>
      <c r="G571" s="14">
        <v>44644</v>
      </c>
      <c r="H571" s="12" t="s">
        <v>18</v>
      </c>
      <c r="I571" s="12" t="s">
        <v>19</v>
      </c>
      <c r="J571" s="12" t="s">
        <v>40</v>
      </c>
      <c r="K571" s="12">
        <v>230</v>
      </c>
      <c r="L571" s="12">
        <v>200.703</v>
      </c>
      <c r="O571" s="13">
        <f t="shared" si="17"/>
        <v>0.87262173913043484</v>
      </c>
    </row>
    <row r="572" spans="1:15" x14ac:dyDescent="0.25">
      <c r="A572" s="12">
        <f t="shared" si="16"/>
        <v>3</v>
      </c>
      <c r="B572" s="12">
        <v>2022</v>
      </c>
      <c r="C572" s="12">
        <v>6851</v>
      </c>
      <c r="E572" s="12" t="s">
        <v>13</v>
      </c>
      <c r="F572" s="12" t="s">
        <v>14</v>
      </c>
      <c r="G572" s="14">
        <v>44645</v>
      </c>
      <c r="H572" s="12" t="s">
        <v>18</v>
      </c>
      <c r="I572" s="12" t="s">
        <v>19</v>
      </c>
      <c r="J572" s="12" t="s">
        <v>40</v>
      </c>
      <c r="K572" s="12">
        <v>230.00200000000001</v>
      </c>
      <c r="L572" s="12">
        <v>186.36699999999999</v>
      </c>
      <c r="O572" s="13">
        <f t="shared" si="17"/>
        <v>0.81028425839775298</v>
      </c>
    </row>
    <row r="573" spans="1:15" x14ac:dyDescent="0.25">
      <c r="A573" s="12">
        <f t="shared" si="16"/>
        <v>3</v>
      </c>
      <c r="B573" s="12">
        <v>2022</v>
      </c>
      <c r="C573" s="12">
        <v>6852</v>
      </c>
      <c r="E573" s="12" t="s">
        <v>13</v>
      </c>
      <c r="F573" s="12" t="s">
        <v>14</v>
      </c>
      <c r="G573" s="14">
        <v>44646</v>
      </c>
      <c r="H573" s="12" t="s">
        <v>18</v>
      </c>
      <c r="I573" s="12" t="s">
        <v>19</v>
      </c>
      <c r="J573" s="12" t="s">
        <v>40</v>
      </c>
      <c r="K573" s="12">
        <v>230.001</v>
      </c>
      <c r="L573" s="12">
        <v>204.27799999999999</v>
      </c>
      <c r="O573" s="13">
        <f t="shared" si="17"/>
        <v>0.88816135582019207</v>
      </c>
    </row>
    <row r="574" spans="1:15" x14ac:dyDescent="0.25">
      <c r="A574" s="12">
        <f t="shared" si="16"/>
        <v>3</v>
      </c>
      <c r="B574" s="12">
        <v>2022</v>
      </c>
      <c r="C574" s="12">
        <v>6853</v>
      </c>
      <c r="E574" s="12" t="s">
        <v>13</v>
      </c>
      <c r="F574" s="12" t="s">
        <v>14</v>
      </c>
      <c r="G574" s="14">
        <v>44647</v>
      </c>
      <c r="H574" s="12" t="s">
        <v>18</v>
      </c>
      <c r="I574" s="12" t="s">
        <v>19</v>
      </c>
      <c r="J574" s="12" t="s">
        <v>40</v>
      </c>
      <c r="K574" s="12">
        <v>230.018</v>
      </c>
      <c r="L574" s="12">
        <v>191.596</v>
      </c>
      <c r="O574" s="13">
        <f t="shared" si="17"/>
        <v>0.83296089871227474</v>
      </c>
    </row>
    <row r="575" spans="1:15" x14ac:dyDescent="0.25">
      <c r="A575" s="12">
        <f t="shared" si="16"/>
        <v>3</v>
      </c>
      <c r="B575" s="12">
        <v>2022</v>
      </c>
      <c r="C575" s="12">
        <v>6854</v>
      </c>
      <c r="E575" s="12" t="s">
        <v>13</v>
      </c>
      <c r="F575" s="12" t="s">
        <v>14</v>
      </c>
      <c r="G575" s="14">
        <v>44648</v>
      </c>
      <c r="H575" s="12" t="s">
        <v>18</v>
      </c>
      <c r="I575" s="12" t="s">
        <v>19</v>
      </c>
      <c r="J575" s="12" t="s">
        <v>40</v>
      </c>
      <c r="K575" s="12">
        <v>230.00899999999999</v>
      </c>
      <c r="L575" s="12">
        <v>191.36</v>
      </c>
      <c r="O575" s="13">
        <f t="shared" si="17"/>
        <v>0.831967444752162</v>
      </c>
    </row>
    <row r="576" spans="1:15" x14ac:dyDescent="0.25">
      <c r="A576" s="12">
        <f t="shared" si="16"/>
        <v>3</v>
      </c>
      <c r="B576" s="12">
        <v>2022</v>
      </c>
      <c r="C576" s="12">
        <v>6855</v>
      </c>
      <c r="E576" s="12" t="s">
        <v>13</v>
      </c>
      <c r="F576" s="12" t="s">
        <v>14</v>
      </c>
      <c r="G576" s="14">
        <v>44649</v>
      </c>
      <c r="H576" s="12" t="s">
        <v>18</v>
      </c>
      <c r="I576" s="12" t="s">
        <v>19</v>
      </c>
      <c r="J576" s="12" t="s">
        <v>40</v>
      </c>
      <c r="K576" s="12">
        <v>230.00899999999999</v>
      </c>
      <c r="L576" s="12">
        <v>199.58099999999999</v>
      </c>
      <c r="O576" s="13">
        <f t="shared" si="17"/>
        <v>0.86770952440991445</v>
      </c>
    </row>
    <row r="577" spans="1:15" x14ac:dyDescent="0.25">
      <c r="A577" s="12">
        <f t="shared" si="16"/>
        <v>3</v>
      </c>
      <c r="B577" s="12">
        <v>2022</v>
      </c>
      <c r="C577" s="12">
        <v>6856</v>
      </c>
      <c r="E577" s="12" t="s">
        <v>13</v>
      </c>
      <c r="F577" s="12" t="s">
        <v>14</v>
      </c>
      <c r="G577" s="14">
        <v>44650</v>
      </c>
      <c r="H577" s="12" t="s">
        <v>18</v>
      </c>
      <c r="I577" s="12" t="s">
        <v>19</v>
      </c>
      <c r="J577" s="12" t="s">
        <v>40</v>
      </c>
      <c r="K577" s="12">
        <v>230.00800000000001</v>
      </c>
      <c r="L577" s="12">
        <v>193.05699999999999</v>
      </c>
      <c r="O577" s="13">
        <f t="shared" si="17"/>
        <v>0.83934906611943927</v>
      </c>
    </row>
    <row r="578" spans="1:15" x14ac:dyDescent="0.25">
      <c r="A578" s="12">
        <f t="shared" ref="A578:A641" si="18">MONTH(G578)</f>
        <v>3</v>
      </c>
      <c r="B578" s="12">
        <v>2022</v>
      </c>
      <c r="C578" s="12">
        <v>6857</v>
      </c>
      <c r="E578" s="12" t="s">
        <v>13</v>
      </c>
      <c r="F578" s="12" t="s">
        <v>14</v>
      </c>
      <c r="G578" s="14">
        <v>44651</v>
      </c>
      <c r="H578" s="12" t="s">
        <v>18</v>
      </c>
      <c r="I578" s="12" t="s">
        <v>19</v>
      </c>
      <c r="J578" s="12" t="s">
        <v>40</v>
      </c>
      <c r="K578" s="12">
        <v>230.00800000000001</v>
      </c>
      <c r="L578" s="12">
        <v>197.006</v>
      </c>
      <c r="O578" s="13">
        <f t="shared" ref="O578:O641" si="19">L578/K578</f>
        <v>0.85651803415533367</v>
      </c>
    </row>
    <row r="579" spans="1:15" x14ac:dyDescent="0.25">
      <c r="A579" s="12">
        <f t="shared" si="18"/>
        <v>4</v>
      </c>
      <c r="B579" s="12">
        <v>2022</v>
      </c>
      <c r="C579" s="12">
        <v>6858</v>
      </c>
      <c r="E579" s="12" t="s">
        <v>13</v>
      </c>
      <c r="F579" s="12" t="s">
        <v>14</v>
      </c>
      <c r="G579" s="14">
        <v>44652</v>
      </c>
      <c r="H579" s="12" t="s">
        <v>18</v>
      </c>
      <c r="I579" s="12" t="s">
        <v>19</v>
      </c>
      <c r="J579" s="12" t="s">
        <v>40</v>
      </c>
      <c r="K579" s="12">
        <v>230.005</v>
      </c>
      <c r="L579" s="12">
        <v>195.34800000000001</v>
      </c>
      <c r="O579" s="13">
        <f t="shared" si="19"/>
        <v>0.84932066694202313</v>
      </c>
    </row>
    <row r="580" spans="1:15" x14ac:dyDescent="0.25">
      <c r="A580" s="12">
        <f t="shared" si="18"/>
        <v>4</v>
      </c>
      <c r="B580" s="12">
        <v>2022</v>
      </c>
      <c r="C580" s="12">
        <v>6859</v>
      </c>
      <c r="E580" s="12" t="s">
        <v>13</v>
      </c>
      <c r="F580" s="12" t="s">
        <v>14</v>
      </c>
      <c r="G580" s="14">
        <v>44653</v>
      </c>
      <c r="H580" s="12" t="s">
        <v>18</v>
      </c>
      <c r="I580" s="12" t="s">
        <v>19</v>
      </c>
      <c r="J580" s="12" t="s">
        <v>40</v>
      </c>
      <c r="K580" s="12">
        <v>230.01</v>
      </c>
      <c r="L580" s="12">
        <v>194.49600000000001</v>
      </c>
      <c r="O580" s="13">
        <f t="shared" si="19"/>
        <v>0.84559801747750107</v>
      </c>
    </row>
    <row r="581" spans="1:15" x14ac:dyDescent="0.25">
      <c r="A581" s="12">
        <f t="shared" si="18"/>
        <v>4</v>
      </c>
      <c r="B581" s="12">
        <v>2022</v>
      </c>
      <c r="C581" s="12">
        <v>6860</v>
      </c>
      <c r="E581" s="12" t="s">
        <v>13</v>
      </c>
      <c r="F581" s="12" t="s">
        <v>14</v>
      </c>
      <c r="G581" s="14">
        <v>44654</v>
      </c>
      <c r="H581" s="12" t="s">
        <v>18</v>
      </c>
      <c r="I581" s="12" t="s">
        <v>19</v>
      </c>
      <c r="J581" s="12" t="s">
        <v>40</v>
      </c>
      <c r="K581" s="12">
        <v>230.01</v>
      </c>
      <c r="L581" s="12">
        <v>193.476</v>
      </c>
      <c r="O581" s="13">
        <f t="shared" si="19"/>
        <v>0.84116342767705754</v>
      </c>
    </row>
    <row r="582" spans="1:15" x14ac:dyDescent="0.25">
      <c r="A582" s="12">
        <f t="shared" si="18"/>
        <v>4</v>
      </c>
      <c r="B582" s="12">
        <v>2022</v>
      </c>
      <c r="C582" s="12">
        <v>6861</v>
      </c>
      <c r="E582" s="12" t="s">
        <v>13</v>
      </c>
      <c r="F582" s="12" t="s">
        <v>14</v>
      </c>
      <c r="G582" s="14">
        <v>44655</v>
      </c>
      <c r="H582" s="12" t="s">
        <v>18</v>
      </c>
      <c r="I582" s="12" t="s">
        <v>19</v>
      </c>
      <c r="J582" s="12" t="s">
        <v>40</v>
      </c>
      <c r="K582" s="12">
        <v>230.00700000000001</v>
      </c>
      <c r="L582" s="12">
        <v>194.459</v>
      </c>
      <c r="O582" s="13">
        <f t="shared" si="19"/>
        <v>0.84544818201185179</v>
      </c>
    </row>
    <row r="583" spans="1:15" x14ac:dyDescent="0.25">
      <c r="A583" s="12">
        <f t="shared" si="18"/>
        <v>4</v>
      </c>
      <c r="B583" s="12">
        <v>2022</v>
      </c>
      <c r="C583" s="12">
        <v>6862</v>
      </c>
      <c r="E583" s="12" t="s">
        <v>13</v>
      </c>
      <c r="F583" s="12" t="s">
        <v>14</v>
      </c>
      <c r="G583" s="14">
        <v>44656</v>
      </c>
      <c r="H583" s="12" t="s">
        <v>18</v>
      </c>
      <c r="I583" s="12" t="s">
        <v>19</v>
      </c>
      <c r="J583" s="12" t="s">
        <v>40</v>
      </c>
      <c r="K583" s="12">
        <v>230.006</v>
      </c>
      <c r="L583" s="12">
        <v>192.5</v>
      </c>
      <c r="O583" s="13">
        <f t="shared" si="19"/>
        <v>0.83693468866029586</v>
      </c>
    </row>
    <row r="584" spans="1:15" x14ac:dyDescent="0.25">
      <c r="A584" s="12">
        <f t="shared" si="18"/>
        <v>4</v>
      </c>
      <c r="B584" s="12">
        <v>2022</v>
      </c>
      <c r="C584" s="12">
        <v>6863</v>
      </c>
      <c r="E584" s="12" t="s">
        <v>13</v>
      </c>
      <c r="F584" s="12" t="s">
        <v>14</v>
      </c>
      <c r="G584" s="14">
        <v>44657</v>
      </c>
      <c r="H584" s="12" t="s">
        <v>18</v>
      </c>
      <c r="I584" s="12" t="s">
        <v>19</v>
      </c>
      <c r="J584" s="12" t="s">
        <v>40</v>
      </c>
      <c r="K584" s="12">
        <v>229.99100000000001</v>
      </c>
      <c r="L584" s="12">
        <v>192.99</v>
      </c>
      <c r="O584" s="13">
        <f t="shared" si="19"/>
        <v>0.83911979164402084</v>
      </c>
    </row>
    <row r="585" spans="1:15" x14ac:dyDescent="0.25">
      <c r="A585" s="12">
        <f t="shared" si="18"/>
        <v>4</v>
      </c>
      <c r="B585" s="12">
        <v>2022</v>
      </c>
      <c r="C585" s="12">
        <v>6864</v>
      </c>
      <c r="E585" s="12" t="s">
        <v>13</v>
      </c>
      <c r="F585" s="12" t="s">
        <v>14</v>
      </c>
      <c r="G585" s="14">
        <v>44658</v>
      </c>
      <c r="H585" s="12" t="s">
        <v>18</v>
      </c>
      <c r="I585" s="12" t="s">
        <v>20</v>
      </c>
      <c r="J585" s="12" t="s">
        <v>42</v>
      </c>
      <c r="K585" s="12">
        <v>230.00200000000001</v>
      </c>
      <c r="L585" s="12">
        <v>192.03100000000001</v>
      </c>
      <c r="O585" s="13">
        <f t="shared" si="19"/>
        <v>0.83491013121625024</v>
      </c>
    </row>
    <row r="586" spans="1:15" x14ac:dyDescent="0.25">
      <c r="A586" s="12">
        <f t="shared" si="18"/>
        <v>4</v>
      </c>
      <c r="B586" s="12">
        <v>2022</v>
      </c>
      <c r="C586" s="12">
        <v>6865</v>
      </c>
      <c r="E586" s="12" t="s">
        <v>13</v>
      </c>
      <c r="F586" s="12" t="s">
        <v>14</v>
      </c>
      <c r="G586" s="14">
        <v>44659</v>
      </c>
      <c r="H586" s="12" t="s">
        <v>18</v>
      </c>
      <c r="I586" s="12" t="s">
        <v>20</v>
      </c>
      <c r="J586" s="12" t="s">
        <v>42</v>
      </c>
      <c r="K586" s="12">
        <v>230.00299999999999</v>
      </c>
      <c r="L586" s="12">
        <v>194.334</v>
      </c>
      <c r="O586" s="13">
        <f t="shared" si="19"/>
        <v>0.84491941409459881</v>
      </c>
    </row>
    <row r="587" spans="1:15" x14ac:dyDescent="0.25">
      <c r="A587" s="12">
        <f t="shared" si="18"/>
        <v>4</v>
      </c>
      <c r="B587" s="12">
        <v>2022</v>
      </c>
      <c r="C587" s="12">
        <v>6866</v>
      </c>
      <c r="E587" s="12" t="s">
        <v>13</v>
      </c>
      <c r="F587" s="12" t="s">
        <v>14</v>
      </c>
      <c r="G587" s="14">
        <v>44660</v>
      </c>
      <c r="H587" s="12" t="s">
        <v>51</v>
      </c>
      <c r="I587" s="12" t="s">
        <v>19</v>
      </c>
      <c r="J587" s="12" t="s">
        <v>41</v>
      </c>
      <c r="K587" s="12">
        <v>230.00299999999999</v>
      </c>
      <c r="L587" s="12">
        <v>194.459</v>
      </c>
      <c r="O587" s="13">
        <f t="shared" si="19"/>
        <v>0.84546288526671398</v>
      </c>
    </row>
    <row r="588" spans="1:15" x14ac:dyDescent="0.25">
      <c r="A588" s="12">
        <f t="shared" si="18"/>
        <v>4</v>
      </c>
      <c r="B588" s="12">
        <v>2022</v>
      </c>
      <c r="C588" s="12">
        <v>6867</v>
      </c>
      <c r="E588" s="12" t="s">
        <v>13</v>
      </c>
      <c r="F588" s="12" t="s">
        <v>14</v>
      </c>
      <c r="G588" s="14">
        <v>44661</v>
      </c>
      <c r="H588" s="12" t="s">
        <v>51</v>
      </c>
      <c r="I588" s="12" t="s">
        <v>19</v>
      </c>
      <c r="J588" s="12" t="s">
        <v>41</v>
      </c>
      <c r="K588" s="12">
        <v>230.00200000000001</v>
      </c>
      <c r="L588" s="12">
        <v>192.143</v>
      </c>
      <c r="O588" s="13">
        <f t="shared" si="19"/>
        <v>0.83539708350362163</v>
      </c>
    </row>
    <row r="589" spans="1:15" x14ac:dyDescent="0.25">
      <c r="A589" s="12">
        <f t="shared" si="18"/>
        <v>4</v>
      </c>
      <c r="B589" s="12">
        <v>2022</v>
      </c>
      <c r="C589" s="12">
        <v>6868</v>
      </c>
      <c r="E589" s="12" t="s">
        <v>13</v>
      </c>
      <c r="F589" s="12" t="s">
        <v>14</v>
      </c>
      <c r="G589" s="14">
        <v>44662</v>
      </c>
      <c r="H589" s="12" t="s">
        <v>51</v>
      </c>
      <c r="I589" s="12" t="s">
        <v>19</v>
      </c>
      <c r="J589" s="12" t="s">
        <v>35</v>
      </c>
      <c r="K589" s="12">
        <v>230.001</v>
      </c>
      <c r="L589" s="12">
        <v>189.65700000000001</v>
      </c>
      <c r="O589" s="13">
        <f t="shared" si="19"/>
        <v>0.82459206699101306</v>
      </c>
    </row>
    <row r="590" spans="1:15" x14ac:dyDescent="0.25">
      <c r="A590" s="12">
        <f t="shared" si="18"/>
        <v>4</v>
      </c>
      <c r="B590" s="12">
        <v>2022</v>
      </c>
      <c r="C590" s="12">
        <v>6869</v>
      </c>
      <c r="E590" s="12" t="s">
        <v>13</v>
      </c>
      <c r="F590" s="12" t="s">
        <v>14</v>
      </c>
      <c r="G590" s="14">
        <v>44663</v>
      </c>
      <c r="H590" s="12" t="s">
        <v>51</v>
      </c>
      <c r="I590" s="12" t="s">
        <v>19</v>
      </c>
      <c r="J590" s="12" t="s">
        <v>35</v>
      </c>
      <c r="K590" s="12">
        <v>230.001</v>
      </c>
      <c r="L590" s="12">
        <v>196.37799999999999</v>
      </c>
      <c r="O590" s="13">
        <f t="shared" si="19"/>
        <v>0.85381367907096051</v>
      </c>
    </row>
    <row r="591" spans="1:15" x14ac:dyDescent="0.25">
      <c r="A591" s="12">
        <f t="shared" si="18"/>
        <v>4</v>
      </c>
      <c r="B591" s="12">
        <v>2022</v>
      </c>
      <c r="C591" s="12">
        <v>6870</v>
      </c>
      <c r="E591" s="12" t="s">
        <v>13</v>
      </c>
      <c r="F591" s="12" t="s">
        <v>14</v>
      </c>
      <c r="G591" s="14">
        <v>44664</v>
      </c>
      <c r="H591" s="12" t="s">
        <v>18</v>
      </c>
      <c r="I591" s="12" t="s">
        <v>19</v>
      </c>
      <c r="J591" s="12" t="s">
        <v>40</v>
      </c>
      <c r="K591" s="12">
        <v>229.98500000000001</v>
      </c>
      <c r="L591" s="12">
        <v>194.70500000000001</v>
      </c>
      <c r="O591" s="13">
        <f t="shared" si="19"/>
        <v>0.84659869121899256</v>
      </c>
    </row>
    <row r="592" spans="1:15" x14ac:dyDescent="0.25">
      <c r="A592" s="12">
        <f t="shared" si="18"/>
        <v>4</v>
      </c>
      <c r="B592" s="12">
        <v>2022</v>
      </c>
      <c r="C592" s="12">
        <v>6871</v>
      </c>
      <c r="E592" s="12" t="s">
        <v>13</v>
      </c>
      <c r="F592" s="12" t="s">
        <v>14</v>
      </c>
      <c r="G592" s="14">
        <v>44665</v>
      </c>
      <c r="H592" s="12" t="s">
        <v>18</v>
      </c>
      <c r="I592" s="12" t="s">
        <v>19</v>
      </c>
      <c r="J592" s="12" t="s">
        <v>40</v>
      </c>
      <c r="K592" s="12">
        <v>229.98599999999999</v>
      </c>
      <c r="L592" s="12">
        <v>192.26400000000001</v>
      </c>
      <c r="O592" s="13">
        <f t="shared" si="19"/>
        <v>0.83598132060212371</v>
      </c>
    </row>
    <row r="593" spans="1:15" x14ac:dyDescent="0.25">
      <c r="A593" s="12">
        <f t="shared" si="18"/>
        <v>4</v>
      </c>
      <c r="B593" s="12">
        <v>2022</v>
      </c>
      <c r="C593" s="12">
        <v>6872</v>
      </c>
      <c r="E593" s="12" t="s">
        <v>13</v>
      </c>
      <c r="F593" s="12" t="s">
        <v>14</v>
      </c>
      <c r="G593" s="14">
        <v>44666</v>
      </c>
      <c r="H593" s="12" t="s">
        <v>18</v>
      </c>
      <c r="I593" s="12" t="s">
        <v>19</v>
      </c>
      <c r="J593" s="12" t="s">
        <v>40</v>
      </c>
      <c r="K593" s="12">
        <v>230.02099999999999</v>
      </c>
      <c r="L593" s="12">
        <v>194.45099999999999</v>
      </c>
      <c r="O593" s="13">
        <f t="shared" si="19"/>
        <v>0.8453619452136979</v>
      </c>
    </row>
    <row r="594" spans="1:15" x14ac:dyDescent="0.25">
      <c r="A594" s="12">
        <f t="shared" si="18"/>
        <v>4</v>
      </c>
      <c r="B594" s="12">
        <v>2022</v>
      </c>
      <c r="C594" s="12">
        <v>6873</v>
      </c>
      <c r="E594" s="12" t="s">
        <v>13</v>
      </c>
      <c r="F594" s="12" t="s">
        <v>14</v>
      </c>
      <c r="G594" s="14">
        <v>44667</v>
      </c>
      <c r="H594" s="12" t="s">
        <v>18</v>
      </c>
      <c r="I594" s="12" t="s">
        <v>19</v>
      </c>
      <c r="J594" s="12" t="s">
        <v>40</v>
      </c>
      <c r="K594" s="12">
        <v>230.00200000000001</v>
      </c>
      <c r="L594" s="12">
        <v>196.17699999999999</v>
      </c>
      <c r="O594" s="13">
        <f t="shared" si="19"/>
        <v>0.85293606142555278</v>
      </c>
    </row>
    <row r="595" spans="1:15" x14ac:dyDescent="0.25">
      <c r="A595" s="12">
        <f t="shared" si="18"/>
        <v>4</v>
      </c>
      <c r="B595" s="12">
        <v>2022</v>
      </c>
      <c r="C595" s="12">
        <v>6874</v>
      </c>
      <c r="E595" s="12" t="s">
        <v>13</v>
      </c>
      <c r="F595" s="12" t="s">
        <v>14</v>
      </c>
      <c r="G595" s="14">
        <v>44668</v>
      </c>
      <c r="H595" s="12" t="s">
        <v>18</v>
      </c>
      <c r="I595" s="12" t="s">
        <v>19</v>
      </c>
      <c r="J595" s="12" t="s">
        <v>40</v>
      </c>
      <c r="K595" s="12">
        <v>230.00200000000001</v>
      </c>
      <c r="L595" s="12">
        <v>194.63</v>
      </c>
      <c r="O595" s="13">
        <f t="shared" si="19"/>
        <v>0.84621003295623509</v>
      </c>
    </row>
    <row r="596" spans="1:15" x14ac:dyDescent="0.25">
      <c r="A596" s="12">
        <f t="shared" si="18"/>
        <v>4</v>
      </c>
      <c r="B596" s="12">
        <v>2022</v>
      </c>
      <c r="C596" s="12">
        <v>6875</v>
      </c>
      <c r="E596" s="12" t="s">
        <v>13</v>
      </c>
      <c r="F596" s="12" t="s">
        <v>14</v>
      </c>
      <c r="G596" s="14">
        <v>44669</v>
      </c>
      <c r="H596" s="12" t="s">
        <v>17</v>
      </c>
      <c r="I596" s="12" t="s">
        <v>19</v>
      </c>
      <c r="J596" s="12" t="s">
        <v>43</v>
      </c>
      <c r="K596" s="12">
        <v>230.001</v>
      </c>
      <c r="L596" s="12">
        <v>191.87799999999999</v>
      </c>
      <c r="O596" s="13">
        <f t="shared" si="19"/>
        <v>0.8342485467454489</v>
      </c>
    </row>
    <row r="597" spans="1:15" x14ac:dyDescent="0.25">
      <c r="A597" s="12">
        <f t="shared" si="18"/>
        <v>4</v>
      </c>
      <c r="B597" s="12">
        <v>2022</v>
      </c>
      <c r="C597" s="12">
        <v>6876</v>
      </c>
      <c r="E597" s="12" t="s">
        <v>13</v>
      </c>
      <c r="F597" s="12" t="s">
        <v>14</v>
      </c>
      <c r="G597" s="14">
        <v>44670</v>
      </c>
      <c r="H597" s="12" t="s">
        <v>17</v>
      </c>
      <c r="I597" s="12" t="s">
        <v>19</v>
      </c>
      <c r="J597" s="12" t="s">
        <v>43</v>
      </c>
      <c r="K597" s="12">
        <v>230.001</v>
      </c>
      <c r="L597" s="12">
        <v>195.81</v>
      </c>
      <c r="O597" s="13">
        <f t="shared" si="19"/>
        <v>0.8513441245907627</v>
      </c>
    </row>
    <row r="598" spans="1:15" x14ac:dyDescent="0.25">
      <c r="A598" s="12">
        <f t="shared" si="18"/>
        <v>4</v>
      </c>
      <c r="B598" s="12">
        <v>2022</v>
      </c>
      <c r="C598" s="12">
        <v>6877</v>
      </c>
      <c r="E598" s="12" t="s">
        <v>13</v>
      </c>
      <c r="F598" s="12" t="s">
        <v>14</v>
      </c>
      <c r="G598" s="14">
        <v>44671</v>
      </c>
      <c r="H598" s="12" t="s">
        <v>17</v>
      </c>
      <c r="I598" s="12" t="s">
        <v>19</v>
      </c>
      <c r="J598" s="12" t="s">
        <v>43</v>
      </c>
      <c r="K598" s="12">
        <v>230.001</v>
      </c>
      <c r="L598" s="12">
        <v>197.285</v>
      </c>
      <c r="O598" s="13">
        <f t="shared" si="19"/>
        <v>0.85775714018634697</v>
      </c>
    </row>
    <row r="599" spans="1:15" x14ac:dyDescent="0.25">
      <c r="A599" s="12">
        <f t="shared" si="18"/>
        <v>4</v>
      </c>
      <c r="B599" s="12">
        <v>2022</v>
      </c>
      <c r="C599" s="12">
        <v>6878</v>
      </c>
      <c r="E599" s="12" t="s">
        <v>13</v>
      </c>
      <c r="F599" s="12" t="s">
        <v>14</v>
      </c>
      <c r="G599" s="14">
        <v>44672</v>
      </c>
      <c r="H599" s="12" t="s">
        <v>17</v>
      </c>
      <c r="I599" s="12" t="s">
        <v>19</v>
      </c>
      <c r="J599" s="12" t="s">
        <v>43</v>
      </c>
      <c r="K599" s="12">
        <v>230</v>
      </c>
      <c r="L599" s="12">
        <v>192.792</v>
      </c>
      <c r="O599" s="13">
        <f t="shared" si="19"/>
        <v>0.83822608695652179</v>
      </c>
    </row>
    <row r="600" spans="1:15" x14ac:dyDescent="0.25">
      <c r="A600" s="12">
        <f t="shared" si="18"/>
        <v>4</v>
      </c>
      <c r="B600" s="12">
        <v>2022</v>
      </c>
      <c r="C600" s="12">
        <v>6879</v>
      </c>
      <c r="E600" s="12" t="s">
        <v>13</v>
      </c>
      <c r="F600" s="12" t="s">
        <v>14</v>
      </c>
      <c r="G600" s="14">
        <v>44673</v>
      </c>
      <c r="H600" s="12" t="s">
        <v>18</v>
      </c>
      <c r="I600" s="12" t="s">
        <v>19</v>
      </c>
      <c r="J600" s="12" t="s">
        <v>40</v>
      </c>
      <c r="K600" s="12">
        <v>230</v>
      </c>
      <c r="L600" s="12">
        <v>200.30199999999999</v>
      </c>
      <c r="O600" s="13">
        <f t="shared" si="19"/>
        <v>0.87087826086956521</v>
      </c>
    </row>
    <row r="601" spans="1:15" x14ac:dyDescent="0.25">
      <c r="A601" s="12">
        <f t="shared" si="18"/>
        <v>4</v>
      </c>
      <c r="B601" s="12">
        <v>2022</v>
      </c>
      <c r="C601" s="12">
        <v>6880</v>
      </c>
      <c r="E601" s="12" t="s">
        <v>13</v>
      </c>
      <c r="F601" s="12" t="s">
        <v>14</v>
      </c>
      <c r="G601" s="14">
        <v>44674</v>
      </c>
      <c r="H601" s="12" t="s">
        <v>18</v>
      </c>
      <c r="I601" s="12" t="s">
        <v>19</v>
      </c>
      <c r="J601" s="12" t="s">
        <v>40</v>
      </c>
      <c r="K601" s="12">
        <v>230</v>
      </c>
      <c r="L601" s="12">
        <v>198.39500000000001</v>
      </c>
      <c r="O601" s="13">
        <f t="shared" si="19"/>
        <v>0.86258695652173922</v>
      </c>
    </row>
    <row r="602" spans="1:15" x14ac:dyDescent="0.25">
      <c r="A602" s="12">
        <f t="shared" si="18"/>
        <v>4</v>
      </c>
      <c r="B602" s="12">
        <v>2022</v>
      </c>
      <c r="C602" s="12">
        <v>6881</v>
      </c>
      <c r="E602" s="12" t="s">
        <v>13</v>
      </c>
      <c r="F602" s="12" t="s">
        <v>14</v>
      </c>
      <c r="G602" s="14">
        <v>44675</v>
      </c>
      <c r="H602" s="12" t="s">
        <v>18</v>
      </c>
      <c r="I602" s="12" t="s">
        <v>19</v>
      </c>
      <c r="J602" s="12" t="s">
        <v>40</v>
      </c>
      <c r="K602" s="12">
        <v>230.001</v>
      </c>
      <c r="L602" s="12">
        <v>193.352</v>
      </c>
      <c r="O602" s="13">
        <f t="shared" si="19"/>
        <v>0.84065721453384989</v>
      </c>
    </row>
    <row r="603" spans="1:15" x14ac:dyDescent="0.25">
      <c r="A603" s="12">
        <f t="shared" si="18"/>
        <v>4</v>
      </c>
      <c r="B603" s="12">
        <v>2022</v>
      </c>
      <c r="C603" s="12">
        <v>6882</v>
      </c>
      <c r="E603" s="12" t="s">
        <v>13</v>
      </c>
      <c r="F603" s="12" t="s">
        <v>14</v>
      </c>
      <c r="G603" s="14">
        <v>44676</v>
      </c>
      <c r="H603" s="12" t="s">
        <v>18</v>
      </c>
      <c r="I603" s="12" t="s">
        <v>19</v>
      </c>
      <c r="J603" s="12" t="s">
        <v>40</v>
      </c>
      <c r="K603" s="12">
        <v>230</v>
      </c>
      <c r="L603" s="12">
        <v>198.50899999999999</v>
      </c>
      <c r="O603" s="13">
        <f t="shared" si="19"/>
        <v>0.86308260869565212</v>
      </c>
    </row>
    <row r="604" spans="1:15" x14ac:dyDescent="0.25">
      <c r="A604" s="12">
        <f t="shared" si="18"/>
        <v>4</v>
      </c>
      <c r="B604" s="12">
        <v>2022</v>
      </c>
      <c r="C604" s="12">
        <v>6883</v>
      </c>
      <c r="E604" s="12" t="s">
        <v>13</v>
      </c>
      <c r="F604" s="12" t="s">
        <v>14</v>
      </c>
      <c r="G604" s="14">
        <v>44677</v>
      </c>
      <c r="H604" s="12" t="s">
        <v>18</v>
      </c>
      <c r="I604" s="12" t="s">
        <v>19</v>
      </c>
      <c r="J604" s="12" t="s">
        <v>40</v>
      </c>
      <c r="K604" s="12">
        <v>230</v>
      </c>
      <c r="L604" s="12">
        <v>190.24199999999999</v>
      </c>
      <c r="O604" s="13">
        <f t="shared" si="19"/>
        <v>0.8271391304347826</v>
      </c>
    </row>
    <row r="605" spans="1:15" x14ac:dyDescent="0.25">
      <c r="A605" s="12">
        <f t="shared" si="18"/>
        <v>4</v>
      </c>
      <c r="B605" s="12">
        <v>2022</v>
      </c>
      <c r="C605" s="12">
        <v>6884</v>
      </c>
      <c r="E605" s="12" t="s">
        <v>13</v>
      </c>
      <c r="F605" s="12" t="s">
        <v>14</v>
      </c>
      <c r="G605" s="14">
        <v>44678</v>
      </c>
      <c r="H605" s="12" t="s">
        <v>37</v>
      </c>
      <c r="I605" s="12" t="s">
        <v>20</v>
      </c>
      <c r="J605" s="12" t="s">
        <v>45</v>
      </c>
      <c r="K605" s="12">
        <v>229.999</v>
      </c>
      <c r="L605" s="12">
        <v>199.09399999999999</v>
      </c>
      <c r="O605" s="13">
        <f t="shared" si="19"/>
        <v>0.86562985056456765</v>
      </c>
    </row>
    <row r="606" spans="1:15" x14ac:dyDescent="0.25">
      <c r="A606" s="12">
        <f t="shared" si="18"/>
        <v>4</v>
      </c>
      <c r="B606" s="12">
        <v>2022</v>
      </c>
      <c r="C606" s="12">
        <v>6885</v>
      </c>
      <c r="E606" s="12" t="s">
        <v>13</v>
      </c>
      <c r="F606" s="12" t="s">
        <v>14</v>
      </c>
      <c r="G606" s="14">
        <v>44679</v>
      </c>
      <c r="H606" s="12" t="s">
        <v>37</v>
      </c>
      <c r="I606" s="12" t="s">
        <v>20</v>
      </c>
      <c r="J606" s="12" t="s">
        <v>45</v>
      </c>
      <c r="K606" s="12">
        <v>229.999</v>
      </c>
      <c r="L606" s="12">
        <v>186.55600000000001</v>
      </c>
      <c r="O606" s="13">
        <f t="shared" si="19"/>
        <v>0.81111657007204385</v>
      </c>
    </row>
    <row r="607" spans="1:15" x14ac:dyDescent="0.25">
      <c r="A607" s="12">
        <f t="shared" si="18"/>
        <v>4</v>
      </c>
      <c r="B607" s="12">
        <v>2022</v>
      </c>
      <c r="C607" s="12">
        <v>6886</v>
      </c>
      <c r="E607" s="12" t="s">
        <v>13</v>
      </c>
      <c r="F607" s="12" t="s">
        <v>14</v>
      </c>
      <c r="G607" s="14">
        <v>44680</v>
      </c>
      <c r="H607" s="12" t="s">
        <v>46</v>
      </c>
      <c r="I607" s="12" t="s">
        <v>20</v>
      </c>
      <c r="J607" s="12" t="s">
        <v>50</v>
      </c>
      <c r="K607" s="12">
        <v>225.001</v>
      </c>
      <c r="L607" s="12">
        <v>185.858</v>
      </c>
      <c r="O607" s="13">
        <f t="shared" si="19"/>
        <v>0.82603188430273644</v>
      </c>
    </row>
    <row r="608" spans="1:15" x14ac:dyDescent="0.25">
      <c r="A608" s="12">
        <f t="shared" si="18"/>
        <v>4</v>
      </c>
      <c r="B608" s="12">
        <v>2022</v>
      </c>
      <c r="C608" s="12">
        <v>6887</v>
      </c>
      <c r="E608" s="12" t="s">
        <v>13</v>
      </c>
      <c r="F608" s="12" t="s">
        <v>14</v>
      </c>
      <c r="G608" s="14">
        <v>44681</v>
      </c>
      <c r="H608" s="12" t="s">
        <v>37</v>
      </c>
      <c r="I608" s="12" t="s">
        <v>19</v>
      </c>
      <c r="J608" s="12" t="s">
        <v>41</v>
      </c>
      <c r="K608" s="12">
        <v>230.006</v>
      </c>
      <c r="L608" s="12">
        <v>193</v>
      </c>
      <c r="O608" s="13">
        <f t="shared" si="19"/>
        <v>0.8391085449944784</v>
      </c>
    </row>
    <row r="609" spans="1:15" x14ac:dyDescent="0.25">
      <c r="A609" s="12">
        <f t="shared" si="18"/>
        <v>5</v>
      </c>
      <c r="B609" s="12">
        <v>2022</v>
      </c>
      <c r="C609" s="12">
        <v>6888</v>
      </c>
      <c r="E609" s="12" t="s">
        <v>13</v>
      </c>
      <c r="F609" s="12" t="s">
        <v>14</v>
      </c>
      <c r="G609" s="14">
        <v>44682</v>
      </c>
      <c r="H609" s="12" t="s">
        <v>37</v>
      </c>
      <c r="I609" s="12" t="s">
        <v>19</v>
      </c>
      <c r="J609" s="12" t="s">
        <v>41</v>
      </c>
      <c r="K609" s="12">
        <v>230.006</v>
      </c>
      <c r="L609" s="12">
        <v>185.643</v>
      </c>
      <c r="O609" s="13">
        <f t="shared" si="19"/>
        <v>0.80712242289331582</v>
      </c>
    </row>
    <row r="610" spans="1:15" x14ac:dyDescent="0.25">
      <c r="A610" s="12">
        <f t="shared" si="18"/>
        <v>5</v>
      </c>
      <c r="B610" s="12">
        <v>2022</v>
      </c>
      <c r="C610" s="12">
        <v>6889</v>
      </c>
      <c r="E610" s="12" t="s">
        <v>13</v>
      </c>
      <c r="F610" s="12" t="s">
        <v>14</v>
      </c>
      <c r="G610" s="14">
        <v>44683</v>
      </c>
      <c r="H610" s="12" t="s">
        <v>37</v>
      </c>
      <c r="I610" s="12" t="s">
        <v>19</v>
      </c>
      <c r="J610" s="12" t="s">
        <v>41</v>
      </c>
      <c r="K610" s="12">
        <v>230.006</v>
      </c>
      <c r="L610" s="12">
        <v>196.971</v>
      </c>
      <c r="O610" s="13">
        <f t="shared" si="19"/>
        <v>0.85637331200055655</v>
      </c>
    </row>
    <row r="611" spans="1:15" x14ac:dyDescent="0.25">
      <c r="A611" s="12">
        <f t="shared" si="18"/>
        <v>5</v>
      </c>
      <c r="B611" s="12">
        <v>2022</v>
      </c>
      <c r="C611" s="12">
        <v>6890</v>
      </c>
      <c r="E611" s="12" t="s">
        <v>13</v>
      </c>
      <c r="F611" s="12" t="s">
        <v>14</v>
      </c>
      <c r="G611" s="14">
        <v>44684</v>
      </c>
      <c r="H611" s="12" t="s">
        <v>37</v>
      </c>
      <c r="I611" s="12" t="s">
        <v>19</v>
      </c>
      <c r="J611" s="12" t="s">
        <v>41</v>
      </c>
      <c r="K611" s="12">
        <v>230.006</v>
      </c>
      <c r="L611" s="12">
        <v>187.089</v>
      </c>
      <c r="O611" s="13">
        <f t="shared" si="19"/>
        <v>0.81340921541177191</v>
      </c>
    </row>
    <row r="612" spans="1:15" x14ac:dyDescent="0.25">
      <c r="A612" s="12">
        <f t="shared" si="18"/>
        <v>5</v>
      </c>
      <c r="B612" s="12">
        <v>2022</v>
      </c>
      <c r="C612" s="12">
        <v>6891</v>
      </c>
      <c r="E612" s="12" t="s">
        <v>13</v>
      </c>
      <c r="F612" s="12" t="s">
        <v>14</v>
      </c>
      <c r="G612" s="14">
        <v>44685</v>
      </c>
      <c r="H612" s="12" t="s">
        <v>37</v>
      </c>
      <c r="I612" s="12" t="s">
        <v>19</v>
      </c>
      <c r="J612" s="12" t="s">
        <v>41</v>
      </c>
      <c r="K612" s="12">
        <v>230.00899999999999</v>
      </c>
      <c r="L612" s="12">
        <v>192.37</v>
      </c>
      <c r="O612" s="13">
        <f t="shared" si="19"/>
        <v>0.83635857727306329</v>
      </c>
    </row>
    <row r="613" spans="1:15" x14ac:dyDescent="0.25">
      <c r="A613" s="12">
        <f t="shared" si="18"/>
        <v>5</v>
      </c>
      <c r="B613" s="12">
        <v>2022</v>
      </c>
      <c r="C613" s="12">
        <v>6892</v>
      </c>
      <c r="E613" s="12" t="s">
        <v>13</v>
      </c>
      <c r="F613" s="12" t="s">
        <v>14</v>
      </c>
      <c r="G613" s="14">
        <v>44686</v>
      </c>
      <c r="H613" s="12" t="s">
        <v>18</v>
      </c>
      <c r="I613" s="12" t="s">
        <v>19</v>
      </c>
      <c r="J613" s="12" t="s">
        <v>40</v>
      </c>
      <c r="K613" s="12">
        <v>230.00700000000001</v>
      </c>
      <c r="L613" s="12">
        <v>192.71</v>
      </c>
      <c r="O613" s="13">
        <f t="shared" si="19"/>
        <v>0.83784406561539437</v>
      </c>
    </row>
    <row r="614" spans="1:15" x14ac:dyDescent="0.25">
      <c r="A614" s="12">
        <f t="shared" si="18"/>
        <v>5</v>
      </c>
      <c r="B614" s="12">
        <v>2022</v>
      </c>
      <c r="C614" s="12">
        <v>6893</v>
      </c>
      <c r="E614" s="12" t="s">
        <v>13</v>
      </c>
      <c r="F614" s="12" t="s">
        <v>14</v>
      </c>
      <c r="G614" s="14">
        <v>44687</v>
      </c>
      <c r="H614" s="12" t="s">
        <v>18</v>
      </c>
      <c r="I614" s="12" t="s">
        <v>19</v>
      </c>
      <c r="J614" s="12" t="s">
        <v>40</v>
      </c>
      <c r="K614" s="12">
        <v>230.00800000000001</v>
      </c>
      <c r="L614" s="12">
        <v>193.36699999999999</v>
      </c>
      <c r="O614" s="13">
        <f t="shared" si="19"/>
        <v>0.84069684532711897</v>
      </c>
    </row>
    <row r="615" spans="1:15" x14ac:dyDescent="0.25">
      <c r="A615" s="12">
        <f t="shared" si="18"/>
        <v>5</v>
      </c>
      <c r="B615" s="12">
        <v>2022</v>
      </c>
      <c r="C615" s="12">
        <v>6894</v>
      </c>
      <c r="E615" s="12" t="s">
        <v>13</v>
      </c>
      <c r="F615" s="12" t="s">
        <v>14</v>
      </c>
      <c r="G615" s="14">
        <v>44688</v>
      </c>
      <c r="H615" s="12" t="s">
        <v>18</v>
      </c>
      <c r="I615" s="12" t="s">
        <v>19</v>
      </c>
      <c r="J615" s="12" t="s">
        <v>40</v>
      </c>
      <c r="K615" s="12">
        <v>230.00200000000001</v>
      </c>
      <c r="L615" s="12">
        <v>199.07</v>
      </c>
      <c r="O615" s="13">
        <f t="shared" si="19"/>
        <v>0.86551421291988762</v>
      </c>
    </row>
    <row r="616" spans="1:15" x14ac:dyDescent="0.25">
      <c r="A616" s="12">
        <f t="shared" si="18"/>
        <v>5</v>
      </c>
      <c r="B616" s="12">
        <v>2022</v>
      </c>
      <c r="C616" s="12">
        <v>6895</v>
      </c>
      <c r="E616" s="12" t="s">
        <v>13</v>
      </c>
      <c r="F616" s="12" t="s">
        <v>14</v>
      </c>
      <c r="G616" s="14">
        <v>44689</v>
      </c>
      <c r="H616" s="12" t="s">
        <v>18</v>
      </c>
      <c r="I616" s="12" t="s">
        <v>19</v>
      </c>
      <c r="J616" s="12" t="s">
        <v>40</v>
      </c>
      <c r="K616" s="12">
        <v>230.001</v>
      </c>
      <c r="L616" s="12">
        <v>196.917</v>
      </c>
      <c r="O616" s="13">
        <f t="shared" si="19"/>
        <v>0.85615714714283853</v>
      </c>
    </row>
    <row r="617" spans="1:15" x14ac:dyDescent="0.25">
      <c r="A617" s="12">
        <f t="shared" si="18"/>
        <v>5</v>
      </c>
      <c r="B617" s="12">
        <v>2022</v>
      </c>
      <c r="C617" s="12">
        <v>6896</v>
      </c>
      <c r="E617" s="12" t="s">
        <v>13</v>
      </c>
      <c r="F617" s="12" t="s">
        <v>14</v>
      </c>
      <c r="G617" s="14">
        <v>44690</v>
      </c>
      <c r="H617" s="12" t="s">
        <v>18</v>
      </c>
      <c r="I617" s="12" t="s">
        <v>19</v>
      </c>
      <c r="J617" s="12" t="s">
        <v>40</v>
      </c>
      <c r="K617" s="12">
        <v>230.005</v>
      </c>
      <c r="L617" s="12">
        <v>193.42699999999999</v>
      </c>
      <c r="O617" s="13">
        <f t="shared" si="19"/>
        <v>0.84096867459403057</v>
      </c>
    </row>
    <row r="618" spans="1:15" x14ac:dyDescent="0.25">
      <c r="A618" s="12">
        <f t="shared" si="18"/>
        <v>5</v>
      </c>
      <c r="B618" s="12">
        <v>2022</v>
      </c>
      <c r="C618" s="12">
        <v>6897</v>
      </c>
      <c r="E618" s="12" t="s">
        <v>13</v>
      </c>
      <c r="F618" s="12" t="s">
        <v>14</v>
      </c>
      <c r="G618" s="14">
        <v>44691</v>
      </c>
      <c r="H618" s="12" t="s">
        <v>51</v>
      </c>
      <c r="I618" s="12" t="s">
        <v>19</v>
      </c>
      <c r="J618" s="12" t="s">
        <v>35</v>
      </c>
      <c r="K618" s="12">
        <v>229.999</v>
      </c>
      <c r="L618" s="12">
        <v>196.07300000000001</v>
      </c>
      <c r="O618" s="13">
        <f t="shared" si="19"/>
        <v>0.85249501084787327</v>
      </c>
    </row>
    <row r="619" spans="1:15" x14ac:dyDescent="0.25">
      <c r="A619" s="12">
        <f t="shared" si="18"/>
        <v>5</v>
      </c>
      <c r="B619" s="12">
        <v>2022</v>
      </c>
      <c r="C619" s="12">
        <v>6898</v>
      </c>
      <c r="E619" s="12" t="s">
        <v>13</v>
      </c>
      <c r="F619" s="12" t="s">
        <v>14</v>
      </c>
      <c r="G619" s="14">
        <v>44692</v>
      </c>
      <c r="H619" s="12" t="s">
        <v>51</v>
      </c>
      <c r="I619" s="12" t="s">
        <v>19</v>
      </c>
      <c r="J619" s="12" t="s">
        <v>35</v>
      </c>
      <c r="K619" s="12">
        <v>229.999</v>
      </c>
      <c r="L619" s="12">
        <v>186.595</v>
      </c>
      <c r="O619" s="13">
        <f t="shared" si="19"/>
        <v>0.81128613602667843</v>
      </c>
    </row>
    <row r="620" spans="1:15" x14ac:dyDescent="0.25">
      <c r="A620" s="12">
        <f t="shared" si="18"/>
        <v>5</v>
      </c>
      <c r="B620" s="12">
        <v>2022</v>
      </c>
      <c r="C620" s="12">
        <v>6899</v>
      </c>
      <c r="E620" s="12" t="s">
        <v>13</v>
      </c>
      <c r="F620" s="12" t="s">
        <v>14</v>
      </c>
      <c r="G620" s="14">
        <v>44693</v>
      </c>
      <c r="H620" s="12" t="s">
        <v>17</v>
      </c>
      <c r="I620" s="12" t="s">
        <v>19</v>
      </c>
      <c r="J620" s="12" t="s">
        <v>49</v>
      </c>
      <c r="K620" s="12">
        <v>230.00399999999999</v>
      </c>
      <c r="L620" s="12">
        <v>195.28200000000001</v>
      </c>
      <c r="O620" s="13">
        <f t="shared" si="19"/>
        <v>0.84903740804507755</v>
      </c>
    </row>
    <row r="621" spans="1:15" x14ac:dyDescent="0.25">
      <c r="A621" s="12">
        <f t="shared" si="18"/>
        <v>5</v>
      </c>
      <c r="B621" s="12">
        <v>2022</v>
      </c>
      <c r="C621" s="12">
        <v>6900</v>
      </c>
      <c r="E621" s="12" t="s">
        <v>13</v>
      </c>
      <c r="F621" s="12" t="s">
        <v>14</v>
      </c>
      <c r="G621" s="14">
        <v>44694</v>
      </c>
      <c r="H621" s="12" t="s">
        <v>17</v>
      </c>
      <c r="I621" s="12" t="s">
        <v>19</v>
      </c>
      <c r="J621" s="12" t="s">
        <v>49</v>
      </c>
      <c r="K621" s="12">
        <v>230.00399999999999</v>
      </c>
      <c r="L621" s="12">
        <v>182.43199999999999</v>
      </c>
      <c r="O621" s="13">
        <f t="shared" si="19"/>
        <v>0.79316881445540077</v>
      </c>
    </row>
    <row r="622" spans="1:15" x14ac:dyDescent="0.25">
      <c r="A622" s="12">
        <f t="shared" si="18"/>
        <v>5</v>
      </c>
      <c r="B622" s="12">
        <v>2022</v>
      </c>
      <c r="C622" s="12">
        <v>6901</v>
      </c>
      <c r="E622" s="12" t="s">
        <v>13</v>
      </c>
      <c r="F622" s="12" t="s">
        <v>14</v>
      </c>
      <c r="G622" s="14">
        <v>44695</v>
      </c>
      <c r="H622" s="12" t="s">
        <v>18</v>
      </c>
      <c r="I622" s="12" t="s">
        <v>19</v>
      </c>
      <c r="J622" s="12" t="s">
        <v>40</v>
      </c>
      <c r="K622" s="12">
        <v>230.02099999999999</v>
      </c>
      <c r="L622" s="12">
        <v>199.999</v>
      </c>
      <c r="O622" s="13">
        <f t="shared" si="19"/>
        <v>0.8694814821255451</v>
      </c>
    </row>
    <row r="623" spans="1:15" x14ac:dyDescent="0.25">
      <c r="A623" s="12">
        <f t="shared" si="18"/>
        <v>5</v>
      </c>
      <c r="B623" s="12">
        <v>2022</v>
      </c>
      <c r="C623" s="12">
        <v>6902</v>
      </c>
      <c r="E623" s="12" t="s">
        <v>13</v>
      </c>
      <c r="F623" s="12" t="s">
        <v>14</v>
      </c>
      <c r="G623" s="14">
        <v>44696</v>
      </c>
      <c r="H623" s="12" t="s">
        <v>18</v>
      </c>
      <c r="I623" s="12" t="s">
        <v>19</v>
      </c>
      <c r="J623" s="12" t="s">
        <v>40</v>
      </c>
      <c r="K623" s="12">
        <v>230.02600000000001</v>
      </c>
      <c r="L623" s="12">
        <v>195.14500000000001</v>
      </c>
      <c r="O623" s="13">
        <f t="shared" si="19"/>
        <v>0.84836062010381441</v>
      </c>
    </row>
    <row r="624" spans="1:15" x14ac:dyDescent="0.25">
      <c r="A624" s="12">
        <f t="shared" si="18"/>
        <v>5</v>
      </c>
      <c r="B624" s="12">
        <v>2022</v>
      </c>
      <c r="C624" s="12">
        <v>6903</v>
      </c>
      <c r="E624" s="12" t="s">
        <v>13</v>
      </c>
      <c r="F624" s="12" t="s">
        <v>14</v>
      </c>
      <c r="G624" s="14">
        <v>44697</v>
      </c>
      <c r="H624" s="12" t="s">
        <v>18</v>
      </c>
      <c r="I624" s="12" t="s">
        <v>19</v>
      </c>
      <c r="J624" s="12" t="s">
        <v>40</v>
      </c>
      <c r="K624" s="12">
        <v>230.02699999999999</v>
      </c>
      <c r="L624" s="12">
        <v>191.38300000000001</v>
      </c>
      <c r="O624" s="13">
        <f t="shared" si="19"/>
        <v>0.83200233016124203</v>
      </c>
    </row>
    <row r="625" spans="1:15" x14ac:dyDescent="0.25">
      <c r="A625" s="12">
        <f t="shared" si="18"/>
        <v>5</v>
      </c>
      <c r="B625" s="12">
        <v>2022</v>
      </c>
      <c r="C625" s="12">
        <v>6904</v>
      </c>
      <c r="E625" s="12" t="s">
        <v>13</v>
      </c>
      <c r="F625" s="12" t="s">
        <v>14</v>
      </c>
      <c r="G625" s="14">
        <v>44698</v>
      </c>
      <c r="H625" s="12" t="s">
        <v>18</v>
      </c>
      <c r="I625" s="12" t="s">
        <v>19</v>
      </c>
      <c r="J625" s="12" t="s">
        <v>40</v>
      </c>
      <c r="K625" s="12">
        <v>230.00700000000001</v>
      </c>
      <c r="L625" s="12">
        <v>198.12299999999999</v>
      </c>
      <c r="O625" s="13">
        <f t="shared" si="19"/>
        <v>0.86137813196989654</v>
      </c>
    </row>
    <row r="626" spans="1:15" x14ac:dyDescent="0.25">
      <c r="A626" s="12">
        <f t="shared" si="18"/>
        <v>5</v>
      </c>
      <c r="B626" s="12">
        <v>2022</v>
      </c>
      <c r="C626" s="12">
        <v>6905</v>
      </c>
      <c r="E626" s="12" t="s">
        <v>13</v>
      </c>
      <c r="F626" s="12" t="s">
        <v>14</v>
      </c>
      <c r="G626" s="14">
        <v>44699</v>
      </c>
      <c r="H626" s="12" t="s">
        <v>18</v>
      </c>
      <c r="I626" s="12" t="s">
        <v>19</v>
      </c>
      <c r="J626" s="12" t="s">
        <v>40</v>
      </c>
      <c r="K626" s="12">
        <v>230.00700000000001</v>
      </c>
      <c r="L626" s="12">
        <v>190.03100000000001</v>
      </c>
      <c r="O626" s="13">
        <f t="shared" si="19"/>
        <v>0.82619659401670387</v>
      </c>
    </row>
    <row r="627" spans="1:15" x14ac:dyDescent="0.25">
      <c r="A627" s="12">
        <f t="shared" si="18"/>
        <v>5</v>
      </c>
      <c r="B627" s="12">
        <v>2022</v>
      </c>
      <c r="C627" s="12">
        <v>6906</v>
      </c>
      <c r="E627" s="12" t="s">
        <v>13</v>
      </c>
      <c r="F627" s="12" t="s">
        <v>14</v>
      </c>
      <c r="G627" s="14">
        <v>44700</v>
      </c>
      <c r="H627" s="12" t="s">
        <v>18</v>
      </c>
      <c r="I627" s="12" t="s">
        <v>20</v>
      </c>
      <c r="J627" s="12" t="s">
        <v>45</v>
      </c>
      <c r="K627" s="12">
        <v>230.03299999999999</v>
      </c>
      <c r="L627" s="12">
        <v>196.76300000000001</v>
      </c>
      <c r="O627" s="13">
        <f t="shared" si="19"/>
        <v>0.85536857755191653</v>
      </c>
    </row>
    <row r="628" spans="1:15" x14ac:dyDescent="0.25">
      <c r="A628" s="12">
        <f t="shared" si="18"/>
        <v>5</v>
      </c>
      <c r="B628" s="12">
        <v>2022</v>
      </c>
      <c r="C628" s="12">
        <v>6907</v>
      </c>
      <c r="E628" s="12" t="s">
        <v>13</v>
      </c>
      <c r="F628" s="12" t="s">
        <v>14</v>
      </c>
      <c r="G628" s="14">
        <v>44701</v>
      </c>
      <c r="H628" s="12" t="s">
        <v>18</v>
      </c>
      <c r="I628" s="12" t="s">
        <v>20</v>
      </c>
      <c r="J628" s="12" t="s">
        <v>42</v>
      </c>
      <c r="K628" s="12">
        <v>230.00700000000001</v>
      </c>
      <c r="L628" s="12">
        <v>186</v>
      </c>
      <c r="O628" s="13">
        <f t="shared" si="19"/>
        <v>0.8086710404465951</v>
      </c>
    </row>
    <row r="629" spans="1:15" x14ac:dyDescent="0.25">
      <c r="A629" s="12">
        <f t="shared" si="18"/>
        <v>5</v>
      </c>
      <c r="B629" s="12">
        <v>2022</v>
      </c>
      <c r="C629" s="12">
        <v>6908</v>
      </c>
      <c r="E629" s="12" t="s">
        <v>13</v>
      </c>
      <c r="F629" s="12" t="s">
        <v>14</v>
      </c>
      <c r="G629" s="14">
        <v>44702</v>
      </c>
      <c r="H629" s="12" t="s">
        <v>18</v>
      </c>
      <c r="I629" s="12" t="s">
        <v>20</v>
      </c>
      <c r="J629" s="12" t="s">
        <v>42</v>
      </c>
      <c r="K629" s="12">
        <v>230.006</v>
      </c>
      <c r="L629" s="12">
        <v>182.58500000000001</v>
      </c>
      <c r="O629" s="13">
        <f t="shared" si="19"/>
        <v>0.79382711755345514</v>
      </c>
    </row>
    <row r="630" spans="1:15" x14ac:dyDescent="0.25">
      <c r="A630" s="12">
        <f t="shared" si="18"/>
        <v>5</v>
      </c>
      <c r="B630" s="12">
        <v>2022</v>
      </c>
      <c r="C630" s="12">
        <v>6909</v>
      </c>
      <c r="E630" s="12" t="s">
        <v>13</v>
      </c>
      <c r="F630" s="12" t="s">
        <v>14</v>
      </c>
      <c r="G630" s="14">
        <v>44703</v>
      </c>
      <c r="H630" s="12" t="s">
        <v>18</v>
      </c>
      <c r="I630" s="12" t="s">
        <v>19</v>
      </c>
      <c r="J630" s="12" t="s">
        <v>40</v>
      </c>
      <c r="K630" s="12">
        <v>230.04300000000001</v>
      </c>
      <c r="L630" s="12">
        <v>195.67400000000001</v>
      </c>
      <c r="O630" s="13">
        <f t="shared" si="19"/>
        <v>0.85059749698969322</v>
      </c>
    </row>
    <row r="631" spans="1:15" x14ac:dyDescent="0.25">
      <c r="A631" s="12">
        <f t="shared" si="18"/>
        <v>5</v>
      </c>
      <c r="B631" s="12">
        <v>2022</v>
      </c>
      <c r="C631" s="12">
        <v>6910</v>
      </c>
      <c r="E631" s="12" t="s">
        <v>13</v>
      </c>
      <c r="F631" s="12" t="s">
        <v>14</v>
      </c>
      <c r="G631" s="14">
        <v>44704</v>
      </c>
      <c r="H631" s="12" t="s">
        <v>18</v>
      </c>
      <c r="I631" s="12" t="s">
        <v>19</v>
      </c>
      <c r="J631" s="12" t="s">
        <v>40</v>
      </c>
      <c r="K631" s="12">
        <v>230.04300000000001</v>
      </c>
      <c r="L631" s="12">
        <v>183.82300000000001</v>
      </c>
      <c r="O631" s="13">
        <f t="shared" si="19"/>
        <v>0.79908104137052638</v>
      </c>
    </row>
    <row r="632" spans="1:15" x14ac:dyDescent="0.25">
      <c r="A632" s="12">
        <f t="shared" si="18"/>
        <v>5</v>
      </c>
      <c r="B632" s="12">
        <v>2022</v>
      </c>
      <c r="C632" s="12">
        <v>6911</v>
      </c>
      <c r="E632" s="12" t="s">
        <v>13</v>
      </c>
      <c r="F632" s="12" t="s">
        <v>14</v>
      </c>
      <c r="G632" s="14">
        <v>44705</v>
      </c>
      <c r="H632" s="12" t="s">
        <v>18</v>
      </c>
      <c r="I632" s="12" t="s">
        <v>19</v>
      </c>
      <c r="J632" s="12" t="s">
        <v>40</v>
      </c>
      <c r="K632" s="12">
        <v>230.01599999999999</v>
      </c>
      <c r="L632" s="12">
        <v>190.90799999999999</v>
      </c>
      <c r="O632" s="13">
        <f t="shared" si="19"/>
        <v>0.82997704507512515</v>
      </c>
    </row>
    <row r="633" spans="1:15" x14ac:dyDescent="0.25">
      <c r="A633" s="12">
        <f t="shared" si="18"/>
        <v>5</v>
      </c>
      <c r="B633" s="12">
        <v>2022</v>
      </c>
      <c r="C633" s="12">
        <v>6912</v>
      </c>
      <c r="E633" s="12" t="s">
        <v>13</v>
      </c>
      <c r="F633" s="12" t="s">
        <v>14</v>
      </c>
      <c r="G633" s="14">
        <v>44706</v>
      </c>
      <c r="H633" s="12" t="s">
        <v>18</v>
      </c>
      <c r="I633" s="12" t="s">
        <v>19</v>
      </c>
      <c r="J633" s="12" t="s">
        <v>40</v>
      </c>
      <c r="K633" s="12">
        <v>230.00700000000001</v>
      </c>
      <c r="L633" s="12">
        <v>194.952</v>
      </c>
      <c r="O633" s="13">
        <f t="shared" si="19"/>
        <v>0.84759159503841186</v>
      </c>
    </row>
    <row r="634" spans="1:15" x14ac:dyDescent="0.25">
      <c r="A634" s="12">
        <f t="shared" si="18"/>
        <v>5</v>
      </c>
      <c r="B634" s="12">
        <v>2022</v>
      </c>
      <c r="C634" s="12">
        <v>6913</v>
      </c>
      <c r="E634" s="12" t="s">
        <v>13</v>
      </c>
      <c r="F634" s="12" t="s">
        <v>14</v>
      </c>
      <c r="G634" s="14">
        <v>44707</v>
      </c>
      <c r="H634" s="12" t="s">
        <v>18</v>
      </c>
      <c r="I634" s="12" t="s">
        <v>19</v>
      </c>
      <c r="J634" s="12" t="s">
        <v>40</v>
      </c>
      <c r="K634" s="12">
        <v>230.00800000000001</v>
      </c>
      <c r="L634" s="12">
        <v>186.101</v>
      </c>
      <c r="O634" s="13">
        <f t="shared" si="19"/>
        <v>0.80910663976905151</v>
      </c>
    </row>
    <row r="635" spans="1:15" x14ac:dyDescent="0.25">
      <c r="A635" s="12">
        <f t="shared" si="18"/>
        <v>5</v>
      </c>
      <c r="B635" s="12">
        <v>2022</v>
      </c>
      <c r="C635" s="12">
        <v>6914</v>
      </c>
      <c r="E635" s="12" t="s">
        <v>13</v>
      </c>
      <c r="F635" s="12" t="s">
        <v>14</v>
      </c>
      <c r="G635" s="14">
        <v>44708</v>
      </c>
      <c r="H635" s="12" t="s">
        <v>18</v>
      </c>
      <c r="I635" s="12" t="s">
        <v>19</v>
      </c>
      <c r="J635" s="12" t="s">
        <v>40</v>
      </c>
      <c r="K635" s="12">
        <v>229.99799999999999</v>
      </c>
      <c r="L635" s="12">
        <v>197.751</v>
      </c>
      <c r="O635" s="13">
        <f t="shared" si="19"/>
        <v>0.85979443299506952</v>
      </c>
    </row>
    <row r="636" spans="1:15" x14ac:dyDescent="0.25">
      <c r="A636" s="12">
        <f t="shared" si="18"/>
        <v>5</v>
      </c>
      <c r="B636" s="12">
        <v>2022</v>
      </c>
      <c r="C636" s="12">
        <v>6915</v>
      </c>
      <c r="E636" s="12" t="s">
        <v>13</v>
      </c>
      <c r="F636" s="12" t="s">
        <v>14</v>
      </c>
      <c r="G636" s="14">
        <v>44709</v>
      </c>
      <c r="H636" s="12" t="s">
        <v>18</v>
      </c>
      <c r="I636" s="12" t="s">
        <v>19</v>
      </c>
      <c r="J636" s="12" t="s">
        <v>40</v>
      </c>
      <c r="K636" s="12">
        <v>229.97900000000001</v>
      </c>
      <c r="L636" s="12">
        <v>189.066</v>
      </c>
      <c r="O636" s="13">
        <f t="shared" si="19"/>
        <v>0.82210114836572035</v>
      </c>
    </row>
    <row r="637" spans="1:15" x14ac:dyDescent="0.25">
      <c r="A637" s="12">
        <f t="shared" si="18"/>
        <v>5</v>
      </c>
      <c r="B637" s="12">
        <v>2022</v>
      </c>
      <c r="C637" s="12">
        <v>6916</v>
      </c>
      <c r="E637" s="12" t="s">
        <v>13</v>
      </c>
      <c r="F637" s="12" t="s">
        <v>14</v>
      </c>
      <c r="G637" s="14">
        <v>44710</v>
      </c>
      <c r="H637" s="12" t="s">
        <v>18</v>
      </c>
      <c r="I637" s="12" t="s">
        <v>19</v>
      </c>
      <c r="J637" s="12" t="s">
        <v>40</v>
      </c>
      <c r="K637" s="12">
        <v>230.005</v>
      </c>
      <c r="L637" s="12">
        <v>194.11</v>
      </c>
      <c r="O637" s="13">
        <f t="shared" si="19"/>
        <v>0.84393817525705972</v>
      </c>
    </row>
    <row r="638" spans="1:15" x14ac:dyDescent="0.25">
      <c r="A638" s="12">
        <f t="shared" si="18"/>
        <v>5</v>
      </c>
      <c r="B638" s="12">
        <v>2022</v>
      </c>
      <c r="C638" s="12">
        <v>6917</v>
      </c>
      <c r="E638" s="12" t="s">
        <v>13</v>
      </c>
      <c r="F638" s="12" t="s">
        <v>14</v>
      </c>
      <c r="G638" s="14">
        <v>44711</v>
      </c>
      <c r="H638" s="12" t="s">
        <v>18</v>
      </c>
      <c r="I638" s="12" t="s">
        <v>19</v>
      </c>
      <c r="J638" s="12" t="s">
        <v>40</v>
      </c>
      <c r="K638" s="12">
        <v>230.001</v>
      </c>
      <c r="L638" s="12">
        <v>192.86199999999999</v>
      </c>
      <c r="O638" s="13">
        <f t="shared" si="19"/>
        <v>0.83852678901396072</v>
      </c>
    </row>
    <row r="639" spans="1:15" x14ac:dyDescent="0.25">
      <c r="A639" s="12">
        <f t="shared" si="18"/>
        <v>5</v>
      </c>
      <c r="B639" s="12">
        <v>2022</v>
      </c>
      <c r="C639" s="12">
        <v>6918</v>
      </c>
      <c r="E639" s="12" t="s">
        <v>13</v>
      </c>
      <c r="F639" s="12" t="s">
        <v>14</v>
      </c>
      <c r="G639" s="14">
        <v>44712</v>
      </c>
      <c r="H639" s="12" t="s">
        <v>18</v>
      </c>
      <c r="I639" s="12" t="s">
        <v>19</v>
      </c>
      <c r="J639" s="12" t="s">
        <v>40</v>
      </c>
      <c r="K639" s="12">
        <v>230.001</v>
      </c>
      <c r="L639" s="12">
        <v>193.898</v>
      </c>
      <c r="O639" s="13">
        <f t="shared" si="19"/>
        <v>0.84303111725601187</v>
      </c>
    </row>
    <row r="640" spans="1:15" x14ac:dyDescent="0.25">
      <c r="A640" s="12">
        <f t="shared" si="18"/>
        <v>6</v>
      </c>
      <c r="B640" s="12">
        <v>2022</v>
      </c>
      <c r="C640" s="12">
        <v>6919</v>
      </c>
      <c r="E640" s="12" t="s">
        <v>13</v>
      </c>
      <c r="F640" s="12" t="s">
        <v>14</v>
      </c>
      <c r="G640" s="14">
        <v>44713</v>
      </c>
      <c r="H640" s="12" t="s">
        <v>18</v>
      </c>
      <c r="I640" s="12" t="s">
        <v>20</v>
      </c>
      <c r="J640" s="12" t="s">
        <v>42</v>
      </c>
      <c r="K640" s="12">
        <v>230.001</v>
      </c>
      <c r="L640" s="12">
        <v>190.95099999999999</v>
      </c>
      <c r="O640" s="13">
        <f t="shared" si="19"/>
        <v>0.83021812948639351</v>
      </c>
    </row>
    <row r="641" spans="1:15" x14ac:dyDescent="0.25">
      <c r="A641" s="12">
        <f t="shared" si="18"/>
        <v>6</v>
      </c>
      <c r="B641" s="12">
        <v>2022</v>
      </c>
      <c r="C641" s="12">
        <v>6920</v>
      </c>
      <c r="E641" s="12" t="s">
        <v>13</v>
      </c>
      <c r="F641" s="12" t="s">
        <v>14</v>
      </c>
      <c r="G641" s="14">
        <v>44714</v>
      </c>
      <c r="H641" s="12" t="s">
        <v>18</v>
      </c>
      <c r="I641" s="12" t="s">
        <v>20</v>
      </c>
      <c r="J641" s="12" t="s">
        <v>42</v>
      </c>
      <c r="K641" s="12">
        <v>230</v>
      </c>
      <c r="L641" s="12">
        <v>193.251</v>
      </c>
      <c r="O641" s="13">
        <f t="shared" si="19"/>
        <v>0.84022173913043485</v>
      </c>
    </row>
    <row r="642" spans="1:15" x14ac:dyDescent="0.25">
      <c r="A642" s="12">
        <f t="shared" ref="A642:A705" si="20">MONTH(G642)</f>
        <v>6</v>
      </c>
      <c r="B642" s="12">
        <v>2022</v>
      </c>
      <c r="C642" s="12">
        <v>6921</v>
      </c>
      <c r="E642" s="12" t="s">
        <v>13</v>
      </c>
      <c r="F642" s="12" t="s">
        <v>14</v>
      </c>
      <c r="G642" s="14">
        <v>44715</v>
      </c>
      <c r="H642" s="12" t="s">
        <v>18</v>
      </c>
      <c r="I642" s="12" t="s">
        <v>20</v>
      </c>
      <c r="J642" s="12" t="s">
        <v>42</v>
      </c>
      <c r="K642" s="12">
        <v>230.00200000000001</v>
      </c>
      <c r="L642" s="12">
        <v>197.82300000000001</v>
      </c>
      <c r="O642" s="13">
        <f t="shared" ref="O642:O705" si="21">L642/K642</f>
        <v>0.86009252093460054</v>
      </c>
    </row>
    <row r="643" spans="1:15" x14ac:dyDescent="0.25">
      <c r="A643" s="12">
        <f t="shared" si="20"/>
        <v>6</v>
      </c>
      <c r="B643" s="12">
        <v>2022</v>
      </c>
      <c r="C643" s="12">
        <v>6922</v>
      </c>
      <c r="E643" s="12" t="s">
        <v>13</v>
      </c>
      <c r="F643" s="12" t="s">
        <v>14</v>
      </c>
      <c r="G643" s="14">
        <v>44716</v>
      </c>
      <c r="H643" s="12" t="s">
        <v>18</v>
      </c>
      <c r="I643" s="12" t="s">
        <v>20</v>
      </c>
      <c r="J643" s="12" t="s">
        <v>42</v>
      </c>
      <c r="K643" s="12">
        <v>230.00200000000001</v>
      </c>
      <c r="L643" s="12">
        <v>193.43799999999999</v>
      </c>
      <c r="O643" s="13">
        <f t="shared" si="21"/>
        <v>0.84102746932635364</v>
      </c>
    </row>
    <row r="644" spans="1:15" x14ac:dyDescent="0.25">
      <c r="A644" s="12">
        <f t="shared" si="20"/>
        <v>6</v>
      </c>
      <c r="B644" s="12">
        <v>2022</v>
      </c>
      <c r="C644" s="12">
        <v>6923</v>
      </c>
      <c r="E644" s="12" t="s">
        <v>13</v>
      </c>
      <c r="F644" s="12" t="s">
        <v>14</v>
      </c>
      <c r="G644" s="14">
        <v>44717</v>
      </c>
      <c r="H644" s="12" t="s">
        <v>18</v>
      </c>
      <c r="I644" s="12" t="s">
        <v>19</v>
      </c>
      <c r="J644" s="12" t="s">
        <v>40</v>
      </c>
      <c r="K644" s="12">
        <v>230.001</v>
      </c>
      <c r="L644" s="12">
        <v>194.32900000000001</v>
      </c>
      <c r="O644" s="13">
        <f t="shared" si="21"/>
        <v>0.84490502215207763</v>
      </c>
    </row>
    <row r="645" spans="1:15" x14ac:dyDescent="0.25">
      <c r="A645" s="12">
        <f t="shared" si="20"/>
        <v>6</v>
      </c>
      <c r="B645" s="12">
        <v>2022</v>
      </c>
      <c r="C645" s="12">
        <v>6924</v>
      </c>
      <c r="E645" s="12" t="s">
        <v>13</v>
      </c>
      <c r="F645" s="12" t="s">
        <v>14</v>
      </c>
      <c r="G645" s="14">
        <v>44718</v>
      </c>
      <c r="H645" s="12" t="s">
        <v>18</v>
      </c>
      <c r="I645" s="12" t="s">
        <v>19</v>
      </c>
      <c r="J645" s="12" t="s">
        <v>40</v>
      </c>
      <c r="K645" s="12">
        <v>230</v>
      </c>
      <c r="L645" s="12">
        <v>196.41800000000001</v>
      </c>
      <c r="O645" s="13">
        <f t="shared" si="21"/>
        <v>0.85399130434782611</v>
      </c>
    </row>
    <row r="646" spans="1:15" x14ac:dyDescent="0.25">
      <c r="A646" s="12">
        <f t="shared" si="20"/>
        <v>6</v>
      </c>
      <c r="B646" s="12">
        <v>2022</v>
      </c>
      <c r="C646" s="12">
        <v>6925</v>
      </c>
      <c r="E646" s="12" t="s">
        <v>13</v>
      </c>
      <c r="F646" s="12" t="s">
        <v>14</v>
      </c>
      <c r="G646" s="14">
        <v>44719</v>
      </c>
      <c r="H646" s="12" t="s">
        <v>18</v>
      </c>
      <c r="I646" s="12" t="s">
        <v>19</v>
      </c>
      <c r="J646" s="12" t="s">
        <v>40</v>
      </c>
      <c r="K646" s="12">
        <v>230</v>
      </c>
      <c r="L646" s="12">
        <v>186.06399999999999</v>
      </c>
      <c r="O646" s="13">
        <f t="shared" si="21"/>
        <v>0.80897391304347821</v>
      </c>
    </row>
    <row r="647" spans="1:15" x14ac:dyDescent="0.25">
      <c r="A647" s="12">
        <f t="shared" si="20"/>
        <v>6</v>
      </c>
      <c r="B647" s="12">
        <v>2022</v>
      </c>
      <c r="C647" s="12">
        <v>6926</v>
      </c>
      <c r="E647" s="12" t="s">
        <v>13</v>
      </c>
      <c r="F647" s="12" t="s">
        <v>14</v>
      </c>
      <c r="G647" s="14">
        <v>44720</v>
      </c>
      <c r="H647" s="12" t="s">
        <v>18</v>
      </c>
      <c r="I647" s="12" t="s">
        <v>19</v>
      </c>
      <c r="J647" s="12" t="s">
        <v>40</v>
      </c>
      <c r="K647" s="12">
        <v>230.00700000000001</v>
      </c>
      <c r="L647" s="12">
        <v>195.18899999999999</v>
      </c>
      <c r="O647" s="13">
        <f t="shared" si="21"/>
        <v>0.84862199846091635</v>
      </c>
    </row>
    <row r="648" spans="1:15" x14ac:dyDescent="0.25">
      <c r="A648" s="12">
        <f t="shared" si="20"/>
        <v>6</v>
      </c>
      <c r="B648" s="12">
        <v>2022</v>
      </c>
      <c r="C648" s="12">
        <v>6927</v>
      </c>
      <c r="E648" s="12" t="s">
        <v>13</v>
      </c>
      <c r="F648" s="12" t="s">
        <v>14</v>
      </c>
      <c r="G648" s="14">
        <v>44721</v>
      </c>
      <c r="H648" s="12" t="s">
        <v>18</v>
      </c>
      <c r="I648" s="12" t="s">
        <v>19</v>
      </c>
      <c r="J648" s="12" t="s">
        <v>40</v>
      </c>
      <c r="K648" s="12">
        <v>230.00700000000001</v>
      </c>
      <c r="L648" s="12">
        <v>187.36</v>
      </c>
      <c r="O648" s="13">
        <f t="shared" si="21"/>
        <v>0.81458390396814018</v>
      </c>
    </row>
    <row r="649" spans="1:15" x14ac:dyDescent="0.25">
      <c r="A649" s="12">
        <f t="shared" si="20"/>
        <v>6</v>
      </c>
      <c r="B649" s="12">
        <v>2022</v>
      </c>
      <c r="C649" s="12">
        <v>6928</v>
      </c>
      <c r="E649" s="12" t="s">
        <v>13</v>
      </c>
      <c r="F649" s="12" t="s">
        <v>14</v>
      </c>
      <c r="G649" s="14">
        <v>44722</v>
      </c>
      <c r="H649" s="12" t="s">
        <v>38</v>
      </c>
      <c r="I649" s="12" t="s">
        <v>19</v>
      </c>
      <c r="J649" s="12" t="s">
        <v>40</v>
      </c>
      <c r="K649" s="12">
        <v>230.00899999999999</v>
      </c>
      <c r="L649" s="12">
        <v>189.22300000000001</v>
      </c>
      <c r="O649" s="13">
        <f t="shared" si="21"/>
        <v>0.82267650396288849</v>
      </c>
    </row>
    <row r="650" spans="1:15" x14ac:dyDescent="0.25">
      <c r="A650" s="12">
        <f t="shared" si="20"/>
        <v>6</v>
      </c>
      <c r="B650" s="12">
        <v>2022</v>
      </c>
      <c r="C650" s="12">
        <v>6929</v>
      </c>
      <c r="E650" s="12" t="s">
        <v>13</v>
      </c>
      <c r="F650" s="12" t="s">
        <v>14</v>
      </c>
      <c r="G650" s="14">
        <v>44723</v>
      </c>
      <c r="H650" s="12" t="s">
        <v>38</v>
      </c>
      <c r="I650" s="12" t="s">
        <v>19</v>
      </c>
      <c r="J650" s="12" t="s">
        <v>40</v>
      </c>
      <c r="K650" s="12">
        <v>230.00899999999999</v>
      </c>
      <c r="L650" s="12">
        <v>196.68600000000001</v>
      </c>
      <c r="O650" s="13">
        <f t="shared" si="21"/>
        <v>0.85512306040198438</v>
      </c>
    </row>
    <row r="651" spans="1:15" x14ac:dyDescent="0.25">
      <c r="A651" s="12">
        <f t="shared" si="20"/>
        <v>6</v>
      </c>
      <c r="B651" s="12">
        <v>2022</v>
      </c>
      <c r="C651" s="12">
        <v>6930</v>
      </c>
      <c r="E651" s="12" t="s">
        <v>13</v>
      </c>
      <c r="F651" s="12" t="s">
        <v>14</v>
      </c>
      <c r="G651" s="14">
        <v>44724</v>
      </c>
      <c r="H651" s="12" t="s">
        <v>38</v>
      </c>
      <c r="I651" s="12" t="s">
        <v>19</v>
      </c>
      <c r="J651" s="12" t="s">
        <v>40</v>
      </c>
      <c r="K651" s="12">
        <v>230.00800000000001</v>
      </c>
      <c r="L651" s="12">
        <v>183.25</v>
      </c>
      <c r="O651" s="13">
        <f t="shared" si="21"/>
        <v>0.79671141873326146</v>
      </c>
    </row>
    <row r="652" spans="1:15" x14ac:dyDescent="0.25">
      <c r="A652" s="12">
        <f t="shared" si="20"/>
        <v>6</v>
      </c>
      <c r="B652" s="12">
        <v>2022</v>
      </c>
      <c r="C652" s="12">
        <v>6931</v>
      </c>
      <c r="E652" s="12" t="s">
        <v>13</v>
      </c>
      <c r="F652" s="12" t="s">
        <v>14</v>
      </c>
      <c r="G652" s="14">
        <v>44725</v>
      </c>
      <c r="H652" s="12" t="s">
        <v>38</v>
      </c>
      <c r="I652" s="12" t="s">
        <v>19</v>
      </c>
      <c r="J652" s="12" t="s">
        <v>40</v>
      </c>
      <c r="K652" s="12">
        <v>230.006</v>
      </c>
      <c r="L652" s="12">
        <v>185.93299999999999</v>
      </c>
      <c r="O652" s="13">
        <f t="shared" si="21"/>
        <v>0.80838325956714174</v>
      </c>
    </row>
    <row r="653" spans="1:15" x14ac:dyDescent="0.25">
      <c r="A653" s="12">
        <f t="shared" si="20"/>
        <v>6</v>
      </c>
      <c r="B653" s="12">
        <v>2022</v>
      </c>
      <c r="C653" s="12">
        <v>6932</v>
      </c>
      <c r="E653" s="12" t="s">
        <v>13</v>
      </c>
      <c r="F653" s="12" t="s">
        <v>14</v>
      </c>
      <c r="G653" s="14">
        <v>44726</v>
      </c>
      <c r="H653" s="12" t="s">
        <v>38</v>
      </c>
      <c r="I653" s="12" t="s">
        <v>19</v>
      </c>
      <c r="J653" s="12" t="s">
        <v>40</v>
      </c>
      <c r="K653" s="12">
        <v>230.00700000000001</v>
      </c>
      <c r="L653" s="12">
        <v>188.73</v>
      </c>
      <c r="O653" s="13">
        <f t="shared" si="21"/>
        <v>0.82054024442734341</v>
      </c>
    </row>
    <row r="654" spans="1:15" x14ac:dyDescent="0.25">
      <c r="A654" s="12">
        <f t="shared" si="20"/>
        <v>6</v>
      </c>
      <c r="B654" s="12">
        <v>2022</v>
      </c>
      <c r="C654" s="12">
        <v>6933</v>
      </c>
      <c r="E654" s="12" t="s">
        <v>13</v>
      </c>
      <c r="F654" s="12" t="s">
        <v>14</v>
      </c>
      <c r="G654" s="14">
        <v>44727</v>
      </c>
      <c r="H654" s="12" t="s">
        <v>51</v>
      </c>
      <c r="I654" s="12" t="s">
        <v>19</v>
      </c>
      <c r="J654" s="12" t="s">
        <v>35</v>
      </c>
      <c r="K654" s="12">
        <v>230.01</v>
      </c>
      <c r="L654" s="12">
        <v>189.64599999999999</v>
      </c>
      <c r="O654" s="13">
        <f t="shared" si="21"/>
        <v>0.82451197774009821</v>
      </c>
    </row>
    <row r="655" spans="1:15" x14ac:dyDescent="0.25">
      <c r="A655" s="12">
        <f t="shared" si="20"/>
        <v>6</v>
      </c>
      <c r="B655" s="12">
        <v>2022</v>
      </c>
      <c r="C655" s="12">
        <v>6934</v>
      </c>
      <c r="E655" s="12" t="s">
        <v>13</v>
      </c>
      <c r="F655" s="12" t="s">
        <v>14</v>
      </c>
      <c r="G655" s="14">
        <v>44728</v>
      </c>
      <c r="H655" s="12" t="s">
        <v>51</v>
      </c>
      <c r="I655" s="12" t="s">
        <v>19</v>
      </c>
      <c r="J655" s="12" t="s">
        <v>35</v>
      </c>
      <c r="K655" s="12">
        <v>230.01</v>
      </c>
      <c r="L655" s="12">
        <v>193.90899999999999</v>
      </c>
      <c r="O655" s="13">
        <f t="shared" si="21"/>
        <v>0.84304595452371633</v>
      </c>
    </row>
    <row r="656" spans="1:15" x14ac:dyDescent="0.25">
      <c r="A656" s="12">
        <f t="shared" si="20"/>
        <v>6</v>
      </c>
      <c r="B656" s="12">
        <v>2022</v>
      </c>
      <c r="C656" s="12">
        <v>6935</v>
      </c>
      <c r="E656" s="12" t="s">
        <v>13</v>
      </c>
      <c r="F656" s="12" t="s">
        <v>14</v>
      </c>
      <c r="G656" s="14">
        <v>44729</v>
      </c>
      <c r="H656" s="12" t="s">
        <v>51</v>
      </c>
      <c r="I656" s="12" t="s">
        <v>19</v>
      </c>
      <c r="J656" s="12" t="s">
        <v>41</v>
      </c>
      <c r="K656" s="12">
        <v>229.988</v>
      </c>
      <c r="L656" s="12">
        <v>195.232</v>
      </c>
      <c r="O656" s="13">
        <f t="shared" si="21"/>
        <v>0.84887907195158008</v>
      </c>
    </row>
    <row r="657" spans="1:15" x14ac:dyDescent="0.25">
      <c r="A657" s="12">
        <f t="shared" si="20"/>
        <v>6</v>
      </c>
      <c r="B657" s="12">
        <v>2022</v>
      </c>
      <c r="C657" s="12">
        <v>6936</v>
      </c>
      <c r="E657" s="12" t="s">
        <v>13</v>
      </c>
      <c r="F657" s="12" t="s">
        <v>14</v>
      </c>
      <c r="G657" s="14">
        <v>44730</v>
      </c>
      <c r="H657" s="12" t="s">
        <v>51</v>
      </c>
      <c r="I657" s="12" t="s">
        <v>19</v>
      </c>
      <c r="J657" s="12" t="s">
        <v>41</v>
      </c>
      <c r="K657" s="12">
        <v>229.989</v>
      </c>
      <c r="L657" s="12">
        <v>189.75</v>
      </c>
      <c r="O657" s="13">
        <f t="shared" si="21"/>
        <v>0.82503945840888038</v>
      </c>
    </row>
    <row r="658" spans="1:15" x14ac:dyDescent="0.25">
      <c r="A658" s="12">
        <f t="shared" si="20"/>
        <v>6</v>
      </c>
      <c r="B658" s="12">
        <v>2022</v>
      </c>
      <c r="C658" s="12">
        <v>6937</v>
      </c>
      <c r="E658" s="12" t="s">
        <v>13</v>
      </c>
      <c r="F658" s="12" t="s">
        <v>14</v>
      </c>
      <c r="G658" s="14">
        <v>44731</v>
      </c>
      <c r="H658" s="12" t="s">
        <v>18</v>
      </c>
      <c r="I658" s="12" t="s">
        <v>19</v>
      </c>
      <c r="J658" s="12" t="s">
        <v>40</v>
      </c>
      <c r="K658" s="12">
        <v>230.00200000000001</v>
      </c>
      <c r="L658" s="12">
        <v>188.15</v>
      </c>
      <c r="O658" s="13">
        <f t="shared" si="21"/>
        <v>0.81803636490117482</v>
      </c>
    </row>
    <row r="659" spans="1:15" x14ac:dyDescent="0.25">
      <c r="A659" s="12">
        <f t="shared" si="20"/>
        <v>6</v>
      </c>
      <c r="B659" s="12">
        <v>2022</v>
      </c>
      <c r="C659" s="12">
        <v>6938</v>
      </c>
      <c r="E659" s="12" t="s">
        <v>13</v>
      </c>
      <c r="F659" s="12" t="s">
        <v>14</v>
      </c>
      <c r="G659" s="14">
        <v>44732</v>
      </c>
      <c r="H659" s="12" t="s">
        <v>18</v>
      </c>
      <c r="I659" s="12" t="s">
        <v>19</v>
      </c>
      <c r="J659" s="12" t="s">
        <v>40</v>
      </c>
      <c r="K659" s="12">
        <v>230.005</v>
      </c>
      <c r="L659" s="12">
        <v>193.41</v>
      </c>
      <c r="O659" s="13">
        <f t="shared" si="21"/>
        <v>0.8408947631573227</v>
      </c>
    </row>
    <row r="660" spans="1:15" x14ac:dyDescent="0.25">
      <c r="A660" s="12">
        <f t="shared" si="20"/>
        <v>6</v>
      </c>
      <c r="B660" s="12">
        <v>2022</v>
      </c>
      <c r="C660" s="12">
        <v>6939</v>
      </c>
      <c r="E660" s="12" t="s">
        <v>13</v>
      </c>
      <c r="F660" s="12" t="s">
        <v>14</v>
      </c>
      <c r="G660" s="14">
        <v>44733</v>
      </c>
      <c r="H660" s="12" t="s">
        <v>18</v>
      </c>
      <c r="I660" s="12" t="s">
        <v>19</v>
      </c>
      <c r="J660" s="12" t="s">
        <v>40</v>
      </c>
      <c r="K660" s="12">
        <v>230.006</v>
      </c>
      <c r="L660" s="12">
        <v>180.34800000000001</v>
      </c>
      <c r="O660" s="13">
        <f t="shared" si="21"/>
        <v>0.78410128431432224</v>
      </c>
    </row>
    <row r="661" spans="1:15" x14ac:dyDescent="0.25">
      <c r="A661" s="12">
        <f t="shared" si="20"/>
        <v>6</v>
      </c>
      <c r="B661" s="12">
        <v>2022</v>
      </c>
      <c r="C661" s="12">
        <v>6940</v>
      </c>
      <c r="E661" s="12" t="s">
        <v>13</v>
      </c>
      <c r="F661" s="12" t="s">
        <v>14</v>
      </c>
      <c r="G661" s="14">
        <v>44734</v>
      </c>
      <c r="H661" s="12" t="s">
        <v>18</v>
      </c>
      <c r="I661" s="12" t="s">
        <v>19</v>
      </c>
      <c r="J661" s="12" t="s">
        <v>40</v>
      </c>
      <c r="K661" s="12">
        <v>230.00399999999999</v>
      </c>
      <c r="L661" s="12">
        <v>191.47300000000001</v>
      </c>
      <c r="O661" s="13">
        <f t="shared" si="21"/>
        <v>0.83247682648997423</v>
      </c>
    </row>
    <row r="662" spans="1:15" x14ac:dyDescent="0.25">
      <c r="A662" s="12">
        <f t="shared" si="20"/>
        <v>6</v>
      </c>
      <c r="B662" s="12">
        <v>2022</v>
      </c>
      <c r="C662" s="12">
        <v>6941</v>
      </c>
      <c r="E662" s="12" t="s">
        <v>13</v>
      </c>
      <c r="F662" s="12" t="s">
        <v>14</v>
      </c>
      <c r="G662" s="14">
        <v>44735</v>
      </c>
      <c r="H662" s="12" t="s">
        <v>18</v>
      </c>
      <c r="I662" s="12" t="s">
        <v>19</v>
      </c>
      <c r="J662" s="12" t="s">
        <v>40</v>
      </c>
      <c r="K662" s="12">
        <v>230.005</v>
      </c>
      <c r="L662" s="12">
        <v>183.68199999999999</v>
      </c>
      <c r="O662" s="13">
        <f t="shared" si="21"/>
        <v>0.79860003043412098</v>
      </c>
    </row>
    <row r="663" spans="1:15" x14ac:dyDescent="0.25">
      <c r="A663" s="12">
        <f t="shared" si="20"/>
        <v>6</v>
      </c>
      <c r="B663" s="12">
        <v>2022</v>
      </c>
      <c r="C663" s="12">
        <v>6942</v>
      </c>
      <c r="E663" s="12" t="s">
        <v>13</v>
      </c>
      <c r="F663" s="12" t="s">
        <v>14</v>
      </c>
      <c r="G663" s="14">
        <v>44736</v>
      </c>
      <c r="H663" s="12" t="s">
        <v>36</v>
      </c>
      <c r="I663" s="12" t="s">
        <v>20</v>
      </c>
      <c r="J663" s="12" t="s">
        <v>42</v>
      </c>
      <c r="K663" s="12">
        <v>230</v>
      </c>
      <c r="L663" s="12">
        <v>183.75800000000001</v>
      </c>
      <c r="O663" s="13">
        <f t="shared" si="21"/>
        <v>0.79894782608695658</v>
      </c>
    </row>
    <row r="664" spans="1:15" x14ac:dyDescent="0.25">
      <c r="A664" s="12">
        <f t="shared" si="20"/>
        <v>6</v>
      </c>
      <c r="B664" s="12">
        <v>2022</v>
      </c>
      <c r="C664" s="12">
        <v>6943</v>
      </c>
      <c r="E664" s="12" t="s">
        <v>13</v>
      </c>
      <c r="F664" s="12" t="s">
        <v>14</v>
      </c>
      <c r="G664" s="14">
        <v>44737</v>
      </c>
      <c r="H664" s="12" t="s">
        <v>36</v>
      </c>
      <c r="I664" s="12" t="s">
        <v>20</v>
      </c>
      <c r="J664" s="12" t="s">
        <v>42</v>
      </c>
      <c r="K664" s="12">
        <v>230</v>
      </c>
      <c r="L664" s="12">
        <v>181.05199999999999</v>
      </c>
      <c r="O664" s="13">
        <f t="shared" si="21"/>
        <v>0.78718260869565215</v>
      </c>
    </row>
    <row r="665" spans="1:15" x14ac:dyDescent="0.25">
      <c r="A665" s="12">
        <f t="shared" si="20"/>
        <v>6</v>
      </c>
      <c r="B665" s="12">
        <v>2022</v>
      </c>
      <c r="C665" s="12">
        <v>6944</v>
      </c>
      <c r="E665" s="12" t="s">
        <v>13</v>
      </c>
      <c r="F665" s="12" t="s">
        <v>14</v>
      </c>
      <c r="G665" s="14">
        <v>44738</v>
      </c>
      <c r="H665" s="12" t="s">
        <v>18</v>
      </c>
      <c r="I665" s="12" t="s">
        <v>19</v>
      </c>
      <c r="J665" s="12" t="s">
        <v>40</v>
      </c>
      <c r="K665" s="12">
        <v>230.01400000000001</v>
      </c>
      <c r="L665" s="12">
        <v>190.31399999999999</v>
      </c>
      <c r="O665" s="13">
        <f t="shared" si="21"/>
        <v>0.82740181032458893</v>
      </c>
    </row>
    <row r="666" spans="1:15" x14ac:dyDescent="0.25">
      <c r="A666" s="12">
        <f t="shared" si="20"/>
        <v>6</v>
      </c>
      <c r="B666" s="12">
        <v>2022</v>
      </c>
      <c r="C666" s="12">
        <v>6945</v>
      </c>
      <c r="E666" s="12" t="s">
        <v>13</v>
      </c>
      <c r="F666" s="12" t="s">
        <v>14</v>
      </c>
      <c r="G666" s="14">
        <v>44739</v>
      </c>
      <c r="H666" s="12" t="s">
        <v>18</v>
      </c>
      <c r="I666" s="12" t="s">
        <v>19</v>
      </c>
      <c r="J666" s="12" t="s">
        <v>40</v>
      </c>
      <c r="K666" s="12">
        <v>230.00899999999999</v>
      </c>
      <c r="L666" s="12">
        <v>187.55500000000001</v>
      </c>
      <c r="O666" s="13">
        <f t="shared" si="21"/>
        <v>0.8154246138194593</v>
      </c>
    </row>
    <row r="667" spans="1:15" x14ac:dyDescent="0.25">
      <c r="A667" s="12">
        <f t="shared" si="20"/>
        <v>6</v>
      </c>
      <c r="B667" s="12">
        <v>2022</v>
      </c>
      <c r="C667" s="12">
        <v>6946</v>
      </c>
      <c r="E667" s="12" t="s">
        <v>13</v>
      </c>
      <c r="F667" s="12" t="s">
        <v>14</v>
      </c>
      <c r="G667" s="14">
        <v>44740</v>
      </c>
      <c r="H667" s="12" t="s">
        <v>18</v>
      </c>
      <c r="I667" s="12" t="s">
        <v>19</v>
      </c>
      <c r="J667" s="12" t="s">
        <v>40</v>
      </c>
      <c r="K667" s="12">
        <v>230.00899999999999</v>
      </c>
      <c r="L667" s="12">
        <v>186.113</v>
      </c>
      <c r="O667" s="13">
        <f t="shared" si="21"/>
        <v>0.80915529392328134</v>
      </c>
    </row>
    <row r="668" spans="1:15" x14ac:dyDescent="0.25">
      <c r="A668" s="12">
        <f t="shared" si="20"/>
        <v>6</v>
      </c>
      <c r="B668" s="12">
        <v>2022</v>
      </c>
      <c r="C668" s="12">
        <v>6947</v>
      </c>
      <c r="E668" s="12" t="s">
        <v>13</v>
      </c>
      <c r="F668" s="12" t="s">
        <v>14</v>
      </c>
      <c r="G668" s="14">
        <v>44741</v>
      </c>
      <c r="H668" s="12" t="s">
        <v>18</v>
      </c>
      <c r="I668" s="12" t="s">
        <v>19</v>
      </c>
      <c r="J668" s="12" t="s">
        <v>40</v>
      </c>
      <c r="K668" s="12">
        <v>230.00299999999999</v>
      </c>
      <c r="L668" s="12">
        <v>190.416</v>
      </c>
      <c r="O668" s="13">
        <f t="shared" si="21"/>
        <v>0.82788485367582165</v>
      </c>
    </row>
    <row r="669" spans="1:15" x14ac:dyDescent="0.25">
      <c r="A669" s="12">
        <f t="shared" si="20"/>
        <v>6</v>
      </c>
      <c r="B669" s="12">
        <v>2022</v>
      </c>
      <c r="C669" s="12">
        <v>6948</v>
      </c>
      <c r="E669" s="12" t="s">
        <v>13</v>
      </c>
      <c r="F669" s="12" t="s">
        <v>14</v>
      </c>
      <c r="G669" s="14">
        <v>44742</v>
      </c>
      <c r="H669" s="12" t="s">
        <v>18</v>
      </c>
      <c r="I669" s="12" t="s">
        <v>19</v>
      </c>
      <c r="J669" s="12" t="s">
        <v>40</v>
      </c>
      <c r="K669" s="12">
        <v>230.00200000000001</v>
      </c>
      <c r="L669" s="12">
        <v>183.14</v>
      </c>
      <c r="O669" s="13">
        <f t="shared" si="21"/>
        <v>0.79625394561786411</v>
      </c>
    </row>
    <row r="670" spans="1:15" x14ac:dyDescent="0.25">
      <c r="A670" s="12">
        <f t="shared" si="20"/>
        <v>7</v>
      </c>
      <c r="B670" s="12">
        <v>2022</v>
      </c>
      <c r="C670" s="12">
        <v>6949</v>
      </c>
      <c r="E670" s="12" t="s">
        <v>13</v>
      </c>
      <c r="F670" s="12" t="s">
        <v>14</v>
      </c>
      <c r="G670" s="14">
        <v>44743</v>
      </c>
      <c r="H670" s="12" t="s">
        <v>51</v>
      </c>
      <c r="I670" s="12" t="s">
        <v>19</v>
      </c>
      <c r="J670" s="12" t="s">
        <v>35</v>
      </c>
      <c r="K670" s="12">
        <v>230.00299999999999</v>
      </c>
      <c r="L670" s="12">
        <v>194.715</v>
      </c>
      <c r="O670" s="13">
        <f t="shared" si="21"/>
        <v>0.84657591422720579</v>
      </c>
    </row>
    <row r="671" spans="1:15" x14ac:dyDescent="0.25">
      <c r="A671" s="12">
        <f t="shared" si="20"/>
        <v>7</v>
      </c>
      <c r="B671" s="12">
        <v>2022</v>
      </c>
      <c r="C671" s="12">
        <v>6950</v>
      </c>
      <c r="E671" s="12" t="s">
        <v>13</v>
      </c>
      <c r="F671" s="12" t="s">
        <v>14</v>
      </c>
      <c r="G671" s="14">
        <v>44744</v>
      </c>
      <c r="H671" s="12" t="s">
        <v>51</v>
      </c>
      <c r="I671" s="12" t="s">
        <v>19</v>
      </c>
      <c r="J671" s="12" t="s">
        <v>35</v>
      </c>
      <c r="K671" s="12">
        <v>230.00200000000001</v>
      </c>
      <c r="L671" s="12">
        <v>186.31</v>
      </c>
      <c r="O671" s="13">
        <f t="shared" si="21"/>
        <v>0.81003643446578721</v>
      </c>
    </row>
    <row r="672" spans="1:15" x14ac:dyDescent="0.25">
      <c r="A672" s="12">
        <f t="shared" si="20"/>
        <v>7</v>
      </c>
      <c r="B672" s="12">
        <v>2022</v>
      </c>
      <c r="C672" s="12">
        <v>6951</v>
      </c>
      <c r="E672" s="12" t="s">
        <v>13</v>
      </c>
      <c r="F672" s="12" t="s">
        <v>14</v>
      </c>
      <c r="G672" s="14">
        <v>44745</v>
      </c>
      <c r="H672" s="12" t="s">
        <v>51</v>
      </c>
      <c r="I672" s="12" t="s">
        <v>19</v>
      </c>
      <c r="J672" s="12" t="s">
        <v>35</v>
      </c>
      <c r="K672" s="12">
        <v>230.005</v>
      </c>
      <c r="L672" s="12">
        <v>194.90299999999999</v>
      </c>
      <c r="O672" s="13">
        <f t="shared" si="21"/>
        <v>0.84738592639290444</v>
      </c>
    </row>
    <row r="673" spans="1:15" x14ac:dyDescent="0.25">
      <c r="A673" s="12">
        <f t="shared" si="20"/>
        <v>7</v>
      </c>
      <c r="B673" s="12">
        <v>2022</v>
      </c>
      <c r="C673" s="12">
        <v>6952</v>
      </c>
      <c r="E673" s="12" t="s">
        <v>13</v>
      </c>
      <c r="F673" s="12" t="s">
        <v>14</v>
      </c>
      <c r="G673" s="14">
        <v>44746</v>
      </c>
      <c r="H673" s="12" t="s">
        <v>51</v>
      </c>
      <c r="I673" s="12" t="s">
        <v>19</v>
      </c>
      <c r="J673" s="12" t="s">
        <v>35</v>
      </c>
      <c r="K673" s="12">
        <v>230.006</v>
      </c>
      <c r="L673" s="12">
        <v>186.68100000000001</v>
      </c>
      <c r="O673" s="13">
        <f t="shared" si="21"/>
        <v>0.81163534864307896</v>
      </c>
    </row>
    <row r="674" spans="1:15" x14ac:dyDescent="0.25">
      <c r="A674" s="12">
        <f t="shared" si="20"/>
        <v>7</v>
      </c>
      <c r="B674" s="12">
        <v>2022</v>
      </c>
      <c r="C674" s="12">
        <v>6953</v>
      </c>
      <c r="E674" s="12" t="s">
        <v>13</v>
      </c>
      <c r="F674" s="12" t="s">
        <v>14</v>
      </c>
      <c r="G674" s="14">
        <v>44747</v>
      </c>
      <c r="H674" s="12" t="s">
        <v>18</v>
      </c>
      <c r="I674" s="12" t="s">
        <v>19</v>
      </c>
      <c r="J674" s="12" t="s">
        <v>40</v>
      </c>
      <c r="K674" s="12">
        <v>230.00200000000001</v>
      </c>
      <c r="L674" s="12">
        <v>186.6</v>
      </c>
      <c r="O674" s="13">
        <f t="shared" si="21"/>
        <v>0.8112972930670167</v>
      </c>
    </row>
    <row r="675" spans="1:15" x14ac:dyDescent="0.25">
      <c r="A675" s="12">
        <f t="shared" si="20"/>
        <v>7</v>
      </c>
      <c r="B675" s="12">
        <v>2022</v>
      </c>
      <c r="C675" s="12">
        <v>6954</v>
      </c>
      <c r="E675" s="12" t="s">
        <v>13</v>
      </c>
      <c r="F675" s="12" t="s">
        <v>14</v>
      </c>
      <c r="G675" s="14">
        <v>44748</v>
      </c>
      <c r="H675" s="12" t="s">
        <v>18</v>
      </c>
      <c r="I675" s="12" t="s">
        <v>19</v>
      </c>
      <c r="J675" s="12" t="s">
        <v>40</v>
      </c>
      <c r="K675" s="12">
        <v>230.00299999999999</v>
      </c>
      <c r="L675" s="12">
        <v>195.17400000000001</v>
      </c>
      <c r="O675" s="13">
        <f t="shared" si="21"/>
        <v>0.84857154037121263</v>
      </c>
    </row>
    <row r="676" spans="1:15" x14ac:dyDescent="0.25">
      <c r="A676" s="12">
        <f t="shared" si="20"/>
        <v>7</v>
      </c>
      <c r="B676" s="12">
        <v>2022</v>
      </c>
      <c r="C676" s="12">
        <v>6955</v>
      </c>
      <c r="E676" s="12" t="s">
        <v>13</v>
      </c>
      <c r="F676" s="12" t="s">
        <v>14</v>
      </c>
      <c r="G676" s="14">
        <v>44749</v>
      </c>
      <c r="H676" s="12" t="s">
        <v>18</v>
      </c>
      <c r="I676" s="12" t="s">
        <v>19</v>
      </c>
      <c r="J676" s="12" t="s">
        <v>40</v>
      </c>
      <c r="K676" s="12">
        <v>230.00299999999999</v>
      </c>
      <c r="L676" s="12">
        <v>186.39599999999999</v>
      </c>
      <c r="O676" s="13">
        <f t="shared" si="21"/>
        <v>0.81040682078059856</v>
      </c>
    </row>
    <row r="677" spans="1:15" x14ac:dyDescent="0.25">
      <c r="A677" s="12">
        <f t="shared" si="20"/>
        <v>7</v>
      </c>
      <c r="B677" s="12">
        <v>2022</v>
      </c>
      <c r="C677" s="12">
        <v>6956</v>
      </c>
      <c r="E677" s="12" t="s">
        <v>13</v>
      </c>
      <c r="F677" s="12" t="s">
        <v>14</v>
      </c>
      <c r="G677" s="14">
        <v>44750</v>
      </c>
      <c r="H677" s="12" t="s">
        <v>18</v>
      </c>
      <c r="I677" s="12" t="s">
        <v>19</v>
      </c>
      <c r="J677" s="12" t="s">
        <v>40</v>
      </c>
      <c r="K677" s="12">
        <v>229.994</v>
      </c>
      <c r="L677" s="12">
        <v>185.435</v>
      </c>
      <c r="O677" s="13">
        <f t="shared" si="21"/>
        <v>0.80626016330860806</v>
      </c>
    </row>
    <row r="678" spans="1:15" x14ac:dyDescent="0.25">
      <c r="A678" s="12">
        <f t="shared" si="20"/>
        <v>7</v>
      </c>
      <c r="B678" s="12">
        <v>2022</v>
      </c>
      <c r="C678" s="12">
        <v>6957</v>
      </c>
      <c r="E678" s="12" t="s">
        <v>13</v>
      </c>
      <c r="F678" s="12" t="s">
        <v>14</v>
      </c>
      <c r="G678" s="14">
        <v>44751</v>
      </c>
      <c r="H678" s="12" t="s">
        <v>18</v>
      </c>
      <c r="I678" s="12" t="s">
        <v>19</v>
      </c>
      <c r="J678" s="12" t="s">
        <v>40</v>
      </c>
      <c r="K678" s="12">
        <v>229.995</v>
      </c>
      <c r="L678" s="12">
        <v>196.70400000000001</v>
      </c>
      <c r="O678" s="13">
        <f t="shared" si="21"/>
        <v>0.85525337507337118</v>
      </c>
    </row>
    <row r="679" spans="1:15" x14ac:dyDescent="0.25">
      <c r="A679" s="12">
        <f t="shared" si="20"/>
        <v>7</v>
      </c>
      <c r="B679" s="12">
        <v>2022</v>
      </c>
      <c r="C679" s="12">
        <v>6958</v>
      </c>
      <c r="E679" s="12" t="s">
        <v>13</v>
      </c>
      <c r="F679" s="12" t="s">
        <v>14</v>
      </c>
      <c r="G679" s="14">
        <v>44752</v>
      </c>
      <c r="H679" s="12" t="s">
        <v>52</v>
      </c>
      <c r="I679" s="12" t="s">
        <v>20</v>
      </c>
      <c r="J679" s="12" t="s">
        <v>44</v>
      </c>
      <c r="K679" s="12">
        <v>225.00399999999999</v>
      </c>
      <c r="L679" s="12">
        <v>183.51400000000001</v>
      </c>
      <c r="O679" s="13">
        <f t="shared" si="21"/>
        <v>0.81560327816394385</v>
      </c>
    </row>
    <row r="680" spans="1:15" x14ac:dyDescent="0.25">
      <c r="A680" s="12">
        <f t="shared" si="20"/>
        <v>7</v>
      </c>
      <c r="B680" s="12">
        <v>2022</v>
      </c>
      <c r="C680" s="12">
        <v>6959</v>
      </c>
      <c r="E680" s="12" t="s">
        <v>13</v>
      </c>
      <c r="F680" s="12" t="s">
        <v>14</v>
      </c>
      <c r="G680" s="14">
        <v>44753</v>
      </c>
      <c r="H680" s="12" t="s">
        <v>52</v>
      </c>
      <c r="I680" s="12" t="s">
        <v>20</v>
      </c>
      <c r="J680" s="12" t="s">
        <v>42</v>
      </c>
      <c r="K680" s="12">
        <v>224.99600000000001</v>
      </c>
      <c r="L680" s="12">
        <v>184.83199999999999</v>
      </c>
      <c r="O680" s="13">
        <f t="shared" si="21"/>
        <v>0.82149015982506346</v>
      </c>
    </row>
    <row r="681" spans="1:15" x14ac:dyDescent="0.25">
      <c r="A681" s="12">
        <f t="shared" si="20"/>
        <v>7</v>
      </c>
      <c r="B681" s="12">
        <v>2022</v>
      </c>
      <c r="C681" s="12">
        <v>6960</v>
      </c>
      <c r="E681" s="12" t="s">
        <v>13</v>
      </c>
      <c r="F681" s="12" t="s">
        <v>14</v>
      </c>
      <c r="G681" s="14">
        <v>44754</v>
      </c>
      <c r="H681" s="12" t="s">
        <v>18</v>
      </c>
      <c r="I681" s="12" t="s">
        <v>19</v>
      </c>
      <c r="J681" s="12" t="s">
        <v>40</v>
      </c>
      <c r="K681" s="12">
        <v>230.00899999999999</v>
      </c>
      <c r="L681" s="12">
        <v>195.01499999999999</v>
      </c>
      <c r="O681" s="13">
        <f t="shared" si="21"/>
        <v>0.84785812729067123</v>
      </c>
    </row>
    <row r="682" spans="1:15" x14ac:dyDescent="0.25">
      <c r="A682" s="12">
        <f t="shared" si="20"/>
        <v>7</v>
      </c>
      <c r="B682" s="12">
        <v>2022</v>
      </c>
      <c r="C682" s="12">
        <v>6961</v>
      </c>
      <c r="E682" s="12" t="s">
        <v>13</v>
      </c>
      <c r="F682" s="12" t="s">
        <v>14</v>
      </c>
      <c r="G682" s="14">
        <v>44755</v>
      </c>
      <c r="H682" s="12" t="s">
        <v>18</v>
      </c>
      <c r="I682" s="12" t="s">
        <v>19</v>
      </c>
      <c r="J682" s="12" t="s">
        <v>40</v>
      </c>
      <c r="K682" s="12">
        <v>230.00899999999999</v>
      </c>
      <c r="L682" s="12">
        <v>182.38</v>
      </c>
      <c r="O682" s="13">
        <f t="shared" si="21"/>
        <v>0.79292549421979142</v>
      </c>
    </row>
    <row r="683" spans="1:15" x14ac:dyDescent="0.25">
      <c r="A683" s="12">
        <f t="shared" si="20"/>
        <v>7</v>
      </c>
      <c r="B683" s="12">
        <v>2022</v>
      </c>
      <c r="C683" s="12">
        <v>6962</v>
      </c>
      <c r="E683" s="12" t="s">
        <v>13</v>
      </c>
      <c r="F683" s="12" t="s">
        <v>14</v>
      </c>
      <c r="G683" s="14">
        <v>44756</v>
      </c>
      <c r="H683" s="12" t="s">
        <v>18</v>
      </c>
      <c r="I683" s="12" t="s">
        <v>19</v>
      </c>
      <c r="J683" s="12" t="s">
        <v>40</v>
      </c>
      <c r="K683" s="12">
        <v>230.01300000000001</v>
      </c>
      <c r="L683" s="12">
        <v>189.774</v>
      </c>
      <c r="O683" s="13">
        <f t="shared" si="21"/>
        <v>0.82505771412920137</v>
      </c>
    </row>
    <row r="684" spans="1:15" x14ac:dyDescent="0.25">
      <c r="A684" s="12">
        <f t="shared" si="20"/>
        <v>7</v>
      </c>
      <c r="B684" s="12">
        <v>2022</v>
      </c>
      <c r="C684" s="12">
        <v>6963</v>
      </c>
      <c r="E684" s="12" t="s">
        <v>13</v>
      </c>
      <c r="F684" s="12" t="s">
        <v>14</v>
      </c>
      <c r="G684" s="14">
        <v>44757</v>
      </c>
      <c r="H684" s="12" t="s">
        <v>18</v>
      </c>
      <c r="I684" s="12" t="s">
        <v>19</v>
      </c>
      <c r="J684" s="12" t="s">
        <v>40</v>
      </c>
      <c r="K684" s="12">
        <v>229.99600000000001</v>
      </c>
      <c r="L684" s="12">
        <v>193.483</v>
      </c>
      <c r="O684" s="13">
        <f t="shared" si="21"/>
        <v>0.84124506513156749</v>
      </c>
    </row>
    <row r="685" spans="1:15" x14ac:dyDescent="0.25">
      <c r="A685" s="12">
        <f t="shared" si="20"/>
        <v>7</v>
      </c>
      <c r="B685" s="12">
        <v>2022</v>
      </c>
      <c r="C685" s="12">
        <v>6964</v>
      </c>
      <c r="E685" s="12" t="s">
        <v>13</v>
      </c>
      <c r="F685" s="12" t="s">
        <v>14</v>
      </c>
      <c r="G685" s="14">
        <v>44758</v>
      </c>
      <c r="H685" s="12" t="s">
        <v>18</v>
      </c>
      <c r="I685" s="12" t="s">
        <v>19</v>
      </c>
      <c r="J685" s="12" t="s">
        <v>40</v>
      </c>
      <c r="K685" s="12">
        <v>229.99600000000001</v>
      </c>
      <c r="L685" s="12">
        <v>183.834</v>
      </c>
      <c r="O685" s="13">
        <f t="shared" si="21"/>
        <v>0.79929216160281047</v>
      </c>
    </row>
    <row r="686" spans="1:15" x14ac:dyDescent="0.25">
      <c r="A686" s="12">
        <f t="shared" si="20"/>
        <v>7</v>
      </c>
      <c r="B686" s="12">
        <v>2022</v>
      </c>
      <c r="C686" s="12">
        <v>6965</v>
      </c>
      <c r="E686" s="12" t="s">
        <v>13</v>
      </c>
      <c r="F686" s="12" t="s">
        <v>14</v>
      </c>
      <c r="G686" s="14">
        <v>44759</v>
      </c>
      <c r="H686" s="12" t="s">
        <v>18</v>
      </c>
      <c r="I686" s="12" t="s">
        <v>20</v>
      </c>
      <c r="J686" s="12" t="s">
        <v>42</v>
      </c>
      <c r="K686" s="12">
        <v>225.00800000000001</v>
      </c>
      <c r="L686" s="12">
        <v>186.667</v>
      </c>
      <c r="O686" s="13">
        <f t="shared" si="21"/>
        <v>0.82960161416482969</v>
      </c>
    </row>
    <row r="687" spans="1:15" x14ac:dyDescent="0.25">
      <c r="A687" s="12">
        <f t="shared" si="20"/>
        <v>7</v>
      </c>
      <c r="B687" s="12">
        <v>2022</v>
      </c>
      <c r="C687" s="12">
        <v>6966</v>
      </c>
      <c r="E687" s="12" t="s">
        <v>13</v>
      </c>
      <c r="F687" s="12" t="s">
        <v>14</v>
      </c>
      <c r="G687" s="14">
        <v>44760</v>
      </c>
      <c r="H687" s="12" t="s">
        <v>18</v>
      </c>
      <c r="I687" s="12" t="s">
        <v>20</v>
      </c>
      <c r="J687" s="12" t="s">
        <v>42</v>
      </c>
      <c r="K687" s="12">
        <v>225.00700000000001</v>
      </c>
      <c r="L687" s="12">
        <v>183.45500000000001</v>
      </c>
      <c r="O687" s="13">
        <f t="shared" si="21"/>
        <v>0.81533018972743077</v>
      </c>
    </row>
    <row r="688" spans="1:15" x14ac:dyDescent="0.25">
      <c r="A688" s="12">
        <f t="shared" si="20"/>
        <v>7</v>
      </c>
      <c r="B688" s="12">
        <v>2022</v>
      </c>
      <c r="C688" s="12">
        <v>6967</v>
      </c>
      <c r="E688" s="12" t="s">
        <v>13</v>
      </c>
      <c r="F688" s="12" t="s">
        <v>14</v>
      </c>
      <c r="G688" s="14">
        <v>44761</v>
      </c>
      <c r="H688" s="12" t="s">
        <v>18</v>
      </c>
      <c r="I688" s="12" t="s">
        <v>19</v>
      </c>
      <c r="J688" s="12" t="s">
        <v>40</v>
      </c>
      <c r="K688" s="12">
        <v>230.01400000000001</v>
      </c>
      <c r="L688" s="12">
        <v>186.58199999999999</v>
      </c>
      <c r="O688" s="13">
        <f t="shared" si="21"/>
        <v>0.81117671098280963</v>
      </c>
    </row>
    <row r="689" spans="1:15" x14ac:dyDescent="0.25">
      <c r="A689" s="12">
        <f t="shared" si="20"/>
        <v>7</v>
      </c>
      <c r="B689" s="12">
        <v>2022</v>
      </c>
      <c r="C689" s="12">
        <v>6968</v>
      </c>
      <c r="E689" s="12" t="s">
        <v>13</v>
      </c>
      <c r="F689" s="12" t="s">
        <v>14</v>
      </c>
      <c r="G689" s="14">
        <v>44762</v>
      </c>
      <c r="H689" s="12" t="s">
        <v>18</v>
      </c>
      <c r="I689" s="12" t="s">
        <v>19</v>
      </c>
      <c r="J689" s="12" t="s">
        <v>40</v>
      </c>
      <c r="K689" s="12">
        <v>230.00800000000001</v>
      </c>
      <c r="L689" s="12">
        <v>194.15700000000001</v>
      </c>
      <c r="O689" s="13">
        <f t="shared" si="21"/>
        <v>0.84413150846927065</v>
      </c>
    </row>
    <row r="690" spans="1:15" x14ac:dyDescent="0.25">
      <c r="A690" s="12">
        <f t="shared" si="20"/>
        <v>7</v>
      </c>
      <c r="B690" s="12">
        <v>2022</v>
      </c>
      <c r="C690" s="12">
        <v>6969</v>
      </c>
      <c r="E690" s="12" t="s">
        <v>13</v>
      </c>
      <c r="F690" s="12" t="s">
        <v>14</v>
      </c>
      <c r="G690" s="14">
        <v>44763</v>
      </c>
      <c r="H690" s="12" t="s">
        <v>18</v>
      </c>
      <c r="I690" s="12" t="s">
        <v>19</v>
      </c>
      <c r="J690" s="12" t="s">
        <v>40</v>
      </c>
      <c r="K690" s="12">
        <v>230.00700000000001</v>
      </c>
      <c r="L690" s="12">
        <v>185.42599999999999</v>
      </c>
      <c r="O690" s="13">
        <f t="shared" si="21"/>
        <v>0.80617546422500175</v>
      </c>
    </row>
    <row r="691" spans="1:15" x14ac:dyDescent="0.25">
      <c r="A691" s="12">
        <f t="shared" si="20"/>
        <v>7</v>
      </c>
      <c r="B691" s="12">
        <v>2022</v>
      </c>
      <c r="C691" s="12">
        <v>6970</v>
      </c>
      <c r="E691" s="12" t="s">
        <v>13</v>
      </c>
      <c r="F691" s="12" t="s">
        <v>14</v>
      </c>
      <c r="G691" s="14">
        <v>44764</v>
      </c>
      <c r="H691" s="12" t="s">
        <v>18</v>
      </c>
      <c r="I691" s="12" t="s">
        <v>19</v>
      </c>
      <c r="J691" s="12" t="s">
        <v>40</v>
      </c>
      <c r="K691" s="12">
        <v>230.006</v>
      </c>
      <c r="L691" s="12">
        <v>191.833</v>
      </c>
      <c r="O691" s="13">
        <f t="shared" si="21"/>
        <v>0.83403476431049628</v>
      </c>
    </row>
    <row r="692" spans="1:15" x14ac:dyDescent="0.25">
      <c r="A692" s="12">
        <f t="shared" si="20"/>
        <v>7</v>
      </c>
      <c r="B692" s="12">
        <v>2022</v>
      </c>
      <c r="C692" s="12">
        <v>6971</v>
      </c>
      <c r="E692" s="12" t="s">
        <v>13</v>
      </c>
      <c r="F692" s="12" t="s">
        <v>14</v>
      </c>
      <c r="G692" s="14">
        <v>44765</v>
      </c>
      <c r="H692" s="12" t="s">
        <v>18</v>
      </c>
      <c r="I692" s="12" t="s">
        <v>19</v>
      </c>
      <c r="J692" s="12" t="s">
        <v>40</v>
      </c>
      <c r="K692" s="12">
        <v>230.005</v>
      </c>
      <c r="L692" s="12">
        <v>177.143</v>
      </c>
      <c r="O692" s="13">
        <f t="shared" si="21"/>
        <v>0.77017021369100669</v>
      </c>
    </row>
    <row r="693" spans="1:15" x14ac:dyDescent="0.25">
      <c r="A693" s="12">
        <f t="shared" si="20"/>
        <v>7</v>
      </c>
      <c r="B693" s="12">
        <v>2022</v>
      </c>
      <c r="C693" s="12">
        <v>6972</v>
      </c>
      <c r="E693" s="12" t="s">
        <v>13</v>
      </c>
      <c r="F693" s="12" t="s">
        <v>14</v>
      </c>
      <c r="G693" s="14">
        <v>44766</v>
      </c>
      <c r="H693" s="12" t="s">
        <v>18</v>
      </c>
      <c r="I693" s="12" t="s">
        <v>20</v>
      </c>
      <c r="J693" s="12" t="s">
        <v>42</v>
      </c>
      <c r="K693" s="12">
        <v>225.00200000000001</v>
      </c>
      <c r="L693" s="12">
        <v>188.46899999999999</v>
      </c>
      <c r="O693" s="13">
        <f t="shared" si="21"/>
        <v>0.83763255437729434</v>
      </c>
    </row>
    <row r="694" spans="1:15" x14ac:dyDescent="0.25">
      <c r="A694" s="12">
        <f t="shared" si="20"/>
        <v>7</v>
      </c>
      <c r="B694" s="12">
        <v>2022</v>
      </c>
      <c r="C694" s="12">
        <v>6973</v>
      </c>
      <c r="E694" s="12" t="s">
        <v>13</v>
      </c>
      <c r="F694" s="12" t="s">
        <v>14</v>
      </c>
      <c r="G694" s="14">
        <v>44767</v>
      </c>
      <c r="H694" s="12" t="s">
        <v>18</v>
      </c>
      <c r="I694" s="12" t="s">
        <v>20</v>
      </c>
      <c r="J694" s="12" t="s">
        <v>42</v>
      </c>
      <c r="K694" s="12">
        <v>225.001</v>
      </c>
      <c r="L694" s="12">
        <v>183.673</v>
      </c>
      <c r="O694" s="13">
        <f t="shared" si="21"/>
        <v>0.81632081635192733</v>
      </c>
    </row>
    <row r="695" spans="1:15" x14ac:dyDescent="0.25">
      <c r="A695" s="12">
        <f t="shared" si="20"/>
        <v>7</v>
      </c>
      <c r="B695" s="12">
        <v>2022</v>
      </c>
      <c r="C695" s="12">
        <v>6974</v>
      </c>
      <c r="E695" s="12" t="s">
        <v>13</v>
      </c>
      <c r="F695" s="12" t="s">
        <v>14</v>
      </c>
      <c r="G695" s="14">
        <v>44768</v>
      </c>
      <c r="H695" s="12" t="s">
        <v>18</v>
      </c>
      <c r="I695" s="12" t="s">
        <v>20</v>
      </c>
      <c r="J695" s="12" t="s">
        <v>42</v>
      </c>
      <c r="K695" s="12">
        <v>225.00299999999999</v>
      </c>
      <c r="L695" s="12">
        <v>187.18100000000001</v>
      </c>
      <c r="O695" s="13">
        <f t="shared" si="21"/>
        <v>0.83190446349604241</v>
      </c>
    </row>
    <row r="696" spans="1:15" x14ac:dyDescent="0.25">
      <c r="A696" s="12">
        <f t="shared" si="20"/>
        <v>7</v>
      </c>
      <c r="B696" s="12">
        <v>2022</v>
      </c>
      <c r="C696" s="12">
        <v>6975</v>
      </c>
      <c r="E696" s="12" t="s">
        <v>13</v>
      </c>
      <c r="F696" s="12" t="s">
        <v>14</v>
      </c>
      <c r="G696" s="14">
        <v>44769</v>
      </c>
      <c r="H696" s="12" t="s">
        <v>18</v>
      </c>
      <c r="I696" s="12" t="s">
        <v>20</v>
      </c>
      <c r="J696" s="12" t="s">
        <v>42</v>
      </c>
      <c r="K696" s="12">
        <v>225.00299999999999</v>
      </c>
      <c r="L696" s="12">
        <v>185.46600000000001</v>
      </c>
      <c r="O696" s="13">
        <f t="shared" si="21"/>
        <v>0.82428234290209468</v>
      </c>
    </row>
    <row r="697" spans="1:15" x14ac:dyDescent="0.25">
      <c r="A697" s="12">
        <f t="shared" si="20"/>
        <v>7</v>
      </c>
      <c r="B697" s="12">
        <v>2022</v>
      </c>
      <c r="C697" s="12">
        <v>6976</v>
      </c>
      <c r="E697" s="12" t="s">
        <v>13</v>
      </c>
      <c r="F697" s="12" t="s">
        <v>14</v>
      </c>
      <c r="G697" s="14">
        <v>44770</v>
      </c>
      <c r="H697" s="12" t="s">
        <v>18</v>
      </c>
      <c r="I697" s="12" t="s">
        <v>19</v>
      </c>
      <c r="J697" s="12" t="s">
        <v>40</v>
      </c>
      <c r="K697" s="12">
        <v>229.999</v>
      </c>
      <c r="L697" s="12">
        <v>187.86199999999999</v>
      </c>
      <c r="O697" s="13">
        <f t="shared" si="21"/>
        <v>0.81679485562980703</v>
      </c>
    </row>
    <row r="698" spans="1:15" x14ac:dyDescent="0.25">
      <c r="A698" s="12">
        <f t="shared" si="20"/>
        <v>7</v>
      </c>
      <c r="B698" s="12">
        <v>2022</v>
      </c>
      <c r="C698" s="12">
        <v>6977</v>
      </c>
      <c r="E698" s="12" t="s">
        <v>13</v>
      </c>
      <c r="F698" s="12" t="s">
        <v>14</v>
      </c>
      <c r="G698" s="14">
        <v>44771</v>
      </c>
      <c r="H698" s="12" t="s">
        <v>18</v>
      </c>
      <c r="I698" s="12" t="s">
        <v>19</v>
      </c>
      <c r="J698" s="12" t="s">
        <v>40</v>
      </c>
      <c r="K698" s="12">
        <v>230.01</v>
      </c>
      <c r="L698" s="12">
        <v>193.62100000000001</v>
      </c>
      <c r="O698" s="13">
        <f t="shared" si="21"/>
        <v>0.84179383505065009</v>
      </c>
    </row>
    <row r="699" spans="1:15" x14ac:dyDescent="0.25">
      <c r="A699" s="12">
        <f t="shared" si="20"/>
        <v>7</v>
      </c>
      <c r="B699" s="12">
        <v>2022</v>
      </c>
      <c r="C699" s="12">
        <v>6978</v>
      </c>
      <c r="E699" s="12" t="s">
        <v>13</v>
      </c>
      <c r="F699" s="12" t="s">
        <v>14</v>
      </c>
      <c r="G699" s="14">
        <v>44772</v>
      </c>
      <c r="H699" s="12" t="s">
        <v>18</v>
      </c>
      <c r="I699" s="12" t="s">
        <v>19</v>
      </c>
      <c r="J699" s="12" t="s">
        <v>40</v>
      </c>
      <c r="K699" s="12">
        <v>230.011</v>
      </c>
      <c r="L699" s="12">
        <v>189</v>
      </c>
      <c r="O699" s="13">
        <f t="shared" si="21"/>
        <v>0.82169983174717731</v>
      </c>
    </row>
    <row r="700" spans="1:15" x14ac:dyDescent="0.25">
      <c r="A700" s="12">
        <f t="shared" si="20"/>
        <v>7</v>
      </c>
      <c r="B700" s="12">
        <v>2022</v>
      </c>
      <c r="C700" s="12">
        <v>6979</v>
      </c>
      <c r="E700" s="12" t="s">
        <v>13</v>
      </c>
      <c r="F700" s="12" t="s">
        <v>14</v>
      </c>
      <c r="G700" s="14">
        <v>44773</v>
      </c>
      <c r="H700" s="12" t="s">
        <v>18</v>
      </c>
      <c r="I700" s="12" t="s">
        <v>19</v>
      </c>
      <c r="J700" s="12" t="s">
        <v>40</v>
      </c>
      <c r="K700" s="12">
        <v>230.006</v>
      </c>
      <c r="L700" s="12">
        <v>189</v>
      </c>
      <c r="O700" s="13">
        <f t="shared" si="21"/>
        <v>0.82171769432101771</v>
      </c>
    </row>
    <row r="701" spans="1:15" x14ac:dyDescent="0.25">
      <c r="A701" s="12">
        <f t="shared" si="20"/>
        <v>8</v>
      </c>
      <c r="B701" s="12">
        <v>2022</v>
      </c>
      <c r="C701" s="12">
        <v>6980</v>
      </c>
      <c r="E701" s="12" t="s">
        <v>13</v>
      </c>
      <c r="F701" s="12" t="s">
        <v>14</v>
      </c>
      <c r="G701" s="14">
        <v>44774</v>
      </c>
      <c r="H701" s="12" t="s">
        <v>18</v>
      </c>
      <c r="I701" s="12" t="s">
        <v>19</v>
      </c>
      <c r="J701" s="12" t="s">
        <v>40</v>
      </c>
      <c r="K701" s="12">
        <v>230.006</v>
      </c>
      <c r="L701" s="12">
        <v>188.536</v>
      </c>
      <c r="O701" s="13">
        <f t="shared" si="21"/>
        <v>0.81970035564289623</v>
      </c>
    </row>
    <row r="702" spans="1:15" x14ac:dyDescent="0.25">
      <c r="A702" s="12">
        <f t="shared" si="20"/>
        <v>8</v>
      </c>
      <c r="B702" s="12">
        <v>2022</v>
      </c>
      <c r="C702" s="12">
        <v>6981</v>
      </c>
      <c r="E702" s="12" t="s">
        <v>13</v>
      </c>
      <c r="F702" s="12" t="s">
        <v>14</v>
      </c>
      <c r="G702" s="14">
        <v>44775</v>
      </c>
      <c r="H702" s="12" t="s">
        <v>18</v>
      </c>
      <c r="I702" s="12" t="s">
        <v>19</v>
      </c>
      <c r="J702" s="12" t="s">
        <v>40</v>
      </c>
      <c r="K702" s="12">
        <v>230.005</v>
      </c>
      <c r="L702" s="12">
        <v>191.41800000000001</v>
      </c>
      <c r="O702" s="13">
        <f t="shared" si="21"/>
        <v>0.83223408186778558</v>
      </c>
    </row>
    <row r="703" spans="1:15" x14ac:dyDescent="0.25">
      <c r="A703" s="12">
        <f t="shared" si="20"/>
        <v>8</v>
      </c>
      <c r="B703" s="12">
        <v>2022</v>
      </c>
      <c r="C703" s="12">
        <v>6982</v>
      </c>
      <c r="E703" s="12" t="s">
        <v>13</v>
      </c>
      <c r="F703" s="12" t="s">
        <v>14</v>
      </c>
      <c r="G703" s="14">
        <v>44776</v>
      </c>
      <c r="H703" s="12" t="s">
        <v>18</v>
      </c>
      <c r="I703" s="12" t="s">
        <v>19</v>
      </c>
      <c r="J703" s="12" t="s">
        <v>40</v>
      </c>
      <c r="K703" s="12">
        <v>230.00299999999999</v>
      </c>
      <c r="L703" s="12">
        <v>194.56399999999999</v>
      </c>
      <c r="O703" s="13">
        <f t="shared" si="21"/>
        <v>0.84591940105129071</v>
      </c>
    </row>
    <row r="704" spans="1:15" x14ac:dyDescent="0.25">
      <c r="A704" s="12">
        <f t="shared" si="20"/>
        <v>8</v>
      </c>
      <c r="B704" s="12">
        <v>2022</v>
      </c>
      <c r="C704" s="12">
        <v>6983</v>
      </c>
      <c r="E704" s="12" t="s">
        <v>13</v>
      </c>
      <c r="F704" s="12" t="s">
        <v>14</v>
      </c>
      <c r="G704" s="14">
        <v>44777</v>
      </c>
      <c r="H704" s="12" t="s">
        <v>18</v>
      </c>
      <c r="I704" s="12" t="s">
        <v>19</v>
      </c>
      <c r="J704" s="12" t="s">
        <v>40</v>
      </c>
      <c r="K704" s="12">
        <v>230.00200000000001</v>
      </c>
      <c r="L704" s="12">
        <v>186.69900000000001</v>
      </c>
      <c r="O704" s="13">
        <f t="shared" si="21"/>
        <v>0.81172772410674687</v>
      </c>
    </row>
    <row r="705" spans="1:15" x14ac:dyDescent="0.25">
      <c r="A705" s="12">
        <f t="shared" si="20"/>
        <v>8</v>
      </c>
      <c r="B705" s="12">
        <v>2022</v>
      </c>
      <c r="C705" s="12">
        <v>6984</v>
      </c>
      <c r="E705" s="12" t="s">
        <v>13</v>
      </c>
      <c r="F705" s="12" t="s">
        <v>14</v>
      </c>
      <c r="G705" s="14">
        <v>44778</v>
      </c>
      <c r="H705" s="12" t="s">
        <v>18</v>
      </c>
      <c r="I705" s="12" t="s">
        <v>19</v>
      </c>
      <c r="J705" s="12" t="s">
        <v>40</v>
      </c>
      <c r="K705" s="12">
        <v>230.001</v>
      </c>
      <c r="L705" s="12">
        <v>188.352</v>
      </c>
      <c r="O705" s="13">
        <f t="shared" si="21"/>
        <v>0.81891817861661476</v>
      </c>
    </row>
    <row r="706" spans="1:15" x14ac:dyDescent="0.25">
      <c r="A706" s="12">
        <f t="shared" ref="A706:A769" si="22">MONTH(G706)</f>
        <v>8</v>
      </c>
      <c r="B706" s="12">
        <v>2022</v>
      </c>
      <c r="C706" s="12">
        <v>6985</v>
      </c>
      <c r="E706" s="12" t="s">
        <v>13</v>
      </c>
      <c r="F706" s="12" t="s">
        <v>14</v>
      </c>
      <c r="G706" s="14">
        <v>44779</v>
      </c>
      <c r="H706" s="12" t="s">
        <v>18</v>
      </c>
      <c r="I706" s="12" t="s">
        <v>19</v>
      </c>
      <c r="J706" s="12" t="s">
        <v>40</v>
      </c>
      <c r="K706" s="12">
        <v>230.001</v>
      </c>
      <c r="L706" s="12">
        <v>185.34299999999999</v>
      </c>
      <c r="O706" s="13">
        <f t="shared" ref="O706:O731" si="23">L706/K706</f>
        <v>0.80583562680162257</v>
      </c>
    </row>
    <row r="707" spans="1:15" x14ac:dyDescent="0.25">
      <c r="A707" s="12">
        <f t="shared" si="22"/>
        <v>8</v>
      </c>
      <c r="B707" s="12">
        <v>2022</v>
      </c>
      <c r="C707" s="12">
        <v>6986</v>
      </c>
      <c r="E707" s="12" t="s">
        <v>13</v>
      </c>
      <c r="F707" s="12" t="s">
        <v>14</v>
      </c>
      <c r="G707" s="14">
        <v>44780</v>
      </c>
      <c r="H707" s="12" t="s">
        <v>52</v>
      </c>
      <c r="I707" s="12" t="s">
        <v>20</v>
      </c>
      <c r="J707" s="12" t="s">
        <v>53</v>
      </c>
      <c r="K707" s="12">
        <v>225.001</v>
      </c>
      <c r="L707" s="12">
        <v>197.21700000000001</v>
      </c>
      <c r="O707" s="13">
        <f t="shared" si="23"/>
        <v>0.87651610437286953</v>
      </c>
    </row>
    <row r="708" spans="1:15" x14ac:dyDescent="0.25">
      <c r="A708" s="12">
        <f t="shared" si="22"/>
        <v>8</v>
      </c>
      <c r="B708" s="12">
        <v>2022</v>
      </c>
      <c r="C708" s="12">
        <v>6987</v>
      </c>
      <c r="E708" s="12" t="s">
        <v>13</v>
      </c>
      <c r="F708" s="12" t="s">
        <v>14</v>
      </c>
      <c r="G708" s="14">
        <v>44781</v>
      </c>
      <c r="H708" s="12" t="s">
        <v>52</v>
      </c>
      <c r="I708" s="12" t="s">
        <v>20</v>
      </c>
      <c r="J708" s="12" t="s">
        <v>42</v>
      </c>
      <c r="K708" s="12">
        <v>225.00899999999999</v>
      </c>
      <c r="L708" s="12">
        <v>181.08600000000001</v>
      </c>
      <c r="O708" s="13">
        <f t="shared" si="23"/>
        <v>0.80479447488767131</v>
      </c>
    </row>
    <row r="709" spans="1:15" x14ac:dyDescent="0.25">
      <c r="A709" s="12">
        <f t="shared" si="22"/>
        <v>8</v>
      </c>
      <c r="B709" s="12">
        <v>2022</v>
      </c>
      <c r="C709" s="12">
        <v>6988</v>
      </c>
      <c r="E709" s="12" t="s">
        <v>13</v>
      </c>
      <c r="F709" s="12" t="s">
        <v>14</v>
      </c>
      <c r="G709" s="14">
        <v>44782</v>
      </c>
      <c r="H709" s="12" t="s">
        <v>18</v>
      </c>
      <c r="I709" s="12" t="s">
        <v>19</v>
      </c>
      <c r="J709" s="12" t="s">
        <v>40</v>
      </c>
      <c r="K709" s="12">
        <v>229.97300000000001</v>
      </c>
      <c r="L709" s="12">
        <v>189.93600000000001</v>
      </c>
      <c r="O709" s="13">
        <f t="shared" si="23"/>
        <v>0.82590564979367143</v>
      </c>
    </row>
    <row r="710" spans="1:15" x14ac:dyDescent="0.25">
      <c r="A710" s="12">
        <f t="shared" si="22"/>
        <v>8</v>
      </c>
      <c r="B710" s="12">
        <v>2022</v>
      </c>
      <c r="C710" s="12">
        <v>6989</v>
      </c>
      <c r="E710" s="12" t="s">
        <v>13</v>
      </c>
      <c r="F710" s="12" t="s">
        <v>14</v>
      </c>
      <c r="G710" s="14">
        <v>44783</v>
      </c>
      <c r="H710" s="12" t="s">
        <v>18</v>
      </c>
      <c r="I710" s="12" t="s">
        <v>19</v>
      </c>
      <c r="J710" s="12" t="s">
        <v>40</v>
      </c>
      <c r="K710" s="12">
        <v>229.97300000000001</v>
      </c>
      <c r="L710" s="12">
        <v>178.958</v>
      </c>
      <c r="O710" s="13">
        <f t="shared" si="23"/>
        <v>0.77816961121522954</v>
      </c>
    </row>
    <row r="711" spans="1:15" x14ac:dyDescent="0.25">
      <c r="A711" s="12">
        <f t="shared" si="22"/>
        <v>8</v>
      </c>
      <c r="B711" s="12">
        <v>2022</v>
      </c>
      <c r="C711" s="12">
        <v>6990</v>
      </c>
      <c r="E711" s="12" t="s">
        <v>13</v>
      </c>
      <c r="F711" s="12" t="s">
        <v>14</v>
      </c>
      <c r="G711" s="14">
        <v>44784</v>
      </c>
      <c r="H711" s="12" t="s">
        <v>18</v>
      </c>
      <c r="I711" s="12" t="s">
        <v>19</v>
      </c>
      <c r="J711" s="12" t="s">
        <v>40</v>
      </c>
      <c r="K711" s="12">
        <v>230.01400000000001</v>
      </c>
      <c r="L711" s="12">
        <v>191.124</v>
      </c>
      <c r="O711" s="13">
        <f t="shared" si="23"/>
        <v>0.83092333510134164</v>
      </c>
    </row>
    <row r="712" spans="1:15" x14ac:dyDescent="0.25">
      <c r="A712" s="12">
        <f t="shared" si="22"/>
        <v>8</v>
      </c>
      <c r="B712" s="12">
        <v>2022</v>
      </c>
      <c r="C712" s="12">
        <v>6991</v>
      </c>
      <c r="E712" s="12" t="s">
        <v>13</v>
      </c>
      <c r="F712" s="12" t="s">
        <v>14</v>
      </c>
      <c r="G712" s="14">
        <v>44785</v>
      </c>
      <c r="H712" s="12" t="s">
        <v>18</v>
      </c>
      <c r="I712" s="12" t="s">
        <v>19</v>
      </c>
      <c r="J712" s="12" t="s">
        <v>40</v>
      </c>
      <c r="K712" s="12">
        <v>229.999</v>
      </c>
      <c r="L712" s="12">
        <v>193.32499999999999</v>
      </c>
      <c r="O712" s="13">
        <f t="shared" si="23"/>
        <v>0.84054713281362092</v>
      </c>
    </row>
    <row r="713" spans="1:15" x14ac:dyDescent="0.25">
      <c r="A713" s="12">
        <f t="shared" si="22"/>
        <v>8</v>
      </c>
      <c r="B713" s="12">
        <v>2022</v>
      </c>
      <c r="C713" s="12">
        <v>6992</v>
      </c>
      <c r="E713" s="12" t="s">
        <v>13</v>
      </c>
      <c r="F713" s="12" t="s">
        <v>14</v>
      </c>
      <c r="G713" s="14">
        <v>44786</v>
      </c>
      <c r="H713" s="12" t="s">
        <v>18</v>
      </c>
      <c r="I713" s="12" t="s">
        <v>19</v>
      </c>
      <c r="J713" s="12" t="s">
        <v>40</v>
      </c>
      <c r="K713" s="12">
        <v>230</v>
      </c>
      <c r="L713" s="12">
        <v>187.303</v>
      </c>
      <c r="O713" s="13">
        <f t="shared" si="23"/>
        <v>0.81436086956521736</v>
      </c>
    </row>
    <row r="714" spans="1:15" x14ac:dyDescent="0.25">
      <c r="A714" s="12">
        <f t="shared" si="22"/>
        <v>8</v>
      </c>
      <c r="B714" s="12">
        <v>2022</v>
      </c>
      <c r="C714" s="12">
        <v>6993</v>
      </c>
      <c r="E714" s="12" t="s">
        <v>13</v>
      </c>
      <c r="F714" s="12" t="s">
        <v>14</v>
      </c>
      <c r="G714" s="14">
        <v>44787</v>
      </c>
      <c r="H714" s="12" t="s">
        <v>18</v>
      </c>
      <c r="I714" s="12" t="s">
        <v>20</v>
      </c>
      <c r="J714" s="12" t="s">
        <v>42</v>
      </c>
      <c r="K714" s="12">
        <v>225.00299999999999</v>
      </c>
      <c r="L714" s="12">
        <v>181.91499999999999</v>
      </c>
      <c r="O714" s="13">
        <f t="shared" si="23"/>
        <v>0.80850033110669639</v>
      </c>
    </row>
    <row r="715" spans="1:15" x14ac:dyDescent="0.25">
      <c r="A715" s="12">
        <f t="shared" si="22"/>
        <v>8</v>
      </c>
      <c r="B715" s="12">
        <v>2022</v>
      </c>
      <c r="C715" s="12">
        <v>6994</v>
      </c>
      <c r="E715" s="12" t="s">
        <v>13</v>
      </c>
      <c r="F715" s="12" t="s">
        <v>14</v>
      </c>
      <c r="G715" s="14">
        <v>44788</v>
      </c>
      <c r="H715" s="12" t="s">
        <v>18</v>
      </c>
      <c r="I715" s="12" t="s">
        <v>20</v>
      </c>
      <c r="J715" s="12" t="s">
        <v>42</v>
      </c>
      <c r="K715" s="12">
        <v>225.00299999999999</v>
      </c>
      <c r="L715" s="12">
        <v>179.364</v>
      </c>
      <c r="O715" s="13">
        <f t="shared" si="23"/>
        <v>0.79716270449727344</v>
      </c>
    </row>
    <row r="716" spans="1:15" x14ac:dyDescent="0.25">
      <c r="A716" s="12">
        <f t="shared" si="22"/>
        <v>8</v>
      </c>
      <c r="B716" s="12">
        <v>2022</v>
      </c>
      <c r="C716" s="12">
        <v>6995</v>
      </c>
      <c r="E716" s="12" t="s">
        <v>13</v>
      </c>
      <c r="F716" s="12" t="s">
        <v>14</v>
      </c>
      <c r="G716" s="14">
        <v>44789</v>
      </c>
      <c r="H716" s="12" t="s">
        <v>18</v>
      </c>
      <c r="I716" s="12" t="s">
        <v>19</v>
      </c>
      <c r="J716" s="12" t="s">
        <v>40</v>
      </c>
      <c r="K716" s="12">
        <v>229.98699999999999</v>
      </c>
      <c r="L716" s="12">
        <v>184.26599999999999</v>
      </c>
      <c r="O716" s="13">
        <f t="shared" si="23"/>
        <v>0.80120180705865984</v>
      </c>
    </row>
    <row r="717" spans="1:15" x14ac:dyDescent="0.25">
      <c r="A717" s="12">
        <f t="shared" si="22"/>
        <v>8</v>
      </c>
      <c r="B717" s="12">
        <v>2022</v>
      </c>
      <c r="C717" s="12">
        <v>6996</v>
      </c>
      <c r="E717" s="12" t="s">
        <v>13</v>
      </c>
      <c r="F717" s="12" t="s">
        <v>14</v>
      </c>
      <c r="G717" s="14">
        <v>44790</v>
      </c>
      <c r="H717" s="12" t="s">
        <v>18</v>
      </c>
      <c r="I717" s="12" t="s">
        <v>19</v>
      </c>
      <c r="J717" s="12" t="s">
        <v>40</v>
      </c>
      <c r="K717" s="12">
        <v>230.00299999999999</v>
      </c>
      <c r="L717" s="12">
        <v>193.93700000000001</v>
      </c>
      <c r="O717" s="13">
        <f t="shared" si="23"/>
        <v>0.84319334965196113</v>
      </c>
    </row>
    <row r="718" spans="1:15" x14ac:dyDescent="0.25">
      <c r="A718" s="12">
        <f t="shared" si="22"/>
        <v>8</v>
      </c>
      <c r="B718" s="12">
        <v>2022</v>
      </c>
      <c r="C718" s="12">
        <v>6997</v>
      </c>
      <c r="E718" s="12" t="s">
        <v>13</v>
      </c>
      <c r="F718" s="12" t="s">
        <v>14</v>
      </c>
      <c r="G718" s="14">
        <v>44791</v>
      </c>
      <c r="H718" s="12" t="s">
        <v>18</v>
      </c>
      <c r="I718" s="12" t="s">
        <v>19</v>
      </c>
      <c r="J718" s="12" t="s">
        <v>40</v>
      </c>
      <c r="K718" s="12">
        <v>230.00299999999999</v>
      </c>
      <c r="L718" s="12">
        <v>187.01900000000001</v>
      </c>
      <c r="O718" s="13">
        <f t="shared" si="23"/>
        <v>0.81311548110242049</v>
      </c>
    </row>
    <row r="719" spans="1:15" x14ac:dyDescent="0.25">
      <c r="A719" s="12">
        <f t="shared" si="22"/>
        <v>8</v>
      </c>
      <c r="B719" s="12">
        <v>2022</v>
      </c>
      <c r="C719" s="12">
        <v>6998</v>
      </c>
      <c r="E719" s="12" t="s">
        <v>13</v>
      </c>
      <c r="F719" s="12" t="s">
        <v>14</v>
      </c>
      <c r="G719" s="14">
        <v>44792</v>
      </c>
      <c r="H719" s="12" t="s">
        <v>18</v>
      </c>
      <c r="I719" s="12" t="s">
        <v>19</v>
      </c>
      <c r="J719" s="12" t="s">
        <v>40</v>
      </c>
      <c r="K719" s="12">
        <v>230.00200000000001</v>
      </c>
      <c r="L719" s="12">
        <v>192.14</v>
      </c>
      <c r="O719" s="13">
        <f t="shared" si="23"/>
        <v>0.83538404013878131</v>
      </c>
    </row>
    <row r="720" spans="1:15" x14ac:dyDescent="0.25">
      <c r="A720" s="12">
        <f t="shared" si="22"/>
        <v>8</v>
      </c>
      <c r="B720" s="12">
        <v>2022</v>
      </c>
      <c r="C720" s="12">
        <v>6999</v>
      </c>
      <c r="E720" s="12" t="s">
        <v>13</v>
      </c>
      <c r="F720" s="12" t="s">
        <v>14</v>
      </c>
      <c r="G720" s="14">
        <v>44793</v>
      </c>
      <c r="H720" s="12" t="s">
        <v>18</v>
      </c>
      <c r="I720" s="12" t="s">
        <v>19</v>
      </c>
      <c r="J720" s="12" t="s">
        <v>40</v>
      </c>
      <c r="K720" s="12">
        <v>230.00200000000001</v>
      </c>
      <c r="L720" s="12">
        <v>186.54900000000001</v>
      </c>
      <c r="O720" s="13">
        <f t="shared" si="23"/>
        <v>0.81107555586473157</v>
      </c>
    </row>
    <row r="721" spans="1:15" x14ac:dyDescent="0.25">
      <c r="A721" s="12">
        <f t="shared" si="22"/>
        <v>8</v>
      </c>
      <c r="B721" s="12">
        <v>2022</v>
      </c>
      <c r="C721" s="12">
        <v>7000</v>
      </c>
      <c r="E721" s="12" t="s">
        <v>13</v>
      </c>
      <c r="F721" s="12" t="s">
        <v>14</v>
      </c>
      <c r="G721" s="14">
        <v>44794</v>
      </c>
      <c r="H721" s="12" t="s">
        <v>37</v>
      </c>
      <c r="I721" s="12" t="s">
        <v>20</v>
      </c>
      <c r="J721" s="12" t="s">
        <v>44</v>
      </c>
      <c r="K721" s="12">
        <v>224.999</v>
      </c>
      <c r="L721" s="12">
        <v>182.53700000000001</v>
      </c>
      <c r="O721" s="13">
        <f t="shared" si="23"/>
        <v>0.81127916124071664</v>
      </c>
    </row>
    <row r="722" spans="1:15" x14ac:dyDescent="0.25">
      <c r="A722" s="12">
        <f t="shared" si="22"/>
        <v>8</v>
      </c>
      <c r="B722" s="12">
        <v>2022</v>
      </c>
      <c r="C722" s="12">
        <v>7001</v>
      </c>
      <c r="E722" s="12" t="s">
        <v>13</v>
      </c>
      <c r="F722" s="12" t="s">
        <v>14</v>
      </c>
      <c r="G722" s="14">
        <v>44795</v>
      </c>
      <c r="H722" s="12" t="s">
        <v>37</v>
      </c>
      <c r="I722" s="12" t="s">
        <v>20</v>
      </c>
      <c r="J722" s="12" t="s">
        <v>42</v>
      </c>
      <c r="K722" s="12">
        <v>229.99700000000001</v>
      </c>
      <c r="L722" s="12">
        <v>182.773</v>
      </c>
      <c r="O722" s="13">
        <f t="shared" si="23"/>
        <v>0.79467558272499195</v>
      </c>
    </row>
    <row r="723" spans="1:15" x14ac:dyDescent="0.25">
      <c r="A723" s="12">
        <f t="shared" si="22"/>
        <v>8</v>
      </c>
      <c r="B723" s="12">
        <v>2022</v>
      </c>
      <c r="C723" s="12">
        <v>7002</v>
      </c>
      <c r="E723" s="12" t="s">
        <v>13</v>
      </c>
      <c r="F723" s="12" t="s">
        <v>14</v>
      </c>
      <c r="G723" s="14">
        <v>44796</v>
      </c>
      <c r="H723" s="12" t="s">
        <v>17</v>
      </c>
      <c r="I723" s="12" t="s">
        <v>19</v>
      </c>
      <c r="J723" s="12" t="s">
        <v>54</v>
      </c>
      <c r="K723" s="12">
        <v>229.99299999999999</v>
      </c>
      <c r="L723" s="12">
        <v>192.40899999999999</v>
      </c>
      <c r="O723" s="13">
        <f t="shared" si="23"/>
        <v>0.83658633088833134</v>
      </c>
    </row>
    <row r="724" spans="1:15" x14ac:dyDescent="0.25">
      <c r="A724" s="12">
        <f t="shared" si="22"/>
        <v>8</v>
      </c>
      <c r="B724" s="12">
        <v>2022</v>
      </c>
      <c r="C724" s="12">
        <v>7003</v>
      </c>
      <c r="E724" s="12" t="s">
        <v>13</v>
      </c>
      <c r="F724" s="12" t="s">
        <v>14</v>
      </c>
      <c r="G724" s="14">
        <v>44797</v>
      </c>
      <c r="H724" s="12" t="s">
        <v>18</v>
      </c>
      <c r="I724" s="12" t="s">
        <v>20</v>
      </c>
      <c r="J724" s="12" t="s">
        <v>42</v>
      </c>
      <c r="K724" s="12">
        <v>229.99600000000001</v>
      </c>
      <c r="L724" s="12">
        <v>176.518</v>
      </c>
      <c r="O724" s="13">
        <f t="shared" si="23"/>
        <v>0.76748291274630864</v>
      </c>
    </row>
    <row r="725" spans="1:15" x14ac:dyDescent="0.25">
      <c r="A725" s="12">
        <f t="shared" si="22"/>
        <v>8</v>
      </c>
      <c r="B725" s="12">
        <v>2022</v>
      </c>
      <c r="C725" s="12">
        <v>7004</v>
      </c>
      <c r="E725" s="12" t="s">
        <v>13</v>
      </c>
      <c r="F725" s="12" t="s">
        <v>14</v>
      </c>
      <c r="G725" s="14">
        <v>44798</v>
      </c>
      <c r="H725" s="12" t="s">
        <v>18</v>
      </c>
      <c r="I725" s="12" t="s">
        <v>20</v>
      </c>
      <c r="J725" s="12" t="s">
        <v>42</v>
      </c>
      <c r="K725" s="12">
        <v>225.001</v>
      </c>
      <c r="L725" s="12">
        <v>184.376</v>
      </c>
      <c r="O725" s="13">
        <f t="shared" si="23"/>
        <v>0.81944524691001375</v>
      </c>
    </row>
    <row r="726" spans="1:15" x14ac:dyDescent="0.25">
      <c r="A726" s="12">
        <f t="shared" si="22"/>
        <v>8</v>
      </c>
      <c r="B726" s="12">
        <v>2022</v>
      </c>
      <c r="C726" s="12">
        <v>7005</v>
      </c>
      <c r="E726" s="12" t="s">
        <v>13</v>
      </c>
      <c r="F726" s="12" t="s">
        <v>14</v>
      </c>
      <c r="G726" s="14">
        <v>44799</v>
      </c>
      <c r="H726" s="12" t="s">
        <v>18</v>
      </c>
      <c r="I726" s="12" t="s">
        <v>20</v>
      </c>
      <c r="J726" s="12" t="s">
        <v>42</v>
      </c>
      <c r="K726" s="12">
        <v>225.00200000000001</v>
      </c>
      <c r="L726" s="12">
        <v>180.17</v>
      </c>
      <c r="O726" s="13">
        <f t="shared" si="23"/>
        <v>0.80074843779166394</v>
      </c>
    </row>
    <row r="727" spans="1:15" x14ac:dyDescent="0.25">
      <c r="A727" s="12">
        <f t="shared" si="22"/>
        <v>8</v>
      </c>
      <c r="B727" s="12">
        <v>2022</v>
      </c>
      <c r="C727" s="12">
        <v>7006</v>
      </c>
      <c r="E727" s="12" t="s">
        <v>13</v>
      </c>
      <c r="F727" s="12" t="s">
        <v>14</v>
      </c>
      <c r="G727" s="14">
        <v>44800</v>
      </c>
      <c r="H727" s="12" t="s">
        <v>18</v>
      </c>
      <c r="I727" s="12" t="s">
        <v>20</v>
      </c>
      <c r="J727" s="12" t="s">
        <v>42</v>
      </c>
      <c r="K727" s="12">
        <v>225.00700000000001</v>
      </c>
      <c r="L727" s="12">
        <v>177.15299999999999</v>
      </c>
      <c r="O727" s="13">
        <f t="shared" si="23"/>
        <v>0.78732217219908707</v>
      </c>
    </row>
    <row r="728" spans="1:15" x14ac:dyDescent="0.25">
      <c r="A728" s="12">
        <f t="shared" si="22"/>
        <v>8</v>
      </c>
      <c r="B728" s="12">
        <v>2022</v>
      </c>
      <c r="C728" s="12">
        <v>7007</v>
      </c>
      <c r="E728" s="12" t="s">
        <v>13</v>
      </c>
      <c r="F728" s="12" t="s">
        <v>14</v>
      </c>
      <c r="G728" s="14">
        <v>44801</v>
      </c>
      <c r="H728" s="12" t="s">
        <v>18</v>
      </c>
      <c r="I728" s="12" t="s">
        <v>20</v>
      </c>
      <c r="J728" s="12" t="s">
        <v>42</v>
      </c>
      <c r="K728" s="12">
        <v>225.00700000000001</v>
      </c>
      <c r="L728" s="12">
        <v>188.56899999999999</v>
      </c>
      <c r="O728" s="13">
        <f t="shared" si="23"/>
        <v>0.83805837151733054</v>
      </c>
    </row>
    <row r="729" spans="1:15" x14ac:dyDescent="0.25">
      <c r="A729" s="12">
        <f t="shared" si="22"/>
        <v>8</v>
      </c>
      <c r="B729" s="12">
        <v>2022</v>
      </c>
      <c r="C729" s="12">
        <v>7008</v>
      </c>
      <c r="E729" s="12" t="s">
        <v>13</v>
      </c>
      <c r="F729" s="12" t="s">
        <v>14</v>
      </c>
      <c r="G729" s="14">
        <v>44802</v>
      </c>
      <c r="H729" s="12" t="s">
        <v>18</v>
      </c>
      <c r="I729" s="12" t="s">
        <v>19</v>
      </c>
      <c r="J729" s="12" t="s">
        <v>40</v>
      </c>
      <c r="K729" s="12">
        <v>230.00899999999999</v>
      </c>
      <c r="L729" s="12">
        <v>186.65299999999999</v>
      </c>
      <c r="O729" s="13">
        <f t="shared" si="23"/>
        <v>0.81150302814237707</v>
      </c>
    </row>
    <row r="730" spans="1:15" x14ac:dyDescent="0.25">
      <c r="A730" s="12">
        <f t="shared" si="22"/>
        <v>8</v>
      </c>
      <c r="B730" s="12">
        <v>2022</v>
      </c>
      <c r="C730" s="12">
        <v>7009</v>
      </c>
      <c r="E730" s="12" t="s">
        <v>13</v>
      </c>
      <c r="F730" s="12" t="s">
        <v>14</v>
      </c>
      <c r="G730" s="14">
        <v>44803</v>
      </c>
      <c r="H730" s="12" t="s">
        <v>18</v>
      </c>
      <c r="I730" s="12" t="s">
        <v>19</v>
      </c>
      <c r="J730" s="12" t="s">
        <v>40</v>
      </c>
      <c r="K730" s="12">
        <v>229.999</v>
      </c>
      <c r="L730" s="12">
        <v>192.476</v>
      </c>
      <c r="O730" s="13">
        <f t="shared" si="23"/>
        <v>0.8368558124165757</v>
      </c>
    </row>
    <row r="731" spans="1:15" x14ac:dyDescent="0.25">
      <c r="A731" s="12">
        <f t="shared" si="22"/>
        <v>8</v>
      </c>
      <c r="B731" s="12">
        <v>2022</v>
      </c>
      <c r="C731" s="15">
        <v>7010</v>
      </c>
      <c r="D731" s="15"/>
      <c r="E731" s="12" t="s">
        <v>13</v>
      </c>
      <c r="F731" s="12" t="s">
        <v>14</v>
      </c>
      <c r="G731" s="14">
        <v>44804</v>
      </c>
      <c r="H731" s="12" t="s">
        <v>18</v>
      </c>
      <c r="I731" s="12" t="s">
        <v>19</v>
      </c>
      <c r="J731" s="12" t="s">
        <v>40</v>
      </c>
      <c r="K731" s="12">
        <v>229.999</v>
      </c>
      <c r="L731" s="12">
        <v>185.54900000000001</v>
      </c>
      <c r="O731" s="13">
        <f t="shared" si="23"/>
        <v>0.80673829016647902</v>
      </c>
    </row>
    <row r="732" spans="1:15" x14ac:dyDescent="0.25">
      <c r="A732" s="12">
        <f t="shared" si="22"/>
        <v>9</v>
      </c>
      <c r="B732" s="12">
        <v>2022</v>
      </c>
      <c r="C732" s="12">
        <v>7011</v>
      </c>
      <c r="E732" s="12" t="s">
        <v>13</v>
      </c>
      <c r="F732" s="12" t="s">
        <v>14</v>
      </c>
      <c r="G732" s="14">
        <v>44805</v>
      </c>
      <c r="H732" s="12" t="s">
        <v>18</v>
      </c>
      <c r="I732" s="12" t="s">
        <v>19</v>
      </c>
      <c r="J732" s="12" t="s">
        <v>40</v>
      </c>
      <c r="K732" s="12">
        <v>229.99799999999999</v>
      </c>
      <c r="L732" s="12">
        <v>191.62</v>
      </c>
      <c r="O732" s="13">
        <f t="shared" ref="O732:O795" si="24">L732/K732</f>
        <v>0.83313767945808226</v>
      </c>
    </row>
    <row r="733" spans="1:15" x14ac:dyDescent="0.25">
      <c r="A733" s="12">
        <f t="shared" si="22"/>
        <v>9</v>
      </c>
      <c r="B733" s="12">
        <v>2022</v>
      </c>
      <c r="C733" s="12">
        <v>7012</v>
      </c>
      <c r="E733" s="12" t="s">
        <v>13</v>
      </c>
      <c r="F733" s="12" t="s">
        <v>14</v>
      </c>
      <c r="G733" s="14">
        <v>44806</v>
      </c>
      <c r="H733" s="12" t="s">
        <v>18</v>
      </c>
      <c r="I733" s="12" t="s">
        <v>19</v>
      </c>
      <c r="J733" s="12" t="s">
        <v>40</v>
      </c>
      <c r="K733" s="12">
        <v>229.99799999999999</v>
      </c>
      <c r="L733" s="12">
        <v>181.25299999999999</v>
      </c>
      <c r="O733" s="13">
        <f t="shared" si="24"/>
        <v>0.78806337446412578</v>
      </c>
    </row>
    <row r="734" spans="1:15" x14ac:dyDescent="0.25">
      <c r="A734" s="12">
        <f t="shared" si="22"/>
        <v>9</v>
      </c>
      <c r="B734" s="12">
        <v>2022</v>
      </c>
      <c r="C734" s="12">
        <v>7013</v>
      </c>
      <c r="E734" s="12" t="s">
        <v>13</v>
      </c>
      <c r="F734" s="12" t="s">
        <v>14</v>
      </c>
      <c r="G734" s="14">
        <v>44807</v>
      </c>
      <c r="H734" s="12" t="s">
        <v>17</v>
      </c>
      <c r="I734" s="12" t="s">
        <v>20</v>
      </c>
      <c r="J734" s="12" t="s">
        <v>44</v>
      </c>
      <c r="K734" s="12">
        <v>230.00800000000001</v>
      </c>
      <c r="L734" s="12">
        <v>182.7</v>
      </c>
      <c r="O734" s="13">
        <f t="shared" si="24"/>
        <v>0.79432019755834571</v>
      </c>
    </row>
    <row r="735" spans="1:15" x14ac:dyDescent="0.25">
      <c r="A735" s="12">
        <f t="shared" si="22"/>
        <v>9</v>
      </c>
      <c r="B735" s="12">
        <v>2022</v>
      </c>
      <c r="C735" s="12">
        <v>7014</v>
      </c>
      <c r="E735" s="12" t="s">
        <v>13</v>
      </c>
      <c r="F735" s="12" t="s">
        <v>14</v>
      </c>
      <c r="G735" s="14">
        <v>44808</v>
      </c>
      <c r="H735" s="12" t="s">
        <v>18</v>
      </c>
      <c r="I735" s="12" t="s">
        <v>19</v>
      </c>
      <c r="J735" s="12" t="s">
        <v>40</v>
      </c>
      <c r="K735" s="12">
        <v>230.005</v>
      </c>
      <c r="L735" s="12">
        <v>190.23400000000001</v>
      </c>
      <c r="O735" s="13">
        <f t="shared" si="24"/>
        <v>0.82708636768765897</v>
      </c>
    </row>
    <row r="736" spans="1:15" x14ac:dyDescent="0.25">
      <c r="A736" s="12">
        <f t="shared" si="22"/>
        <v>9</v>
      </c>
      <c r="B736" s="12">
        <v>2022</v>
      </c>
      <c r="C736" s="12">
        <v>7015</v>
      </c>
      <c r="E736" s="12" t="s">
        <v>13</v>
      </c>
      <c r="F736" s="12" t="s">
        <v>14</v>
      </c>
      <c r="G736" s="14">
        <v>44809</v>
      </c>
      <c r="H736" s="12" t="s">
        <v>18</v>
      </c>
      <c r="I736" s="12" t="s">
        <v>19</v>
      </c>
      <c r="J736" s="12" t="s">
        <v>40</v>
      </c>
      <c r="K736" s="12">
        <v>230.006</v>
      </c>
      <c r="L736" s="12">
        <v>189.21899999999999</v>
      </c>
      <c r="O736" s="13">
        <f t="shared" si="24"/>
        <v>0.82266984339538962</v>
      </c>
    </row>
    <row r="737" spans="1:15" x14ac:dyDescent="0.25">
      <c r="A737" s="12">
        <f t="shared" si="22"/>
        <v>9</v>
      </c>
      <c r="B737" s="12">
        <v>2022</v>
      </c>
      <c r="C737" s="12">
        <v>7016</v>
      </c>
      <c r="E737" s="12" t="s">
        <v>13</v>
      </c>
      <c r="F737" s="12" t="s">
        <v>14</v>
      </c>
      <c r="G737" s="14">
        <v>44810</v>
      </c>
      <c r="H737" s="12" t="s">
        <v>18</v>
      </c>
      <c r="I737" s="12" t="s">
        <v>19</v>
      </c>
      <c r="J737" s="12" t="s">
        <v>40</v>
      </c>
      <c r="K737" s="12">
        <v>230</v>
      </c>
      <c r="L737" s="12">
        <v>193.83099999999999</v>
      </c>
      <c r="O737" s="13">
        <f t="shared" si="24"/>
        <v>0.84274347826086948</v>
      </c>
    </row>
    <row r="738" spans="1:15" x14ac:dyDescent="0.25">
      <c r="A738" s="12">
        <f t="shared" si="22"/>
        <v>9</v>
      </c>
      <c r="B738" s="12">
        <v>2022</v>
      </c>
      <c r="C738" s="12">
        <v>7017</v>
      </c>
      <c r="E738" s="12" t="s">
        <v>13</v>
      </c>
      <c r="F738" s="12" t="s">
        <v>14</v>
      </c>
      <c r="G738" s="14">
        <v>44811</v>
      </c>
      <c r="H738" s="12" t="s">
        <v>18</v>
      </c>
      <c r="I738" s="12" t="s">
        <v>19</v>
      </c>
      <c r="J738" s="12" t="s">
        <v>40</v>
      </c>
      <c r="K738" s="12">
        <v>230</v>
      </c>
      <c r="L738" s="12">
        <v>187.744</v>
      </c>
      <c r="O738" s="13">
        <f t="shared" si="24"/>
        <v>0.81627826086956523</v>
      </c>
    </row>
    <row r="739" spans="1:15" x14ac:dyDescent="0.25">
      <c r="A739" s="12">
        <f t="shared" si="22"/>
        <v>9</v>
      </c>
      <c r="B739" s="12">
        <v>2022</v>
      </c>
      <c r="C739" s="12">
        <v>7018</v>
      </c>
      <c r="E739" s="12" t="s">
        <v>13</v>
      </c>
      <c r="F739" s="12" t="s">
        <v>14</v>
      </c>
      <c r="G739" s="14">
        <v>44812</v>
      </c>
      <c r="H739" s="12" t="s">
        <v>18</v>
      </c>
      <c r="I739" s="12" t="s">
        <v>19</v>
      </c>
      <c r="J739" s="12" t="s">
        <v>40</v>
      </c>
      <c r="K739" s="12">
        <v>229.994</v>
      </c>
      <c r="L739" s="12">
        <v>186.20699999999999</v>
      </c>
      <c r="O739" s="13">
        <f t="shared" si="24"/>
        <v>0.80961677261145937</v>
      </c>
    </row>
    <row r="740" spans="1:15" x14ac:dyDescent="0.25">
      <c r="A740" s="12">
        <f t="shared" si="22"/>
        <v>9</v>
      </c>
      <c r="B740" s="12">
        <v>2022</v>
      </c>
      <c r="C740" s="12">
        <v>7019</v>
      </c>
      <c r="E740" s="12" t="s">
        <v>13</v>
      </c>
      <c r="F740" s="12" t="s">
        <v>14</v>
      </c>
      <c r="G740" s="14">
        <v>44813</v>
      </c>
      <c r="H740" s="12" t="s">
        <v>18</v>
      </c>
      <c r="I740" s="12" t="s">
        <v>20</v>
      </c>
      <c r="J740" s="12" t="s">
        <v>42</v>
      </c>
      <c r="K740" s="12">
        <v>229.99299999999999</v>
      </c>
      <c r="L740" s="12">
        <v>177.238</v>
      </c>
      <c r="O740" s="13">
        <f t="shared" si="24"/>
        <v>0.77062345375728825</v>
      </c>
    </row>
    <row r="741" spans="1:15" x14ac:dyDescent="0.25">
      <c r="A741" s="12">
        <f t="shared" si="22"/>
        <v>9</v>
      </c>
      <c r="B741" s="12">
        <v>2022</v>
      </c>
      <c r="C741" s="12">
        <v>7020</v>
      </c>
      <c r="E741" s="12" t="s">
        <v>13</v>
      </c>
      <c r="F741" s="12" t="s">
        <v>14</v>
      </c>
      <c r="G741" s="14">
        <v>44814</v>
      </c>
      <c r="H741" s="12" t="s">
        <v>18</v>
      </c>
      <c r="I741" s="12" t="s">
        <v>20</v>
      </c>
      <c r="J741" s="12" t="s">
        <v>42</v>
      </c>
      <c r="K741" s="12">
        <v>229.994</v>
      </c>
      <c r="L741" s="12">
        <v>187.88800000000001</v>
      </c>
      <c r="O741" s="13">
        <f t="shared" si="24"/>
        <v>0.81692565893023295</v>
      </c>
    </row>
    <row r="742" spans="1:15" x14ac:dyDescent="0.25">
      <c r="A742" s="12">
        <f t="shared" si="22"/>
        <v>9</v>
      </c>
      <c r="B742" s="12">
        <v>2022</v>
      </c>
      <c r="C742" s="12">
        <v>7021</v>
      </c>
      <c r="E742" s="12" t="s">
        <v>13</v>
      </c>
      <c r="F742" s="12" t="s">
        <v>14</v>
      </c>
      <c r="G742" s="14">
        <v>44815</v>
      </c>
      <c r="H742" s="12" t="s">
        <v>17</v>
      </c>
      <c r="I742" s="12" t="s">
        <v>20</v>
      </c>
      <c r="J742" s="12" t="s">
        <v>56</v>
      </c>
      <c r="K742" s="12">
        <v>230.001</v>
      </c>
      <c r="L742" s="12">
        <v>187.32900000000001</v>
      </c>
      <c r="O742" s="13">
        <f t="shared" si="24"/>
        <v>0.81447037186794846</v>
      </c>
    </row>
    <row r="743" spans="1:15" x14ac:dyDescent="0.25">
      <c r="A743" s="12">
        <f t="shared" si="22"/>
        <v>9</v>
      </c>
      <c r="B743" s="12">
        <v>2022</v>
      </c>
      <c r="C743" s="12">
        <v>7022</v>
      </c>
      <c r="E743" s="12" t="s">
        <v>13</v>
      </c>
      <c r="F743" s="12" t="s">
        <v>14</v>
      </c>
      <c r="G743" s="14">
        <v>44816</v>
      </c>
      <c r="H743" s="12" t="s">
        <v>18</v>
      </c>
      <c r="I743" s="12" t="s">
        <v>20</v>
      </c>
      <c r="J743" s="12" t="s">
        <v>42</v>
      </c>
      <c r="K743" s="12">
        <v>229.99799999999999</v>
      </c>
      <c r="L743" s="12">
        <v>197.32900000000001</v>
      </c>
      <c r="O743" s="13">
        <f t="shared" si="24"/>
        <v>0.85795963443160383</v>
      </c>
    </row>
    <row r="744" spans="1:15" x14ac:dyDescent="0.25">
      <c r="A744" s="12">
        <f t="shared" si="22"/>
        <v>9</v>
      </c>
      <c r="B744" s="12">
        <v>2022</v>
      </c>
      <c r="C744" s="12">
        <v>7023</v>
      </c>
      <c r="E744" s="12" t="s">
        <v>13</v>
      </c>
      <c r="F744" s="12" t="s">
        <v>14</v>
      </c>
      <c r="G744" s="14">
        <v>44817</v>
      </c>
      <c r="H744" s="12" t="s">
        <v>18</v>
      </c>
      <c r="I744" s="12" t="s">
        <v>20</v>
      </c>
      <c r="J744" s="12" t="s">
        <v>42</v>
      </c>
      <c r="K744" s="12">
        <v>230.00899999999999</v>
      </c>
      <c r="L744" s="12">
        <v>184.25</v>
      </c>
      <c r="O744" s="13">
        <f t="shared" si="24"/>
        <v>0.80105561086740085</v>
      </c>
    </row>
    <row r="745" spans="1:15" x14ac:dyDescent="0.25">
      <c r="A745" s="12">
        <f t="shared" si="22"/>
        <v>9</v>
      </c>
      <c r="B745" s="12">
        <v>2022</v>
      </c>
      <c r="C745" s="12">
        <v>7024</v>
      </c>
      <c r="E745" s="12" t="s">
        <v>13</v>
      </c>
      <c r="F745" s="12" t="s">
        <v>14</v>
      </c>
      <c r="G745" s="14">
        <v>44818</v>
      </c>
      <c r="H745" s="12" t="s">
        <v>18</v>
      </c>
      <c r="I745" s="12" t="s">
        <v>20</v>
      </c>
      <c r="J745" s="12" t="s">
        <v>42</v>
      </c>
      <c r="K745" s="12">
        <v>230.00899999999999</v>
      </c>
      <c r="L745" s="12">
        <v>185.64</v>
      </c>
      <c r="O745" s="13">
        <f t="shared" si="24"/>
        <v>0.80709885265359183</v>
      </c>
    </row>
    <row r="746" spans="1:15" x14ac:dyDescent="0.25">
      <c r="A746" s="12">
        <f t="shared" si="22"/>
        <v>9</v>
      </c>
      <c r="B746" s="12">
        <v>2022</v>
      </c>
      <c r="C746" s="12">
        <v>7025</v>
      </c>
      <c r="E746" s="12" t="s">
        <v>13</v>
      </c>
      <c r="F746" s="12" t="s">
        <v>14</v>
      </c>
      <c r="G746" s="14">
        <v>44819</v>
      </c>
      <c r="H746" s="12" t="s">
        <v>18</v>
      </c>
      <c r="I746" s="12" t="s">
        <v>19</v>
      </c>
      <c r="J746" s="12" t="s">
        <v>40</v>
      </c>
      <c r="K746" s="12">
        <v>230.00700000000001</v>
      </c>
      <c r="L746" s="12">
        <v>190.87899999999999</v>
      </c>
      <c r="O746" s="13">
        <f t="shared" si="24"/>
        <v>0.82988343833013767</v>
      </c>
    </row>
    <row r="747" spans="1:15" x14ac:dyDescent="0.25">
      <c r="A747" s="12">
        <f t="shared" si="22"/>
        <v>9</v>
      </c>
      <c r="B747" s="12">
        <v>2022</v>
      </c>
      <c r="C747" s="12">
        <v>7026</v>
      </c>
      <c r="E747" s="12" t="s">
        <v>13</v>
      </c>
      <c r="F747" s="12" t="s">
        <v>14</v>
      </c>
      <c r="G747" s="14">
        <v>44820</v>
      </c>
      <c r="H747" s="12" t="s">
        <v>18</v>
      </c>
      <c r="I747" s="12" t="s">
        <v>19</v>
      </c>
      <c r="J747" s="12" t="s">
        <v>40</v>
      </c>
      <c r="K747" s="12">
        <v>230.00800000000001</v>
      </c>
      <c r="L747" s="12">
        <v>185.90799999999999</v>
      </c>
      <c r="O747" s="13">
        <f t="shared" si="24"/>
        <v>0.80826753852039923</v>
      </c>
    </row>
    <row r="748" spans="1:15" x14ac:dyDescent="0.25">
      <c r="A748" s="12">
        <f t="shared" si="22"/>
        <v>9</v>
      </c>
      <c r="B748" s="12">
        <v>2022</v>
      </c>
      <c r="C748" s="12">
        <v>7027</v>
      </c>
      <c r="E748" s="12" t="s">
        <v>13</v>
      </c>
      <c r="F748" s="12" t="s">
        <v>14</v>
      </c>
      <c r="G748" s="14">
        <v>44821</v>
      </c>
      <c r="H748" s="12" t="s">
        <v>18</v>
      </c>
      <c r="I748" s="12" t="s">
        <v>19</v>
      </c>
      <c r="J748" s="12" t="s">
        <v>40</v>
      </c>
      <c r="K748" s="12">
        <v>230.006</v>
      </c>
      <c r="L748" s="12">
        <v>189.53299999999999</v>
      </c>
      <c r="O748" s="13">
        <f t="shared" si="24"/>
        <v>0.82403502517325633</v>
      </c>
    </row>
    <row r="749" spans="1:15" x14ac:dyDescent="0.25">
      <c r="A749" s="12">
        <f t="shared" si="22"/>
        <v>9</v>
      </c>
      <c r="B749" s="12">
        <v>2022</v>
      </c>
      <c r="C749" s="12">
        <v>7028</v>
      </c>
      <c r="E749" s="12" t="s">
        <v>13</v>
      </c>
      <c r="F749" s="12" t="s">
        <v>14</v>
      </c>
      <c r="G749" s="14">
        <v>44822</v>
      </c>
      <c r="H749" s="12" t="s">
        <v>18</v>
      </c>
      <c r="I749" s="12" t="s">
        <v>19</v>
      </c>
      <c r="J749" s="12" t="s">
        <v>40</v>
      </c>
      <c r="K749" s="12">
        <v>230.006</v>
      </c>
      <c r="L749" s="12">
        <v>184.15899999999999</v>
      </c>
      <c r="O749" s="13">
        <f t="shared" si="24"/>
        <v>0.80067041729346189</v>
      </c>
    </row>
    <row r="750" spans="1:15" x14ac:dyDescent="0.25">
      <c r="A750" s="12">
        <f t="shared" si="22"/>
        <v>9</v>
      </c>
      <c r="B750" s="12">
        <v>2022</v>
      </c>
      <c r="C750" s="12">
        <v>7029</v>
      </c>
      <c r="E750" s="12" t="s">
        <v>13</v>
      </c>
      <c r="F750" s="12" t="s">
        <v>14</v>
      </c>
      <c r="G750" s="14">
        <v>44823</v>
      </c>
      <c r="H750" s="12" t="s">
        <v>37</v>
      </c>
      <c r="I750" s="12" t="s">
        <v>19</v>
      </c>
      <c r="J750" s="12" t="s">
        <v>40</v>
      </c>
      <c r="K750" s="12">
        <v>230.00700000000001</v>
      </c>
      <c r="L750" s="12">
        <v>191.32400000000001</v>
      </c>
      <c r="O750" s="13">
        <f t="shared" si="24"/>
        <v>0.8318181620559375</v>
      </c>
    </row>
    <row r="751" spans="1:15" x14ac:dyDescent="0.25">
      <c r="A751" s="12">
        <f t="shared" si="22"/>
        <v>9</v>
      </c>
      <c r="B751" s="12">
        <v>2022</v>
      </c>
      <c r="C751" s="12">
        <v>7030</v>
      </c>
      <c r="E751" s="12" t="s">
        <v>13</v>
      </c>
      <c r="F751" s="12" t="s">
        <v>14</v>
      </c>
      <c r="G751" s="14">
        <v>44824</v>
      </c>
      <c r="H751" s="12" t="s">
        <v>37</v>
      </c>
      <c r="I751" s="12" t="s">
        <v>19</v>
      </c>
      <c r="J751" s="12" t="s">
        <v>40</v>
      </c>
      <c r="K751" s="12">
        <v>230.00700000000001</v>
      </c>
      <c r="L751" s="12">
        <v>187.852</v>
      </c>
      <c r="O751" s="13">
        <f t="shared" si="24"/>
        <v>0.81672296930093435</v>
      </c>
    </row>
    <row r="752" spans="1:15" x14ac:dyDescent="0.25">
      <c r="A752" s="12">
        <f t="shared" si="22"/>
        <v>9</v>
      </c>
      <c r="B752" s="12">
        <v>2022</v>
      </c>
      <c r="C752" s="12">
        <v>7031</v>
      </c>
      <c r="E752" s="12" t="s">
        <v>13</v>
      </c>
      <c r="F752" s="12" t="s">
        <v>14</v>
      </c>
      <c r="G752" s="14">
        <v>44825</v>
      </c>
      <c r="H752" s="12" t="s">
        <v>37</v>
      </c>
      <c r="I752" s="12" t="s">
        <v>19</v>
      </c>
      <c r="J752" s="12" t="s">
        <v>40</v>
      </c>
      <c r="K752" s="12">
        <v>230.005</v>
      </c>
      <c r="L752" s="12">
        <v>183.15600000000001</v>
      </c>
      <c r="O752" s="13">
        <f t="shared" si="24"/>
        <v>0.79631312362774731</v>
      </c>
    </row>
    <row r="753" spans="1:15" x14ac:dyDescent="0.25">
      <c r="A753" s="12">
        <f t="shared" si="22"/>
        <v>9</v>
      </c>
      <c r="B753" s="12">
        <v>2022</v>
      </c>
      <c r="C753" s="12">
        <v>7032</v>
      </c>
      <c r="E753" s="12" t="s">
        <v>13</v>
      </c>
      <c r="F753" s="12" t="s">
        <v>14</v>
      </c>
      <c r="G753" s="14">
        <v>44826</v>
      </c>
      <c r="H753" s="12" t="s">
        <v>37</v>
      </c>
      <c r="I753" s="12" t="s">
        <v>19</v>
      </c>
      <c r="J753" s="12" t="s">
        <v>40</v>
      </c>
      <c r="K753" s="12">
        <v>230.00399999999999</v>
      </c>
      <c r="L753" s="12">
        <v>195.542</v>
      </c>
      <c r="O753" s="13">
        <f t="shared" si="24"/>
        <v>0.85016782316829276</v>
      </c>
    </row>
    <row r="754" spans="1:15" x14ac:dyDescent="0.25">
      <c r="A754" s="12">
        <f t="shared" si="22"/>
        <v>9</v>
      </c>
      <c r="B754" s="12">
        <v>2022</v>
      </c>
      <c r="C754" s="12">
        <v>7033</v>
      </c>
      <c r="E754" s="12" t="s">
        <v>13</v>
      </c>
      <c r="F754" s="12" t="s">
        <v>14</v>
      </c>
      <c r="G754" s="14">
        <v>44827</v>
      </c>
      <c r="H754" s="12" t="s">
        <v>17</v>
      </c>
      <c r="I754" s="12" t="s">
        <v>19</v>
      </c>
      <c r="J754" s="12" t="s">
        <v>54</v>
      </c>
      <c r="K754" s="12">
        <v>229.99700000000001</v>
      </c>
      <c r="L754" s="12">
        <v>195.53100000000001</v>
      </c>
      <c r="O754" s="13">
        <f t="shared" si="24"/>
        <v>0.85014587146788867</v>
      </c>
    </row>
    <row r="755" spans="1:15" x14ac:dyDescent="0.25">
      <c r="A755" s="12">
        <f t="shared" si="22"/>
        <v>9</v>
      </c>
      <c r="B755" s="12">
        <v>2022</v>
      </c>
      <c r="C755" s="12">
        <v>7034</v>
      </c>
      <c r="E755" s="12" t="s">
        <v>13</v>
      </c>
      <c r="F755" s="12" t="s">
        <v>14</v>
      </c>
      <c r="G755" s="14">
        <v>44828</v>
      </c>
      <c r="H755" s="12" t="s">
        <v>17</v>
      </c>
      <c r="I755" s="12" t="s">
        <v>20</v>
      </c>
      <c r="J755" s="12" t="s">
        <v>56</v>
      </c>
      <c r="K755" s="12">
        <v>230.00299999999999</v>
      </c>
      <c r="L755" s="12">
        <v>196.52500000000001</v>
      </c>
      <c r="O755" s="13">
        <f t="shared" si="24"/>
        <v>0.85444537679943311</v>
      </c>
    </row>
    <row r="756" spans="1:15" x14ac:dyDescent="0.25">
      <c r="A756" s="12">
        <f t="shared" si="22"/>
        <v>9</v>
      </c>
      <c r="B756" s="12">
        <v>2022</v>
      </c>
      <c r="C756" s="12">
        <v>7035</v>
      </c>
      <c r="E756" s="12" t="s">
        <v>13</v>
      </c>
      <c r="F756" s="12" t="s">
        <v>14</v>
      </c>
      <c r="G756" s="14">
        <v>44829</v>
      </c>
      <c r="H756" s="12" t="s">
        <v>17</v>
      </c>
      <c r="I756" s="12" t="s">
        <v>20</v>
      </c>
      <c r="J756" s="12" t="s">
        <v>56</v>
      </c>
      <c r="K756" s="12">
        <v>230.00200000000001</v>
      </c>
      <c r="L756" s="12">
        <v>199.01300000000001</v>
      </c>
      <c r="O756" s="13">
        <f t="shared" si="24"/>
        <v>0.86526638898792185</v>
      </c>
    </row>
    <row r="757" spans="1:15" x14ac:dyDescent="0.25">
      <c r="A757" s="12">
        <f t="shared" si="22"/>
        <v>9</v>
      </c>
      <c r="B757" s="12">
        <v>2022</v>
      </c>
      <c r="C757" s="12">
        <v>7036</v>
      </c>
      <c r="E757" s="12" t="s">
        <v>13</v>
      </c>
      <c r="F757" s="12" t="s">
        <v>14</v>
      </c>
      <c r="G757" s="14">
        <v>44830</v>
      </c>
      <c r="H757" s="12" t="s">
        <v>18</v>
      </c>
      <c r="I757" s="12" t="s">
        <v>19</v>
      </c>
      <c r="J757" s="12" t="s">
        <v>40</v>
      </c>
      <c r="K757" s="12">
        <v>229.995</v>
      </c>
      <c r="L757" s="12">
        <v>191.22900000000001</v>
      </c>
      <c r="O757" s="13">
        <f t="shared" si="24"/>
        <v>0.83144850975021201</v>
      </c>
    </row>
    <row r="758" spans="1:15" x14ac:dyDescent="0.25">
      <c r="A758" s="12">
        <f t="shared" si="22"/>
        <v>9</v>
      </c>
      <c r="B758" s="12">
        <v>2022</v>
      </c>
      <c r="C758" s="12">
        <v>7037</v>
      </c>
      <c r="E758" s="12" t="s">
        <v>13</v>
      </c>
      <c r="F758" s="12" t="s">
        <v>14</v>
      </c>
      <c r="G758" s="14">
        <v>44831</v>
      </c>
      <c r="H758" s="12" t="s">
        <v>18</v>
      </c>
      <c r="I758" s="12" t="s">
        <v>19</v>
      </c>
      <c r="J758" s="12" t="s">
        <v>40</v>
      </c>
      <c r="K758" s="12">
        <v>230.00399999999999</v>
      </c>
      <c r="L758" s="12">
        <v>189.994</v>
      </c>
      <c r="O758" s="13">
        <f t="shared" si="24"/>
        <v>0.82604650353906894</v>
      </c>
    </row>
    <row r="759" spans="1:15" x14ac:dyDescent="0.25">
      <c r="A759" s="12">
        <f t="shared" si="22"/>
        <v>9</v>
      </c>
      <c r="B759" s="12">
        <v>2022</v>
      </c>
      <c r="C759" s="12">
        <v>7038</v>
      </c>
      <c r="E759" s="12" t="s">
        <v>13</v>
      </c>
      <c r="F759" s="12" t="s">
        <v>14</v>
      </c>
      <c r="G759" s="14">
        <v>44832</v>
      </c>
      <c r="H759" s="12" t="s">
        <v>18</v>
      </c>
      <c r="I759" s="12" t="s">
        <v>19</v>
      </c>
      <c r="J759" s="12" t="s">
        <v>40</v>
      </c>
      <c r="K759" s="12">
        <v>230.00299999999999</v>
      </c>
      <c r="L759" s="12">
        <v>192.19900000000001</v>
      </c>
      <c r="O759" s="13">
        <f t="shared" si="24"/>
        <v>0.8356369264748722</v>
      </c>
    </row>
    <row r="760" spans="1:15" x14ac:dyDescent="0.25">
      <c r="A760" s="12">
        <f t="shared" si="22"/>
        <v>9</v>
      </c>
      <c r="B760" s="12">
        <v>2022</v>
      </c>
      <c r="C760" s="12">
        <v>7039</v>
      </c>
      <c r="E760" s="12" t="s">
        <v>13</v>
      </c>
      <c r="F760" s="12" t="s">
        <v>14</v>
      </c>
      <c r="G760" s="14">
        <v>44833</v>
      </c>
      <c r="H760" s="12" t="s">
        <v>18</v>
      </c>
      <c r="I760" s="12" t="s">
        <v>19</v>
      </c>
      <c r="J760" s="12" t="s">
        <v>40</v>
      </c>
      <c r="K760" s="12">
        <v>230</v>
      </c>
      <c r="L760" s="12">
        <v>191.904</v>
      </c>
      <c r="O760" s="13">
        <f t="shared" si="24"/>
        <v>0.83436521739130431</v>
      </c>
    </row>
    <row r="761" spans="1:15" x14ac:dyDescent="0.25">
      <c r="A761" s="12">
        <f t="shared" si="22"/>
        <v>9</v>
      </c>
      <c r="B761" s="12">
        <v>2022</v>
      </c>
      <c r="C761" s="12">
        <v>7040</v>
      </c>
      <c r="E761" s="12" t="s">
        <v>13</v>
      </c>
      <c r="F761" s="12" t="s">
        <v>14</v>
      </c>
      <c r="G761" s="14">
        <v>44834</v>
      </c>
      <c r="H761" s="12" t="s">
        <v>18</v>
      </c>
      <c r="I761" s="12" t="s">
        <v>19</v>
      </c>
      <c r="J761" s="12" t="s">
        <v>40</v>
      </c>
      <c r="K761" s="12">
        <v>230.001</v>
      </c>
      <c r="L761" s="12">
        <v>189.059</v>
      </c>
      <c r="O761" s="13">
        <f t="shared" si="24"/>
        <v>0.82199207829531173</v>
      </c>
    </row>
    <row r="762" spans="1:15" x14ac:dyDescent="0.25">
      <c r="A762" s="12">
        <f t="shared" si="22"/>
        <v>10</v>
      </c>
      <c r="B762" s="12">
        <v>2022</v>
      </c>
      <c r="C762" s="12">
        <v>7041</v>
      </c>
      <c r="E762" s="12" t="s">
        <v>13</v>
      </c>
      <c r="F762" s="12" t="s">
        <v>14</v>
      </c>
      <c r="G762" s="14">
        <v>44835</v>
      </c>
      <c r="H762" s="12" t="s">
        <v>17</v>
      </c>
      <c r="I762" s="12" t="s">
        <v>19</v>
      </c>
      <c r="J762" s="12" t="s">
        <v>55</v>
      </c>
      <c r="K762" s="12">
        <v>230.02500000000001</v>
      </c>
      <c r="L762" s="12">
        <v>195.571</v>
      </c>
      <c r="O762" s="13">
        <f t="shared" si="24"/>
        <v>0.85021628083903922</v>
      </c>
    </row>
    <row r="763" spans="1:15" x14ac:dyDescent="0.25">
      <c r="A763" s="12">
        <f t="shared" si="22"/>
        <v>10</v>
      </c>
      <c r="B763" s="12">
        <v>2022</v>
      </c>
      <c r="C763" s="12">
        <v>7042</v>
      </c>
      <c r="E763" s="12" t="s">
        <v>13</v>
      </c>
      <c r="F763" s="12" t="s">
        <v>14</v>
      </c>
      <c r="G763" s="14">
        <v>44836</v>
      </c>
      <c r="H763" s="12" t="s">
        <v>18</v>
      </c>
      <c r="I763" s="12" t="s">
        <v>19</v>
      </c>
      <c r="J763" s="12" t="s">
        <v>40</v>
      </c>
      <c r="K763" s="12">
        <v>229.999</v>
      </c>
      <c r="L763" s="12">
        <v>190.751</v>
      </c>
      <c r="O763" s="13">
        <f t="shared" si="24"/>
        <v>0.82935577980773834</v>
      </c>
    </row>
    <row r="764" spans="1:15" x14ac:dyDescent="0.25">
      <c r="A764" s="12">
        <f t="shared" si="22"/>
        <v>10</v>
      </c>
      <c r="B764" s="12">
        <v>2022</v>
      </c>
      <c r="C764" s="12">
        <v>7043</v>
      </c>
      <c r="E764" s="12" t="s">
        <v>13</v>
      </c>
      <c r="F764" s="12" t="s">
        <v>14</v>
      </c>
      <c r="G764" s="14">
        <v>44837</v>
      </c>
      <c r="H764" s="12" t="s">
        <v>18</v>
      </c>
      <c r="I764" s="12" t="s">
        <v>19</v>
      </c>
      <c r="J764" s="12" t="s">
        <v>40</v>
      </c>
      <c r="K764" s="12">
        <v>229.99799999999999</v>
      </c>
      <c r="L764" s="12">
        <v>188.602</v>
      </c>
      <c r="O764" s="13">
        <f t="shared" si="24"/>
        <v>0.82001582622457592</v>
      </c>
    </row>
    <row r="765" spans="1:15" x14ac:dyDescent="0.25">
      <c r="A765" s="12">
        <f t="shared" si="22"/>
        <v>10</v>
      </c>
      <c r="B765" s="12">
        <v>2022</v>
      </c>
      <c r="C765" s="12">
        <v>7044</v>
      </c>
      <c r="E765" s="12" t="s">
        <v>13</v>
      </c>
      <c r="F765" s="12" t="s">
        <v>14</v>
      </c>
      <c r="G765" s="14">
        <v>44838</v>
      </c>
      <c r="H765" s="12" t="s">
        <v>18</v>
      </c>
      <c r="I765" s="12" t="s">
        <v>19</v>
      </c>
      <c r="J765" s="12" t="s">
        <v>40</v>
      </c>
      <c r="K765" s="12">
        <v>230.00399999999999</v>
      </c>
      <c r="L765" s="12">
        <v>192.571</v>
      </c>
      <c r="O765" s="13">
        <f t="shared" si="24"/>
        <v>0.8372506565103216</v>
      </c>
    </row>
    <row r="766" spans="1:15" x14ac:dyDescent="0.25">
      <c r="A766" s="12">
        <f t="shared" si="22"/>
        <v>10</v>
      </c>
      <c r="B766" s="12">
        <v>2022</v>
      </c>
      <c r="C766" s="12">
        <v>7045</v>
      </c>
      <c r="E766" s="12" t="s">
        <v>13</v>
      </c>
      <c r="F766" s="12" t="s">
        <v>14</v>
      </c>
      <c r="G766" s="14">
        <v>44839</v>
      </c>
      <c r="H766" s="12" t="s">
        <v>18</v>
      </c>
      <c r="I766" s="12" t="s">
        <v>19</v>
      </c>
      <c r="J766" s="12" t="s">
        <v>40</v>
      </c>
      <c r="K766" s="12">
        <v>230.00399999999999</v>
      </c>
      <c r="L766" s="12">
        <v>188.203</v>
      </c>
      <c r="O766" s="13">
        <f t="shared" si="24"/>
        <v>0.81825968244030545</v>
      </c>
    </row>
    <row r="767" spans="1:15" x14ac:dyDescent="0.25">
      <c r="A767" s="12">
        <f t="shared" si="22"/>
        <v>10</v>
      </c>
      <c r="B767" s="12">
        <v>2022</v>
      </c>
      <c r="C767" s="12">
        <v>7046</v>
      </c>
      <c r="E767" s="12" t="s">
        <v>13</v>
      </c>
      <c r="F767" s="12" t="s">
        <v>14</v>
      </c>
      <c r="G767" s="14">
        <v>44840</v>
      </c>
      <c r="H767" s="12" t="s">
        <v>18</v>
      </c>
      <c r="I767" s="12" t="s">
        <v>19</v>
      </c>
      <c r="J767" s="12" t="s">
        <v>40</v>
      </c>
      <c r="K767" s="12">
        <v>230.005</v>
      </c>
      <c r="L767" s="12">
        <v>189.00200000000001</v>
      </c>
      <c r="O767" s="13">
        <f t="shared" si="24"/>
        <v>0.82172996239212193</v>
      </c>
    </row>
    <row r="768" spans="1:15" x14ac:dyDescent="0.25">
      <c r="A768" s="12">
        <f t="shared" si="22"/>
        <v>10</v>
      </c>
      <c r="B768" s="12">
        <v>2022</v>
      </c>
      <c r="C768" s="12">
        <v>7047</v>
      </c>
      <c r="E768" s="12" t="s">
        <v>13</v>
      </c>
      <c r="F768" s="12" t="s">
        <v>14</v>
      </c>
      <c r="G768" s="14">
        <v>44841</v>
      </c>
      <c r="H768" s="12" t="s">
        <v>17</v>
      </c>
      <c r="I768" s="12" t="s">
        <v>19</v>
      </c>
      <c r="J768" s="12" t="s">
        <v>78</v>
      </c>
      <c r="K768" s="12">
        <v>230.02500000000001</v>
      </c>
      <c r="L768" s="12">
        <v>192.78800000000001</v>
      </c>
      <c r="O768" s="13">
        <f t="shared" si="24"/>
        <v>0.83811759591348767</v>
      </c>
    </row>
    <row r="769" spans="1:15" x14ac:dyDescent="0.25">
      <c r="A769" s="12">
        <f t="shared" si="22"/>
        <v>10</v>
      </c>
      <c r="B769" s="12">
        <v>2022</v>
      </c>
      <c r="C769" s="12">
        <v>7048</v>
      </c>
      <c r="E769" s="12" t="s">
        <v>13</v>
      </c>
      <c r="F769" s="12" t="s">
        <v>14</v>
      </c>
      <c r="G769" s="14">
        <v>44842</v>
      </c>
      <c r="H769" s="12" t="s">
        <v>17</v>
      </c>
      <c r="I769" s="12" t="s">
        <v>19</v>
      </c>
      <c r="J769" s="12" t="s">
        <v>41</v>
      </c>
      <c r="K769" s="12">
        <v>230.006</v>
      </c>
      <c r="L769" s="12">
        <v>188.601</v>
      </c>
      <c r="O769" s="13">
        <f t="shared" si="24"/>
        <v>0.81998295696634005</v>
      </c>
    </row>
    <row r="770" spans="1:15" x14ac:dyDescent="0.25">
      <c r="A770" s="12">
        <f t="shared" ref="A770:A833" si="25">MONTH(G770)</f>
        <v>10</v>
      </c>
      <c r="B770" s="12">
        <v>2022</v>
      </c>
      <c r="C770" s="12">
        <v>7049</v>
      </c>
      <c r="E770" s="12" t="s">
        <v>13</v>
      </c>
      <c r="F770" s="12" t="s">
        <v>14</v>
      </c>
      <c r="G770" s="14">
        <v>44843</v>
      </c>
      <c r="H770" s="12" t="s">
        <v>18</v>
      </c>
      <c r="I770" s="12" t="s">
        <v>19</v>
      </c>
      <c r="J770" s="12" t="s">
        <v>40</v>
      </c>
      <c r="K770" s="12">
        <v>230.02199999999999</v>
      </c>
      <c r="L770" s="12">
        <v>187.87700000000001</v>
      </c>
      <c r="O770" s="13">
        <f t="shared" si="24"/>
        <v>0.81677839511003303</v>
      </c>
    </row>
    <row r="771" spans="1:15" x14ac:dyDescent="0.25">
      <c r="A771" s="12">
        <f t="shared" si="25"/>
        <v>10</v>
      </c>
      <c r="B771" s="12">
        <v>2022</v>
      </c>
      <c r="C771" s="12">
        <v>7050</v>
      </c>
      <c r="E771" s="12" t="s">
        <v>13</v>
      </c>
      <c r="F771" s="12" t="s">
        <v>14</v>
      </c>
      <c r="G771" s="14">
        <v>44844</v>
      </c>
      <c r="H771" s="12" t="s">
        <v>18</v>
      </c>
      <c r="I771" s="12" t="s">
        <v>19</v>
      </c>
      <c r="J771" s="12" t="s">
        <v>40</v>
      </c>
      <c r="K771" s="12">
        <v>230.005</v>
      </c>
      <c r="L771" s="12">
        <v>179.62200000000001</v>
      </c>
      <c r="O771" s="13">
        <f t="shared" si="24"/>
        <v>0.78094824025564669</v>
      </c>
    </row>
    <row r="772" spans="1:15" x14ac:dyDescent="0.25">
      <c r="A772" s="12">
        <f t="shared" si="25"/>
        <v>10</v>
      </c>
      <c r="B772" s="12">
        <v>2022</v>
      </c>
      <c r="C772" s="12">
        <v>7051</v>
      </c>
      <c r="E772" s="12" t="s">
        <v>13</v>
      </c>
      <c r="F772" s="12" t="s">
        <v>14</v>
      </c>
      <c r="G772" s="14">
        <v>44845</v>
      </c>
      <c r="H772" s="12" t="s">
        <v>18</v>
      </c>
      <c r="I772" s="12" t="s">
        <v>19</v>
      </c>
      <c r="J772" s="12" t="s">
        <v>40</v>
      </c>
      <c r="K772" s="12">
        <v>230.00399999999999</v>
      </c>
      <c r="L772" s="12">
        <v>202.07499999999999</v>
      </c>
      <c r="O772" s="13">
        <f t="shared" si="24"/>
        <v>0.87857167701431282</v>
      </c>
    </row>
    <row r="773" spans="1:15" x14ac:dyDescent="0.25">
      <c r="A773" s="12">
        <f t="shared" si="25"/>
        <v>10</v>
      </c>
      <c r="B773" s="12">
        <v>2022</v>
      </c>
      <c r="C773" s="12">
        <v>7052</v>
      </c>
      <c r="E773" s="12" t="s">
        <v>13</v>
      </c>
      <c r="F773" s="12" t="s">
        <v>14</v>
      </c>
      <c r="G773" s="14">
        <v>44846</v>
      </c>
      <c r="H773" s="12" t="s">
        <v>18</v>
      </c>
      <c r="I773" s="12" t="s">
        <v>19</v>
      </c>
      <c r="J773" s="12" t="s">
        <v>40</v>
      </c>
      <c r="K773" s="12">
        <v>230.01</v>
      </c>
      <c r="L773" s="12">
        <v>189.691</v>
      </c>
      <c r="O773" s="13">
        <f t="shared" si="24"/>
        <v>0.82470762140776488</v>
      </c>
    </row>
    <row r="774" spans="1:15" x14ac:dyDescent="0.25">
      <c r="A774" s="12">
        <f t="shared" si="25"/>
        <v>10</v>
      </c>
      <c r="B774" s="12">
        <v>2022</v>
      </c>
      <c r="C774" s="12">
        <v>7053</v>
      </c>
      <c r="E774" s="12" t="s">
        <v>13</v>
      </c>
      <c r="F774" s="12" t="s">
        <v>14</v>
      </c>
      <c r="G774" s="14">
        <v>44847</v>
      </c>
      <c r="H774" s="12" t="s">
        <v>18</v>
      </c>
      <c r="I774" s="12" t="s">
        <v>19</v>
      </c>
      <c r="J774" s="12" t="s">
        <v>40</v>
      </c>
      <c r="K774" s="12">
        <v>230.01</v>
      </c>
      <c r="L774" s="12">
        <v>192.87</v>
      </c>
      <c r="O774" s="13">
        <f t="shared" si="24"/>
        <v>0.83852875961914708</v>
      </c>
    </row>
    <row r="775" spans="1:15" x14ac:dyDescent="0.25">
      <c r="A775" s="12">
        <f t="shared" si="25"/>
        <v>10</v>
      </c>
      <c r="B775" s="12">
        <v>2022</v>
      </c>
      <c r="C775" s="12">
        <v>7054</v>
      </c>
      <c r="E775" s="12" t="s">
        <v>13</v>
      </c>
      <c r="F775" s="12" t="s">
        <v>14</v>
      </c>
      <c r="G775" s="14">
        <v>44848</v>
      </c>
      <c r="H775" s="12" t="s">
        <v>17</v>
      </c>
      <c r="I775" s="12" t="s">
        <v>19</v>
      </c>
      <c r="J775" s="12" t="s">
        <v>58</v>
      </c>
      <c r="K775" s="12">
        <v>232</v>
      </c>
      <c r="L775" s="12">
        <v>197.88300000000001</v>
      </c>
      <c r="O775" s="13">
        <f t="shared" si="24"/>
        <v>0.85294396551724139</v>
      </c>
    </row>
    <row r="776" spans="1:15" x14ac:dyDescent="0.25">
      <c r="A776" s="12">
        <f t="shared" si="25"/>
        <v>10</v>
      </c>
      <c r="B776" s="12">
        <v>2022</v>
      </c>
      <c r="C776" s="12">
        <v>7055</v>
      </c>
      <c r="E776" s="12" t="s">
        <v>13</v>
      </c>
      <c r="F776" s="12" t="s">
        <v>14</v>
      </c>
      <c r="G776" s="14">
        <v>44849</v>
      </c>
      <c r="H776" s="12" t="s">
        <v>18</v>
      </c>
      <c r="I776" s="12" t="s">
        <v>20</v>
      </c>
      <c r="J776" s="12" t="s">
        <v>56</v>
      </c>
      <c r="K776" s="12">
        <v>234.99799999999999</v>
      </c>
      <c r="L776" s="12">
        <v>196.27600000000001</v>
      </c>
      <c r="O776" s="13">
        <f t="shared" si="24"/>
        <v>0.83522412956706027</v>
      </c>
    </row>
    <row r="777" spans="1:15" x14ac:dyDescent="0.25">
      <c r="A777" s="12">
        <f t="shared" si="25"/>
        <v>10</v>
      </c>
      <c r="B777" s="12">
        <v>2022</v>
      </c>
      <c r="C777" s="12">
        <v>7056</v>
      </c>
      <c r="E777" s="12" t="s">
        <v>13</v>
      </c>
      <c r="F777" s="12" t="s">
        <v>14</v>
      </c>
      <c r="G777" s="14">
        <v>44850</v>
      </c>
      <c r="H777" s="12" t="s">
        <v>18</v>
      </c>
      <c r="I777" s="12" t="s">
        <v>20</v>
      </c>
      <c r="J777" s="12" t="s">
        <v>56</v>
      </c>
      <c r="K777" s="12">
        <v>234.99799999999999</v>
      </c>
      <c r="L777" s="12">
        <v>203.21700000000001</v>
      </c>
      <c r="O777" s="13">
        <f t="shared" si="24"/>
        <v>0.86476055115362693</v>
      </c>
    </row>
    <row r="778" spans="1:15" x14ac:dyDescent="0.25">
      <c r="A778" s="12">
        <f t="shared" si="25"/>
        <v>10</v>
      </c>
      <c r="B778" s="12">
        <v>2022</v>
      </c>
      <c r="C778" s="12">
        <v>7057</v>
      </c>
      <c r="E778" s="12" t="s">
        <v>13</v>
      </c>
      <c r="F778" s="12" t="s">
        <v>14</v>
      </c>
      <c r="G778" s="14">
        <v>44851</v>
      </c>
      <c r="H778" s="12" t="s">
        <v>17</v>
      </c>
      <c r="I778" s="12" t="s">
        <v>19</v>
      </c>
      <c r="J778" s="12" t="s">
        <v>55</v>
      </c>
      <c r="K778" s="12">
        <v>232.005</v>
      </c>
      <c r="L778" s="12">
        <v>195.09200000000001</v>
      </c>
      <c r="O778" s="13">
        <f t="shared" si="24"/>
        <v>0.84089567035193213</v>
      </c>
    </row>
    <row r="779" spans="1:15" x14ac:dyDescent="0.25">
      <c r="A779" s="12">
        <f t="shared" si="25"/>
        <v>10</v>
      </c>
      <c r="B779" s="12">
        <v>2022</v>
      </c>
      <c r="C779" s="12">
        <v>7058</v>
      </c>
      <c r="E779" s="12" t="s">
        <v>13</v>
      </c>
      <c r="F779" s="12" t="s">
        <v>14</v>
      </c>
      <c r="G779" s="14">
        <v>44852</v>
      </c>
      <c r="H779" s="12" t="s">
        <v>18</v>
      </c>
      <c r="I779" s="12" t="s">
        <v>19</v>
      </c>
      <c r="J779" s="12" t="s">
        <v>40</v>
      </c>
      <c r="K779" s="12">
        <v>230.00700000000001</v>
      </c>
      <c r="L779" s="12">
        <v>189.846</v>
      </c>
      <c r="O779" s="13">
        <f t="shared" si="24"/>
        <v>0.82539227067002308</v>
      </c>
    </row>
    <row r="780" spans="1:15" x14ac:dyDescent="0.25">
      <c r="A780" s="12">
        <f t="shared" si="25"/>
        <v>10</v>
      </c>
      <c r="B780" s="12">
        <v>2022</v>
      </c>
      <c r="C780" s="12">
        <v>7059</v>
      </c>
      <c r="E780" s="12" t="s">
        <v>13</v>
      </c>
      <c r="F780" s="12" t="s">
        <v>14</v>
      </c>
      <c r="G780" s="14">
        <v>44853</v>
      </c>
      <c r="H780" s="12" t="s">
        <v>18</v>
      </c>
      <c r="I780" s="12" t="s">
        <v>19</v>
      </c>
      <c r="J780" s="12" t="s">
        <v>40</v>
      </c>
      <c r="K780" s="12">
        <v>230.00700000000001</v>
      </c>
      <c r="L780" s="12">
        <v>190.75</v>
      </c>
      <c r="O780" s="13">
        <f t="shared" si="24"/>
        <v>0.82932258583434415</v>
      </c>
    </row>
    <row r="781" spans="1:15" x14ac:dyDescent="0.25">
      <c r="A781" s="12">
        <f t="shared" si="25"/>
        <v>10</v>
      </c>
      <c r="B781" s="12">
        <v>2022</v>
      </c>
      <c r="C781" s="12">
        <v>7060</v>
      </c>
      <c r="E781" s="12" t="s">
        <v>13</v>
      </c>
      <c r="F781" s="12" t="s">
        <v>14</v>
      </c>
      <c r="G781" s="14">
        <v>44854</v>
      </c>
      <c r="H781" s="12" t="s">
        <v>18</v>
      </c>
      <c r="I781" s="12" t="s">
        <v>19</v>
      </c>
      <c r="J781" s="12" t="s">
        <v>40</v>
      </c>
      <c r="K781" s="12">
        <v>230.005</v>
      </c>
      <c r="L781" s="12">
        <v>192.15199999999999</v>
      </c>
      <c r="O781" s="13">
        <f t="shared" si="24"/>
        <v>0.83542531684093824</v>
      </c>
    </row>
    <row r="782" spans="1:15" x14ac:dyDescent="0.25">
      <c r="A782" s="12">
        <f t="shared" si="25"/>
        <v>10</v>
      </c>
      <c r="B782" s="12">
        <v>2022</v>
      </c>
      <c r="C782" s="12">
        <v>7061</v>
      </c>
      <c r="E782" s="12" t="s">
        <v>13</v>
      </c>
      <c r="F782" s="12" t="s">
        <v>14</v>
      </c>
      <c r="G782" s="14">
        <v>44855</v>
      </c>
      <c r="H782" s="12" t="s">
        <v>18</v>
      </c>
      <c r="I782" s="12" t="s">
        <v>19</v>
      </c>
      <c r="J782" s="12" t="s">
        <v>40</v>
      </c>
      <c r="K782" s="12">
        <v>230.006</v>
      </c>
      <c r="L782" s="12">
        <v>189.43799999999999</v>
      </c>
      <c r="O782" s="13">
        <f t="shared" si="24"/>
        <v>0.82362199246976164</v>
      </c>
    </row>
    <row r="783" spans="1:15" x14ac:dyDescent="0.25">
      <c r="A783" s="12">
        <f t="shared" si="25"/>
        <v>10</v>
      </c>
      <c r="B783" s="12">
        <v>2022</v>
      </c>
      <c r="C783" s="12">
        <v>7062</v>
      </c>
      <c r="E783" s="12" t="s">
        <v>13</v>
      </c>
      <c r="F783" s="12" t="s">
        <v>14</v>
      </c>
      <c r="G783" s="14">
        <v>44856</v>
      </c>
      <c r="H783" s="12" t="s">
        <v>18</v>
      </c>
      <c r="I783" s="12" t="s">
        <v>20</v>
      </c>
      <c r="J783" s="12" t="s">
        <v>53</v>
      </c>
      <c r="K783" s="12">
        <v>230</v>
      </c>
      <c r="L783" s="12">
        <v>198.874</v>
      </c>
      <c r="O783" s="13">
        <f t="shared" si="24"/>
        <v>0.86466956521739124</v>
      </c>
    </row>
    <row r="784" spans="1:15" x14ac:dyDescent="0.25">
      <c r="A784" s="12">
        <f t="shared" si="25"/>
        <v>10</v>
      </c>
      <c r="B784" s="12">
        <v>2022</v>
      </c>
      <c r="C784" s="12">
        <v>7063</v>
      </c>
      <c r="E784" s="12" t="s">
        <v>13</v>
      </c>
      <c r="F784" s="12" t="s">
        <v>14</v>
      </c>
      <c r="G784" s="14">
        <v>44857</v>
      </c>
      <c r="H784" s="12" t="s">
        <v>18</v>
      </c>
      <c r="I784" s="12" t="s">
        <v>20</v>
      </c>
      <c r="J784" s="12" t="s">
        <v>53</v>
      </c>
      <c r="K784" s="12">
        <v>229.999</v>
      </c>
      <c r="L784" s="12">
        <v>196.98699999999999</v>
      </c>
      <c r="O784" s="13">
        <f t="shared" si="24"/>
        <v>0.85646894116930938</v>
      </c>
    </row>
    <row r="785" spans="1:15" x14ac:dyDescent="0.25">
      <c r="A785" s="12">
        <f t="shared" si="25"/>
        <v>10</v>
      </c>
      <c r="B785" s="12">
        <v>2022</v>
      </c>
      <c r="C785" s="12">
        <v>7064</v>
      </c>
      <c r="E785" s="12" t="s">
        <v>13</v>
      </c>
      <c r="F785" s="12" t="s">
        <v>14</v>
      </c>
      <c r="G785" s="14">
        <v>44858</v>
      </c>
      <c r="H785" s="12" t="s">
        <v>18</v>
      </c>
      <c r="I785" s="12" t="s">
        <v>19</v>
      </c>
      <c r="J785" s="12" t="s">
        <v>40</v>
      </c>
      <c r="K785" s="12">
        <v>229.98500000000001</v>
      </c>
      <c r="L785" s="12">
        <v>190.767</v>
      </c>
      <c r="O785" s="13">
        <f t="shared" si="24"/>
        <v>0.82947583538056824</v>
      </c>
    </row>
    <row r="786" spans="1:15" x14ac:dyDescent="0.25">
      <c r="A786" s="12">
        <f t="shared" si="25"/>
        <v>10</v>
      </c>
      <c r="B786" s="12">
        <v>2022</v>
      </c>
      <c r="C786" s="12">
        <v>7065</v>
      </c>
      <c r="E786" s="12" t="s">
        <v>13</v>
      </c>
      <c r="F786" s="12" t="s">
        <v>14</v>
      </c>
      <c r="G786" s="14">
        <v>44859</v>
      </c>
      <c r="H786" s="12" t="s">
        <v>18</v>
      </c>
      <c r="I786" s="12" t="s">
        <v>19</v>
      </c>
      <c r="J786" s="12" t="s">
        <v>40</v>
      </c>
      <c r="K786" s="12">
        <v>230.006</v>
      </c>
      <c r="L786" s="12">
        <v>185.45400000000001</v>
      </c>
      <c r="O786" s="13">
        <f t="shared" si="24"/>
        <v>0.80630070519899488</v>
      </c>
    </row>
    <row r="787" spans="1:15" x14ac:dyDescent="0.25">
      <c r="A787" s="12">
        <f t="shared" si="25"/>
        <v>10</v>
      </c>
      <c r="B787" s="12">
        <v>2022</v>
      </c>
      <c r="C787" s="12">
        <v>7066</v>
      </c>
      <c r="E787" s="12" t="s">
        <v>13</v>
      </c>
      <c r="F787" s="12" t="s">
        <v>14</v>
      </c>
      <c r="G787" s="14">
        <v>44860</v>
      </c>
      <c r="H787" s="12" t="s">
        <v>18</v>
      </c>
      <c r="I787" s="12" t="s">
        <v>19</v>
      </c>
      <c r="J787" s="12" t="s">
        <v>40</v>
      </c>
      <c r="K787" s="12">
        <v>230.005</v>
      </c>
      <c r="L787" s="12">
        <v>195.07499999999999</v>
      </c>
      <c r="O787" s="13">
        <f t="shared" si="24"/>
        <v>0.8481337362231256</v>
      </c>
    </row>
    <row r="788" spans="1:15" x14ac:dyDescent="0.25">
      <c r="A788" s="12">
        <f t="shared" si="25"/>
        <v>10</v>
      </c>
      <c r="B788" s="12">
        <v>2022</v>
      </c>
      <c r="C788" s="12">
        <v>7067</v>
      </c>
      <c r="E788" s="12" t="s">
        <v>13</v>
      </c>
      <c r="F788" s="12" t="s">
        <v>14</v>
      </c>
      <c r="G788" s="14">
        <v>44861</v>
      </c>
      <c r="H788" s="12" t="s">
        <v>18</v>
      </c>
      <c r="I788" s="12" t="s">
        <v>19</v>
      </c>
      <c r="J788" s="12" t="s">
        <v>40</v>
      </c>
      <c r="K788" s="12">
        <v>230.005</v>
      </c>
      <c r="L788" s="12">
        <v>185.70099999999999</v>
      </c>
      <c r="O788" s="13">
        <f t="shared" si="24"/>
        <v>0.80737810047607661</v>
      </c>
    </row>
    <row r="789" spans="1:15" x14ac:dyDescent="0.25">
      <c r="A789" s="12">
        <f t="shared" si="25"/>
        <v>10</v>
      </c>
      <c r="B789" s="12">
        <v>2022</v>
      </c>
      <c r="C789" s="12">
        <v>7068</v>
      </c>
      <c r="E789" s="12" t="s">
        <v>13</v>
      </c>
      <c r="F789" s="12" t="s">
        <v>14</v>
      </c>
      <c r="G789" s="14">
        <v>44862</v>
      </c>
      <c r="H789" s="12" t="s">
        <v>18</v>
      </c>
      <c r="I789" s="12" t="s">
        <v>19</v>
      </c>
      <c r="J789" s="12" t="s">
        <v>40</v>
      </c>
      <c r="K789" s="12">
        <v>230.00399999999999</v>
      </c>
      <c r="L789" s="12">
        <v>189.077</v>
      </c>
      <c r="O789" s="13">
        <f t="shared" si="24"/>
        <v>0.8220596163544982</v>
      </c>
    </row>
    <row r="790" spans="1:15" x14ac:dyDescent="0.25">
      <c r="A790" s="12">
        <f t="shared" si="25"/>
        <v>10</v>
      </c>
      <c r="B790" s="12">
        <v>2022</v>
      </c>
      <c r="C790" s="12">
        <v>7069</v>
      </c>
      <c r="E790" s="12" t="s">
        <v>13</v>
      </c>
      <c r="F790" s="12" t="s">
        <v>14</v>
      </c>
      <c r="G790" s="14">
        <v>44863</v>
      </c>
      <c r="H790" s="12" t="s">
        <v>18</v>
      </c>
      <c r="I790" s="12" t="s">
        <v>19</v>
      </c>
      <c r="J790" s="12" t="s">
        <v>55</v>
      </c>
      <c r="K790" s="12">
        <v>231.97900000000001</v>
      </c>
      <c r="L790" s="12">
        <v>191.76499999999999</v>
      </c>
      <c r="O790" s="13">
        <f t="shared" si="24"/>
        <v>0.82664810176783232</v>
      </c>
    </row>
    <row r="791" spans="1:15" x14ac:dyDescent="0.25">
      <c r="A791" s="12">
        <f t="shared" si="25"/>
        <v>10</v>
      </c>
      <c r="B791" s="12">
        <v>2022</v>
      </c>
      <c r="C791" s="12">
        <v>7070</v>
      </c>
      <c r="E791" s="12" t="s">
        <v>13</v>
      </c>
      <c r="F791" s="12" t="s">
        <v>14</v>
      </c>
      <c r="G791" s="14">
        <v>44864</v>
      </c>
      <c r="H791" s="12" t="s">
        <v>18</v>
      </c>
      <c r="I791" s="12" t="s">
        <v>19</v>
      </c>
      <c r="J791" s="12" t="s">
        <v>40</v>
      </c>
      <c r="K791" s="12">
        <v>230</v>
      </c>
      <c r="L791" s="12">
        <v>186.18600000000001</v>
      </c>
      <c r="O791" s="13">
        <f t="shared" si="24"/>
        <v>0.80950434782608693</v>
      </c>
    </row>
    <row r="792" spans="1:15" x14ac:dyDescent="0.25">
      <c r="A792" s="12">
        <f t="shared" si="25"/>
        <v>10</v>
      </c>
      <c r="B792" s="12">
        <v>2022</v>
      </c>
      <c r="C792" s="12">
        <v>7071</v>
      </c>
      <c r="E792" s="12" t="s">
        <v>13</v>
      </c>
      <c r="F792" s="12" t="s">
        <v>14</v>
      </c>
      <c r="G792" s="14">
        <v>44865</v>
      </c>
      <c r="H792" s="12" t="s">
        <v>18</v>
      </c>
      <c r="I792" s="12" t="s">
        <v>19</v>
      </c>
      <c r="J792" s="12" t="s">
        <v>40</v>
      </c>
      <c r="K792" s="12">
        <v>230</v>
      </c>
      <c r="L792" s="12">
        <v>192.89599999999999</v>
      </c>
      <c r="O792" s="13">
        <f t="shared" si="24"/>
        <v>0.83867826086956521</v>
      </c>
    </row>
    <row r="793" spans="1:15" x14ac:dyDescent="0.25">
      <c r="A793" s="12">
        <f t="shared" si="25"/>
        <v>11</v>
      </c>
      <c r="B793" s="12">
        <v>2022</v>
      </c>
      <c r="C793" s="12">
        <v>7072</v>
      </c>
      <c r="E793" s="12" t="s">
        <v>13</v>
      </c>
      <c r="F793" s="12" t="s">
        <v>14</v>
      </c>
      <c r="G793" s="14">
        <v>44866</v>
      </c>
      <c r="H793" s="12" t="s">
        <v>18</v>
      </c>
      <c r="I793" s="12" t="s">
        <v>20</v>
      </c>
      <c r="J793" s="12" t="s">
        <v>56</v>
      </c>
      <c r="K793" s="12">
        <v>235.03399999999999</v>
      </c>
      <c r="L793" s="12">
        <v>194.87</v>
      </c>
      <c r="O793" s="13">
        <f t="shared" si="24"/>
        <v>0.82911408562165478</v>
      </c>
    </row>
    <row r="794" spans="1:15" x14ac:dyDescent="0.25">
      <c r="A794" s="12">
        <f t="shared" si="25"/>
        <v>11</v>
      </c>
      <c r="B794" s="12">
        <v>2022</v>
      </c>
      <c r="C794" s="12">
        <v>7073</v>
      </c>
      <c r="E794" s="12" t="s">
        <v>13</v>
      </c>
      <c r="F794" s="12" t="s">
        <v>14</v>
      </c>
      <c r="G794" s="14">
        <v>44867</v>
      </c>
      <c r="H794" s="12" t="s">
        <v>18</v>
      </c>
      <c r="I794" s="12" t="s">
        <v>20</v>
      </c>
      <c r="J794" s="12" t="s">
        <v>56</v>
      </c>
      <c r="K794" s="12">
        <v>235.03399999999999</v>
      </c>
      <c r="L794" s="12">
        <v>188.35400000000001</v>
      </c>
      <c r="O794" s="13">
        <f t="shared" si="24"/>
        <v>0.80139043712824531</v>
      </c>
    </row>
    <row r="795" spans="1:15" x14ac:dyDescent="0.25">
      <c r="A795" s="12">
        <f t="shared" si="25"/>
        <v>11</v>
      </c>
      <c r="B795" s="12">
        <v>2022</v>
      </c>
      <c r="C795" s="12">
        <v>7074</v>
      </c>
      <c r="E795" s="12" t="s">
        <v>13</v>
      </c>
      <c r="F795" s="12" t="s">
        <v>14</v>
      </c>
      <c r="G795" s="14">
        <v>44868</v>
      </c>
      <c r="H795" s="12" t="s">
        <v>18</v>
      </c>
      <c r="I795" s="12" t="s">
        <v>20</v>
      </c>
      <c r="J795" s="12" t="s">
        <v>56</v>
      </c>
      <c r="K795" s="12">
        <v>234.999</v>
      </c>
      <c r="L795" s="12">
        <v>195.96199999999999</v>
      </c>
      <c r="O795" s="13">
        <f t="shared" si="24"/>
        <v>0.83388439950808302</v>
      </c>
    </row>
    <row r="796" spans="1:15" x14ac:dyDescent="0.25">
      <c r="A796" s="12">
        <f t="shared" si="25"/>
        <v>11</v>
      </c>
      <c r="B796" s="12">
        <v>2022</v>
      </c>
      <c r="C796" s="12">
        <v>7075</v>
      </c>
      <c r="E796" s="12" t="s">
        <v>13</v>
      </c>
      <c r="F796" s="12" t="s">
        <v>14</v>
      </c>
      <c r="G796" s="14">
        <v>44869</v>
      </c>
      <c r="H796" s="12" t="s">
        <v>18</v>
      </c>
      <c r="I796" s="12" t="s">
        <v>20</v>
      </c>
      <c r="J796" s="12" t="s">
        <v>56</v>
      </c>
      <c r="K796" s="12">
        <v>235.01400000000001</v>
      </c>
      <c r="L796" s="12">
        <v>198.38200000000001</v>
      </c>
      <c r="O796" s="13">
        <f t="shared" ref="O796:O859" si="26">L796/K796</f>
        <v>0.84412843490175049</v>
      </c>
    </row>
    <row r="797" spans="1:15" x14ac:dyDescent="0.25">
      <c r="A797" s="12">
        <f t="shared" si="25"/>
        <v>11</v>
      </c>
      <c r="B797" s="12">
        <v>2022</v>
      </c>
      <c r="C797" s="12">
        <v>7076</v>
      </c>
      <c r="E797" s="12" t="s">
        <v>13</v>
      </c>
      <c r="F797" s="12" t="s">
        <v>14</v>
      </c>
      <c r="G797" s="14">
        <v>44870</v>
      </c>
      <c r="H797" s="12" t="s">
        <v>18</v>
      </c>
      <c r="I797" s="12" t="s">
        <v>20</v>
      </c>
      <c r="J797" s="12" t="s">
        <v>56</v>
      </c>
      <c r="K797" s="12">
        <v>235.01499999999999</v>
      </c>
      <c r="L797" s="12">
        <v>193.08199999999999</v>
      </c>
      <c r="O797" s="13">
        <f t="shared" si="26"/>
        <v>0.82157309107929288</v>
      </c>
    </row>
    <row r="798" spans="1:15" x14ac:dyDescent="0.25">
      <c r="A798" s="12">
        <f t="shared" si="25"/>
        <v>11</v>
      </c>
      <c r="B798" s="12">
        <v>2022</v>
      </c>
      <c r="C798" s="12">
        <v>7077</v>
      </c>
      <c r="E798" s="12" t="s">
        <v>13</v>
      </c>
      <c r="F798" s="12" t="s">
        <v>14</v>
      </c>
      <c r="G798" s="14">
        <v>44871</v>
      </c>
      <c r="H798" s="12" t="s">
        <v>18</v>
      </c>
      <c r="I798" s="12" t="s">
        <v>19</v>
      </c>
      <c r="J798" s="12" t="s">
        <v>55</v>
      </c>
      <c r="K798" s="12">
        <v>232.00800000000001</v>
      </c>
      <c r="L798" s="12">
        <v>194.23400000000001</v>
      </c>
      <c r="O798" s="13">
        <f t="shared" si="26"/>
        <v>0.83718664873625048</v>
      </c>
    </row>
    <row r="799" spans="1:15" x14ac:dyDescent="0.25">
      <c r="A799" s="12">
        <f t="shared" si="25"/>
        <v>11</v>
      </c>
      <c r="B799" s="12">
        <v>2022</v>
      </c>
      <c r="C799" s="12">
        <v>7078</v>
      </c>
      <c r="E799" s="12" t="s">
        <v>13</v>
      </c>
      <c r="F799" s="12" t="s">
        <v>14</v>
      </c>
      <c r="G799" s="14">
        <v>44872</v>
      </c>
      <c r="H799" s="12" t="s">
        <v>18</v>
      </c>
      <c r="I799" s="12" t="s">
        <v>19</v>
      </c>
      <c r="J799" s="12" t="s">
        <v>55</v>
      </c>
      <c r="K799" s="12">
        <v>232.00800000000001</v>
      </c>
      <c r="L799" s="12">
        <v>191.54499999999999</v>
      </c>
      <c r="O799" s="13">
        <f t="shared" si="26"/>
        <v>0.82559653115409803</v>
      </c>
    </row>
    <row r="800" spans="1:15" x14ac:dyDescent="0.25">
      <c r="A800" s="12">
        <f t="shared" si="25"/>
        <v>11</v>
      </c>
      <c r="B800" s="12">
        <v>2022</v>
      </c>
      <c r="C800" s="12">
        <v>7079</v>
      </c>
      <c r="E800" s="12" t="s">
        <v>13</v>
      </c>
      <c r="F800" s="12" t="s">
        <v>14</v>
      </c>
      <c r="G800" s="14">
        <v>44873</v>
      </c>
      <c r="H800" s="12" t="s">
        <v>18</v>
      </c>
      <c r="I800" s="12" t="s">
        <v>19</v>
      </c>
      <c r="J800" s="12" t="s">
        <v>55</v>
      </c>
      <c r="K800" s="12">
        <v>231.97499999999999</v>
      </c>
      <c r="L800" s="12">
        <v>191.654</v>
      </c>
      <c r="O800" s="13">
        <f t="shared" si="26"/>
        <v>0.8261838560189676</v>
      </c>
    </row>
    <row r="801" spans="1:15" x14ac:dyDescent="0.25">
      <c r="A801" s="12">
        <f t="shared" si="25"/>
        <v>11</v>
      </c>
      <c r="B801" s="12">
        <v>2022</v>
      </c>
      <c r="C801" s="12">
        <v>7080</v>
      </c>
      <c r="E801" s="12" t="s">
        <v>13</v>
      </c>
      <c r="F801" s="12" t="s">
        <v>14</v>
      </c>
      <c r="G801" s="14">
        <v>44874</v>
      </c>
      <c r="H801" s="12" t="s">
        <v>18</v>
      </c>
      <c r="I801" s="12" t="s">
        <v>19</v>
      </c>
      <c r="J801" s="12" t="s">
        <v>55</v>
      </c>
      <c r="K801" s="12">
        <v>231.99700000000001</v>
      </c>
      <c r="L801" s="12">
        <v>201.74199999999999</v>
      </c>
      <c r="O801" s="13">
        <f t="shared" si="26"/>
        <v>0.86958883089005456</v>
      </c>
    </row>
    <row r="802" spans="1:15" x14ac:dyDescent="0.25">
      <c r="A802" s="12">
        <f t="shared" si="25"/>
        <v>11</v>
      </c>
      <c r="B802" s="12">
        <v>2022</v>
      </c>
      <c r="C802" s="12">
        <v>7081</v>
      </c>
      <c r="E802" s="12" t="s">
        <v>13</v>
      </c>
      <c r="F802" s="12" t="s">
        <v>14</v>
      </c>
      <c r="G802" s="14">
        <v>44875</v>
      </c>
      <c r="H802" s="12" t="s">
        <v>18</v>
      </c>
      <c r="I802" s="12" t="s">
        <v>19</v>
      </c>
      <c r="J802" s="12" t="s">
        <v>55</v>
      </c>
      <c r="K802" s="12">
        <v>231.99600000000001</v>
      </c>
      <c r="L802" s="12">
        <v>191.374</v>
      </c>
      <c r="O802" s="13">
        <f t="shared" si="26"/>
        <v>0.82490215348540485</v>
      </c>
    </row>
    <row r="803" spans="1:15" x14ac:dyDescent="0.25">
      <c r="A803" s="12">
        <f t="shared" si="25"/>
        <v>11</v>
      </c>
      <c r="B803" s="12">
        <v>2022</v>
      </c>
      <c r="C803" s="12">
        <v>7082</v>
      </c>
      <c r="E803" s="12" t="s">
        <v>13</v>
      </c>
      <c r="F803" s="12" t="s">
        <v>14</v>
      </c>
      <c r="G803" s="14">
        <v>44876</v>
      </c>
      <c r="H803" s="12" t="s">
        <v>18</v>
      </c>
      <c r="I803" s="12" t="s">
        <v>20</v>
      </c>
      <c r="J803" s="12" t="s">
        <v>53</v>
      </c>
      <c r="K803" s="12">
        <v>235.02199999999999</v>
      </c>
      <c r="L803" s="12">
        <v>201.798</v>
      </c>
      <c r="O803" s="13">
        <f t="shared" si="26"/>
        <v>0.85863451081175379</v>
      </c>
    </row>
    <row r="804" spans="1:15" x14ac:dyDescent="0.25">
      <c r="A804" s="12">
        <f t="shared" si="25"/>
        <v>11</v>
      </c>
      <c r="B804" s="12">
        <v>2022</v>
      </c>
      <c r="C804" s="12">
        <v>7083</v>
      </c>
      <c r="E804" s="12" t="s">
        <v>13</v>
      </c>
      <c r="F804" s="12" t="s">
        <v>14</v>
      </c>
      <c r="G804" s="14">
        <v>44877</v>
      </c>
      <c r="H804" s="12" t="s">
        <v>18</v>
      </c>
      <c r="I804" s="12" t="s">
        <v>20</v>
      </c>
      <c r="J804" s="12" t="s">
        <v>53</v>
      </c>
      <c r="K804" s="12">
        <v>235.02099999999999</v>
      </c>
      <c r="L804" s="12">
        <v>193.245</v>
      </c>
      <c r="O804" s="13">
        <f t="shared" si="26"/>
        <v>0.82224567166338336</v>
      </c>
    </row>
    <row r="805" spans="1:15" x14ac:dyDescent="0.25">
      <c r="A805" s="12">
        <f t="shared" si="25"/>
        <v>11</v>
      </c>
      <c r="B805" s="12">
        <v>2022</v>
      </c>
      <c r="C805" s="12">
        <v>7084</v>
      </c>
      <c r="E805" s="12" t="s">
        <v>13</v>
      </c>
      <c r="F805" s="12" t="s">
        <v>14</v>
      </c>
      <c r="G805" s="14">
        <v>44878</v>
      </c>
      <c r="H805" s="12" t="s">
        <v>18</v>
      </c>
      <c r="I805" s="12" t="s">
        <v>20</v>
      </c>
      <c r="J805" s="12" t="s">
        <v>53</v>
      </c>
      <c r="K805" s="12">
        <v>235.00200000000001</v>
      </c>
      <c r="L805" s="12">
        <v>193.91499999999999</v>
      </c>
      <c r="O805" s="13">
        <f t="shared" si="26"/>
        <v>0.82516319010050976</v>
      </c>
    </row>
    <row r="806" spans="1:15" x14ac:dyDescent="0.25">
      <c r="A806" s="12">
        <f t="shared" si="25"/>
        <v>11</v>
      </c>
      <c r="B806" s="12">
        <v>2022</v>
      </c>
      <c r="C806" s="12">
        <v>7085</v>
      </c>
      <c r="E806" s="12" t="s">
        <v>13</v>
      </c>
      <c r="F806" s="12" t="s">
        <v>14</v>
      </c>
      <c r="G806" s="14">
        <v>44879</v>
      </c>
      <c r="H806" s="12" t="s">
        <v>18</v>
      </c>
      <c r="I806" s="12" t="s">
        <v>20</v>
      </c>
      <c r="J806" s="12" t="s">
        <v>53</v>
      </c>
      <c r="K806" s="12">
        <v>234.999</v>
      </c>
      <c r="L806" s="12">
        <v>201.46299999999999</v>
      </c>
      <c r="O806" s="13">
        <f t="shared" si="26"/>
        <v>0.85729300975748834</v>
      </c>
    </row>
    <row r="807" spans="1:15" x14ac:dyDescent="0.25">
      <c r="A807" s="12">
        <f t="shared" si="25"/>
        <v>11</v>
      </c>
      <c r="B807" s="12">
        <v>2022</v>
      </c>
      <c r="C807" s="12">
        <v>7086</v>
      </c>
      <c r="E807" s="12" t="s">
        <v>13</v>
      </c>
      <c r="F807" s="12" t="s">
        <v>14</v>
      </c>
      <c r="G807" s="14">
        <v>44880</v>
      </c>
      <c r="H807" s="12" t="s">
        <v>18</v>
      </c>
      <c r="I807" s="12" t="s">
        <v>20</v>
      </c>
      <c r="J807" s="12" t="s">
        <v>53</v>
      </c>
      <c r="K807" s="12">
        <v>234.999</v>
      </c>
      <c r="L807" s="12">
        <v>199.30199999999999</v>
      </c>
      <c r="O807" s="13">
        <f t="shared" si="26"/>
        <v>0.8480972259456423</v>
      </c>
    </row>
    <row r="808" spans="1:15" x14ac:dyDescent="0.25">
      <c r="A808" s="12">
        <f t="shared" si="25"/>
        <v>11</v>
      </c>
      <c r="B808" s="12">
        <v>2022</v>
      </c>
      <c r="C808" s="12">
        <v>7087</v>
      </c>
      <c r="E808" s="12" t="s">
        <v>13</v>
      </c>
      <c r="F808" s="12" t="s">
        <v>14</v>
      </c>
      <c r="G808" s="14">
        <v>44881</v>
      </c>
      <c r="H808" s="12" t="s">
        <v>18</v>
      </c>
      <c r="I808" s="12" t="s">
        <v>19</v>
      </c>
      <c r="J808" s="12" t="s">
        <v>55</v>
      </c>
      <c r="K808" s="12">
        <v>232.005</v>
      </c>
      <c r="L808" s="12">
        <v>197.28700000000001</v>
      </c>
      <c r="O808" s="13">
        <f t="shared" si="26"/>
        <v>0.85035667334755716</v>
      </c>
    </row>
    <row r="809" spans="1:15" x14ac:dyDescent="0.25">
      <c r="A809" s="12">
        <f t="shared" si="25"/>
        <v>11</v>
      </c>
      <c r="B809" s="12">
        <v>2022</v>
      </c>
      <c r="C809" s="12">
        <v>7088</v>
      </c>
      <c r="E809" s="12" t="s">
        <v>13</v>
      </c>
      <c r="F809" s="12" t="s">
        <v>14</v>
      </c>
      <c r="G809" s="14">
        <v>44882</v>
      </c>
      <c r="H809" s="12" t="s">
        <v>18</v>
      </c>
      <c r="I809" s="12" t="s">
        <v>19</v>
      </c>
      <c r="J809" s="12" t="s">
        <v>55</v>
      </c>
      <c r="K809" s="12">
        <v>232.005</v>
      </c>
      <c r="L809" s="12">
        <v>194.98599999999999</v>
      </c>
      <c r="O809" s="13">
        <f t="shared" si="26"/>
        <v>0.84043878364690416</v>
      </c>
    </row>
    <row r="810" spans="1:15" x14ac:dyDescent="0.25">
      <c r="A810" s="12">
        <f t="shared" si="25"/>
        <v>11</v>
      </c>
      <c r="B810" s="12">
        <v>2022</v>
      </c>
      <c r="C810" s="12">
        <v>7089</v>
      </c>
      <c r="E810" s="12" t="s">
        <v>13</v>
      </c>
      <c r="F810" s="12" t="s">
        <v>14</v>
      </c>
      <c r="G810" s="14">
        <v>44883</v>
      </c>
      <c r="H810" s="12" t="s">
        <v>18</v>
      </c>
      <c r="I810" s="12" t="s">
        <v>19</v>
      </c>
      <c r="J810" s="12" t="s">
        <v>55</v>
      </c>
      <c r="K810" s="12">
        <v>231.99700000000001</v>
      </c>
      <c r="L810" s="12">
        <v>190.48099999999999</v>
      </c>
      <c r="O810" s="13">
        <f t="shared" si="26"/>
        <v>0.82104941012168253</v>
      </c>
    </row>
    <row r="811" spans="1:15" x14ac:dyDescent="0.25">
      <c r="A811" s="12">
        <f t="shared" si="25"/>
        <v>11</v>
      </c>
      <c r="B811" s="12">
        <v>2022</v>
      </c>
      <c r="C811" s="12">
        <v>7090</v>
      </c>
      <c r="E811" s="12" t="s">
        <v>13</v>
      </c>
      <c r="F811" s="12" t="s">
        <v>14</v>
      </c>
      <c r="G811" s="14">
        <v>44884</v>
      </c>
      <c r="H811" s="12" t="s">
        <v>18</v>
      </c>
      <c r="I811" s="12" t="s">
        <v>19</v>
      </c>
      <c r="J811" s="12" t="s">
        <v>55</v>
      </c>
      <c r="K811" s="12">
        <v>232</v>
      </c>
      <c r="L811" s="12">
        <v>199.21299999999999</v>
      </c>
      <c r="O811" s="13">
        <f t="shared" si="26"/>
        <v>0.85867672413793106</v>
      </c>
    </row>
    <row r="812" spans="1:15" x14ac:dyDescent="0.25">
      <c r="A812" s="12">
        <f t="shared" si="25"/>
        <v>11</v>
      </c>
      <c r="B812" s="12">
        <v>2022</v>
      </c>
      <c r="C812" s="12">
        <v>7091</v>
      </c>
      <c r="E812" s="12" t="s">
        <v>13</v>
      </c>
      <c r="F812" s="12" t="s">
        <v>14</v>
      </c>
      <c r="G812" s="14">
        <v>44885</v>
      </c>
      <c r="H812" s="12" t="s">
        <v>18</v>
      </c>
      <c r="I812" s="12" t="s">
        <v>19</v>
      </c>
      <c r="J812" s="12" t="s">
        <v>55</v>
      </c>
      <c r="K812" s="12">
        <v>232.001</v>
      </c>
      <c r="L812" s="12">
        <v>178.16</v>
      </c>
      <c r="O812" s="13">
        <f t="shared" si="26"/>
        <v>0.76792772444946356</v>
      </c>
    </row>
    <row r="813" spans="1:15" x14ac:dyDescent="0.25">
      <c r="A813" s="12">
        <f t="shared" si="25"/>
        <v>11</v>
      </c>
      <c r="B813" s="12">
        <v>2022</v>
      </c>
      <c r="C813" s="12">
        <v>7092</v>
      </c>
      <c r="E813" s="12" t="s">
        <v>13</v>
      </c>
      <c r="F813" s="12" t="s">
        <v>14</v>
      </c>
      <c r="G813" s="14">
        <v>44886</v>
      </c>
      <c r="H813" s="12" t="s">
        <v>18</v>
      </c>
      <c r="I813" s="12" t="s">
        <v>19</v>
      </c>
      <c r="J813" s="12" t="s">
        <v>55</v>
      </c>
      <c r="K813" s="12">
        <v>232.00200000000001</v>
      </c>
      <c r="L813" s="12">
        <v>197.11699999999999</v>
      </c>
      <c r="O813" s="13">
        <f t="shared" si="26"/>
        <v>0.84963491694037108</v>
      </c>
    </row>
    <row r="814" spans="1:15" x14ac:dyDescent="0.25">
      <c r="A814" s="12">
        <f t="shared" si="25"/>
        <v>11</v>
      </c>
      <c r="B814" s="12">
        <v>2022</v>
      </c>
      <c r="C814" s="12">
        <v>7093</v>
      </c>
      <c r="E814" s="12" t="s">
        <v>13</v>
      </c>
      <c r="F814" s="12" t="s">
        <v>14</v>
      </c>
      <c r="G814" s="14">
        <v>44887</v>
      </c>
      <c r="H814" s="12" t="s">
        <v>18</v>
      </c>
      <c r="I814" s="12" t="s">
        <v>19</v>
      </c>
      <c r="J814" s="12" t="s">
        <v>55</v>
      </c>
      <c r="K814" s="12">
        <v>232.001</v>
      </c>
      <c r="L814" s="12">
        <v>189.089</v>
      </c>
      <c r="O814" s="13">
        <f t="shared" si="26"/>
        <v>0.81503528002034475</v>
      </c>
    </row>
    <row r="815" spans="1:15" x14ac:dyDescent="0.25">
      <c r="A815" s="12">
        <f t="shared" si="25"/>
        <v>11</v>
      </c>
      <c r="B815" s="12">
        <v>2022</v>
      </c>
      <c r="C815" s="12">
        <v>7094</v>
      </c>
      <c r="E815" s="12" t="s">
        <v>13</v>
      </c>
      <c r="F815" s="12" t="s">
        <v>14</v>
      </c>
      <c r="G815" s="14">
        <v>44888</v>
      </c>
      <c r="H815" s="12" t="s">
        <v>18</v>
      </c>
      <c r="I815" s="12" t="s">
        <v>19</v>
      </c>
      <c r="J815" s="12" t="s">
        <v>55</v>
      </c>
      <c r="K815" s="12">
        <v>232.01599999999999</v>
      </c>
      <c r="L815" s="12">
        <v>191.684</v>
      </c>
      <c r="O815" s="13">
        <f t="shared" si="26"/>
        <v>0.82616716088545616</v>
      </c>
    </row>
    <row r="816" spans="1:15" x14ac:dyDescent="0.25">
      <c r="A816" s="12">
        <f t="shared" si="25"/>
        <v>11</v>
      </c>
      <c r="B816" s="12">
        <v>2022</v>
      </c>
      <c r="C816" s="12">
        <v>7095</v>
      </c>
      <c r="E816" s="12" t="s">
        <v>13</v>
      </c>
      <c r="F816" s="12" t="s">
        <v>14</v>
      </c>
      <c r="G816" s="14">
        <v>44889</v>
      </c>
      <c r="H816" s="12" t="s">
        <v>18</v>
      </c>
      <c r="I816" s="12" t="s">
        <v>19</v>
      </c>
      <c r="J816" s="12" t="s">
        <v>55</v>
      </c>
      <c r="K816" s="12">
        <v>232.006</v>
      </c>
      <c r="L816" s="12">
        <v>197.65100000000001</v>
      </c>
      <c r="O816" s="13">
        <f t="shared" si="26"/>
        <v>0.85192193305345554</v>
      </c>
    </row>
    <row r="817" spans="1:15" x14ac:dyDescent="0.25">
      <c r="A817" s="12">
        <f t="shared" si="25"/>
        <v>11</v>
      </c>
      <c r="B817" s="12">
        <v>2022</v>
      </c>
      <c r="C817" s="12">
        <v>7096</v>
      </c>
      <c r="E817" s="12" t="s">
        <v>13</v>
      </c>
      <c r="F817" s="12" t="s">
        <v>14</v>
      </c>
      <c r="G817" s="14">
        <v>44890</v>
      </c>
      <c r="H817" s="12" t="s">
        <v>18</v>
      </c>
      <c r="I817" s="12" t="s">
        <v>19</v>
      </c>
      <c r="J817" s="12" t="s">
        <v>55</v>
      </c>
      <c r="K817" s="12">
        <v>232.006</v>
      </c>
      <c r="L817" s="12">
        <v>189.904</v>
      </c>
      <c r="O817" s="13">
        <f t="shared" si="26"/>
        <v>0.81853055524426088</v>
      </c>
    </row>
    <row r="818" spans="1:15" x14ac:dyDescent="0.25">
      <c r="A818" s="12">
        <f t="shared" si="25"/>
        <v>11</v>
      </c>
      <c r="B818" s="12">
        <v>2022</v>
      </c>
      <c r="C818" s="12">
        <v>7097</v>
      </c>
      <c r="E818" s="12" t="s">
        <v>13</v>
      </c>
      <c r="F818" s="12" t="s">
        <v>14</v>
      </c>
      <c r="G818" s="14">
        <v>44891</v>
      </c>
      <c r="H818" s="12" t="s">
        <v>18</v>
      </c>
      <c r="I818" s="12" t="s">
        <v>20</v>
      </c>
      <c r="J818" s="12" t="s">
        <v>56</v>
      </c>
      <c r="K818" s="12">
        <v>235.001</v>
      </c>
      <c r="L818" s="12">
        <v>200.64699999999999</v>
      </c>
      <c r="O818" s="13">
        <f t="shared" si="26"/>
        <v>0.853813388028136</v>
      </c>
    </row>
    <row r="819" spans="1:15" x14ac:dyDescent="0.25">
      <c r="A819" s="12">
        <f t="shared" si="25"/>
        <v>11</v>
      </c>
      <c r="B819" s="12">
        <v>2022</v>
      </c>
      <c r="C819" s="12">
        <v>7098</v>
      </c>
      <c r="E819" s="12" t="s">
        <v>13</v>
      </c>
      <c r="F819" s="12" t="s">
        <v>14</v>
      </c>
      <c r="G819" s="14">
        <v>44892</v>
      </c>
      <c r="H819" s="12" t="s">
        <v>18</v>
      </c>
      <c r="I819" s="12" t="s">
        <v>20</v>
      </c>
      <c r="J819" s="12" t="s">
        <v>56</v>
      </c>
      <c r="K819" s="12">
        <v>235.001</v>
      </c>
      <c r="L819" s="12">
        <v>193.911</v>
      </c>
      <c r="O819" s="13">
        <f t="shared" si="26"/>
        <v>0.82514968021412671</v>
      </c>
    </row>
    <row r="820" spans="1:15" x14ac:dyDescent="0.25">
      <c r="A820" s="12">
        <f t="shared" si="25"/>
        <v>11</v>
      </c>
      <c r="B820" s="12">
        <v>2022</v>
      </c>
      <c r="C820" s="12">
        <v>7099</v>
      </c>
      <c r="E820" s="12" t="s">
        <v>13</v>
      </c>
      <c r="F820" s="12" t="s">
        <v>14</v>
      </c>
      <c r="G820" s="14">
        <v>44893</v>
      </c>
      <c r="H820" s="12" t="s">
        <v>17</v>
      </c>
      <c r="I820" s="12" t="s">
        <v>19</v>
      </c>
      <c r="J820" s="12" t="s">
        <v>78</v>
      </c>
      <c r="K820" s="12">
        <v>232.017</v>
      </c>
      <c r="L820" s="12">
        <v>191.977</v>
      </c>
      <c r="O820" s="13">
        <f t="shared" si="26"/>
        <v>0.8274264385799317</v>
      </c>
    </row>
    <row r="821" spans="1:15" x14ac:dyDescent="0.25">
      <c r="A821" s="12">
        <f t="shared" si="25"/>
        <v>11</v>
      </c>
      <c r="B821" s="12">
        <v>2022</v>
      </c>
      <c r="C821" s="12">
        <v>7100</v>
      </c>
      <c r="E821" s="12" t="s">
        <v>13</v>
      </c>
      <c r="F821" s="12" t="s">
        <v>14</v>
      </c>
      <c r="G821" s="14">
        <v>44894</v>
      </c>
      <c r="H821" s="12" t="s">
        <v>18</v>
      </c>
      <c r="I821" s="12" t="s">
        <v>19</v>
      </c>
      <c r="J821" s="12" t="s">
        <v>54</v>
      </c>
      <c r="K821" s="12">
        <v>231.99600000000001</v>
      </c>
      <c r="L821" s="12">
        <v>196.41900000000001</v>
      </c>
      <c r="O821" s="13">
        <f t="shared" si="26"/>
        <v>0.84664821807272539</v>
      </c>
    </row>
    <row r="822" spans="1:15" x14ac:dyDescent="0.25">
      <c r="A822" s="12">
        <f t="shared" si="25"/>
        <v>11</v>
      </c>
      <c r="B822" s="12">
        <v>2022</v>
      </c>
      <c r="C822" s="12">
        <v>7101</v>
      </c>
      <c r="E822" s="12" t="s">
        <v>13</v>
      </c>
      <c r="F822" s="12" t="s">
        <v>14</v>
      </c>
      <c r="G822" s="14">
        <v>44895</v>
      </c>
      <c r="H822" s="12" t="s">
        <v>18</v>
      </c>
      <c r="I822" s="12" t="s">
        <v>19</v>
      </c>
      <c r="J822" s="12" t="s">
        <v>54</v>
      </c>
      <c r="K822" s="12">
        <v>231.99600000000001</v>
      </c>
      <c r="L822" s="12">
        <v>195.67500000000001</v>
      </c>
      <c r="O822" s="13">
        <f t="shared" si="26"/>
        <v>0.84344126622872806</v>
      </c>
    </row>
    <row r="823" spans="1:15" x14ac:dyDescent="0.25">
      <c r="A823" s="12">
        <f t="shared" si="25"/>
        <v>12</v>
      </c>
      <c r="B823" s="12">
        <v>2022</v>
      </c>
      <c r="C823" s="12">
        <v>7102</v>
      </c>
      <c r="E823" s="12" t="s">
        <v>13</v>
      </c>
      <c r="F823" s="12" t="s">
        <v>14</v>
      </c>
      <c r="G823" s="14">
        <v>44896</v>
      </c>
      <c r="H823" s="12" t="s">
        <v>18</v>
      </c>
      <c r="I823" s="12" t="s">
        <v>19</v>
      </c>
      <c r="J823" s="12" t="s">
        <v>55</v>
      </c>
      <c r="K823" s="12">
        <v>231.999</v>
      </c>
      <c r="L823" s="12">
        <v>194.61799999999999</v>
      </c>
      <c r="O823" s="13">
        <f t="shared" si="26"/>
        <v>0.83887430549269604</v>
      </c>
    </row>
    <row r="824" spans="1:15" x14ac:dyDescent="0.25">
      <c r="A824" s="12">
        <f t="shared" si="25"/>
        <v>12</v>
      </c>
      <c r="B824" s="12">
        <v>2022</v>
      </c>
      <c r="C824" s="12">
        <v>7103</v>
      </c>
      <c r="E824" s="12" t="s">
        <v>13</v>
      </c>
      <c r="F824" s="12" t="s">
        <v>14</v>
      </c>
      <c r="G824" s="14">
        <v>44897</v>
      </c>
      <c r="H824" s="12" t="s">
        <v>18</v>
      </c>
      <c r="I824" s="12" t="s">
        <v>19</v>
      </c>
      <c r="J824" s="12" t="s">
        <v>55</v>
      </c>
      <c r="K824" s="12">
        <v>231.999</v>
      </c>
      <c r="L824" s="12">
        <v>190.92</v>
      </c>
      <c r="O824" s="13">
        <f t="shared" si="26"/>
        <v>0.82293458161457589</v>
      </c>
    </row>
    <row r="825" spans="1:15" x14ac:dyDescent="0.25">
      <c r="A825" s="12">
        <f t="shared" si="25"/>
        <v>12</v>
      </c>
      <c r="B825" s="12">
        <v>2022</v>
      </c>
      <c r="C825" s="12">
        <v>7104</v>
      </c>
      <c r="E825" s="12" t="s">
        <v>13</v>
      </c>
      <c r="F825" s="12" t="s">
        <v>14</v>
      </c>
      <c r="G825" s="14">
        <v>44898</v>
      </c>
      <c r="H825" s="12" t="s">
        <v>18</v>
      </c>
      <c r="I825" s="12" t="s">
        <v>19</v>
      </c>
      <c r="J825" s="12" t="s">
        <v>55</v>
      </c>
      <c r="K825" s="12">
        <v>232.00299999999999</v>
      </c>
      <c r="L825" s="12">
        <v>193.25</v>
      </c>
      <c r="O825" s="13">
        <f t="shared" si="26"/>
        <v>0.83296336685301486</v>
      </c>
    </row>
    <row r="826" spans="1:15" x14ac:dyDescent="0.25">
      <c r="A826" s="12">
        <f t="shared" si="25"/>
        <v>12</v>
      </c>
      <c r="B826" s="12">
        <v>2022</v>
      </c>
      <c r="C826" s="12">
        <v>7105</v>
      </c>
      <c r="E826" s="12" t="s">
        <v>13</v>
      </c>
      <c r="F826" s="12" t="s">
        <v>14</v>
      </c>
      <c r="G826" s="14">
        <v>44899</v>
      </c>
      <c r="H826" s="12" t="s">
        <v>18</v>
      </c>
      <c r="I826" s="12" t="s">
        <v>19</v>
      </c>
      <c r="J826" s="12" t="s">
        <v>55</v>
      </c>
      <c r="K826" s="12">
        <v>232.01400000000001</v>
      </c>
      <c r="L826" s="12">
        <v>196.75200000000001</v>
      </c>
      <c r="O826" s="13">
        <f t="shared" si="26"/>
        <v>0.84801779202979133</v>
      </c>
    </row>
    <row r="827" spans="1:15" x14ac:dyDescent="0.25">
      <c r="A827" s="12">
        <f t="shared" si="25"/>
        <v>12</v>
      </c>
      <c r="B827" s="12">
        <v>2022</v>
      </c>
      <c r="C827" s="12">
        <v>7106</v>
      </c>
      <c r="E827" s="12" t="s">
        <v>13</v>
      </c>
      <c r="F827" s="12" t="s">
        <v>14</v>
      </c>
      <c r="G827" s="14">
        <v>44900</v>
      </c>
      <c r="H827" s="12" t="s">
        <v>18</v>
      </c>
      <c r="I827" s="12" t="s">
        <v>19</v>
      </c>
      <c r="J827" s="12" t="s">
        <v>55</v>
      </c>
      <c r="K827" s="12">
        <v>232.01300000000001</v>
      </c>
      <c r="L827" s="12">
        <v>191.11699999999999</v>
      </c>
      <c r="O827" s="13">
        <f t="shared" si="26"/>
        <v>0.82373401490433718</v>
      </c>
    </row>
    <row r="828" spans="1:15" x14ac:dyDescent="0.25">
      <c r="A828" s="12">
        <f t="shared" si="25"/>
        <v>12</v>
      </c>
      <c r="B828" s="12">
        <v>2022</v>
      </c>
      <c r="C828" s="12">
        <v>7107</v>
      </c>
      <c r="E828" s="12" t="s">
        <v>13</v>
      </c>
      <c r="F828" s="12" t="s">
        <v>14</v>
      </c>
      <c r="G828" s="14">
        <v>44901</v>
      </c>
      <c r="H828" s="12" t="s">
        <v>18</v>
      </c>
      <c r="I828" s="12" t="s">
        <v>19</v>
      </c>
      <c r="J828" s="12" t="s">
        <v>54</v>
      </c>
      <c r="K828" s="12">
        <v>232.03700000000001</v>
      </c>
      <c r="L828" s="12">
        <v>194.453</v>
      </c>
      <c r="O828" s="13">
        <f t="shared" si="26"/>
        <v>0.838025832087124</v>
      </c>
    </row>
    <row r="829" spans="1:15" x14ac:dyDescent="0.25">
      <c r="A829" s="12">
        <f t="shared" si="25"/>
        <v>12</v>
      </c>
      <c r="B829" s="12">
        <v>2022</v>
      </c>
      <c r="C829" s="12">
        <v>7108</v>
      </c>
      <c r="E829" s="12" t="s">
        <v>13</v>
      </c>
      <c r="F829" s="12" t="s">
        <v>14</v>
      </c>
      <c r="G829" s="14">
        <v>44902</v>
      </c>
      <c r="H829" s="12" t="s">
        <v>18</v>
      </c>
      <c r="I829" s="12" t="s">
        <v>19</v>
      </c>
      <c r="J829" s="12" t="s">
        <v>54</v>
      </c>
      <c r="K829" s="12">
        <v>232.03700000000001</v>
      </c>
      <c r="L829" s="12">
        <v>188.542</v>
      </c>
      <c r="O829" s="13">
        <f t="shared" si="26"/>
        <v>0.81255144653654376</v>
      </c>
    </row>
    <row r="830" spans="1:15" x14ac:dyDescent="0.25">
      <c r="A830" s="12">
        <f t="shared" si="25"/>
        <v>12</v>
      </c>
      <c r="B830" s="12">
        <v>2022</v>
      </c>
      <c r="C830" s="12">
        <v>7109</v>
      </c>
      <c r="E830" s="12" t="s">
        <v>13</v>
      </c>
      <c r="F830" s="12" t="s">
        <v>14</v>
      </c>
      <c r="G830" s="14">
        <v>44903</v>
      </c>
      <c r="H830" s="12" t="s">
        <v>18</v>
      </c>
      <c r="I830" s="12" t="s">
        <v>20</v>
      </c>
      <c r="J830" s="12" t="s">
        <v>53</v>
      </c>
      <c r="K830" s="12">
        <v>235.00200000000001</v>
      </c>
      <c r="L830" s="12">
        <v>197.55600000000001</v>
      </c>
      <c r="O830" s="13">
        <f t="shared" si="26"/>
        <v>0.84065667526233823</v>
      </c>
    </row>
    <row r="831" spans="1:15" x14ac:dyDescent="0.25">
      <c r="A831" s="12">
        <f t="shared" si="25"/>
        <v>12</v>
      </c>
      <c r="B831" s="12">
        <v>2022</v>
      </c>
      <c r="C831" s="12">
        <v>7110</v>
      </c>
      <c r="E831" s="12" t="s">
        <v>13</v>
      </c>
      <c r="F831" s="12" t="s">
        <v>14</v>
      </c>
      <c r="G831" s="14">
        <v>44904</v>
      </c>
      <c r="H831" s="12" t="s">
        <v>18</v>
      </c>
      <c r="I831" s="12" t="s">
        <v>20</v>
      </c>
      <c r="J831" s="12" t="s">
        <v>53</v>
      </c>
      <c r="K831" s="12">
        <v>235.00299999999999</v>
      </c>
      <c r="L831" s="12">
        <v>193.04</v>
      </c>
      <c r="O831" s="13">
        <f t="shared" si="26"/>
        <v>0.82143632208950523</v>
      </c>
    </row>
    <row r="832" spans="1:15" x14ac:dyDescent="0.25">
      <c r="A832" s="12">
        <f t="shared" si="25"/>
        <v>12</v>
      </c>
      <c r="B832" s="12">
        <v>2022</v>
      </c>
      <c r="C832" s="12">
        <v>7111</v>
      </c>
      <c r="E832" s="12" t="s">
        <v>13</v>
      </c>
      <c r="F832" s="12" t="s">
        <v>14</v>
      </c>
      <c r="G832" s="14">
        <v>44905</v>
      </c>
      <c r="H832" s="12" t="s">
        <v>18</v>
      </c>
      <c r="I832" s="12" t="s">
        <v>20</v>
      </c>
      <c r="J832" s="12" t="s">
        <v>53</v>
      </c>
      <c r="K832" s="12">
        <v>235.02</v>
      </c>
      <c r="L832" s="12">
        <v>199.155</v>
      </c>
      <c r="O832" s="13">
        <f t="shared" si="26"/>
        <v>0.84739596630074032</v>
      </c>
    </row>
    <row r="833" spans="1:15" x14ac:dyDescent="0.25">
      <c r="A833" s="12">
        <f t="shared" si="25"/>
        <v>12</v>
      </c>
      <c r="B833" s="12">
        <v>2022</v>
      </c>
      <c r="C833" s="12">
        <v>7112</v>
      </c>
      <c r="E833" s="12" t="s">
        <v>13</v>
      </c>
      <c r="F833" s="12" t="s">
        <v>14</v>
      </c>
      <c r="G833" s="14">
        <v>44906</v>
      </c>
      <c r="H833" s="12" t="s">
        <v>18</v>
      </c>
      <c r="I833" s="12" t="s">
        <v>20</v>
      </c>
      <c r="J833" s="12" t="s">
        <v>53</v>
      </c>
      <c r="K833" s="12">
        <v>235.01900000000001</v>
      </c>
      <c r="L833" s="12">
        <v>193.94800000000001</v>
      </c>
      <c r="O833" s="13">
        <f t="shared" si="26"/>
        <v>0.82524391644930839</v>
      </c>
    </row>
    <row r="834" spans="1:15" x14ac:dyDescent="0.25">
      <c r="A834" s="12">
        <f t="shared" ref="A834:A897" si="27">MONTH(G834)</f>
        <v>12</v>
      </c>
      <c r="B834" s="12">
        <v>2022</v>
      </c>
      <c r="C834" s="12">
        <v>7113</v>
      </c>
      <c r="E834" s="12" t="s">
        <v>13</v>
      </c>
      <c r="F834" s="12" t="s">
        <v>14</v>
      </c>
      <c r="G834" s="14">
        <v>44907</v>
      </c>
      <c r="H834" s="12" t="s">
        <v>37</v>
      </c>
      <c r="I834" s="12" t="s">
        <v>20</v>
      </c>
      <c r="J834" s="12" t="s">
        <v>53</v>
      </c>
      <c r="K834" s="12">
        <v>235.00299999999999</v>
      </c>
      <c r="L834" s="12">
        <v>181.90899999999999</v>
      </c>
      <c r="O834" s="13">
        <f t="shared" si="26"/>
        <v>0.77407096930677477</v>
      </c>
    </row>
    <row r="835" spans="1:15" x14ac:dyDescent="0.25">
      <c r="A835" s="12">
        <f t="shared" si="27"/>
        <v>12</v>
      </c>
      <c r="B835" s="12">
        <v>2022</v>
      </c>
      <c r="C835" s="12">
        <v>7114</v>
      </c>
      <c r="E835" s="12" t="s">
        <v>13</v>
      </c>
      <c r="F835" s="12" t="s">
        <v>14</v>
      </c>
      <c r="G835" s="14">
        <v>44908</v>
      </c>
      <c r="H835" s="12" t="s">
        <v>37</v>
      </c>
      <c r="I835" s="12" t="s">
        <v>20</v>
      </c>
      <c r="J835" s="12" t="s">
        <v>53</v>
      </c>
      <c r="K835" s="12">
        <v>235.00200000000001</v>
      </c>
      <c r="L835" s="12">
        <v>206.76</v>
      </c>
      <c r="O835" s="13">
        <f t="shared" si="26"/>
        <v>0.87982229938468604</v>
      </c>
    </row>
    <row r="836" spans="1:15" x14ac:dyDescent="0.25">
      <c r="A836" s="12">
        <f t="shared" si="27"/>
        <v>12</v>
      </c>
      <c r="B836" s="12">
        <v>2022</v>
      </c>
      <c r="C836" s="12">
        <v>7115</v>
      </c>
      <c r="E836" s="12" t="s">
        <v>13</v>
      </c>
      <c r="F836" s="12" t="s">
        <v>14</v>
      </c>
      <c r="G836" s="14">
        <v>44909</v>
      </c>
      <c r="H836" s="12" t="s">
        <v>17</v>
      </c>
      <c r="I836" s="12" t="s">
        <v>19</v>
      </c>
      <c r="J836" s="12" t="s">
        <v>58</v>
      </c>
      <c r="K836" s="12">
        <v>232</v>
      </c>
      <c r="L836" s="12">
        <v>209.011</v>
      </c>
      <c r="O836" s="13">
        <f t="shared" si="26"/>
        <v>0.90090948275862071</v>
      </c>
    </row>
    <row r="837" spans="1:15" x14ac:dyDescent="0.25">
      <c r="A837" s="12">
        <f t="shared" si="27"/>
        <v>12</v>
      </c>
      <c r="B837" s="12">
        <v>2022</v>
      </c>
      <c r="C837" s="12">
        <v>7116</v>
      </c>
      <c r="E837" s="12" t="s">
        <v>13</v>
      </c>
      <c r="F837" s="12" t="s">
        <v>14</v>
      </c>
      <c r="G837" s="14">
        <v>44910</v>
      </c>
      <c r="H837" s="12" t="s">
        <v>18</v>
      </c>
      <c r="I837" s="12" t="s">
        <v>20</v>
      </c>
      <c r="J837" s="12" t="s">
        <v>79</v>
      </c>
      <c r="K837" s="12">
        <v>234.98699999999999</v>
      </c>
      <c r="L837" s="12">
        <v>202.5</v>
      </c>
      <c r="O837" s="13">
        <f t="shared" si="26"/>
        <v>0.86174979892504688</v>
      </c>
    </row>
    <row r="838" spans="1:15" x14ac:dyDescent="0.25">
      <c r="A838" s="12">
        <f t="shared" si="27"/>
        <v>12</v>
      </c>
      <c r="B838" s="12">
        <v>2022</v>
      </c>
      <c r="C838" s="12">
        <v>7117</v>
      </c>
      <c r="E838" s="12" t="s">
        <v>13</v>
      </c>
      <c r="F838" s="12" t="s">
        <v>14</v>
      </c>
      <c r="G838" s="14">
        <v>44911</v>
      </c>
      <c r="H838" s="12" t="s">
        <v>18</v>
      </c>
      <c r="I838" s="12" t="s">
        <v>19</v>
      </c>
      <c r="J838" s="12" t="s">
        <v>55</v>
      </c>
      <c r="K838" s="12">
        <v>232.999</v>
      </c>
      <c r="L838" s="12">
        <v>194.351</v>
      </c>
      <c r="O838" s="13">
        <f t="shared" si="26"/>
        <v>0.83412804346799774</v>
      </c>
    </row>
    <row r="839" spans="1:15" x14ac:dyDescent="0.25">
      <c r="A839" s="12">
        <f t="shared" si="27"/>
        <v>12</v>
      </c>
      <c r="B839" s="12">
        <v>2022</v>
      </c>
      <c r="C839" s="12">
        <v>7118</v>
      </c>
      <c r="E839" s="12" t="s">
        <v>13</v>
      </c>
      <c r="F839" s="12" t="s">
        <v>14</v>
      </c>
      <c r="G839" s="14">
        <v>44912</v>
      </c>
      <c r="H839" s="12" t="s">
        <v>18</v>
      </c>
      <c r="I839" s="12" t="s">
        <v>19</v>
      </c>
      <c r="J839" s="12" t="s">
        <v>55</v>
      </c>
      <c r="K839" s="12">
        <v>232.999</v>
      </c>
      <c r="L839" s="12">
        <v>196.36799999999999</v>
      </c>
      <c r="O839" s="13">
        <f t="shared" si="26"/>
        <v>0.84278473298168666</v>
      </c>
    </row>
    <row r="840" spans="1:15" x14ac:dyDescent="0.25">
      <c r="A840" s="12">
        <f t="shared" si="27"/>
        <v>12</v>
      </c>
      <c r="B840" s="12">
        <v>2022</v>
      </c>
      <c r="C840" s="12">
        <v>7119</v>
      </c>
      <c r="E840" s="12" t="s">
        <v>13</v>
      </c>
      <c r="F840" s="12" t="s">
        <v>14</v>
      </c>
      <c r="G840" s="14">
        <v>44913</v>
      </c>
      <c r="H840" s="12" t="s">
        <v>18</v>
      </c>
      <c r="I840" s="12" t="s">
        <v>19</v>
      </c>
      <c r="J840" s="12" t="s">
        <v>55</v>
      </c>
      <c r="K840" s="12">
        <v>232.995</v>
      </c>
      <c r="L840" s="12">
        <v>194.87799999999999</v>
      </c>
      <c r="O840" s="13">
        <f t="shared" si="26"/>
        <v>0.83640421468271842</v>
      </c>
    </row>
    <row r="841" spans="1:15" x14ac:dyDescent="0.25">
      <c r="A841" s="12">
        <f t="shared" si="27"/>
        <v>12</v>
      </c>
      <c r="B841" s="12">
        <v>2022</v>
      </c>
      <c r="C841" s="12">
        <v>7120</v>
      </c>
      <c r="E841" s="12" t="s">
        <v>13</v>
      </c>
      <c r="F841" s="12" t="s">
        <v>14</v>
      </c>
      <c r="G841" s="14">
        <v>44914</v>
      </c>
      <c r="H841" s="12" t="s">
        <v>18</v>
      </c>
      <c r="I841" s="12" t="s">
        <v>19</v>
      </c>
      <c r="J841" s="12" t="s">
        <v>55</v>
      </c>
      <c r="K841" s="12">
        <v>233.00399999999999</v>
      </c>
      <c r="L841" s="12">
        <v>198.21199999999999</v>
      </c>
      <c r="O841" s="13">
        <f t="shared" si="26"/>
        <v>0.8506806750098711</v>
      </c>
    </row>
    <row r="842" spans="1:15" x14ac:dyDescent="0.25">
      <c r="A842" s="12">
        <f t="shared" si="27"/>
        <v>12</v>
      </c>
      <c r="B842" s="12">
        <v>2022</v>
      </c>
      <c r="C842" s="12">
        <v>7121</v>
      </c>
      <c r="E842" s="12" t="s">
        <v>13</v>
      </c>
      <c r="F842" s="12" t="s">
        <v>14</v>
      </c>
      <c r="G842" s="14">
        <v>44915</v>
      </c>
      <c r="H842" s="12" t="s">
        <v>18</v>
      </c>
      <c r="I842" s="12" t="s">
        <v>19</v>
      </c>
      <c r="J842" s="12" t="s">
        <v>55</v>
      </c>
      <c r="K842" s="12">
        <v>233.005</v>
      </c>
      <c r="L842" s="12">
        <v>195.19499999999999</v>
      </c>
      <c r="O842" s="13">
        <f t="shared" si="26"/>
        <v>0.83772880410291628</v>
      </c>
    </row>
    <row r="843" spans="1:15" x14ac:dyDescent="0.25">
      <c r="A843" s="12">
        <f t="shared" si="27"/>
        <v>12</v>
      </c>
      <c r="B843" s="12">
        <v>2022</v>
      </c>
      <c r="C843" s="12">
        <v>7122</v>
      </c>
      <c r="E843" s="12" t="s">
        <v>13</v>
      </c>
      <c r="F843" s="12" t="s">
        <v>14</v>
      </c>
      <c r="G843" s="14">
        <v>44916</v>
      </c>
      <c r="H843" s="12" t="s">
        <v>37</v>
      </c>
      <c r="I843" s="12" t="s">
        <v>20</v>
      </c>
      <c r="J843" s="12" t="s">
        <v>53</v>
      </c>
      <c r="K843" s="12">
        <v>235.042</v>
      </c>
      <c r="L843" s="12">
        <v>192.33600000000001</v>
      </c>
      <c r="O843" s="13">
        <f t="shared" si="26"/>
        <v>0.81830481360778073</v>
      </c>
    </row>
    <row r="844" spans="1:15" x14ac:dyDescent="0.25">
      <c r="A844" s="12">
        <f t="shared" si="27"/>
        <v>12</v>
      </c>
      <c r="B844" s="12">
        <v>2022</v>
      </c>
      <c r="C844" s="12">
        <v>7123</v>
      </c>
      <c r="E844" s="12" t="s">
        <v>13</v>
      </c>
      <c r="F844" s="12" t="s">
        <v>14</v>
      </c>
      <c r="G844" s="14">
        <v>44917</v>
      </c>
      <c r="H844" s="12" t="s">
        <v>37</v>
      </c>
      <c r="I844" s="12" t="s">
        <v>20</v>
      </c>
      <c r="J844" s="12" t="s">
        <v>53</v>
      </c>
      <c r="K844" s="12">
        <v>235.04300000000001</v>
      </c>
      <c r="L844" s="12">
        <v>209.30099999999999</v>
      </c>
      <c r="O844" s="13">
        <f t="shared" si="26"/>
        <v>0.89047961436843459</v>
      </c>
    </row>
    <row r="845" spans="1:15" x14ac:dyDescent="0.25">
      <c r="A845" s="12">
        <f t="shared" si="27"/>
        <v>12</v>
      </c>
      <c r="B845" s="12">
        <v>2022</v>
      </c>
      <c r="C845" s="12">
        <v>7124</v>
      </c>
      <c r="E845" s="12" t="s">
        <v>13</v>
      </c>
      <c r="F845" s="12" t="s">
        <v>14</v>
      </c>
      <c r="G845" s="14">
        <v>44918</v>
      </c>
      <c r="H845" s="12" t="s">
        <v>17</v>
      </c>
      <c r="I845" s="12" t="s">
        <v>19</v>
      </c>
      <c r="J845" s="12" t="s">
        <v>78</v>
      </c>
      <c r="K845" s="12">
        <v>233</v>
      </c>
      <c r="L845" s="12">
        <v>199.72900000000001</v>
      </c>
      <c r="O845" s="13">
        <f t="shared" si="26"/>
        <v>0.857206008583691</v>
      </c>
    </row>
    <row r="846" spans="1:15" x14ac:dyDescent="0.25">
      <c r="A846" s="12">
        <f t="shared" si="27"/>
        <v>12</v>
      </c>
      <c r="B846" s="12">
        <v>2022</v>
      </c>
      <c r="C846" s="12">
        <v>7125</v>
      </c>
      <c r="E846" s="12" t="s">
        <v>13</v>
      </c>
      <c r="F846" s="12" t="s">
        <v>14</v>
      </c>
      <c r="G846" s="14">
        <v>44919</v>
      </c>
      <c r="H846" s="12" t="s">
        <v>17</v>
      </c>
      <c r="I846" s="12" t="s">
        <v>19</v>
      </c>
      <c r="J846" s="12" t="s">
        <v>58</v>
      </c>
      <c r="K846" s="12">
        <v>232.00299999999999</v>
      </c>
      <c r="L846" s="12">
        <v>194.89</v>
      </c>
      <c r="O846" s="13">
        <f t="shared" si="26"/>
        <v>0.84003224096240137</v>
      </c>
    </row>
    <row r="847" spans="1:15" x14ac:dyDescent="0.25">
      <c r="A847" s="12">
        <f t="shared" si="27"/>
        <v>12</v>
      </c>
      <c r="B847" s="12">
        <v>2022</v>
      </c>
      <c r="C847" s="12">
        <v>7126</v>
      </c>
      <c r="E847" s="12" t="s">
        <v>13</v>
      </c>
      <c r="F847" s="12" t="s">
        <v>14</v>
      </c>
      <c r="G847" s="14">
        <v>44920</v>
      </c>
      <c r="H847" s="12" t="s">
        <v>17</v>
      </c>
      <c r="I847" s="12" t="s">
        <v>19</v>
      </c>
      <c r="J847" s="12" t="s">
        <v>58</v>
      </c>
      <c r="K847" s="12">
        <v>232.00299999999999</v>
      </c>
      <c r="L847" s="12">
        <v>196.33699999999999</v>
      </c>
      <c r="O847" s="13">
        <f t="shared" si="26"/>
        <v>0.8462692292772076</v>
      </c>
    </row>
    <row r="848" spans="1:15" x14ac:dyDescent="0.25">
      <c r="A848" s="12">
        <f t="shared" si="27"/>
        <v>12</v>
      </c>
      <c r="B848" s="12">
        <v>2022</v>
      </c>
      <c r="C848" s="12">
        <v>7127</v>
      </c>
      <c r="E848" s="12" t="s">
        <v>13</v>
      </c>
      <c r="F848" s="12" t="s">
        <v>14</v>
      </c>
      <c r="G848" s="14">
        <v>44921</v>
      </c>
      <c r="H848" s="12" t="s">
        <v>18</v>
      </c>
      <c r="I848" s="12" t="s">
        <v>20</v>
      </c>
      <c r="J848" s="12" t="s">
        <v>79</v>
      </c>
      <c r="K848" s="12">
        <v>235.023</v>
      </c>
      <c r="L848" s="12">
        <v>199.02</v>
      </c>
      <c r="O848" s="13">
        <f t="shared" si="26"/>
        <v>0.84681073767248316</v>
      </c>
    </row>
    <row r="849" spans="1:15" x14ac:dyDescent="0.25">
      <c r="A849" s="12">
        <f t="shared" si="27"/>
        <v>12</v>
      </c>
      <c r="B849" s="12">
        <v>2022</v>
      </c>
      <c r="C849" s="12">
        <v>7128</v>
      </c>
      <c r="E849" s="12" t="s">
        <v>13</v>
      </c>
      <c r="F849" s="12" t="s">
        <v>14</v>
      </c>
      <c r="G849" s="14">
        <v>44922</v>
      </c>
      <c r="H849" s="12" t="s">
        <v>18</v>
      </c>
      <c r="I849" s="12" t="s">
        <v>20</v>
      </c>
      <c r="J849" s="12" t="s">
        <v>79</v>
      </c>
      <c r="K849" s="12">
        <v>235.023</v>
      </c>
      <c r="L849" s="12">
        <v>204.40899999999999</v>
      </c>
      <c r="O849" s="13">
        <f t="shared" si="26"/>
        <v>0.86974040838556221</v>
      </c>
    </row>
    <row r="850" spans="1:15" x14ac:dyDescent="0.25">
      <c r="A850" s="12">
        <f t="shared" si="27"/>
        <v>12</v>
      </c>
      <c r="B850" s="12">
        <v>2022</v>
      </c>
      <c r="C850" s="12">
        <v>7129</v>
      </c>
      <c r="E850" s="12" t="s">
        <v>13</v>
      </c>
      <c r="F850" s="12" t="s">
        <v>14</v>
      </c>
      <c r="G850" s="14">
        <v>44923</v>
      </c>
      <c r="H850" s="12" t="s">
        <v>18</v>
      </c>
      <c r="I850" s="12" t="s">
        <v>19</v>
      </c>
      <c r="J850" s="12" t="s">
        <v>55</v>
      </c>
      <c r="K850" s="12">
        <v>233.10499999999999</v>
      </c>
      <c r="L850" s="12">
        <v>194.435</v>
      </c>
      <c r="O850" s="13">
        <f t="shared" si="26"/>
        <v>0.83410909246905907</v>
      </c>
    </row>
    <row r="851" spans="1:15" x14ac:dyDescent="0.25">
      <c r="A851" s="12">
        <f t="shared" si="27"/>
        <v>12</v>
      </c>
      <c r="B851" s="12">
        <v>2022</v>
      </c>
      <c r="C851" s="12">
        <v>7130</v>
      </c>
      <c r="E851" s="12" t="s">
        <v>13</v>
      </c>
      <c r="F851" s="12" t="s">
        <v>14</v>
      </c>
      <c r="G851" s="14">
        <v>44924</v>
      </c>
      <c r="H851" s="12" t="s">
        <v>18</v>
      </c>
      <c r="I851" s="12" t="s">
        <v>19</v>
      </c>
      <c r="J851" s="12" t="s">
        <v>55</v>
      </c>
      <c r="K851" s="12">
        <v>232.999</v>
      </c>
      <c r="L851" s="12">
        <v>196.38900000000001</v>
      </c>
      <c r="O851" s="13">
        <f t="shared" si="26"/>
        <v>0.84287486212387186</v>
      </c>
    </row>
    <row r="852" spans="1:15" x14ac:dyDescent="0.25">
      <c r="A852" s="12">
        <f t="shared" si="27"/>
        <v>12</v>
      </c>
      <c r="B852" s="12">
        <v>2022</v>
      </c>
      <c r="C852" s="12">
        <v>7131</v>
      </c>
      <c r="E852" s="12" t="s">
        <v>13</v>
      </c>
      <c r="F852" s="12" t="s">
        <v>14</v>
      </c>
      <c r="G852" s="14">
        <v>44925</v>
      </c>
      <c r="H852" s="12" t="s">
        <v>18</v>
      </c>
      <c r="I852" s="12" t="s">
        <v>19</v>
      </c>
      <c r="J852" s="12" t="s">
        <v>55</v>
      </c>
      <c r="K852" s="12">
        <v>232.999</v>
      </c>
      <c r="L852" s="12">
        <v>193.37</v>
      </c>
      <c r="O852" s="13">
        <f t="shared" si="26"/>
        <v>0.82991772496877669</v>
      </c>
    </row>
    <row r="853" spans="1:15" x14ac:dyDescent="0.25">
      <c r="A853" s="12">
        <f t="shared" si="27"/>
        <v>12</v>
      </c>
      <c r="B853" s="12">
        <v>2022</v>
      </c>
      <c r="C853" s="12">
        <v>7132</v>
      </c>
      <c r="E853" s="12" t="s">
        <v>13</v>
      </c>
      <c r="F853" s="12" t="s">
        <v>14</v>
      </c>
      <c r="G853" s="14">
        <v>44926</v>
      </c>
      <c r="H853" s="12" t="s">
        <v>18</v>
      </c>
      <c r="I853" s="12" t="s">
        <v>19</v>
      </c>
      <c r="J853" s="12" t="s">
        <v>55</v>
      </c>
      <c r="K853" s="12">
        <v>233.04400000000001</v>
      </c>
      <c r="L853" s="12">
        <v>195.2</v>
      </c>
      <c r="O853" s="13">
        <f t="shared" si="26"/>
        <v>0.83761006505209312</v>
      </c>
    </row>
    <row r="854" spans="1:15" x14ac:dyDescent="0.25">
      <c r="A854" s="12">
        <f t="shared" si="27"/>
        <v>1</v>
      </c>
      <c r="B854" s="12">
        <v>2023</v>
      </c>
      <c r="C854" s="12">
        <v>7133</v>
      </c>
      <c r="E854" s="12" t="s">
        <v>13</v>
      </c>
      <c r="F854" s="12" t="s">
        <v>14</v>
      </c>
      <c r="G854" s="14">
        <v>44927</v>
      </c>
      <c r="H854" s="12" t="s">
        <v>18</v>
      </c>
      <c r="I854" s="12" t="s">
        <v>19</v>
      </c>
      <c r="J854" s="12" t="s">
        <v>55</v>
      </c>
      <c r="K854" s="12">
        <v>233.04499999999999</v>
      </c>
      <c r="L854" s="12">
        <v>206.90799999999999</v>
      </c>
      <c r="O854" s="13">
        <f t="shared" si="26"/>
        <v>0.88784569503743915</v>
      </c>
    </row>
    <row r="855" spans="1:15" x14ac:dyDescent="0.25">
      <c r="A855" s="12">
        <f t="shared" si="27"/>
        <v>1</v>
      </c>
      <c r="B855" s="12">
        <v>2023</v>
      </c>
      <c r="C855" s="12">
        <v>7134</v>
      </c>
      <c r="E855" s="12" t="s">
        <v>13</v>
      </c>
      <c r="F855" s="12" t="s">
        <v>14</v>
      </c>
      <c r="G855" s="14">
        <v>44928</v>
      </c>
      <c r="H855" s="12" t="s">
        <v>18</v>
      </c>
      <c r="I855" s="12" t="s">
        <v>19</v>
      </c>
      <c r="J855" s="12" t="s">
        <v>54</v>
      </c>
      <c r="K855" s="12">
        <v>233.01300000000001</v>
      </c>
      <c r="L855" s="12">
        <v>196.61199999999999</v>
      </c>
      <c r="O855" s="13">
        <f t="shared" si="26"/>
        <v>0.843781248256535</v>
      </c>
    </row>
    <row r="856" spans="1:15" x14ac:dyDescent="0.25">
      <c r="A856" s="12">
        <f t="shared" si="27"/>
        <v>1</v>
      </c>
      <c r="B856" s="12">
        <v>2023</v>
      </c>
      <c r="C856" s="12">
        <v>7135</v>
      </c>
      <c r="E856" s="12" t="s">
        <v>13</v>
      </c>
      <c r="F856" s="12" t="s">
        <v>14</v>
      </c>
      <c r="G856" s="14">
        <v>44929</v>
      </c>
      <c r="H856" s="12" t="s">
        <v>18</v>
      </c>
      <c r="I856" s="12" t="s">
        <v>19</v>
      </c>
      <c r="J856" s="12" t="s">
        <v>54</v>
      </c>
      <c r="K856" s="12">
        <v>233.012</v>
      </c>
      <c r="L856" s="12">
        <v>200.88900000000001</v>
      </c>
      <c r="O856" s="13">
        <f t="shared" si="26"/>
        <v>0.86214014728855171</v>
      </c>
    </row>
    <row r="857" spans="1:15" x14ac:dyDescent="0.25">
      <c r="A857" s="12">
        <f t="shared" si="27"/>
        <v>1</v>
      </c>
      <c r="B857" s="12">
        <v>2023</v>
      </c>
      <c r="C857" s="12">
        <v>7136</v>
      </c>
      <c r="E857" s="12" t="s">
        <v>13</v>
      </c>
      <c r="F857" s="12" t="s">
        <v>14</v>
      </c>
      <c r="G857" s="14">
        <v>44930</v>
      </c>
      <c r="H857" s="12" t="s">
        <v>18</v>
      </c>
      <c r="I857" s="12" t="s">
        <v>19</v>
      </c>
      <c r="J857" s="12" t="s">
        <v>55</v>
      </c>
      <c r="K857" s="12">
        <v>233.012</v>
      </c>
      <c r="L857" s="12">
        <v>178.84100000000001</v>
      </c>
      <c r="O857" s="13">
        <f t="shared" si="26"/>
        <v>0.76751841106895791</v>
      </c>
    </row>
    <row r="858" spans="1:15" x14ac:dyDescent="0.25">
      <c r="A858" s="12">
        <f t="shared" si="27"/>
        <v>1</v>
      </c>
      <c r="B858" s="12">
        <v>2023</v>
      </c>
      <c r="C858" s="12">
        <v>7137</v>
      </c>
      <c r="E858" s="12" t="s">
        <v>13</v>
      </c>
      <c r="F858" s="12" t="s">
        <v>14</v>
      </c>
      <c r="G858" s="14">
        <v>44931</v>
      </c>
      <c r="H858" s="12" t="s">
        <v>18</v>
      </c>
      <c r="I858" s="12" t="s">
        <v>19</v>
      </c>
      <c r="J858" s="12" t="s">
        <v>55</v>
      </c>
      <c r="K858" s="12">
        <v>233</v>
      </c>
      <c r="L858" s="12">
        <v>190.59800000000001</v>
      </c>
      <c r="O858" s="13">
        <f t="shared" si="26"/>
        <v>0.81801716738197428</v>
      </c>
    </row>
    <row r="859" spans="1:15" x14ac:dyDescent="0.25">
      <c r="A859" s="12">
        <f t="shared" si="27"/>
        <v>1</v>
      </c>
      <c r="B859" s="12">
        <v>2023</v>
      </c>
      <c r="C859" s="12">
        <v>7138</v>
      </c>
      <c r="E859" s="12" t="s">
        <v>13</v>
      </c>
      <c r="F859" s="12" t="s">
        <v>14</v>
      </c>
      <c r="G859" s="14">
        <v>44932</v>
      </c>
      <c r="H859" s="12" t="s">
        <v>18</v>
      </c>
      <c r="I859" s="12" t="s">
        <v>19</v>
      </c>
      <c r="J859" s="12" t="s">
        <v>55</v>
      </c>
      <c r="K859" s="12">
        <v>233.001</v>
      </c>
      <c r="L859" s="12">
        <v>199.548</v>
      </c>
      <c r="O859" s="13">
        <f t="shared" si="26"/>
        <v>0.85642550890339531</v>
      </c>
    </row>
    <row r="860" spans="1:15" x14ac:dyDescent="0.25">
      <c r="A860" s="12">
        <f t="shared" si="27"/>
        <v>1</v>
      </c>
      <c r="B860" s="12">
        <v>2023</v>
      </c>
      <c r="C860" s="12">
        <v>7139</v>
      </c>
      <c r="E860" s="12" t="s">
        <v>13</v>
      </c>
      <c r="F860" s="12" t="s">
        <v>14</v>
      </c>
      <c r="G860" s="14">
        <v>44933</v>
      </c>
      <c r="H860" s="12" t="s">
        <v>18</v>
      </c>
      <c r="I860" s="12" t="s">
        <v>19</v>
      </c>
      <c r="J860" s="12" t="s">
        <v>55</v>
      </c>
      <c r="K860" s="12">
        <v>233.00700000000001</v>
      </c>
      <c r="L860" s="12">
        <v>192.40700000000001</v>
      </c>
      <c r="O860" s="13">
        <f t="shared" ref="O860:O923" si="28">L860/K860</f>
        <v>0.82575630775041098</v>
      </c>
    </row>
    <row r="861" spans="1:15" x14ac:dyDescent="0.25">
      <c r="A861" s="12">
        <f t="shared" si="27"/>
        <v>1</v>
      </c>
      <c r="B861" s="12">
        <v>2023</v>
      </c>
      <c r="C861" s="12">
        <v>7140</v>
      </c>
      <c r="E861" s="12" t="s">
        <v>13</v>
      </c>
      <c r="F861" s="12" t="s">
        <v>14</v>
      </c>
      <c r="G861" s="14">
        <v>44934</v>
      </c>
      <c r="H861" s="12" t="s">
        <v>18</v>
      </c>
      <c r="I861" s="12" t="s">
        <v>19</v>
      </c>
      <c r="J861" s="12" t="s">
        <v>55</v>
      </c>
      <c r="K861" s="12">
        <v>233.006</v>
      </c>
      <c r="L861" s="12">
        <v>195.22300000000001</v>
      </c>
      <c r="O861" s="13">
        <f t="shared" si="28"/>
        <v>0.83784537737225662</v>
      </c>
    </row>
    <row r="862" spans="1:15" x14ac:dyDescent="0.25">
      <c r="A862" s="12">
        <f t="shared" si="27"/>
        <v>1</v>
      </c>
      <c r="B862" s="12">
        <v>2023</v>
      </c>
      <c r="C862" s="12">
        <v>7141</v>
      </c>
      <c r="E862" s="12" t="s">
        <v>13</v>
      </c>
      <c r="F862" s="12" t="s">
        <v>14</v>
      </c>
      <c r="G862" s="14">
        <v>44935</v>
      </c>
      <c r="H862" s="12" t="s">
        <v>17</v>
      </c>
      <c r="I862" s="12" t="s">
        <v>19</v>
      </c>
      <c r="J862" s="12" t="s">
        <v>58</v>
      </c>
      <c r="K862" s="12">
        <v>232.999</v>
      </c>
      <c r="L862" s="12">
        <v>196.304</v>
      </c>
      <c r="O862" s="13">
        <f t="shared" si="28"/>
        <v>0.84251005369121756</v>
      </c>
    </row>
    <row r="863" spans="1:15" x14ac:dyDescent="0.25">
      <c r="A863" s="12">
        <f t="shared" si="27"/>
        <v>1</v>
      </c>
      <c r="B863" s="12">
        <v>2023</v>
      </c>
      <c r="C863" s="12">
        <v>7142</v>
      </c>
      <c r="E863" s="12" t="s">
        <v>13</v>
      </c>
      <c r="F863" s="12" t="s">
        <v>14</v>
      </c>
      <c r="G863" s="14">
        <v>44936</v>
      </c>
      <c r="H863" s="12" t="s">
        <v>18</v>
      </c>
      <c r="I863" s="12" t="s">
        <v>20</v>
      </c>
      <c r="J863" s="12" t="s">
        <v>79</v>
      </c>
      <c r="K863" s="12">
        <v>235.00700000000001</v>
      </c>
      <c r="L863" s="12">
        <v>206.22399999999999</v>
      </c>
      <c r="O863" s="13">
        <f t="shared" si="28"/>
        <v>0.87752279719327508</v>
      </c>
    </row>
    <row r="864" spans="1:15" x14ac:dyDescent="0.25">
      <c r="A864" s="12">
        <f t="shared" si="27"/>
        <v>1</v>
      </c>
      <c r="B864" s="12">
        <v>2023</v>
      </c>
      <c r="C864" s="12">
        <v>7143</v>
      </c>
      <c r="E864" s="12" t="s">
        <v>13</v>
      </c>
      <c r="F864" s="12" t="s">
        <v>14</v>
      </c>
      <c r="G864" s="14">
        <v>44937</v>
      </c>
      <c r="H864" s="12" t="s">
        <v>18</v>
      </c>
      <c r="I864" s="12" t="s">
        <v>20</v>
      </c>
      <c r="J864" s="12" t="s">
        <v>79</v>
      </c>
      <c r="K864" s="12">
        <v>235.00800000000001</v>
      </c>
      <c r="L864" s="12">
        <v>197.999</v>
      </c>
      <c r="O864" s="13">
        <f t="shared" si="28"/>
        <v>0.84252025462962954</v>
      </c>
    </row>
    <row r="865" spans="1:15" x14ac:dyDescent="0.25">
      <c r="A865" s="12">
        <f t="shared" si="27"/>
        <v>1</v>
      </c>
      <c r="B865" s="12">
        <v>2023</v>
      </c>
      <c r="C865" s="12">
        <v>7144</v>
      </c>
      <c r="E865" s="12" t="s">
        <v>13</v>
      </c>
      <c r="F865" s="12" t="s">
        <v>14</v>
      </c>
      <c r="G865" s="14">
        <v>44938</v>
      </c>
      <c r="H865" s="12" t="s">
        <v>18</v>
      </c>
      <c r="I865" s="12" t="s">
        <v>20</v>
      </c>
      <c r="J865" s="12" t="s">
        <v>53</v>
      </c>
      <c r="K865" s="12">
        <v>234.999</v>
      </c>
      <c r="L865" s="12">
        <v>195.94</v>
      </c>
      <c r="O865" s="13">
        <f t="shared" si="28"/>
        <v>0.83379078208843438</v>
      </c>
    </row>
    <row r="866" spans="1:15" x14ac:dyDescent="0.25">
      <c r="A866" s="12">
        <f t="shared" si="27"/>
        <v>1</v>
      </c>
      <c r="B866" s="12">
        <v>2023</v>
      </c>
      <c r="C866" s="12">
        <v>7145</v>
      </c>
      <c r="E866" s="12" t="s">
        <v>13</v>
      </c>
      <c r="F866" s="12" t="s">
        <v>14</v>
      </c>
      <c r="G866" s="14">
        <v>44939</v>
      </c>
      <c r="H866" s="12" t="s">
        <v>18</v>
      </c>
      <c r="I866" s="12" t="s">
        <v>20</v>
      </c>
      <c r="J866" s="12" t="s">
        <v>53</v>
      </c>
      <c r="K866" s="12">
        <v>235</v>
      </c>
      <c r="L866" s="12">
        <v>202.86</v>
      </c>
      <c r="O866" s="13">
        <f t="shared" si="28"/>
        <v>0.86323404255319158</v>
      </c>
    </row>
    <row r="867" spans="1:15" x14ac:dyDescent="0.25">
      <c r="A867" s="12">
        <f t="shared" si="27"/>
        <v>1</v>
      </c>
      <c r="B867" s="12">
        <v>2023</v>
      </c>
      <c r="C867" s="12">
        <v>7146</v>
      </c>
      <c r="E867" s="12" t="s">
        <v>13</v>
      </c>
      <c r="F867" s="12" t="s">
        <v>14</v>
      </c>
      <c r="G867" s="14">
        <v>44940</v>
      </c>
      <c r="H867" s="12" t="s">
        <v>18</v>
      </c>
      <c r="I867" s="12" t="s">
        <v>19</v>
      </c>
      <c r="J867" s="12" t="s">
        <v>55</v>
      </c>
      <c r="K867" s="12">
        <v>233.00399999999999</v>
      </c>
      <c r="L867" s="12">
        <v>195.434</v>
      </c>
      <c r="O867" s="13">
        <f t="shared" si="28"/>
        <v>0.8387581329075896</v>
      </c>
    </row>
    <row r="868" spans="1:15" x14ac:dyDescent="0.25">
      <c r="A868" s="12">
        <f t="shared" si="27"/>
        <v>1</v>
      </c>
      <c r="B868" s="12">
        <v>2023</v>
      </c>
      <c r="C868" s="12">
        <v>7147</v>
      </c>
      <c r="E868" s="12" t="s">
        <v>13</v>
      </c>
      <c r="F868" s="12" t="s">
        <v>14</v>
      </c>
      <c r="G868" s="14">
        <v>44941</v>
      </c>
      <c r="H868" s="12" t="s">
        <v>18</v>
      </c>
      <c r="I868" s="12" t="s">
        <v>19</v>
      </c>
      <c r="J868" s="12" t="s">
        <v>55</v>
      </c>
      <c r="K868" s="12">
        <v>233</v>
      </c>
      <c r="L868" s="12">
        <v>191.30099999999999</v>
      </c>
      <c r="O868" s="13">
        <f t="shared" si="28"/>
        <v>0.82103433476394849</v>
      </c>
    </row>
    <row r="869" spans="1:15" x14ac:dyDescent="0.25">
      <c r="A869" s="12">
        <f t="shared" si="27"/>
        <v>1</v>
      </c>
      <c r="B869" s="12">
        <v>2023</v>
      </c>
      <c r="C869" s="12">
        <v>7148</v>
      </c>
      <c r="E869" s="12" t="s">
        <v>13</v>
      </c>
      <c r="F869" s="12" t="s">
        <v>14</v>
      </c>
      <c r="G869" s="14">
        <v>44942</v>
      </c>
      <c r="H869" s="12" t="s">
        <v>18</v>
      </c>
      <c r="I869" s="12" t="s">
        <v>19</v>
      </c>
      <c r="J869" s="12" t="s">
        <v>55</v>
      </c>
      <c r="K869" s="12">
        <v>233</v>
      </c>
      <c r="L869" s="12">
        <v>197.3</v>
      </c>
      <c r="O869" s="13">
        <f t="shared" si="28"/>
        <v>0.84678111587982841</v>
      </c>
    </row>
    <row r="870" spans="1:15" x14ac:dyDescent="0.25">
      <c r="A870" s="12">
        <f t="shared" si="27"/>
        <v>1</v>
      </c>
      <c r="B870" s="12">
        <v>2023</v>
      </c>
      <c r="C870" s="12">
        <v>7149</v>
      </c>
      <c r="E870" s="12" t="s">
        <v>13</v>
      </c>
      <c r="F870" s="12" t="s">
        <v>14</v>
      </c>
      <c r="G870" s="14">
        <v>44943</v>
      </c>
      <c r="H870" s="12" t="s">
        <v>18</v>
      </c>
      <c r="I870" s="12" t="s">
        <v>19</v>
      </c>
      <c r="J870" s="12" t="s">
        <v>55</v>
      </c>
      <c r="K870" s="12">
        <v>232.97800000000001</v>
      </c>
      <c r="L870" s="12">
        <v>197.92699999999999</v>
      </c>
      <c r="O870" s="13">
        <f t="shared" si="28"/>
        <v>0.84955231824464106</v>
      </c>
    </row>
    <row r="871" spans="1:15" x14ac:dyDescent="0.25">
      <c r="A871" s="12">
        <f t="shared" si="27"/>
        <v>1</v>
      </c>
      <c r="B871" s="12">
        <v>2023</v>
      </c>
      <c r="C871" s="12">
        <v>7150</v>
      </c>
      <c r="E871" s="12" t="s">
        <v>13</v>
      </c>
      <c r="F871" s="12" t="s">
        <v>14</v>
      </c>
      <c r="G871" s="14">
        <v>44944</v>
      </c>
      <c r="H871" s="12" t="s">
        <v>18</v>
      </c>
      <c r="I871" s="12" t="s">
        <v>19</v>
      </c>
      <c r="J871" s="12" t="s">
        <v>55</v>
      </c>
      <c r="K871" s="12">
        <v>232.97900000000001</v>
      </c>
      <c r="L871" s="12">
        <v>200.26499999999999</v>
      </c>
      <c r="O871" s="13">
        <f t="shared" si="28"/>
        <v>0.85958391099626996</v>
      </c>
    </row>
    <row r="872" spans="1:15" x14ac:dyDescent="0.25">
      <c r="A872" s="12">
        <f t="shared" si="27"/>
        <v>1</v>
      </c>
      <c r="B872" s="12">
        <v>2023</v>
      </c>
      <c r="C872" s="12">
        <v>7151</v>
      </c>
      <c r="E872" s="12" t="s">
        <v>13</v>
      </c>
      <c r="F872" s="12" t="s">
        <v>14</v>
      </c>
      <c r="G872" s="14">
        <v>44945</v>
      </c>
      <c r="H872" s="12" t="s">
        <v>37</v>
      </c>
      <c r="I872" s="12" t="s">
        <v>20</v>
      </c>
      <c r="J872" s="12" t="s">
        <v>56</v>
      </c>
      <c r="K872" s="12">
        <v>235.048</v>
      </c>
      <c r="L872" s="12">
        <v>199.09</v>
      </c>
      <c r="O872" s="13">
        <f t="shared" si="28"/>
        <v>0.84701848133147273</v>
      </c>
    </row>
    <row r="873" spans="1:15" x14ac:dyDescent="0.25">
      <c r="A873" s="12">
        <f t="shared" si="27"/>
        <v>1</v>
      </c>
      <c r="B873" s="12">
        <v>2023</v>
      </c>
      <c r="C873" s="12">
        <v>7152</v>
      </c>
      <c r="E873" s="12" t="s">
        <v>13</v>
      </c>
      <c r="F873" s="12" t="s">
        <v>14</v>
      </c>
      <c r="G873" s="14">
        <v>44946</v>
      </c>
      <c r="H873" s="12" t="s">
        <v>37</v>
      </c>
      <c r="I873" s="12" t="s">
        <v>20</v>
      </c>
      <c r="J873" s="12" t="s">
        <v>56</v>
      </c>
      <c r="K873" s="12">
        <v>235.04900000000001</v>
      </c>
      <c r="L873" s="12">
        <v>204.59100000000001</v>
      </c>
      <c r="O873" s="13">
        <f t="shared" si="28"/>
        <v>0.87041850848121027</v>
      </c>
    </row>
    <row r="874" spans="1:15" x14ac:dyDescent="0.25">
      <c r="A874" s="12">
        <f t="shared" si="27"/>
        <v>1</v>
      </c>
      <c r="B874" s="12">
        <v>2023</v>
      </c>
      <c r="C874" s="12">
        <v>7153</v>
      </c>
      <c r="E874" s="12" t="s">
        <v>13</v>
      </c>
      <c r="F874" s="12" t="s">
        <v>14</v>
      </c>
      <c r="G874" s="14">
        <v>44947</v>
      </c>
      <c r="H874" s="12" t="s">
        <v>18</v>
      </c>
      <c r="I874" s="12" t="s">
        <v>19</v>
      </c>
      <c r="J874" s="12" t="s">
        <v>55</v>
      </c>
      <c r="K874" s="12">
        <v>232.999</v>
      </c>
      <c r="L874" s="12">
        <v>196.38499999999999</v>
      </c>
      <c r="O874" s="13">
        <f t="shared" si="28"/>
        <v>0.84285769466821747</v>
      </c>
    </row>
    <row r="875" spans="1:15" x14ac:dyDescent="0.25">
      <c r="A875" s="12">
        <f t="shared" si="27"/>
        <v>1</v>
      </c>
      <c r="B875" s="12">
        <v>2023</v>
      </c>
      <c r="C875" s="12">
        <v>7154</v>
      </c>
      <c r="E875" s="12" t="s">
        <v>13</v>
      </c>
      <c r="F875" s="12" t="s">
        <v>14</v>
      </c>
      <c r="G875" s="14">
        <v>44948</v>
      </c>
      <c r="H875" s="12" t="s">
        <v>18</v>
      </c>
      <c r="I875" s="12" t="s">
        <v>19</v>
      </c>
      <c r="J875" s="12" t="s">
        <v>55</v>
      </c>
      <c r="K875" s="12">
        <v>233</v>
      </c>
      <c r="L875" s="12">
        <v>197.81299999999999</v>
      </c>
      <c r="O875" s="13">
        <f t="shared" si="28"/>
        <v>0.84898283261802565</v>
      </c>
    </row>
    <row r="876" spans="1:15" x14ac:dyDescent="0.25">
      <c r="A876" s="12">
        <f t="shared" si="27"/>
        <v>1</v>
      </c>
      <c r="B876" s="12">
        <v>2023</v>
      </c>
      <c r="C876" s="12">
        <v>7155</v>
      </c>
      <c r="E876" s="12" t="s">
        <v>13</v>
      </c>
      <c r="F876" s="12" t="s">
        <v>14</v>
      </c>
      <c r="G876" s="14">
        <v>44949</v>
      </c>
      <c r="H876" s="12" t="s">
        <v>18</v>
      </c>
      <c r="I876" s="12" t="s">
        <v>19</v>
      </c>
      <c r="J876" s="12" t="s">
        <v>55</v>
      </c>
      <c r="K876" s="12">
        <v>233.006</v>
      </c>
      <c r="L876" s="12">
        <v>196.941</v>
      </c>
      <c r="O876" s="13">
        <f t="shared" si="28"/>
        <v>0.84521857806236755</v>
      </c>
    </row>
    <row r="877" spans="1:15" x14ac:dyDescent="0.25">
      <c r="A877" s="12">
        <f t="shared" si="27"/>
        <v>1</v>
      </c>
      <c r="B877" s="12">
        <v>2023</v>
      </c>
      <c r="C877" s="12">
        <v>7156</v>
      </c>
      <c r="E877" s="12" t="s">
        <v>13</v>
      </c>
      <c r="F877" s="12" t="s">
        <v>14</v>
      </c>
      <c r="G877" s="14">
        <v>44950</v>
      </c>
      <c r="H877" s="12" t="s">
        <v>18</v>
      </c>
      <c r="I877" s="12" t="s">
        <v>19</v>
      </c>
      <c r="J877" s="12" t="s">
        <v>55</v>
      </c>
      <c r="K877" s="12">
        <v>233.006</v>
      </c>
      <c r="L877" s="12">
        <v>201.31299999999999</v>
      </c>
      <c r="O877" s="13">
        <f t="shared" si="28"/>
        <v>0.86398204338085705</v>
      </c>
    </row>
    <row r="878" spans="1:15" x14ac:dyDescent="0.25">
      <c r="A878" s="12">
        <f t="shared" si="27"/>
        <v>1</v>
      </c>
      <c r="B878" s="12">
        <v>2023</v>
      </c>
      <c r="C878" s="12">
        <v>7157</v>
      </c>
      <c r="E878" s="12" t="s">
        <v>13</v>
      </c>
      <c r="F878" s="12" t="s">
        <v>14</v>
      </c>
      <c r="G878" s="14">
        <v>44951</v>
      </c>
      <c r="H878" s="12" t="s">
        <v>18</v>
      </c>
      <c r="I878" s="12" t="s">
        <v>20</v>
      </c>
      <c r="J878" s="12" t="s">
        <v>79</v>
      </c>
      <c r="K878" s="12">
        <v>235.00299999999999</v>
      </c>
      <c r="L878" s="12">
        <v>199.69200000000001</v>
      </c>
      <c r="O878" s="13">
        <f t="shared" si="28"/>
        <v>0.84974234371476121</v>
      </c>
    </row>
    <row r="879" spans="1:15" x14ac:dyDescent="0.25">
      <c r="A879" s="12">
        <f t="shared" si="27"/>
        <v>1</v>
      </c>
      <c r="B879" s="12">
        <v>2023</v>
      </c>
      <c r="C879" s="12">
        <v>7158</v>
      </c>
      <c r="E879" s="12" t="s">
        <v>13</v>
      </c>
      <c r="F879" s="12" t="s">
        <v>14</v>
      </c>
      <c r="G879" s="14">
        <v>44952</v>
      </c>
      <c r="H879" s="12" t="s">
        <v>18</v>
      </c>
      <c r="I879" s="12" t="s">
        <v>20</v>
      </c>
      <c r="J879" s="12" t="s">
        <v>79</v>
      </c>
      <c r="K879" s="12">
        <v>235.00299999999999</v>
      </c>
      <c r="L879" s="12">
        <v>203.572</v>
      </c>
      <c r="O879" s="13">
        <f t="shared" si="28"/>
        <v>0.86625277124121824</v>
      </c>
    </row>
    <row r="880" spans="1:15" x14ac:dyDescent="0.25">
      <c r="A880" s="12">
        <f t="shared" si="27"/>
        <v>1</v>
      </c>
      <c r="B880" s="12">
        <v>2023</v>
      </c>
      <c r="C880" s="12">
        <v>7159</v>
      </c>
      <c r="E880" s="12" t="s">
        <v>13</v>
      </c>
      <c r="F880" s="12" t="s">
        <v>14</v>
      </c>
      <c r="G880" s="14">
        <v>44953</v>
      </c>
      <c r="H880" s="12" t="s">
        <v>18</v>
      </c>
      <c r="I880" s="12" t="s">
        <v>19</v>
      </c>
      <c r="J880" s="12" t="s">
        <v>55</v>
      </c>
      <c r="K880" s="12">
        <v>235.01599999999999</v>
      </c>
      <c r="L880" s="12">
        <v>198.23599999999999</v>
      </c>
      <c r="O880" s="13">
        <f t="shared" si="28"/>
        <v>0.84350001702011779</v>
      </c>
    </row>
    <row r="881" spans="1:15" x14ac:dyDescent="0.25">
      <c r="A881" s="12">
        <f t="shared" si="27"/>
        <v>1</v>
      </c>
      <c r="B881" s="12">
        <v>2023</v>
      </c>
      <c r="C881" s="12">
        <v>7160</v>
      </c>
      <c r="E881" s="12" t="s">
        <v>13</v>
      </c>
      <c r="F881" s="12" t="s">
        <v>14</v>
      </c>
      <c r="G881" s="14">
        <v>44954</v>
      </c>
      <c r="H881" s="12" t="s">
        <v>18</v>
      </c>
      <c r="I881" s="12" t="s">
        <v>19</v>
      </c>
      <c r="J881" s="12" t="s">
        <v>55</v>
      </c>
      <c r="K881" s="12">
        <v>234.999</v>
      </c>
      <c r="L881" s="12">
        <v>197.52199999999999</v>
      </c>
      <c r="O881" s="13">
        <f t="shared" si="28"/>
        <v>0.84052272562861963</v>
      </c>
    </row>
    <row r="882" spans="1:15" x14ac:dyDescent="0.25">
      <c r="A882" s="12">
        <f t="shared" si="27"/>
        <v>1</v>
      </c>
      <c r="B882" s="12">
        <v>2023</v>
      </c>
      <c r="C882" s="12">
        <v>7161</v>
      </c>
      <c r="E882" s="12" t="s">
        <v>13</v>
      </c>
      <c r="F882" s="12" t="s">
        <v>14</v>
      </c>
      <c r="G882" s="14">
        <v>44955</v>
      </c>
      <c r="H882" s="12" t="s">
        <v>18</v>
      </c>
      <c r="I882" s="12" t="s">
        <v>19</v>
      </c>
      <c r="J882" s="12" t="s">
        <v>55</v>
      </c>
      <c r="K882" s="12">
        <v>235</v>
      </c>
      <c r="L882" s="12">
        <v>199.16900000000001</v>
      </c>
      <c r="O882" s="13">
        <f t="shared" si="28"/>
        <v>0.84752765957446818</v>
      </c>
    </row>
    <row r="883" spans="1:15" x14ac:dyDescent="0.25">
      <c r="A883" s="12">
        <f t="shared" si="27"/>
        <v>1</v>
      </c>
      <c r="B883" s="12">
        <v>2023</v>
      </c>
      <c r="C883" s="12">
        <v>7162</v>
      </c>
      <c r="E883" s="12" t="s">
        <v>13</v>
      </c>
      <c r="F883" s="12" t="s">
        <v>14</v>
      </c>
      <c r="G883" s="14">
        <v>44956</v>
      </c>
      <c r="H883" s="12" t="s">
        <v>18</v>
      </c>
      <c r="I883" s="12" t="s">
        <v>19</v>
      </c>
      <c r="J883" s="12" t="s">
        <v>55</v>
      </c>
      <c r="K883" s="12">
        <v>235.00200000000001</v>
      </c>
      <c r="L883" s="12">
        <v>193.85300000000001</v>
      </c>
      <c r="O883" s="13">
        <f t="shared" si="28"/>
        <v>0.82489936255861651</v>
      </c>
    </row>
    <row r="884" spans="1:15" x14ac:dyDescent="0.25">
      <c r="A884" s="12">
        <f t="shared" si="27"/>
        <v>1</v>
      </c>
      <c r="B884" s="12">
        <v>2023</v>
      </c>
      <c r="C884" s="12">
        <v>7163</v>
      </c>
      <c r="E884" s="12" t="s">
        <v>13</v>
      </c>
      <c r="F884" s="12" t="s">
        <v>14</v>
      </c>
      <c r="G884" s="14">
        <v>44957</v>
      </c>
      <c r="H884" s="12" t="s">
        <v>18</v>
      </c>
      <c r="I884" s="12" t="s">
        <v>19</v>
      </c>
      <c r="J884" s="12" t="s">
        <v>55</v>
      </c>
      <c r="K884" s="12">
        <v>235.001</v>
      </c>
      <c r="L884" s="12">
        <v>201.35599999999999</v>
      </c>
      <c r="O884" s="13">
        <f t="shared" si="28"/>
        <v>0.85683039646639803</v>
      </c>
    </row>
    <row r="885" spans="1:15" x14ac:dyDescent="0.25">
      <c r="A885" s="12">
        <f t="shared" si="27"/>
        <v>2</v>
      </c>
      <c r="B885" s="12">
        <v>2023</v>
      </c>
      <c r="C885" s="12">
        <v>7164</v>
      </c>
      <c r="E885" s="12" t="s">
        <v>13</v>
      </c>
      <c r="F885" s="12" t="s">
        <v>14</v>
      </c>
      <c r="G885" s="14">
        <v>44958</v>
      </c>
      <c r="H885" s="12" t="s">
        <v>46</v>
      </c>
      <c r="I885" s="12" t="s">
        <v>20</v>
      </c>
      <c r="J885" s="12" t="s">
        <v>48</v>
      </c>
      <c r="K885" s="12">
        <v>230.03299999999999</v>
      </c>
      <c r="L885" s="12">
        <v>195.446</v>
      </c>
      <c r="O885" s="13">
        <f t="shared" si="28"/>
        <v>0.84964331204653254</v>
      </c>
    </row>
    <row r="886" spans="1:15" x14ac:dyDescent="0.25">
      <c r="A886" s="12">
        <f t="shared" si="27"/>
        <v>2</v>
      </c>
      <c r="B886" s="12">
        <v>2023</v>
      </c>
      <c r="C886" s="12">
        <v>7165</v>
      </c>
      <c r="E886" s="12" t="s">
        <v>13</v>
      </c>
      <c r="F886" s="12" t="s">
        <v>14</v>
      </c>
      <c r="G886" s="14">
        <v>44959</v>
      </c>
      <c r="H886" s="12" t="s">
        <v>18</v>
      </c>
      <c r="I886" s="12" t="s">
        <v>20</v>
      </c>
      <c r="J886" s="12" t="s">
        <v>53</v>
      </c>
      <c r="K886" s="12">
        <v>235.00700000000001</v>
      </c>
      <c r="L886" s="12">
        <v>197.43199999999999</v>
      </c>
      <c r="O886" s="13">
        <f t="shared" si="28"/>
        <v>0.84011114562544942</v>
      </c>
    </row>
    <row r="887" spans="1:15" x14ac:dyDescent="0.25">
      <c r="A887" s="12">
        <f t="shared" si="27"/>
        <v>2</v>
      </c>
      <c r="B887" s="12">
        <v>2023</v>
      </c>
      <c r="C887" s="12">
        <v>7166</v>
      </c>
      <c r="E887" s="12" t="s">
        <v>13</v>
      </c>
      <c r="F887" s="12" t="s">
        <v>14</v>
      </c>
      <c r="G887" s="14">
        <v>44960</v>
      </c>
      <c r="H887" s="12" t="s">
        <v>18</v>
      </c>
      <c r="I887" s="12" t="s">
        <v>20</v>
      </c>
      <c r="J887" s="12" t="s">
        <v>53</v>
      </c>
      <c r="K887" s="12">
        <v>235.00700000000001</v>
      </c>
      <c r="L887" s="12">
        <v>203.40899999999999</v>
      </c>
      <c r="O887" s="13">
        <f t="shared" si="28"/>
        <v>0.86554443059142916</v>
      </c>
    </row>
    <row r="888" spans="1:15" x14ac:dyDescent="0.25">
      <c r="A888" s="12">
        <f t="shared" si="27"/>
        <v>2</v>
      </c>
      <c r="B888" s="12">
        <v>2023</v>
      </c>
      <c r="C888" s="12">
        <v>7167</v>
      </c>
      <c r="E888" s="12" t="s">
        <v>13</v>
      </c>
      <c r="F888" s="12" t="s">
        <v>14</v>
      </c>
      <c r="G888" s="14">
        <v>44961</v>
      </c>
      <c r="H888" s="12" t="s">
        <v>18</v>
      </c>
      <c r="I888" s="12" t="s">
        <v>19</v>
      </c>
      <c r="J888" s="12" t="s">
        <v>55</v>
      </c>
      <c r="K888" s="12">
        <v>235.00800000000001</v>
      </c>
      <c r="L888" s="12">
        <v>197.99700000000001</v>
      </c>
      <c r="O888" s="13">
        <f t="shared" si="28"/>
        <v>0.8425117442810458</v>
      </c>
    </row>
    <row r="889" spans="1:15" x14ac:dyDescent="0.25">
      <c r="A889" s="12">
        <f t="shared" si="27"/>
        <v>2</v>
      </c>
      <c r="B889" s="12">
        <v>2023</v>
      </c>
      <c r="C889" s="12">
        <v>7168</v>
      </c>
      <c r="E889" s="12" t="s">
        <v>13</v>
      </c>
      <c r="F889" s="12" t="s">
        <v>14</v>
      </c>
      <c r="G889" s="14">
        <v>44962</v>
      </c>
      <c r="H889" s="12" t="s">
        <v>18</v>
      </c>
      <c r="I889" s="12" t="s">
        <v>19</v>
      </c>
      <c r="J889" s="12" t="s">
        <v>55</v>
      </c>
      <c r="K889" s="12">
        <v>235</v>
      </c>
      <c r="L889" s="12">
        <v>194.24100000000001</v>
      </c>
      <c r="O889" s="13">
        <f t="shared" si="28"/>
        <v>0.82655744680851073</v>
      </c>
    </row>
    <row r="890" spans="1:15" x14ac:dyDescent="0.25">
      <c r="A890" s="12">
        <f t="shared" si="27"/>
        <v>2</v>
      </c>
      <c r="B890" s="12">
        <v>2023</v>
      </c>
      <c r="C890" s="12">
        <v>7169</v>
      </c>
      <c r="E890" s="12" t="s">
        <v>13</v>
      </c>
      <c r="F890" s="12" t="s">
        <v>14</v>
      </c>
      <c r="G890" s="14">
        <v>44963</v>
      </c>
      <c r="H890" s="12" t="s">
        <v>18</v>
      </c>
      <c r="I890" s="12" t="s">
        <v>19</v>
      </c>
      <c r="J890" s="12" t="s">
        <v>55</v>
      </c>
      <c r="K890" s="12">
        <v>234.999</v>
      </c>
      <c r="L890" s="12">
        <v>201.768</v>
      </c>
      <c r="O890" s="13">
        <f t="shared" si="28"/>
        <v>0.85859088762079838</v>
      </c>
    </row>
    <row r="891" spans="1:15" x14ac:dyDescent="0.25">
      <c r="A891" s="12">
        <f t="shared" si="27"/>
        <v>2</v>
      </c>
      <c r="B891" s="12">
        <v>2023</v>
      </c>
      <c r="C891" s="12">
        <v>7170</v>
      </c>
      <c r="E891" s="12" t="s">
        <v>13</v>
      </c>
      <c r="F891" s="12" t="s">
        <v>14</v>
      </c>
      <c r="G891" s="14">
        <v>44964</v>
      </c>
      <c r="H891" s="12" t="s">
        <v>18</v>
      </c>
      <c r="I891" s="12" t="s">
        <v>19</v>
      </c>
      <c r="J891" s="12" t="s">
        <v>55</v>
      </c>
      <c r="K891" s="12">
        <v>235</v>
      </c>
      <c r="L891" s="12">
        <v>193.398</v>
      </c>
      <c r="O891" s="13">
        <f t="shared" si="28"/>
        <v>0.82297021276595739</v>
      </c>
    </row>
    <row r="892" spans="1:15" x14ac:dyDescent="0.25">
      <c r="A892" s="12">
        <f t="shared" si="27"/>
        <v>2</v>
      </c>
      <c r="B892" s="12">
        <v>2023</v>
      </c>
      <c r="C892" s="12">
        <v>7171</v>
      </c>
      <c r="E892" s="12" t="s">
        <v>13</v>
      </c>
      <c r="F892" s="12" t="s">
        <v>14</v>
      </c>
      <c r="G892" s="14">
        <v>44965</v>
      </c>
      <c r="H892" s="12" t="s">
        <v>18</v>
      </c>
      <c r="I892" s="12" t="s">
        <v>19</v>
      </c>
      <c r="J892" s="12" t="s">
        <v>55</v>
      </c>
      <c r="K892" s="12">
        <v>234.999</v>
      </c>
      <c r="L892" s="12">
        <v>203.12100000000001</v>
      </c>
      <c r="O892" s="13">
        <f t="shared" si="28"/>
        <v>0.86434835892918704</v>
      </c>
    </row>
    <row r="893" spans="1:15" x14ac:dyDescent="0.25">
      <c r="A893" s="12">
        <f t="shared" si="27"/>
        <v>2</v>
      </c>
      <c r="B893" s="12">
        <v>2023</v>
      </c>
      <c r="C893" s="12">
        <v>7172</v>
      </c>
      <c r="E893" s="12" t="s">
        <v>13</v>
      </c>
      <c r="F893" s="12" t="s">
        <v>14</v>
      </c>
      <c r="G893" s="14">
        <v>44966</v>
      </c>
      <c r="H893" s="12" t="s">
        <v>46</v>
      </c>
      <c r="I893" s="12" t="s">
        <v>20</v>
      </c>
      <c r="J893" s="12" t="s">
        <v>80</v>
      </c>
      <c r="K893" s="12">
        <v>229.99299999999999</v>
      </c>
      <c r="L893" s="12">
        <v>194.79</v>
      </c>
      <c r="O893" s="13">
        <f t="shared" si="28"/>
        <v>0.84693881987712671</v>
      </c>
    </row>
    <row r="894" spans="1:15" x14ac:dyDescent="0.25">
      <c r="A894" s="12">
        <f t="shared" si="27"/>
        <v>2</v>
      </c>
      <c r="B894" s="12">
        <v>2023</v>
      </c>
      <c r="C894" s="12">
        <v>7173</v>
      </c>
      <c r="E894" s="12" t="s">
        <v>13</v>
      </c>
      <c r="F894" s="12" t="s">
        <v>14</v>
      </c>
      <c r="G894" s="14">
        <v>44967</v>
      </c>
      <c r="H894" s="12" t="s">
        <v>18</v>
      </c>
      <c r="I894" s="12" t="s">
        <v>19</v>
      </c>
      <c r="J894" s="12" t="s">
        <v>54</v>
      </c>
      <c r="K894" s="12">
        <v>235</v>
      </c>
      <c r="L894" s="12">
        <v>197.66800000000001</v>
      </c>
      <c r="O894" s="13">
        <f t="shared" si="28"/>
        <v>0.84114042553191493</v>
      </c>
    </row>
    <row r="895" spans="1:15" x14ac:dyDescent="0.25">
      <c r="A895" s="12">
        <f t="shared" si="27"/>
        <v>2</v>
      </c>
      <c r="B895" s="12">
        <v>2023</v>
      </c>
      <c r="C895" s="12">
        <v>7174</v>
      </c>
      <c r="E895" s="12" t="s">
        <v>13</v>
      </c>
      <c r="F895" s="12" t="s">
        <v>14</v>
      </c>
      <c r="G895" s="14">
        <v>44968</v>
      </c>
      <c r="H895" s="12" t="s">
        <v>18</v>
      </c>
      <c r="I895" s="12" t="s">
        <v>19</v>
      </c>
      <c r="J895" s="12" t="s">
        <v>54</v>
      </c>
      <c r="K895" s="12">
        <v>235.001</v>
      </c>
      <c r="L895" s="12">
        <v>205.905</v>
      </c>
      <c r="O895" s="13">
        <f t="shared" si="28"/>
        <v>0.8761877609031451</v>
      </c>
    </row>
    <row r="896" spans="1:15" x14ac:dyDescent="0.25">
      <c r="A896" s="12">
        <f t="shared" si="27"/>
        <v>2</v>
      </c>
      <c r="B896" s="12">
        <v>2023</v>
      </c>
      <c r="C896" s="12">
        <v>7175</v>
      </c>
      <c r="E896" s="12" t="s">
        <v>13</v>
      </c>
      <c r="F896" s="12" t="s">
        <v>14</v>
      </c>
      <c r="G896" s="14">
        <v>44969</v>
      </c>
      <c r="H896" s="12" t="s">
        <v>37</v>
      </c>
      <c r="I896" s="12" t="s">
        <v>20</v>
      </c>
      <c r="J896" s="12" t="s">
        <v>56</v>
      </c>
      <c r="K896" s="12">
        <v>234.96899999999999</v>
      </c>
      <c r="L896" s="12">
        <v>194.39099999999999</v>
      </c>
      <c r="O896" s="13">
        <f t="shared" si="28"/>
        <v>0.8273048785158893</v>
      </c>
    </row>
    <row r="897" spans="1:15" x14ac:dyDescent="0.25">
      <c r="A897" s="12">
        <f t="shared" si="27"/>
        <v>2</v>
      </c>
      <c r="B897" s="12">
        <v>2023</v>
      </c>
      <c r="C897" s="12">
        <v>7176</v>
      </c>
      <c r="E897" s="12" t="s">
        <v>13</v>
      </c>
      <c r="F897" s="12" t="s">
        <v>14</v>
      </c>
      <c r="G897" s="14">
        <v>44970</v>
      </c>
      <c r="H897" s="12" t="s">
        <v>37</v>
      </c>
      <c r="I897" s="12" t="s">
        <v>20</v>
      </c>
      <c r="J897" s="12" t="s">
        <v>56</v>
      </c>
      <c r="K897" s="12">
        <v>234.97</v>
      </c>
      <c r="L897" s="12">
        <v>208.12799999999999</v>
      </c>
      <c r="O897" s="13">
        <f t="shared" si="28"/>
        <v>0.88576414010299187</v>
      </c>
    </row>
    <row r="898" spans="1:15" x14ac:dyDescent="0.25">
      <c r="A898" s="12">
        <f t="shared" ref="A898:A961" si="29">MONTH(G898)</f>
        <v>2</v>
      </c>
      <c r="B898" s="12">
        <v>2023</v>
      </c>
      <c r="C898" s="12">
        <v>7177</v>
      </c>
      <c r="E898" s="12" t="s">
        <v>13</v>
      </c>
      <c r="F898" s="12" t="s">
        <v>14</v>
      </c>
      <c r="G898" s="14">
        <v>44971</v>
      </c>
      <c r="H898" s="12" t="s">
        <v>18</v>
      </c>
      <c r="I898" s="12" t="s">
        <v>19</v>
      </c>
      <c r="J898" s="12" t="s">
        <v>55</v>
      </c>
      <c r="K898" s="12">
        <v>235.00299999999999</v>
      </c>
      <c r="L898" s="12">
        <v>200.864</v>
      </c>
      <c r="O898" s="13">
        <f t="shared" si="28"/>
        <v>0.85472951409130959</v>
      </c>
    </row>
    <row r="899" spans="1:15" x14ac:dyDescent="0.25">
      <c r="A899" s="12">
        <f t="shared" si="29"/>
        <v>2</v>
      </c>
      <c r="B899" s="12">
        <v>2023</v>
      </c>
      <c r="C899" s="12">
        <v>7178</v>
      </c>
      <c r="E899" s="12" t="s">
        <v>13</v>
      </c>
      <c r="F899" s="12" t="s">
        <v>14</v>
      </c>
      <c r="G899" s="14">
        <v>44972</v>
      </c>
      <c r="H899" s="12" t="s">
        <v>18</v>
      </c>
      <c r="I899" s="12" t="s">
        <v>19</v>
      </c>
      <c r="J899" s="12" t="s">
        <v>55</v>
      </c>
      <c r="K899" s="12">
        <v>235.00899999999999</v>
      </c>
      <c r="L899" s="12">
        <v>193.517</v>
      </c>
      <c r="O899" s="13">
        <f t="shared" si="28"/>
        <v>0.82344505955091085</v>
      </c>
    </row>
    <row r="900" spans="1:15" x14ac:dyDescent="0.25">
      <c r="A900" s="12">
        <f t="shared" si="29"/>
        <v>2</v>
      </c>
      <c r="B900" s="12">
        <v>2023</v>
      </c>
      <c r="C900" s="12">
        <v>7179</v>
      </c>
      <c r="E900" s="12" t="s">
        <v>13</v>
      </c>
      <c r="F900" s="12" t="s">
        <v>14</v>
      </c>
      <c r="G900" s="14">
        <v>44973</v>
      </c>
      <c r="H900" s="12" t="s">
        <v>18</v>
      </c>
      <c r="I900" s="12" t="s">
        <v>19</v>
      </c>
      <c r="J900" s="12" t="s">
        <v>55</v>
      </c>
      <c r="K900" s="12">
        <v>235.01</v>
      </c>
      <c r="L900" s="12">
        <v>202.785</v>
      </c>
      <c r="O900" s="13">
        <f t="shared" si="28"/>
        <v>0.86287817539679168</v>
      </c>
    </row>
    <row r="901" spans="1:15" x14ac:dyDescent="0.25">
      <c r="A901" s="12">
        <f t="shared" si="29"/>
        <v>2</v>
      </c>
      <c r="B901" s="12">
        <v>2023</v>
      </c>
      <c r="C901" s="12">
        <v>7180</v>
      </c>
      <c r="E901" s="12" t="s">
        <v>13</v>
      </c>
      <c r="F901" s="12" t="s">
        <v>14</v>
      </c>
      <c r="G901" s="14">
        <v>44974</v>
      </c>
      <c r="H901" s="12" t="s">
        <v>18</v>
      </c>
      <c r="I901" s="12" t="s">
        <v>19</v>
      </c>
      <c r="J901" s="12" t="s">
        <v>55</v>
      </c>
      <c r="K901" s="12">
        <v>234.99700000000001</v>
      </c>
      <c r="L901" s="12">
        <v>196.09700000000001</v>
      </c>
      <c r="O901" s="13">
        <f t="shared" si="28"/>
        <v>0.83446597190602434</v>
      </c>
    </row>
    <row r="902" spans="1:15" x14ac:dyDescent="0.25">
      <c r="A902" s="12">
        <f t="shared" si="29"/>
        <v>2</v>
      </c>
      <c r="B902" s="12">
        <v>2023</v>
      </c>
      <c r="C902" s="12">
        <v>7181</v>
      </c>
      <c r="E902" s="12" t="s">
        <v>13</v>
      </c>
      <c r="F902" s="12" t="s">
        <v>14</v>
      </c>
      <c r="G902" s="14">
        <v>44975</v>
      </c>
      <c r="H902" s="12" t="s">
        <v>18</v>
      </c>
      <c r="I902" s="12" t="s">
        <v>19</v>
      </c>
      <c r="J902" s="12" t="s">
        <v>55</v>
      </c>
      <c r="K902" s="12">
        <v>234.99700000000001</v>
      </c>
      <c r="L902" s="12">
        <v>200.602</v>
      </c>
      <c r="O902" s="13">
        <f t="shared" si="28"/>
        <v>0.85363642940122642</v>
      </c>
    </row>
    <row r="903" spans="1:15" x14ac:dyDescent="0.25">
      <c r="A903" s="12">
        <f t="shared" si="29"/>
        <v>2</v>
      </c>
      <c r="B903" s="12">
        <v>2023</v>
      </c>
      <c r="C903" s="12">
        <v>7182</v>
      </c>
      <c r="E903" s="12" t="s">
        <v>13</v>
      </c>
      <c r="F903" s="12" t="s">
        <v>14</v>
      </c>
      <c r="G903" s="14">
        <v>44976</v>
      </c>
      <c r="H903" s="12" t="s">
        <v>37</v>
      </c>
      <c r="I903" s="12" t="s">
        <v>20</v>
      </c>
      <c r="J903" s="12" t="s">
        <v>53</v>
      </c>
      <c r="K903" s="12">
        <v>234.99100000000001</v>
      </c>
      <c r="L903" s="12">
        <v>199.53299999999999</v>
      </c>
      <c r="O903" s="13">
        <f t="shared" si="28"/>
        <v>0.84910911481716311</v>
      </c>
    </row>
    <row r="904" spans="1:15" x14ac:dyDescent="0.25">
      <c r="A904" s="12">
        <f t="shared" si="29"/>
        <v>2</v>
      </c>
      <c r="B904" s="12">
        <v>2023</v>
      </c>
      <c r="C904" s="12">
        <v>7183</v>
      </c>
      <c r="E904" s="12" t="s">
        <v>13</v>
      </c>
      <c r="F904" s="12" t="s">
        <v>14</v>
      </c>
      <c r="G904" s="14">
        <v>44977</v>
      </c>
      <c r="H904" s="12" t="s">
        <v>37</v>
      </c>
      <c r="I904" s="12" t="s">
        <v>20</v>
      </c>
      <c r="J904" s="12" t="s">
        <v>53</v>
      </c>
      <c r="K904" s="12">
        <v>234.99199999999999</v>
      </c>
      <c r="L904" s="12">
        <v>206.98500000000001</v>
      </c>
      <c r="O904" s="13">
        <f t="shared" si="28"/>
        <v>0.88081721930959356</v>
      </c>
    </row>
    <row r="905" spans="1:15" x14ac:dyDescent="0.25">
      <c r="A905" s="12">
        <f t="shared" si="29"/>
        <v>2</v>
      </c>
      <c r="B905" s="12">
        <v>2023</v>
      </c>
      <c r="C905" s="12">
        <v>7184</v>
      </c>
      <c r="E905" s="12" t="s">
        <v>13</v>
      </c>
      <c r="F905" s="12" t="s">
        <v>14</v>
      </c>
      <c r="G905" s="14">
        <v>44978</v>
      </c>
      <c r="H905" s="12" t="s">
        <v>51</v>
      </c>
      <c r="I905" s="12" t="s">
        <v>19</v>
      </c>
      <c r="J905" s="12" t="s">
        <v>54</v>
      </c>
      <c r="K905" s="12">
        <v>235.006</v>
      </c>
      <c r="L905" s="12">
        <v>191.12</v>
      </c>
      <c r="O905" s="13">
        <f t="shared" si="28"/>
        <v>0.81325583176599747</v>
      </c>
    </row>
    <row r="906" spans="1:15" x14ac:dyDescent="0.25">
      <c r="A906" s="12">
        <f t="shared" si="29"/>
        <v>2</v>
      </c>
      <c r="B906" s="12">
        <v>2023</v>
      </c>
      <c r="C906" s="12">
        <v>7185</v>
      </c>
      <c r="E906" s="12" t="s">
        <v>13</v>
      </c>
      <c r="F906" s="12" t="s">
        <v>14</v>
      </c>
      <c r="G906" s="14">
        <v>44979</v>
      </c>
      <c r="H906" s="12" t="s">
        <v>51</v>
      </c>
      <c r="I906" s="12" t="s">
        <v>19</v>
      </c>
      <c r="J906" s="12" t="s">
        <v>54</v>
      </c>
      <c r="K906" s="12">
        <v>235.005</v>
      </c>
      <c r="L906" s="12">
        <v>178.495</v>
      </c>
      <c r="O906" s="13">
        <f t="shared" si="28"/>
        <v>0.75953703112699733</v>
      </c>
    </row>
    <row r="907" spans="1:15" x14ac:dyDescent="0.25">
      <c r="A907" s="12">
        <f t="shared" si="29"/>
        <v>2</v>
      </c>
      <c r="B907" s="12">
        <v>2023</v>
      </c>
      <c r="C907" s="12">
        <v>7186</v>
      </c>
      <c r="E907" s="12" t="s">
        <v>13</v>
      </c>
      <c r="F907" s="12" t="s">
        <v>14</v>
      </c>
      <c r="G907" s="14">
        <v>44980</v>
      </c>
      <c r="H907" s="12" t="s">
        <v>18</v>
      </c>
      <c r="I907" s="12" t="s">
        <v>19</v>
      </c>
      <c r="J907" s="12" t="s">
        <v>55</v>
      </c>
      <c r="K907" s="12">
        <v>234.99700000000001</v>
      </c>
      <c r="L907" s="12">
        <v>161.15</v>
      </c>
      <c r="O907" s="13">
        <f t="shared" si="28"/>
        <v>0.6857534351502359</v>
      </c>
    </row>
    <row r="908" spans="1:15" x14ac:dyDescent="0.25">
      <c r="A908" s="12">
        <f t="shared" si="29"/>
        <v>2</v>
      </c>
      <c r="B908" s="12">
        <v>2023</v>
      </c>
      <c r="C908" s="12">
        <v>7187</v>
      </c>
      <c r="E908" s="12" t="s">
        <v>13</v>
      </c>
      <c r="F908" s="12" t="s">
        <v>14</v>
      </c>
      <c r="G908" s="14">
        <v>44982</v>
      </c>
      <c r="H908" s="12" t="s">
        <v>18</v>
      </c>
      <c r="I908" s="12" t="s">
        <v>19</v>
      </c>
      <c r="J908" s="12" t="s">
        <v>55</v>
      </c>
      <c r="K908" s="12">
        <v>234.99700000000001</v>
      </c>
      <c r="L908" s="12">
        <v>209.91499999999999</v>
      </c>
      <c r="O908" s="13">
        <f t="shared" si="28"/>
        <v>0.89326672255390482</v>
      </c>
    </row>
    <row r="909" spans="1:15" x14ac:dyDescent="0.25">
      <c r="A909" s="12">
        <f t="shared" si="29"/>
        <v>2</v>
      </c>
      <c r="B909" s="12">
        <v>2023</v>
      </c>
      <c r="C909" s="12">
        <v>7188</v>
      </c>
      <c r="E909" s="12" t="s">
        <v>13</v>
      </c>
      <c r="F909" s="12" t="s">
        <v>14</v>
      </c>
      <c r="G909" s="14">
        <v>44983</v>
      </c>
      <c r="H909" s="12" t="s">
        <v>46</v>
      </c>
      <c r="I909" s="12" t="s">
        <v>19</v>
      </c>
      <c r="J909" s="12" t="s">
        <v>81</v>
      </c>
      <c r="K909" s="12">
        <v>229.999</v>
      </c>
      <c r="L909" s="12">
        <v>194.529</v>
      </c>
      <c r="O909" s="13">
        <f t="shared" si="28"/>
        <v>0.84578193818233993</v>
      </c>
    </row>
    <row r="910" spans="1:15" x14ac:dyDescent="0.25">
      <c r="A910" s="12">
        <f t="shared" si="29"/>
        <v>2</v>
      </c>
      <c r="B910" s="12">
        <v>2023</v>
      </c>
      <c r="C910" s="12">
        <v>7189</v>
      </c>
      <c r="E910" s="12" t="s">
        <v>13</v>
      </c>
      <c r="F910" s="12" t="s">
        <v>14</v>
      </c>
      <c r="G910" s="14">
        <v>44984</v>
      </c>
      <c r="H910" s="12" t="s">
        <v>18</v>
      </c>
      <c r="I910" s="12" t="s">
        <v>20</v>
      </c>
      <c r="J910" s="12" t="s">
        <v>56</v>
      </c>
      <c r="K910" s="12">
        <v>235.11600000000001</v>
      </c>
      <c r="L910" s="12">
        <v>182.12</v>
      </c>
      <c r="O910" s="13">
        <f t="shared" si="28"/>
        <v>0.77459636945167487</v>
      </c>
    </row>
    <row r="911" spans="1:15" x14ac:dyDescent="0.25">
      <c r="A911" s="12">
        <f t="shared" si="29"/>
        <v>2</v>
      </c>
      <c r="B911" s="12">
        <v>2023</v>
      </c>
      <c r="C911" s="12">
        <v>7190</v>
      </c>
      <c r="E911" s="12" t="s">
        <v>13</v>
      </c>
      <c r="F911" s="12" t="s">
        <v>14</v>
      </c>
      <c r="G911" s="14">
        <v>44984</v>
      </c>
      <c r="H911" s="12" t="s">
        <v>18</v>
      </c>
      <c r="I911" s="12" t="s">
        <v>20</v>
      </c>
      <c r="J911" s="12" t="s">
        <v>56</v>
      </c>
      <c r="K911" s="12">
        <v>235.11600000000001</v>
      </c>
      <c r="L911" s="12">
        <v>210.303</v>
      </c>
      <c r="O911" s="13">
        <f t="shared" si="28"/>
        <v>0.89446485989894342</v>
      </c>
    </row>
    <row r="912" spans="1:15" x14ac:dyDescent="0.25">
      <c r="A912" s="12">
        <f t="shared" si="29"/>
        <v>3</v>
      </c>
      <c r="B912" s="12">
        <v>2023</v>
      </c>
      <c r="C912" s="12">
        <v>7191</v>
      </c>
      <c r="E912" s="12" t="s">
        <v>13</v>
      </c>
      <c r="F912" s="12" t="s">
        <v>14</v>
      </c>
      <c r="G912" s="14">
        <v>44986</v>
      </c>
      <c r="H912" s="12" t="s">
        <v>51</v>
      </c>
      <c r="I912" s="12" t="s">
        <v>19</v>
      </c>
      <c r="J912" s="12" t="s">
        <v>78</v>
      </c>
      <c r="K912" s="12">
        <v>235.04300000000001</v>
      </c>
      <c r="L912" s="12">
        <v>195.68700000000001</v>
      </c>
      <c r="O912" s="13">
        <f t="shared" si="28"/>
        <v>0.83255829784337332</v>
      </c>
    </row>
    <row r="913" spans="1:15" x14ac:dyDescent="0.25">
      <c r="A913" s="12">
        <f t="shared" si="29"/>
        <v>3</v>
      </c>
      <c r="B913" s="12">
        <v>2023</v>
      </c>
      <c r="C913" s="12">
        <v>7192</v>
      </c>
      <c r="E913" s="12" t="s">
        <v>13</v>
      </c>
      <c r="F913" s="12" t="s">
        <v>14</v>
      </c>
      <c r="G913" s="14">
        <v>44987</v>
      </c>
      <c r="H913" s="12" t="s">
        <v>17</v>
      </c>
      <c r="I913" s="12" t="s">
        <v>19</v>
      </c>
      <c r="J913" s="12" t="s">
        <v>78</v>
      </c>
      <c r="K913" s="12">
        <v>235.042</v>
      </c>
      <c r="L913" s="12">
        <v>203.31299999999999</v>
      </c>
      <c r="O913" s="13">
        <f t="shared" si="28"/>
        <v>0.86500710511312862</v>
      </c>
    </row>
    <row r="914" spans="1:15" x14ac:dyDescent="0.25">
      <c r="A914" s="12">
        <f t="shared" si="29"/>
        <v>3</v>
      </c>
      <c r="B914" s="12">
        <v>2023</v>
      </c>
      <c r="C914" s="12">
        <v>7193</v>
      </c>
      <c r="E914" s="12" t="s">
        <v>13</v>
      </c>
      <c r="F914" s="12" t="s">
        <v>14</v>
      </c>
      <c r="G914" s="14">
        <v>44988</v>
      </c>
      <c r="H914" s="12" t="s">
        <v>37</v>
      </c>
      <c r="I914" s="12" t="s">
        <v>19</v>
      </c>
      <c r="J914" s="12" t="s">
        <v>55</v>
      </c>
      <c r="K914" s="12">
        <v>235.00399999999999</v>
      </c>
      <c r="L914" s="12">
        <v>193.91800000000001</v>
      </c>
      <c r="O914" s="13">
        <f t="shared" si="28"/>
        <v>0.82516893329475249</v>
      </c>
    </row>
    <row r="915" spans="1:15" x14ac:dyDescent="0.25">
      <c r="A915" s="12">
        <f t="shared" si="29"/>
        <v>3</v>
      </c>
      <c r="B915" s="12">
        <v>2023</v>
      </c>
      <c r="C915" s="12">
        <v>7194</v>
      </c>
      <c r="E915" s="12" t="s">
        <v>13</v>
      </c>
      <c r="F915" s="12" t="s">
        <v>14</v>
      </c>
      <c r="G915" s="14">
        <v>44989</v>
      </c>
      <c r="H915" s="12" t="s">
        <v>37</v>
      </c>
      <c r="I915" s="12" t="s">
        <v>19</v>
      </c>
      <c r="J915" s="12" t="s">
        <v>55</v>
      </c>
      <c r="K915" s="12">
        <v>235.00299999999999</v>
      </c>
      <c r="L915" s="12">
        <v>209.98400000000001</v>
      </c>
      <c r="O915" s="13">
        <f t="shared" si="28"/>
        <v>0.89353752930813657</v>
      </c>
    </row>
    <row r="916" spans="1:15" x14ac:dyDescent="0.25">
      <c r="A916" s="12">
        <f t="shared" si="29"/>
        <v>3</v>
      </c>
      <c r="B916" s="12">
        <v>2023</v>
      </c>
      <c r="C916" s="12">
        <v>7195</v>
      </c>
      <c r="E916" s="12" t="s">
        <v>13</v>
      </c>
      <c r="F916" s="12" t="s">
        <v>14</v>
      </c>
      <c r="G916" s="14">
        <v>44990</v>
      </c>
      <c r="H916" s="12" t="s">
        <v>37</v>
      </c>
      <c r="I916" s="12" t="s">
        <v>19</v>
      </c>
      <c r="J916" s="12" t="s">
        <v>55</v>
      </c>
      <c r="K916" s="12">
        <v>235.08</v>
      </c>
      <c r="L916" s="12">
        <v>194.886</v>
      </c>
      <c r="O916" s="13">
        <f t="shared" si="28"/>
        <v>0.82901990811638582</v>
      </c>
    </row>
    <row r="917" spans="1:15" x14ac:dyDescent="0.25">
      <c r="A917" s="12">
        <f t="shared" si="29"/>
        <v>3</v>
      </c>
      <c r="B917" s="12">
        <v>2023</v>
      </c>
      <c r="C917" s="12">
        <v>7196</v>
      </c>
      <c r="E917" s="12" t="s">
        <v>13</v>
      </c>
      <c r="F917" s="12" t="s">
        <v>14</v>
      </c>
      <c r="G917" s="14">
        <v>44991</v>
      </c>
      <c r="H917" s="12" t="s">
        <v>18</v>
      </c>
      <c r="I917" s="12" t="s">
        <v>19</v>
      </c>
      <c r="J917" s="12" t="s">
        <v>55</v>
      </c>
      <c r="K917" s="12">
        <v>234.999</v>
      </c>
      <c r="L917" s="12">
        <v>199.31200000000001</v>
      </c>
      <c r="O917" s="13">
        <f t="shared" si="28"/>
        <v>0.84813977931820994</v>
      </c>
    </row>
    <row r="918" spans="1:15" x14ac:dyDescent="0.25">
      <c r="A918" s="12">
        <f t="shared" si="29"/>
        <v>3</v>
      </c>
      <c r="B918" s="12">
        <v>2023</v>
      </c>
      <c r="C918" s="12">
        <v>7197</v>
      </c>
      <c r="E918" s="12" t="s">
        <v>13</v>
      </c>
      <c r="F918" s="12" t="s">
        <v>14</v>
      </c>
      <c r="G918" s="14">
        <v>44992</v>
      </c>
      <c r="H918" s="12" t="s">
        <v>18</v>
      </c>
      <c r="I918" s="12" t="s">
        <v>19</v>
      </c>
      <c r="J918" s="12" t="s">
        <v>55</v>
      </c>
      <c r="K918" s="12">
        <v>234.999</v>
      </c>
      <c r="L918" s="12">
        <v>196.95699999999999</v>
      </c>
      <c r="O918" s="13">
        <f t="shared" si="28"/>
        <v>0.83811846007855351</v>
      </c>
    </row>
    <row r="919" spans="1:15" x14ac:dyDescent="0.25">
      <c r="A919" s="12">
        <f t="shared" si="29"/>
        <v>3</v>
      </c>
      <c r="B919" s="12">
        <v>2023</v>
      </c>
      <c r="C919" s="12">
        <v>7198</v>
      </c>
      <c r="E919" s="12" t="s">
        <v>13</v>
      </c>
      <c r="F919" s="12" t="s">
        <v>14</v>
      </c>
      <c r="G919" s="14">
        <v>44993</v>
      </c>
      <c r="H919" s="12" t="s">
        <v>18</v>
      </c>
      <c r="I919" s="12" t="s">
        <v>19</v>
      </c>
      <c r="J919" s="12" t="s">
        <v>55</v>
      </c>
      <c r="K919" s="12">
        <v>235.00299999999999</v>
      </c>
      <c r="L919" s="12">
        <v>191.70699999999999</v>
      </c>
      <c r="O919" s="13">
        <f t="shared" si="28"/>
        <v>0.81576405407590546</v>
      </c>
    </row>
    <row r="920" spans="1:15" x14ac:dyDescent="0.25">
      <c r="A920" s="12">
        <f t="shared" si="29"/>
        <v>3</v>
      </c>
      <c r="B920" s="12">
        <v>2023</v>
      </c>
      <c r="C920" s="12">
        <v>7199</v>
      </c>
      <c r="E920" s="12" t="s">
        <v>13</v>
      </c>
      <c r="F920" s="12" t="s">
        <v>14</v>
      </c>
      <c r="G920" s="14">
        <v>44994</v>
      </c>
      <c r="H920" s="12" t="s">
        <v>18</v>
      </c>
      <c r="I920" s="12" t="s">
        <v>19</v>
      </c>
      <c r="J920" s="12" t="s">
        <v>55</v>
      </c>
      <c r="K920" s="12">
        <v>235.00299999999999</v>
      </c>
      <c r="L920" s="12">
        <v>206.422</v>
      </c>
      <c r="O920" s="13">
        <f t="shared" si="28"/>
        <v>0.87838027599647672</v>
      </c>
    </row>
    <row r="921" spans="1:15" x14ac:dyDescent="0.25">
      <c r="A921" s="12">
        <f t="shared" si="29"/>
        <v>3</v>
      </c>
      <c r="B921" s="12">
        <v>2023</v>
      </c>
      <c r="C921" s="12">
        <v>7200</v>
      </c>
      <c r="E921" s="12" t="s">
        <v>13</v>
      </c>
      <c r="F921" s="12" t="s">
        <v>14</v>
      </c>
      <c r="G921" s="14">
        <v>44995</v>
      </c>
      <c r="H921" s="12" t="s">
        <v>17</v>
      </c>
      <c r="I921" s="12" t="s">
        <v>20</v>
      </c>
      <c r="J921" s="12" t="s">
        <v>48</v>
      </c>
      <c r="K921" s="12">
        <v>235.06899999999999</v>
      </c>
      <c r="L921" s="12">
        <v>201.35499999999999</v>
      </c>
      <c r="O921" s="13">
        <f t="shared" si="28"/>
        <v>0.85657828127060565</v>
      </c>
    </row>
    <row r="922" spans="1:15" x14ac:dyDescent="0.25">
      <c r="A922" s="12">
        <f t="shared" si="29"/>
        <v>3</v>
      </c>
      <c r="B922" s="12">
        <v>2023</v>
      </c>
      <c r="C922" s="12">
        <v>7201</v>
      </c>
      <c r="E922" s="12" t="s">
        <v>13</v>
      </c>
      <c r="F922" s="12" t="s">
        <v>14</v>
      </c>
      <c r="G922" s="14">
        <v>44995</v>
      </c>
      <c r="H922" s="12" t="s">
        <v>18</v>
      </c>
      <c r="I922" s="12" t="s">
        <v>19</v>
      </c>
      <c r="J922" s="12" t="s">
        <v>55</v>
      </c>
      <c r="K922" s="12">
        <v>235.001</v>
      </c>
      <c r="L922" s="12">
        <v>191.721</v>
      </c>
      <c r="O922" s="13">
        <f t="shared" si="28"/>
        <v>0.81583057093374067</v>
      </c>
    </row>
    <row r="923" spans="1:15" x14ac:dyDescent="0.25">
      <c r="A923" s="12">
        <f t="shared" si="29"/>
        <v>3</v>
      </c>
      <c r="B923" s="12">
        <v>2023</v>
      </c>
      <c r="C923" s="12">
        <v>7202</v>
      </c>
      <c r="E923" s="12" t="s">
        <v>13</v>
      </c>
      <c r="F923" s="12" t="s">
        <v>14</v>
      </c>
      <c r="G923" s="14">
        <v>44996</v>
      </c>
      <c r="H923" s="12" t="s">
        <v>18</v>
      </c>
      <c r="I923" s="12" t="s">
        <v>19</v>
      </c>
      <c r="J923" s="12" t="s">
        <v>55</v>
      </c>
      <c r="K923" s="12">
        <v>235</v>
      </c>
      <c r="L923" s="12">
        <v>203.999</v>
      </c>
      <c r="O923" s="13">
        <f t="shared" si="28"/>
        <v>0.86808085106382982</v>
      </c>
    </row>
    <row r="924" spans="1:15" x14ac:dyDescent="0.25">
      <c r="A924" s="12">
        <f t="shared" si="29"/>
        <v>3</v>
      </c>
      <c r="B924" s="12">
        <v>2023</v>
      </c>
      <c r="C924" s="12">
        <v>7203</v>
      </c>
      <c r="E924" s="12" t="s">
        <v>13</v>
      </c>
      <c r="F924" s="12" t="s">
        <v>14</v>
      </c>
      <c r="G924" s="14">
        <v>44997</v>
      </c>
      <c r="H924" s="12" t="s">
        <v>18</v>
      </c>
      <c r="I924" s="12" t="s">
        <v>19</v>
      </c>
      <c r="J924" s="12" t="s">
        <v>55</v>
      </c>
      <c r="K924" s="12">
        <v>235.005</v>
      </c>
      <c r="L924" s="12">
        <v>149.27600000000001</v>
      </c>
      <c r="O924" s="13">
        <f t="shared" ref="O924:O987" si="30">L924/K924</f>
        <v>0.63520350630837652</v>
      </c>
    </row>
    <row r="925" spans="1:15" x14ac:dyDescent="0.25">
      <c r="A925" s="12">
        <f t="shared" si="29"/>
        <v>3</v>
      </c>
      <c r="B925" s="12">
        <v>2023</v>
      </c>
      <c r="C925" s="12">
        <v>7204</v>
      </c>
      <c r="E925" s="12" t="s">
        <v>13</v>
      </c>
      <c r="F925" s="12" t="s">
        <v>14</v>
      </c>
      <c r="G925" s="14">
        <v>44998</v>
      </c>
      <c r="H925" s="12" t="s">
        <v>18</v>
      </c>
      <c r="I925" s="12" t="s">
        <v>19</v>
      </c>
      <c r="J925" s="12" t="s">
        <v>55</v>
      </c>
      <c r="K925" s="12">
        <v>235.00399999999999</v>
      </c>
      <c r="L925" s="12">
        <v>165.92500000000001</v>
      </c>
      <c r="O925" s="13">
        <f t="shared" si="30"/>
        <v>0.70605181188405308</v>
      </c>
    </row>
    <row r="926" spans="1:15" x14ac:dyDescent="0.25">
      <c r="A926" s="12">
        <f t="shared" si="29"/>
        <v>3</v>
      </c>
      <c r="B926" s="12">
        <v>2023</v>
      </c>
      <c r="C926" s="12">
        <v>7205</v>
      </c>
      <c r="E926" s="12" t="s">
        <v>13</v>
      </c>
      <c r="F926" s="12" t="s">
        <v>14</v>
      </c>
      <c r="G926" s="14">
        <v>44999</v>
      </c>
      <c r="H926" s="12" t="s">
        <v>18</v>
      </c>
      <c r="I926" s="12" t="s">
        <v>19</v>
      </c>
      <c r="J926" s="12" t="s">
        <v>55</v>
      </c>
      <c r="K926" s="12">
        <v>235.01</v>
      </c>
      <c r="L926" s="12">
        <v>199.61099999999999</v>
      </c>
      <c r="O926" s="13">
        <f t="shared" si="30"/>
        <v>0.84937236713331343</v>
      </c>
    </row>
    <row r="927" spans="1:15" x14ac:dyDescent="0.25">
      <c r="A927" s="12">
        <f t="shared" si="29"/>
        <v>3</v>
      </c>
      <c r="B927" s="12">
        <v>2023</v>
      </c>
      <c r="C927" s="12">
        <v>7206</v>
      </c>
      <c r="E927" s="12" t="s">
        <v>13</v>
      </c>
      <c r="F927" s="12" t="s">
        <v>14</v>
      </c>
      <c r="G927" s="14">
        <v>45000</v>
      </c>
      <c r="H927" s="12" t="s">
        <v>18</v>
      </c>
      <c r="I927" s="12" t="s">
        <v>19</v>
      </c>
      <c r="J927" s="12" t="s">
        <v>55</v>
      </c>
      <c r="K927" s="12">
        <v>235.00700000000001</v>
      </c>
      <c r="L927" s="12">
        <v>198.65899999999999</v>
      </c>
      <c r="O927" s="13">
        <f t="shared" si="30"/>
        <v>0.84533226669843875</v>
      </c>
    </row>
    <row r="928" spans="1:15" x14ac:dyDescent="0.25">
      <c r="A928" s="12">
        <f t="shared" si="29"/>
        <v>3</v>
      </c>
      <c r="B928" s="12">
        <v>2023</v>
      </c>
      <c r="C928" s="12">
        <v>7207</v>
      </c>
      <c r="E928" s="12" t="s">
        <v>13</v>
      </c>
      <c r="F928" s="12" t="s">
        <v>14</v>
      </c>
      <c r="G928" s="14">
        <v>45001</v>
      </c>
      <c r="H928" s="12" t="s">
        <v>17</v>
      </c>
      <c r="I928" s="12" t="s">
        <v>20</v>
      </c>
      <c r="J928" s="12" t="s">
        <v>48</v>
      </c>
      <c r="K928" s="12">
        <v>234.93600000000001</v>
      </c>
      <c r="L928" s="12">
        <v>200.63499999999999</v>
      </c>
      <c r="O928" s="13">
        <f t="shared" si="30"/>
        <v>0.85399853577144402</v>
      </c>
    </row>
    <row r="929" spans="1:15" x14ac:dyDescent="0.25">
      <c r="A929" s="12">
        <f t="shared" si="29"/>
        <v>3</v>
      </c>
      <c r="B929" s="12">
        <v>2023</v>
      </c>
      <c r="C929" s="12">
        <v>7208</v>
      </c>
      <c r="E929" s="12" t="s">
        <v>13</v>
      </c>
      <c r="F929" s="12" t="s">
        <v>14</v>
      </c>
      <c r="G929" s="14">
        <v>45002</v>
      </c>
      <c r="H929" s="12" t="s">
        <v>17</v>
      </c>
      <c r="I929" s="12" t="s">
        <v>20</v>
      </c>
      <c r="J929" s="12" t="s">
        <v>48</v>
      </c>
      <c r="K929" s="12">
        <v>235</v>
      </c>
      <c r="L929" s="12">
        <v>206.82499999999999</v>
      </c>
      <c r="O929" s="13">
        <f t="shared" si="30"/>
        <v>0.88010638297872335</v>
      </c>
    </row>
    <row r="930" spans="1:15" x14ac:dyDescent="0.25">
      <c r="A930" s="12">
        <f t="shared" si="29"/>
        <v>3</v>
      </c>
      <c r="B930" s="12">
        <v>2023</v>
      </c>
      <c r="C930" s="12">
        <v>7209</v>
      </c>
      <c r="E930" s="12" t="s">
        <v>13</v>
      </c>
      <c r="F930" s="12" t="s">
        <v>14</v>
      </c>
      <c r="G930" s="14">
        <v>45003</v>
      </c>
      <c r="H930" s="12" t="s">
        <v>18</v>
      </c>
      <c r="I930" s="12" t="s">
        <v>19</v>
      </c>
      <c r="J930" s="12" t="s">
        <v>55</v>
      </c>
      <c r="K930" s="12">
        <v>235.00700000000001</v>
      </c>
      <c r="L930" s="12">
        <v>198.48</v>
      </c>
      <c r="O930" s="13">
        <f t="shared" si="30"/>
        <v>0.84457058725910283</v>
      </c>
    </row>
    <row r="931" spans="1:15" x14ac:dyDescent="0.25">
      <c r="A931" s="12">
        <f t="shared" si="29"/>
        <v>3</v>
      </c>
      <c r="B931" s="12">
        <v>2023</v>
      </c>
      <c r="C931" s="12">
        <v>7210</v>
      </c>
      <c r="E931" s="12" t="s">
        <v>13</v>
      </c>
      <c r="F931" s="12" t="s">
        <v>14</v>
      </c>
      <c r="G931" s="14">
        <v>45004</v>
      </c>
      <c r="H931" s="12" t="s">
        <v>18</v>
      </c>
      <c r="I931" s="12" t="s">
        <v>19</v>
      </c>
      <c r="J931" s="12" t="s">
        <v>55</v>
      </c>
      <c r="K931" s="12">
        <v>235.03299999999999</v>
      </c>
      <c r="L931" s="12">
        <v>192.52600000000001</v>
      </c>
      <c r="O931" s="13">
        <f t="shared" si="30"/>
        <v>0.81914454565954575</v>
      </c>
    </row>
    <row r="932" spans="1:15" x14ac:dyDescent="0.25">
      <c r="A932" s="12">
        <f t="shared" si="29"/>
        <v>3</v>
      </c>
      <c r="B932" s="12">
        <v>2023</v>
      </c>
      <c r="C932" s="12">
        <v>7211</v>
      </c>
      <c r="E932" s="12" t="s">
        <v>13</v>
      </c>
      <c r="F932" s="12" t="s">
        <v>14</v>
      </c>
      <c r="G932" s="14">
        <v>45005</v>
      </c>
      <c r="H932" s="12" t="s">
        <v>18</v>
      </c>
      <c r="I932" s="12" t="s">
        <v>19</v>
      </c>
      <c r="J932" s="12" t="s">
        <v>55</v>
      </c>
      <c r="K932" s="12">
        <v>235.03299999999999</v>
      </c>
      <c r="L932" s="12">
        <v>205.887</v>
      </c>
      <c r="O932" s="13">
        <f t="shared" si="30"/>
        <v>0.87599188199103961</v>
      </c>
    </row>
    <row r="933" spans="1:15" x14ac:dyDescent="0.25">
      <c r="A933" s="12">
        <f t="shared" si="29"/>
        <v>3</v>
      </c>
      <c r="B933" s="12">
        <v>2023</v>
      </c>
      <c r="C933" s="12">
        <v>7212</v>
      </c>
      <c r="E933" s="12" t="s">
        <v>13</v>
      </c>
      <c r="F933" s="12" t="s">
        <v>14</v>
      </c>
      <c r="G933" s="14">
        <v>45006</v>
      </c>
      <c r="H933" s="12" t="s">
        <v>18</v>
      </c>
      <c r="I933" s="12" t="s">
        <v>19</v>
      </c>
      <c r="J933" s="12" t="s">
        <v>55</v>
      </c>
      <c r="K933" s="12">
        <v>234.99600000000001</v>
      </c>
      <c r="L933" s="12">
        <v>201.34700000000001</v>
      </c>
      <c r="O933" s="13">
        <f t="shared" si="30"/>
        <v>0.85681032868644569</v>
      </c>
    </row>
    <row r="934" spans="1:15" x14ac:dyDescent="0.25">
      <c r="A934" s="12">
        <f t="shared" si="29"/>
        <v>3</v>
      </c>
      <c r="B934" s="12">
        <v>2023</v>
      </c>
      <c r="C934" s="12">
        <v>7213</v>
      </c>
      <c r="E934" s="12" t="s">
        <v>13</v>
      </c>
      <c r="F934" s="12" t="s">
        <v>14</v>
      </c>
      <c r="G934" s="14">
        <v>45007</v>
      </c>
      <c r="H934" s="12" t="s">
        <v>17</v>
      </c>
      <c r="I934" s="12" t="s">
        <v>19</v>
      </c>
      <c r="J934" s="12" t="s">
        <v>78</v>
      </c>
      <c r="K934" s="12">
        <v>234.989</v>
      </c>
      <c r="L934" s="12">
        <v>191.60499999999999</v>
      </c>
      <c r="O934" s="13">
        <f t="shared" si="30"/>
        <v>0.81537859218942155</v>
      </c>
    </row>
    <row r="935" spans="1:15" x14ac:dyDescent="0.25">
      <c r="A935" s="12">
        <f t="shared" si="29"/>
        <v>3</v>
      </c>
      <c r="B935" s="12">
        <v>2023</v>
      </c>
      <c r="C935" s="12">
        <v>7214</v>
      </c>
      <c r="E935" s="12" t="s">
        <v>13</v>
      </c>
      <c r="F935" s="12" t="s">
        <v>14</v>
      </c>
      <c r="G935" s="14">
        <v>45008</v>
      </c>
      <c r="H935" s="12" t="s">
        <v>17</v>
      </c>
      <c r="I935" s="12" t="s">
        <v>19</v>
      </c>
      <c r="J935" s="12" t="s">
        <v>78</v>
      </c>
      <c r="K935" s="12">
        <v>234.99</v>
      </c>
      <c r="L935" s="12">
        <v>204.55500000000001</v>
      </c>
      <c r="O935" s="13">
        <f t="shared" si="30"/>
        <v>0.8704838503766118</v>
      </c>
    </row>
    <row r="936" spans="1:15" x14ac:dyDescent="0.25">
      <c r="A936" s="12">
        <f t="shared" si="29"/>
        <v>3</v>
      </c>
      <c r="B936" s="12">
        <v>2023</v>
      </c>
      <c r="C936" s="12">
        <v>7215</v>
      </c>
      <c r="E936" s="12" t="s">
        <v>13</v>
      </c>
      <c r="F936" s="12" t="s">
        <v>14</v>
      </c>
      <c r="G936" s="14">
        <v>45009</v>
      </c>
      <c r="H936" s="12" t="s">
        <v>38</v>
      </c>
      <c r="I936" s="12" t="s">
        <v>19</v>
      </c>
      <c r="J936" s="12" t="s">
        <v>55</v>
      </c>
      <c r="K936" s="12">
        <v>235.55</v>
      </c>
      <c r="L936" s="12">
        <v>193.297</v>
      </c>
      <c r="O936" s="13">
        <f t="shared" si="30"/>
        <v>0.82061982593929095</v>
      </c>
    </row>
    <row r="937" spans="1:15" x14ac:dyDescent="0.25">
      <c r="A937" s="12">
        <f t="shared" si="29"/>
        <v>3</v>
      </c>
      <c r="B937" s="12">
        <v>2023</v>
      </c>
      <c r="C937" s="12">
        <v>7216</v>
      </c>
      <c r="E937" s="12" t="s">
        <v>13</v>
      </c>
      <c r="F937" s="12" t="s">
        <v>14</v>
      </c>
      <c r="G937" s="14">
        <v>45010</v>
      </c>
      <c r="H937" s="12" t="s">
        <v>38</v>
      </c>
      <c r="I937" s="12" t="s">
        <v>19</v>
      </c>
      <c r="J937" s="12" t="s">
        <v>55</v>
      </c>
      <c r="K937" s="12">
        <v>235.55</v>
      </c>
      <c r="L937" s="12">
        <v>206.84399999999999</v>
      </c>
      <c r="O937" s="13">
        <f t="shared" si="30"/>
        <v>0.87813203141583518</v>
      </c>
    </row>
    <row r="938" spans="1:15" x14ac:dyDescent="0.25">
      <c r="A938" s="12">
        <f t="shared" si="29"/>
        <v>3</v>
      </c>
      <c r="B938" s="12">
        <v>2023</v>
      </c>
      <c r="C938" s="12">
        <v>7217</v>
      </c>
      <c r="E938" s="12" t="s">
        <v>13</v>
      </c>
      <c r="F938" s="12" t="s">
        <v>14</v>
      </c>
      <c r="G938" s="14">
        <v>45011</v>
      </c>
      <c r="H938" s="12" t="s">
        <v>38</v>
      </c>
      <c r="I938" s="12" t="s">
        <v>19</v>
      </c>
      <c r="J938" s="12" t="s">
        <v>55</v>
      </c>
      <c r="K938" s="12">
        <v>235.011</v>
      </c>
      <c r="L938" s="12">
        <v>192.17599999999999</v>
      </c>
      <c r="O938" s="13">
        <f t="shared" si="30"/>
        <v>0.81773193595193416</v>
      </c>
    </row>
    <row r="939" spans="1:15" x14ac:dyDescent="0.25">
      <c r="A939" s="12">
        <f t="shared" si="29"/>
        <v>3</v>
      </c>
      <c r="B939" s="12">
        <v>2023</v>
      </c>
      <c r="C939" s="12">
        <v>7218</v>
      </c>
      <c r="E939" s="12" t="s">
        <v>13</v>
      </c>
      <c r="F939" s="12" t="s">
        <v>14</v>
      </c>
      <c r="G939" s="14">
        <v>45012</v>
      </c>
      <c r="H939" s="12" t="s">
        <v>38</v>
      </c>
      <c r="I939" s="12" t="s">
        <v>19</v>
      </c>
      <c r="J939" s="12" t="s">
        <v>55</v>
      </c>
      <c r="K939" s="12">
        <v>234.96</v>
      </c>
      <c r="L939" s="12">
        <v>197.39400000000001</v>
      </c>
      <c r="O939" s="13">
        <f t="shared" si="30"/>
        <v>0.84011746680286004</v>
      </c>
    </row>
    <row r="940" spans="1:15" x14ac:dyDescent="0.25">
      <c r="A940" s="12">
        <f t="shared" si="29"/>
        <v>3</v>
      </c>
      <c r="B940" s="12">
        <v>2023</v>
      </c>
      <c r="C940" s="12">
        <v>7219</v>
      </c>
      <c r="E940" s="12" t="s">
        <v>13</v>
      </c>
      <c r="F940" s="12" t="s">
        <v>14</v>
      </c>
      <c r="G940" s="14">
        <v>45013</v>
      </c>
      <c r="H940" s="12" t="s">
        <v>38</v>
      </c>
      <c r="I940" s="12" t="s">
        <v>19</v>
      </c>
      <c r="J940" s="12" t="s">
        <v>55</v>
      </c>
      <c r="K940" s="12">
        <v>234.96</v>
      </c>
      <c r="L940" s="12">
        <v>195.995</v>
      </c>
      <c r="O940" s="13">
        <f t="shared" si="30"/>
        <v>0.83416326183180112</v>
      </c>
    </row>
    <row r="941" spans="1:15" x14ac:dyDescent="0.25">
      <c r="A941" s="12">
        <f t="shared" si="29"/>
        <v>3</v>
      </c>
      <c r="B941" s="12">
        <v>2023</v>
      </c>
      <c r="C941" s="12">
        <v>7220</v>
      </c>
      <c r="E941" s="12" t="s">
        <v>13</v>
      </c>
      <c r="F941" s="12" t="s">
        <v>14</v>
      </c>
      <c r="G941" s="14">
        <v>45014</v>
      </c>
      <c r="H941" s="12" t="s">
        <v>18</v>
      </c>
      <c r="I941" s="12" t="s">
        <v>20</v>
      </c>
      <c r="J941" s="12" t="s">
        <v>53</v>
      </c>
      <c r="K941" s="12">
        <v>235.00700000000001</v>
      </c>
      <c r="L941" s="12">
        <v>192.82900000000001</v>
      </c>
      <c r="O941" s="13">
        <f t="shared" si="30"/>
        <v>0.8205244950150421</v>
      </c>
    </row>
    <row r="942" spans="1:15" x14ac:dyDescent="0.25">
      <c r="A942" s="12">
        <f t="shared" si="29"/>
        <v>3</v>
      </c>
      <c r="B942" s="12">
        <v>2023</v>
      </c>
      <c r="C942" s="12">
        <v>7221</v>
      </c>
      <c r="E942" s="12" t="s">
        <v>13</v>
      </c>
      <c r="F942" s="12" t="s">
        <v>14</v>
      </c>
      <c r="G942" s="14">
        <v>45015</v>
      </c>
      <c r="H942" s="12" t="s">
        <v>18</v>
      </c>
      <c r="I942" s="12" t="s">
        <v>20</v>
      </c>
      <c r="J942" s="12" t="s">
        <v>53</v>
      </c>
      <c r="K942" s="12">
        <v>235.00700000000001</v>
      </c>
      <c r="L942" s="12">
        <v>216.60400000000001</v>
      </c>
      <c r="O942" s="13">
        <f t="shared" si="30"/>
        <v>0.92169169428995734</v>
      </c>
    </row>
    <row r="943" spans="1:15" x14ac:dyDescent="0.25">
      <c r="A943" s="12">
        <f t="shared" si="29"/>
        <v>3</v>
      </c>
      <c r="B943" s="12">
        <v>2023</v>
      </c>
      <c r="C943" s="12">
        <v>7222</v>
      </c>
      <c r="E943" s="12" t="s">
        <v>13</v>
      </c>
      <c r="F943" s="12" t="s">
        <v>14</v>
      </c>
      <c r="G943" s="14">
        <v>45016</v>
      </c>
      <c r="H943" s="12" t="s">
        <v>38</v>
      </c>
      <c r="I943" s="12" t="s">
        <v>19</v>
      </c>
      <c r="J943" s="12" t="s">
        <v>55</v>
      </c>
      <c r="K943" s="12">
        <v>234.93899999999999</v>
      </c>
      <c r="L943" s="12">
        <v>197.84899999999999</v>
      </c>
      <c r="O943" s="13">
        <f t="shared" si="30"/>
        <v>0.84212923354572888</v>
      </c>
    </row>
    <row r="944" spans="1:15" x14ac:dyDescent="0.25">
      <c r="A944" s="12">
        <f t="shared" si="29"/>
        <v>4</v>
      </c>
      <c r="B944" s="12">
        <v>2023</v>
      </c>
      <c r="C944" s="12">
        <v>7223</v>
      </c>
      <c r="E944" s="12" t="s">
        <v>13</v>
      </c>
      <c r="F944" s="12" t="s">
        <v>14</v>
      </c>
      <c r="G944" s="14">
        <v>45017</v>
      </c>
      <c r="H944" s="12" t="s">
        <v>38</v>
      </c>
      <c r="I944" s="12" t="s">
        <v>19</v>
      </c>
      <c r="J944" s="12" t="s">
        <v>55</v>
      </c>
      <c r="K944" s="12">
        <v>235.34</v>
      </c>
      <c r="L944" s="12">
        <v>190.16399999999999</v>
      </c>
      <c r="O944" s="13">
        <f t="shared" si="30"/>
        <v>0.8080394323106993</v>
      </c>
    </row>
    <row r="945" spans="1:15" x14ac:dyDescent="0.25">
      <c r="A945" s="12">
        <f t="shared" si="29"/>
        <v>4</v>
      </c>
      <c r="B945" s="12">
        <v>2023</v>
      </c>
      <c r="C945" s="12">
        <v>7224</v>
      </c>
      <c r="E945" s="12" t="s">
        <v>13</v>
      </c>
      <c r="F945" s="12" t="s">
        <v>14</v>
      </c>
      <c r="G945" s="14">
        <v>45018</v>
      </c>
      <c r="H945" s="12" t="s">
        <v>38</v>
      </c>
      <c r="I945" s="12" t="s">
        <v>19</v>
      </c>
      <c r="J945" s="12" t="s">
        <v>55</v>
      </c>
      <c r="K945" s="12">
        <v>235.34</v>
      </c>
      <c r="L945" s="12">
        <v>205.55099999999999</v>
      </c>
      <c r="O945" s="13">
        <f t="shared" si="30"/>
        <v>0.87342143282059992</v>
      </c>
    </row>
    <row r="946" spans="1:15" x14ac:dyDescent="0.25">
      <c r="A946" s="12">
        <f t="shared" si="29"/>
        <v>4</v>
      </c>
      <c r="B946" s="12">
        <v>2023</v>
      </c>
      <c r="C946" s="12">
        <v>7225</v>
      </c>
      <c r="E946" s="12" t="s">
        <v>13</v>
      </c>
      <c r="F946" s="12" t="s">
        <v>14</v>
      </c>
      <c r="G946" s="14">
        <v>45019</v>
      </c>
      <c r="H946" s="12" t="s">
        <v>38</v>
      </c>
      <c r="I946" s="12" t="s">
        <v>19</v>
      </c>
      <c r="J946" s="12" t="s">
        <v>55</v>
      </c>
      <c r="K946" s="12">
        <v>235</v>
      </c>
      <c r="L946" s="12">
        <v>199.108</v>
      </c>
      <c r="O946" s="13">
        <f t="shared" si="30"/>
        <v>0.84726808510638296</v>
      </c>
    </row>
    <row r="947" spans="1:15" x14ac:dyDescent="0.25">
      <c r="A947" s="12">
        <f t="shared" si="29"/>
        <v>4</v>
      </c>
      <c r="B947" s="12">
        <v>2023</v>
      </c>
      <c r="C947" s="12">
        <v>7226</v>
      </c>
      <c r="E947" s="12" t="s">
        <v>13</v>
      </c>
      <c r="F947" s="12" t="s">
        <v>14</v>
      </c>
      <c r="G947" s="14">
        <v>45020</v>
      </c>
      <c r="H947" s="12" t="s">
        <v>38</v>
      </c>
      <c r="I947" s="12" t="s">
        <v>19</v>
      </c>
      <c r="J947" s="12" t="s">
        <v>55</v>
      </c>
      <c r="K947" s="12">
        <v>235</v>
      </c>
      <c r="L947" s="12">
        <v>205.20699999999999</v>
      </c>
      <c r="O947" s="13">
        <f t="shared" si="30"/>
        <v>0.87322127659574467</v>
      </c>
    </row>
    <row r="948" spans="1:15" x14ac:dyDescent="0.25">
      <c r="A948" s="12">
        <f t="shared" si="29"/>
        <v>4</v>
      </c>
      <c r="B948" s="12">
        <v>2023</v>
      </c>
      <c r="C948" s="12">
        <v>7227</v>
      </c>
      <c r="E948" s="12" t="s">
        <v>13</v>
      </c>
      <c r="F948" s="12" t="s">
        <v>14</v>
      </c>
      <c r="G948" s="14">
        <v>45021</v>
      </c>
      <c r="H948" s="12" t="s">
        <v>17</v>
      </c>
      <c r="I948" s="12" t="s">
        <v>19</v>
      </c>
      <c r="J948" s="12" t="s">
        <v>81</v>
      </c>
      <c r="K948" s="12">
        <v>230.01400000000001</v>
      </c>
      <c r="L948" s="12">
        <v>190.5</v>
      </c>
      <c r="O948" s="13">
        <f t="shared" si="30"/>
        <v>0.8282104567548062</v>
      </c>
    </row>
    <row r="949" spans="1:15" x14ac:dyDescent="0.25">
      <c r="A949" s="12">
        <f t="shared" si="29"/>
        <v>4</v>
      </c>
      <c r="B949" s="12">
        <v>2023</v>
      </c>
      <c r="C949" s="12">
        <v>7228</v>
      </c>
      <c r="E949" s="12" t="s">
        <v>13</v>
      </c>
      <c r="F949" s="12" t="s">
        <v>14</v>
      </c>
      <c r="G949" s="14">
        <v>45022</v>
      </c>
      <c r="H949" s="12" t="s">
        <v>18</v>
      </c>
      <c r="I949" s="12" t="s">
        <v>19</v>
      </c>
      <c r="J949" s="12" t="s">
        <v>55</v>
      </c>
      <c r="K949" s="12">
        <v>235.001</v>
      </c>
      <c r="L949" s="12">
        <v>199.61199999999999</v>
      </c>
      <c r="O949" s="13">
        <f t="shared" si="30"/>
        <v>0.84940915145041929</v>
      </c>
    </row>
    <row r="950" spans="1:15" x14ac:dyDescent="0.25">
      <c r="A950" s="12">
        <f t="shared" si="29"/>
        <v>4</v>
      </c>
      <c r="B950" s="12">
        <v>2023</v>
      </c>
      <c r="C950" s="12">
        <v>7229</v>
      </c>
      <c r="E950" s="12" t="s">
        <v>13</v>
      </c>
      <c r="F950" s="12" t="s">
        <v>14</v>
      </c>
      <c r="G950" s="14">
        <v>45023</v>
      </c>
      <c r="H950" s="12" t="s">
        <v>18</v>
      </c>
      <c r="I950" s="12" t="s">
        <v>19</v>
      </c>
      <c r="J950" s="12" t="s">
        <v>55</v>
      </c>
      <c r="K950" s="12">
        <v>235</v>
      </c>
      <c r="L950" s="12">
        <v>204.01900000000001</v>
      </c>
      <c r="O950" s="13">
        <f t="shared" si="30"/>
        <v>0.86816595744680858</v>
      </c>
    </row>
    <row r="951" spans="1:15" x14ac:dyDescent="0.25">
      <c r="A951" s="12">
        <f t="shared" si="29"/>
        <v>4</v>
      </c>
      <c r="B951" s="12">
        <v>2023</v>
      </c>
      <c r="C951" s="12">
        <v>7230</v>
      </c>
      <c r="E951" s="12" t="s">
        <v>13</v>
      </c>
      <c r="F951" s="12" t="s">
        <v>14</v>
      </c>
      <c r="G951" s="14">
        <v>45024</v>
      </c>
      <c r="H951" s="12" t="s">
        <v>18</v>
      </c>
      <c r="I951" s="12" t="s">
        <v>19</v>
      </c>
      <c r="J951" s="12" t="s">
        <v>55</v>
      </c>
      <c r="K951" s="12">
        <v>235.07499999999999</v>
      </c>
      <c r="L951" s="12">
        <v>199.16499999999999</v>
      </c>
      <c r="O951" s="13">
        <f t="shared" si="30"/>
        <v>0.84724024247580565</v>
      </c>
    </row>
    <row r="952" spans="1:15" x14ac:dyDescent="0.25">
      <c r="A952" s="12">
        <f t="shared" si="29"/>
        <v>4</v>
      </c>
      <c r="B952" s="12">
        <v>2023</v>
      </c>
      <c r="C952" s="12">
        <v>7231</v>
      </c>
      <c r="E952" s="12" t="s">
        <v>13</v>
      </c>
      <c r="F952" s="12" t="s">
        <v>14</v>
      </c>
      <c r="G952" s="14">
        <v>45025</v>
      </c>
      <c r="H952" s="12" t="s">
        <v>18</v>
      </c>
      <c r="I952" s="12" t="s">
        <v>19</v>
      </c>
      <c r="J952" s="12" t="s">
        <v>55</v>
      </c>
      <c r="K952" s="12">
        <v>235.07499999999999</v>
      </c>
      <c r="L952" s="12">
        <v>197.35300000000001</v>
      </c>
      <c r="O952" s="13">
        <f t="shared" si="30"/>
        <v>0.83953206423481874</v>
      </c>
    </row>
    <row r="953" spans="1:15" x14ac:dyDescent="0.25">
      <c r="A953" s="12">
        <f t="shared" si="29"/>
        <v>4</v>
      </c>
      <c r="B953" s="12">
        <v>2023</v>
      </c>
      <c r="C953" s="12">
        <v>7232</v>
      </c>
      <c r="E953" s="12" t="s">
        <v>13</v>
      </c>
      <c r="F953" s="12" t="s">
        <v>14</v>
      </c>
      <c r="G953" s="14">
        <v>45026</v>
      </c>
      <c r="H953" s="12" t="s">
        <v>18</v>
      </c>
      <c r="I953" s="12" t="s">
        <v>19</v>
      </c>
      <c r="J953" s="12" t="s">
        <v>55</v>
      </c>
      <c r="K953" s="12">
        <v>235.02099999999999</v>
      </c>
      <c r="L953" s="12">
        <v>199.626</v>
      </c>
      <c r="O953" s="13">
        <f t="shared" si="30"/>
        <v>0.84939643691414812</v>
      </c>
    </row>
    <row r="954" spans="1:15" x14ac:dyDescent="0.25">
      <c r="A954" s="12">
        <f t="shared" si="29"/>
        <v>4</v>
      </c>
      <c r="B954" s="12">
        <v>2023</v>
      </c>
      <c r="C954" s="12">
        <v>7233</v>
      </c>
      <c r="E954" s="12" t="s">
        <v>13</v>
      </c>
      <c r="F954" s="12" t="s">
        <v>14</v>
      </c>
      <c r="G954" s="14">
        <v>45027</v>
      </c>
      <c r="H954" s="12" t="s">
        <v>38</v>
      </c>
      <c r="I954" s="12" t="s">
        <v>19</v>
      </c>
      <c r="J954" s="12" t="s">
        <v>55</v>
      </c>
      <c r="K954" s="12">
        <v>235.00800000000001</v>
      </c>
      <c r="L954" s="12">
        <v>200.768</v>
      </c>
      <c r="O954" s="13">
        <f t="shared" si="30"/>
        <v>0.85430283224400871</v>
      </c>
    </row>
    <row r="955" spans="1:15" x14ac:dyDescent="0.25">
      <c r="A955" s="12">
        <f t="shared" si="29"/>
        <v>4</v>
      </c>
      <c r="B955" s="12">
        <v>2023</v>
      </c>
      <c r="C955" s="12">
        <v>7234</v>
      </c>
      <c r="E955" s="12" t="s">
        <v>13</v>
      </c>
      <c r="F955" s="12" t="s">
        <v>14</v>
      </c>
      <c r="G955" s="14">
        <v>45028</v>
      </c>
      <c r="H955" s="12" t="s">
        <v>38</v>
      </c>
      <c r="I955" s="12" t="s">
        <v>19</v>
      </c>
      <c r="J955" s="12" t="s">
        <v>55</v>
      </c>
      <c r="K955" s="12">
        <v>235.00800000000001</v>
      </c>
      <c r="L955" s="12">
        <v>201.148</v>
      </c>
      <c r="O955" s="13">
        <f t="shared" si="30"/>
        <v>0.85591979847494548</v>
      </c>
    </row>
    <row r="956" spans="1:15" x14ac:dyDescent="0.25">
      <c r="A956" s="12">
        <f t="shared" si="29"/>
        <v>4</v>
      </c>
      <c r="B956" s="12">
        <v>2023</v>
      </c>
      <c r="C956" s="12">
        <v>7235</v>
      </c>
      <c r="E956" s="12" t="s">
        <v>13</v>
      </c>
      <c r="F956" s="12" t="s">
        <v>14</v>
      </c>
      <c r="G956" s="14">
        <v>45029</v>
      </c>
      <c r="H956" s="12" t="s">
        <v>38</v>
      </c>
      <c r="I956" s="12" t="s">
        <v>19</v>
      </c>
      <c r="J956" s="12" t="s">
        <v>55</v>
      </c>
      <c r="K956" s="12">
        <v>234.96899999999999</v>
      </c>
      <c r="L956" s="12">
        <v>196.87100000000001</v>
      </c>
      <c r="O956" s="13">
        <f t="shared" si="30"/>
        <v>0.83785946231204977</v>
      </c>
    </row>
    <row r="957" spans="1:15" x14ac:dyDescent="0.25">
      <c r="A957" s="12">
        <f t="shared" si="29"/>
        <v>4</v>
      </c>
      <c r="B957" s="12">
        <v>2023</v>
      </c>
      <c r="C957" s="12">
        <v>7236</v>
      </c>
      <c r="E957" s="12" t="s">
        <v>13</v>
      </c>
      <c r="F957" s="12" t="s">
        <v>14</v>
      </c>
      <c r="G957" s="14">
        <v>45030</v>
      </c>
      <c r="H957" s="12" t="s">
        <v>38</v>
      </c>
      <c r="I957" s="12" t="s">
        <v>19</v>
      </c>
      <c r="J957" s="12" t="s">
        <v>55</v>
      </c>
      <c r="K957" s="12">
        <v>234.96899999999999</v>
      </c>
      <c r="L957" s="12">
        <v>203.57</v>
      </c>
      <c r="O957" s="13">
        <f t="shared" si="30"/>
        <v>0.86636960620337156</v>
      </c>
    </row>
    <row r="958" spans="1:15" x14ac:dyDescent="0.25">
      <c r="A958" s="12">
        <f t="shared" si="29"/>
        <v>4</v>
      </c>
      <c r="B958" s="12">
        <v>2023</v>
      </c>
      <c r="C958" s="12">
        <v>7237</v>
      </c>
      <c r="E958" s="12" t="s">
        <v>13</v>
      </c>
      <c r="F958" s="12" t="s">
        <v>14</v>
      </c>
      <c r="G958" s="14">
        <v>45031</v>
      </c>
      <c r="H958" s="12" t="s">
        <v>38</v>
      </c>
      <c r="I958" s="12" t="s">
        <v>19</v>
      </c>
      <c r="J958" s="12" t="s">
        <v>55</v>
      </c>
      <c r="K958" s="12">
        <v>234.99799999999999</v>
      </c>
      <c r="L958" s="12">
        <v>198.703</v>
      </c>
      <c r="O958" s="13">
        <f t="shared" si="30"/>
        <v>0.84555187703725143</v>
      </c>
    </row>
    <row r="959" spans="1:15" x14ac:dyDescent="0.25">
      <c r="A959" s="12">
        <f t="shared" si="29"/>
        <v>4</v>
      </c>
      <c r="B959" s="12">
        <v>2023</v>
      </c>
      <c r="C959" s="12">
        <v>7238</v>
      </c>
      <c r="E959" s="12" t="s">
        <v>13</v>
      </c>
      <c r="F959" s="12" t="s">
        <v>14</v>
      </c>
      <c r="G959" s="14">
        <v>45032</v>
      </c>
      <c r="H959" s="12" t="s">
        <v>18</v>
      </c>
      <c r="I959" s="12" t="s">
        <v>20</v>
      </c>
      <c r="J959" s="12" t="s">
        <v>79</v>
      </c>
      <c r="K959" s="12">
        <v>235.00800000000001</v>
      </c>
      <c r="L959" s="12">
        <v>204.94800000000001</v>
      </c>
      <c r="O959" s="13">
        <f t="shared" si="30"/>
        <v>0.87208946078431371</v>
      </c>
    </row>
    <row r="960" spans="1:15" x14ac:dyDescent="0.25">
      <c r="A960" s="12">
        <f t="shared" si="29"/>
        <v>4</v>
      </c>
      <c r="B960" s="12">
        <v>2023</v>
      </c>
      <c r="C960" s="12">
        <v>7239</v>
      </c>
      <c r="E960" s="12" t="s">
        <v>13</v>
      </c>
      <c r="F960" s="12" t="s">
        <v>14</v>
      </c>
      <c r="G960" s="14">
        <v>45033</v>
      </c>
      <c r="H960" s="12" t="s">
        <v>18</v>
      </c>
      <c r="I960" s="12" t="s">
        <v>20</v>
      </c>
      <c r="J960" s="12" t="s">
        <v>79</v>
      </c>
      <c r="K960" s="12">
        <v>235.00700000000001</v>
      </c>
      <c r="L960" s="12">
        <v>206.821</v>
      </c>
      <c r="O960" s="13">
        <f t="shared" si="30"/>
        <v>0.88006314705519406</v>
      </c>
    </row>
    <row r="961" spans="1:15" x14ac:dyDescent="0.25">
      <c r="A961" s="12">
        <f t="shared" si="29"/>
        <v>4</v>
      </c>
      <c r="B961" s="12">
        <v>2023</v>
      </c>
      <c r="C961" s="12">
        <v>7240</v>
      </c>
      <c r="E961" s="12" t="s">
        <v>13</v>
      </c>
      <c r="F961" s="12" t="s">
        <v>14</v>
      </c>
      <c r="G961" s="14">
        <v>45034</v>
      </c>
      <c r="H961" s="12" t="s">
        <v>37</v>
      </c>
      <c r="I961" s="12" t="s">
        <v>19</v>
      </c>
      <c r="J961" s="12" t="s">
        <v>55</v>
      </c>
      <c r="K961" s="12">
        <v>235.00399999999999</v>
      </c>
      <c r="L961" s="12">
        <v>199.16800000000001</v>
      </c>
      <c r="O961" s="13">
        <f t="shared" si="30"/>
        <v>0.84750897857057761</v>
      </c>
    </row>
    <row r="962" spans="1:15" x14ac:dyDescent="0.25">
      <c r="A962" s="12">
        <f t="shared" ref="A962:A1025" si="31">MONTH(G962)</f>
        <v>4</v>
      </c>
      <c r="B962" s="12">
        <v>2023</v>
      </c>
      <c r="C962" s="12">
        <v>7241</v>
      </c>
      <c r="E962" s="12" t="s">
        <v>13</v>
      </c>
      <c r="F962" s="12" t="s">
        <v>14</v>
      </c>
      <c r="G962" s="14">
        <v>45035</v>
      </c>
      <c r="H962" s="12" t="s">
        <v>37</v>
      </c>
      <c r="I962" s="12" t="s">
        <v>19</v>
      </c>
      <c r="J962" s="12" t="s">
        <v>55</v>
      </c>
      <c r="K962" s="12">
        <v>235.00299999999999</v>
      </c>
      <c r="L962" s="12">
        <v>198.53299999999999</v>
      </c>
      <c r="O962" s="13">
        <f t="shared" si="30"/>
        <v>0.84481049178095602</v>
      </c>
    </row>
    <row r="963" spans="1:15" x14ac:dyDescent="0.25">
      <c r="A963" s="12">
        <f t="shared" si="31"/>
        <v>4</v>
      </c>
      <c r="B963" s="12">
        <v>2023</v>
      </c>
      <c r="C963" s="12">
        <v>7242</v>
      </c>
      <c r="E963" s="12" t="s">
        <v>13</v>
      </c>
      <c r="F963" s="12" t="s">
        <v>14</v>
      </c>
      <c r="G963" s="14">
        <v>45036</v>
      </c>
      <c r="H963" s="12" t="s">
        <v>37</v>
      </c>
      <c r="I963" s="12" t="s">
        <v>19</v>
      </c>
      <c r="J963" s="12" t="s">
        <v>55</v>
      </c>
      <c r="K963" s="12">
        <v>235.017</v>
      </c>
      <c r="L963" s="12">
        <v>199.744</v>
      </c>
      <c r="O963" s="13">
        <f t="shared" si="30"/>
        <v>0.84991298501810508</v>
      </c>
    </row>
    <row r="964" spans="1:15" x14ac:dyDescent="0.25">
      <c r="A964" s="12">
        <f t="shared" si="31"/>
        <v>4</v>
      </c>
      <c r="B964" s="12">
        <v>2023</v>
      </c>
      <c r="C964" s="12">
        <v>7243</v>
      </c>
      <c r="E964" s="12" t="s">
        <v>13</v>
      </c>
      <c r="F964" s="12" t="s">
        <v>14</v>
      </c>
      <c r="G964" s="14">
        <v>45037</v>
      </c>
      <c r="H964" s="12" t="s">
        <v>37</v>
      </c>
      <c r="I964" s="12" t="s">
        <v>19</v>
      </c>
      <c r="J964" s="12" t="s">
        <v>55</v>
      </c>
      <c r="K964" s="12">
        <v>235.006</v>
      </c>
      <c r="L964" s="12">
        <v>198.37899999999999</v>
      </c>
      <c r="O964" s="13">
        <f t="shared" si="30"/>
        <v>0.84414440482370656</v>
      </c>
    </row>
    <row r="965" spans="1:15" x14ac:dyDescent="0.25">
      <c r="A965" s="12">
        <f t="shared" si="31"/>
        <v>4</v>
      </c>
      <c r="B965" s="12">
        <v>2023</v>
      </c>
      <c r="C965" s="12">
        <v>7244</v>
      </c>
      <c r="E965" s="12" t="s">
        <v>13</v>
      </c>
      <c r="F965" s="12" t="s">
        <v>14</v>
      </c>
      <c r="G965" s="14">
        <v>45038</v>
      </c>
      <c r="H965" s="12" t="s">
        <v>37</v>
      </c>
      <c r="I965" s="12" t="s">
        <v>19</v>
      </c>
      <c r="J965" s="12" t="s">
        <v>55</v>
      </c>
      <c r="K965" s="12">
        <v>235.005</v>
      </c>
      <c r="L965" s="12">
        <v>211.60499999999999</v>
      </c>
      <c r="O965" s="13">
        <f t="shared" si="30"/>
        <v>0.90042765047552176</v>
      </c>
    </row>
    <row r="966" spans="1:15" x14ac:dyDescent="0.25">
      <c r="A966" s="12">
        <f t="shared" si="31"/>
        <v>4</v>
      </c>
      <c r="B966" s="12">
        <v>2023</v>
      </c>
      <c r="C966" s="12">
        <v>7245</v>
      </c>
      <c r="E966" s="12" t="s">
        <v>13</v>
      </c>
      <c r="F966" s="12" t="s">
        <v>14</v>
      </c>
      <c r="G966" s="14">
        <v>45039</v>
      </c>
      <c r="H966" s="12" t="s">
        <v>18</v>
      </c>
      <c r="I966" s="12" t="s">
        <v>19</v>
      </c>
      <c r="J966" s="12" t="s">
        <v>55</v>
      </c>
      <c r="K966" s="12">
        <v>235.00800000000001</v>
      </c>
      <c r="L966" s="12">
        <v>193.82400000000001</v>
      </c>
      <c r="O966" s="13">
        <f t="shared" si="30"/>
        <v>0.82475490196078438</v>
      </c>
    </row>
    <row r="967" spans="1:15" x14ac:dyDescent="0.25">
      <c r="A967" s="12">
        <f t="shared" si="31"/>
        <v>4</v>
      </c>
      <c r="B967" s="12">
        <v>2023</v>
      </c>
      <c r="C967" s="12">
        <v>7246</v>
      </c>
      <c r="E967" s="12" t="s">
        <v>13</v>
      </c>
      <c r="F967" s="12" t="s">
        <v>14</v>
      </c>
      <c r="G967" s="14">
        <v>45040</v>
      </c>
      <c r="H967" s="12" t="s">
        <v>18</v>
      </c>
      <c r="I967" s="12" t="s">
        <v>19</v>
      </c>
      <c r="J967" s="12" t="s">
        <v>55</v>
      </c>
      <c r="K967" s="12">
        <v>235.00700000000001</v>
      </c>
      <c r="L967" s="12">
        <v>208.70500000000001</v>
      </c>
      <c r="O967" s="13">
        <f t="shared" si="30"/>
        <v>0.88807992953401393</v>
      </c>
    </row>
    <row r="968" spans="1:15" x14ac:dyDescent="0.25">
      <c r="A968" s="12">
        <f t="shared" si="31"/>
        <v>4</v>
      </c>
      <c r="B968" s="12">
        <v>2023</v>
      </c>
      <c r="C968" s="12">
        <v>7247</v>
      </c>
      <c r="E968" s="12" t="s">
        <v>13</v>
      </c>
      <c r="F968" s="12" t="s">
        <v>14</v>
      </c>
      <c r="G968" s="14">
        <v>45041</v>
      </c>
      <c r="H968" s="12" t="s">
        <v>18</v>
      </c>
      <c r="I968" s="12" t="s">
        <v>19</v>
      </c>
      <c r="J968" s="12" t="s">
        <v>55</v>
      </c>
      <c r="K968" s="12">
        <v>235.01900000000001</v>
      </c>
      <c r="L968" s="12">
        <v>199.18799999999999</v>
      </c>
      <c r="O968" s="13">
        <f t="shared" si="30"/>
        <v>0.84753998612878101</v>
      </c>
    </row>
    <row r="969" spans="1:15" x14ac:dyDescent="0.25">
      <c r="A969" s="12">
        <f t="shared" si="31"/>
        <v>4</v>
      </c>
      <c r="B969" s="12">
        <v>2023</v>
      </c>
      <c r="C969" s="12">
        <v>7248</v>
      </c>
      <c r="E969" s="12" t="s">
        <v>13</v>
      </c>
      <c r="F969" s="12" t="s">
        <v>14</v>
      </c>
      <c r="G969" s="14">
        <v>45042</v>
      </c>
      <c r="H969" s="12" t="s">
        <v>18</v>
      </c>
      <c r="I969" s="12" t="s">
        <v>19</v>
      </c>
      <c r="J969" s="12" t="s">
        <v>55</v>
      </c>
      <c r="K969" s="12">
        <v>235.00649999999999</v>
      </c>
      <c r="L969" s="12">
        <v>199.572</v>
      </c>
      <c r="O969" s="13">
        <f t="shared" si="30"/>
        <v>0.84921906415354476</v>
      </c>
    </row>
    <row r="970" spans="1:15" x14ac:dyDescent="0.25">
      <c r="A970" s="12">
        <f t="shared" si="31"/>
        <v>4</v>
      </c>
      <c r="B970" s="12">
        <v>2023</v>
      </c>
      <c r="C970" s="12">
        <v>7249</v>
      </c>
      <c r="E970" s="12" t="s">
        <v>13</v>
      </c>
      <c r="F970" s="12" t="s">
        <v>14</v>
      </c>
      <c r="G970" s="14">
        <v>45043</v>
      </c>
      <c r="H970" s="12" t="s">
        <v>18</v>
      </c>
      <c r="I970" s="12" t="s">
        <v>19</v>
      </c>
      <c r="J970" s="12" t="s">
        <v>55</v>
      </c>
      <c r="K970" s="12">
        <v>235.006</v>
      </c>
      <c r="L970" s="12">
        <v>203.11799999999999</v>
      </c>
      <c r="O970" s="13">
        <f t="shared" si="30"/>
        <v>0.86430984740815131</v>
      </c>
    </row>
    <row r="971" spans="1:15" x14ac:dyDescent="0.25">
      <c r="A971" s="12">
        <f t="shared" si="31"/>
        <v>4</v>
      </c>
      <c r="B971" s="12">
        <v>2023</v>
      </c>
      <c r="C971" s="12">
        <v>7250</v>
      </c>
      <c r="E971" s="12" t="s">
        <v>13</v>
      </c>
      <c r="F971" s="12" t="s">
        <v>14</v>
      </c>
      <c r="G971" s="14">
        <v>45044</v>
      </c>
      <c r="H971" s="12" t="s">
        <v>17</v>
      </c>
      <c r="I971" s="12" t="s">
        <v>19</v>
      </c>
      <c r="J971" s="12" t="s">
        <v>81</v>
      </c>
      <c r="K971" s="12">
        <v>229.995</v>
      </c>
      <c r="L971" s="12">
        <v>195.98699999999999</v>
      </c>
      <c r="O971" s="13">
        <f t="shared" si="30"/>
        <v>0.85213591599817384</v>
      </c>
    </row>
    <row r="972" spans="1:15" x14ac:dyDescent="0.25">
      <c r="A972" s="12">
        <f t="shared" si="31"/>
        <v>4</v>
      </c>
      <c r="B972" s="12">
        <v>2023</v>
      </c>
      <c r="C972" s="12">
        <v>7251</v>
      </c>
      <c r="E972" s="12" t="s">
        <v>13</v>
      </c>
      <c r="F972" s="12" t="s">
        <v>14</v>
      </c>
      <c r="G972" s="14">
        <v>45045</v>
      </c>
      <c r="H972" s="12" t="s">
        <v>17</v>
      </c>
      <c r="I972" s="12" t="s">
        <v>20</v>
      </c>
      <c r="J972" s="12" t="s">
        <v>80</v>
      </c>
      <c r="K972" s="12">
        <v>230.01599999999999</v>
      </c>
      <c r="L972" s="12">
        <v>196.70400000000001</v>
      </c>
      <c r="O972" s="13">
        <f t="shared" si="30"/>
        <v>0.85517529215358934</v>
      </c>
    </row>
    <row r="973" spans="1:15" x14ac:dyDescent="0.25">
      <c r="A973" s="12">
        <f t="shared" si="31"/>
        <v>4</v>
      </c>
      <c r="B973" s="12">
        <v>2023</v>
      </c>
      <c r="C973" s="12">
        <v>7252</v>
      </c>
      <c r="E973" s="12" t="s">
        <v>13</v>
      </c>
      <c r="F973" s="12" t="s">
        <v>14</v>
      </c>
      <c r="G973" s="14">
        <v>45046</v>
      </c>
      <c r="H973" s="12" t="s">
        <v>18</v>
      </c>
      <c r="I973" s="12" t="s">
        <v>19</v>
      </c>
      <c r="J973" s="12" t="s">
        <v>55</v>
      </c>
      <c r="K973" s="12">
        <v>235.00800000000001</v>
      </c>
      <c r="L973" s="12">
        <v>202.488</v>
      </c>
      <c r="O973" s="13">
        <f t="shared" si="30"/>
        <v>0.86162173202614378</v>
      </c>
    </row>
    <row r="974" spans="1:15" x14ac:dyDescent="0.25">
      <c r="A974" s="12">
        <f t="shared" si="31"/>
        <v>5</v>
      </c>
      <c r="B974" s="12">
        <v>2023</v>
      </c>
      <c r="C974" s="12">
        <v>7253</v>
      </c>
      <c r="E974" s="12" t="s">
        <v>13</v>
      </c>
      <c r="F974" s="12" t="s">
        <v>14</v>
      </c>
      <c r="G974" s="14">
        <v>45047</v>
      </c>
      <c r="H974" s="12" t="s">
        <v>18</v>
      </c>
      <c r="I974" s="12" t="s">
        <v>19</v>
      </c>
      <c r="J974" s="12" t="s">
        <v>55</v>
      </c>
      <c r="K974" s="12">
        <v>235.00800000000001</v>
      </c>
      <c r="L974" s="12">
        <v>203.20500000000001</v>
      </c>
      <c r="O974" s="13">
        <f t="shared" si="30"/>
        <v>0.86467269199346408</v>
      </c>
    </row>
    <row r="975" spans="1:15" x14ac:dyDescent="0.25">
      <c r="A975" s="12">
        <f t="shared" si="31"/>
        <v>5</v>
      </c>
      <c r="B975" s="12">
        <v>2023</v>
      </c>
      <c r="C975" s="12">
        <v>7254</v>
      </c>
      <c r="E975" s="12" t="s">
        <v>13</v>
      </c>
      <c r="F975" s="12" t="s">
        <v>14</v>
      </c>
      <c r="G975" s="14">
        <v>45048</v>
      </c>
      <c r="H975" s="12" t="s">
        <v>18</v>
      </c>
      <c r="I975" s="12" t="s">
        <v>19</v>
      </c>
      <c r="J975" s="12" t="s">
        <v>55</v>
      </c>
      <c r="K975" s="12">
        <v>234.97399999999999</v>
      </c>
      <c r="L975" s="12">
        <v>198.11</v>
      </c>
      <c r="O975" s="13">
        <f t="shared" si="30"/>
        <v>0.84311455735528196</v>
      </c>
    </row>
    <row r="976" spans="1:15" x14ac:dyDescent="0.25">
      <c r="A976" s="12">
        <f t="shared" si="31"/>
        <v>5</v>
      </c>
      <c r="B976" s="12">
        <v>2023</v>
      </c>
      <c r="C976" s="12">
        <v>7255</v>
      </c>
      <c r="E976" s="12" t="s">
        <v>13</v>
      </c>
      <c r="F976" s="12" t="s">
        <v>14</v>
      </c>
      <c r="G976" s="14">
        <v>45049</v>
      </c>
      <c r="H976" s="12" t="s">
        <v>18</v>
      </c>
      <c r="I976" s="12" t="s">
        <v>19</v>
      </c>
      <c r="J976" s="12" t="s">
        <v>55</v>
      </c>
      <c r="K976" s="12">
        <v>234.96899999999999</v>
      </c>
      <c r="L976" s="12">
        <v>194.31399999999999</v>
      </c>
      <c r="O976" s="13">
        <f t="shared" si="30"/>
        <v>0.82697717571254081</v>
      </c>
    </row>
    <row r="977" spans="1:15" x14ac:dyDescent="0.25">
      <c r="A977" s="12">
        <f t="shared" si="31"/>
        <v>5</v>
      </c>
      <c r="B977" s="12">
        <v>2023</v>
      </c>
      <c r="C977" s="12">
        <v>7256</v>
      </c>
      <c r="E977" s="12" t="s">
        <v>13</v>
      </c>
      <c r="F977" s="12" t="s">
        <v>14</v>
      </c>
      <c r="G977" s="14">
        <v>45050</v>
      </c>
      <c r="H977" s="12" t="s">
        <v>18</v>
      </c>
      <c r="I977" s="12" t="s">
        <v>19</v>
      </c>
      <c r="J977" s="12" t="s">
        <v>55</v>
      </c>
      <c r="K977" s="12">
        <v>234.96899999999999</v>
      </c>
      <c r="L977" s="12">
        <v>201.8</v>
      </c>
      <c r="O977" s="13">
        <f t="shared" si="30"/>
        <v>0.85883669760691839</v>
      </c>
    </row>
    <row r="978" spans="1:15" x14ac:dyDescent="0.25">
      <c r="A978" s="12">
        <f t="shared" si="31"/>
        <v>5</v>
      </c>
      <c r="B978" s="12">
        <v>2023</v>
      </c>
      <c r="C978" s="12">
        <v>7257</v>
      </c>
      <c r="E978" s="12" t="s">
        <v>13</v>
      </c>
      <c r="F978" s="12" t="s">
        <v>14</v>
      </c>
      <c r="G978" s="14">
        <v>45051</v>
      </c>
      <c r="H978" s="12" t="s">
        <v>18</v>
      </c>
      <c r="I978" s="12" t="s">
        <v>19</v>
      </c>
      <c r="J978" s="12" t="s">
        <v>55</v>
      </c>
      <c r="K978" s="12">
        <v>234.96199999999999</v>
      </c>
      <c r="L978" s="12">
        <v>195.71199999999999</v>
      </c>
      <c r="O978" s="13">
        <f t="shared" si="30"/>
        <v>0.83295171134055723</v>
      </c>
    </row>
    <row r="979" spans="1:15" x14ac:dyDescent="0.25">
      <c r="A979" s="12">
        <f t="shared" si="31"/>
        <v>5</v>
      </c>
      <c r="B979" s="12">
        <v>2023</v>
      </c>
      <c r="C979" s="12">
        <v>7258</v>
      </c>
      <c r="E979" s="12" t="s">
        <v>13</v>
      </c>
      <c r="F979" s="12" t="s">
        <v>14</v>
      </c>
      <c r="G979" s="14">
        <v>45052</v>
      </c>
      <c r="H979" s="12" t="s">
        <v>18</v>
      </c>
      <c r="I979" s="12" t="s">
        <v>19</v>
      </c>
      <c r="J979" s="12" t="s">
        <v>55</v>
      </c>
      <c r="K979" s="12">
        <v>234.96299999999999</v>
      </c>
      <c r="L979" s="12">
        <v>199.005</v>
      </c>
      <c r="O979" s="13">
        <f t="shared" si="30"/>
        <v>0.84696313887718488</v>
      </c>
    </row>
    <row r="980" spans="1:15" x14ac:dyDescent="0.25">
      <c r="A980" s="12">
        <f t="shared" si="31"/>
        <v>5</v>
      </c>
      <c r="B980" s="12">
        <v>2023</v>
      </c>
      <c r="C980" s="12">
        <v>7259</v>
      </c>
      <c r="E980" s="12" t="s">
        <v>13</v>
      </c>
      <c r="F980" s="12" t="s">
        <v>14</v>
      </c>
      <c r="G980" s="14">
        <v>45053</v>
      </c>
      <c r="H980" s="12" t="s">
        <v>18</v>
      </c>
      <c r="I980" s="12" t="s">
        <v>19</v>
      </c>
      <c r="J980" s="12" t="s">
        <v>55</v>
      </c>
      <c r="K980" s="12">
        <v>235.05500000000001</v>
      </c>
      <c r="L980" s="12">
        <v>199.3</v>
      </c>
      <c r="O980" s="13">
        <f t="shared" si="30"/>
        <v>0.84788666482312658</v>
      </c>
    </row>
    <row r="981" spans="1:15" x14ac:dyDescent="0.25">
      <c r="A981" s="12">
        <f t="shared" si="31"/>
        <v>5</v>
      </c>
      <c r="B981" s="12">
        <v>2023</v>
      </c>
      <c r="C981" s="12">
        <v>7260</v>
      </c>
      <c r="E981" s="12" t="s">
        <v>13</v>
      </c>
      <c r="F981" s="12" t="s">
        <v>14</v>
      </c>
      <c r="G981" s="14">
        <v>45054</v>
      </c>
      <c r="H981" s="12" t="s">
        <v>18</v>
      </c>
      <c r="I981" s="12" t="s">
        <v>19</v>
      </c>
      <c r="J981" s="12" t="s">
        <v>55</v>
      </c>
      <c r="K981" s="12">
        <v>235</v>
      </c>
      <c r="L981" s="12">
        <v>191.209</v>
      </c>
      <c r="O981" s="13">
        <f t="shared" si="30"/>
        <v>0.81365531914893618</v>
      </c>
    </row>
    <row r="982" spans="1:15" x14ac:dyDescent="0.25">
      <c r="A982" s="12">
        <f t="shared" si="31"/>
        <v>5</v>
      </c>
      <c r="B982" s="12">
        <v>2023</v>
      </c>
      <c r="C982" s="12">
        <v>7261</v>
      </c>
      <c r="E982" s="12" t="s">
        <v>13</v>
      </c>
      <c r="F982" s="12" t="s">
        <v>14</v>
      </c>
      <c r="G982" s="14">
        <v>45055</v>
      </c>
      <c r="H982" s="12" t="s">
        <v>18</v>
      </c>
      <c r="I982" s="12" t="s">
        <v>19</v>
      </c>
      <c r="J982" s="12" t="s">
        <v>55</v>
      </c>
      <c r="K982" s="12">
        <v>235</v>
      </c>
      <c r="L982" s="12">
        <v>209.84299999999999</v>
      </c>
      <c r="O982" s="13">
        <f t="shared" si="30"/>
        <v>0.89294893617021276</v>
      </c>
    </row>
    <row r="983" spans="1:15" x14ac:dyDescent="0.25">
      <c r="A983" s="12">
        <f t="shared" si="31"/>
        <v>5</v>
      </c>
      <c r="B983" s="12">
        <v>2023</v>
      </c>
      <c r="C983" s="12">
        <v>7262</v>
      </c>
      <c r="E983" s="12" t="s">
        <v>13</v>
      </c>
      <c r="F983" s="12" t="s">
        <v>14</v>
      </c>
      <c r="G983" s="14">
        <v>45056</v>
      </c>
      <c r="H983" s="12" t="s">
        <v>18</v>
      </c>
      <c r="I983" s="12" t="s">
        <v>20</v>
      </c>
      <c r="J983" s="12" t="s">
        <v>79</v>
      </c>
      <c r="K983" s="12">
        <v>235.001</v>
      </c>
      <c r="L983" s="12">
        <v>204.82</v>
      </c>
      <c r="O983" s="13">
        <f t="shared" si="30"/>
        <v>0.87157075927336469</v>
      </c>
    </row>
    <row r="984" spans="1:15" x14ac:dyDescent="0.25">
      <c r="A984" s="12">
        <f t="shared" si="31"/>
        <v>5</v>
      </c>
      <c r="B984" s="12">
        <v>2023</v>
      </c>
      <c r="C984" s="12">
        <v>7263</v>
      </c>
      <c r="E984" s="12" t="s">
        <v>13</v>
      </c>
      <c r="F984" s="12" t="s">
        <v>14</v>
      </c>
      <c r="G984" s="14">
        <v>45057</v>
      </c>
      <c r="H984" s="12" t="s">
        <v>18</v>
      </c>
      <c r="I984" s="12" t="s">
        <v>20</v>
      </c>
      <c r="J984" s="12" t="s">
        <v>79</v>
      </c>
      <c r="K984" s="12">
        <v>235.001</v>
      </c>
      <c r="L984" s="12">
        <v>195.96199999999999</v>
      </c>
      <c r="O984" s="13">
        <f t="shared" si="30"/>
        <v>0.83387730264977589</v>
      </c>
    </row>
    <row r="985" spans="1:15" x14ac:dyDescent="0.25">
      <c r="A985" s="12">
        <f t="shared" si="31"/>
        <v>5</v>
      </c>
      <c r="B985" s="12">
        <v>2023</v>
      </c>
      <c r="C985" s="12">
        <v>7264</v>
      </c>
      <c r="E985" s="12" t="s">
        <v>13</v>
      </c>
      <c r="F985" s="12" t="s">
        <v>14</v>
      </c>
      <c r="G985" s="14">
        <v>45058</v>
      </c>
      <c r="H985" s="12" t="s">
        <v>37</v>
      </c>
      <c r="I985" s="12" t="s">
        <v>20</v>
      </c>
      <c r="J985" s="12" t="s">
        <v>53</v>
      </c>
      <c r="K985" s="12">
        <v>235.005</v>
      </c>
      <c r="L985" s="12">
        <v>198.39500000000001</v>
      </c>
      <c r="O985" s="13">
        <f t="shared" si="30"/>
        <v>0.84421608050892538</v>
      </c>
    </row>
    <row r="986" spans="1:15" x14ac:dyDescent="0.25">
      <c r="A986" s="12">
        <f t="shared" si="31"/>
        <v>5</v>
      </c>
      <c r="B986" s="12">
        <v>2023</v>
      </c>
      <c r="C986" s="12">
        <v>7265</v>
      </c>
      <c r="E986" s="12" t="s">
        <v>13</v>
      </c>
      <c r="F986" s="12" t="s">
        <v>14</v>
      </c>
      <c r="G986" s="14">
        <v>45059</v>
      </c>
      <c r="H986" s="12" t="s">
        <v>37</v>
      </c>
      <c r="I986" s="12" t="s">
        <v>20</v>
      </c>
      <c r="J986" s="12" t="s">
        <v>53</v>
      </c>
      <c r="K986" s="12">
        <v>235.005</v>
      </c>
      <c r="L986" s="12">
        <v>195.911</v>
      </c>
      <c r="O986" s="13">
        <f t="shared" si="30"/>
        <v>0.83364609263632694</v>
      </c>
    </row>
    <row r="987" spans="1:15" x14ac:dyDescent="0.25">
      <c r="A987" s="12">
        <f t="shared" si="31"/>
        <v>5</v>
      </c>
      <c r="B987" s="12">
        <v>2023</v>
      </c>
      <c r="C987" s="12">
        <v>7266</v>
      </c>
      <c r="E987" s="12" t="s">
        <v>13</v>
      </c>
      <c r="F987" s="12" t="s">
        <v>14</v>
      </c>
      <c r="G987" s="14">
        <v>45060</v>
      </c>
      <c r="H987" s="12" t="s">
        <v>18</v>
      </c>
      <c r="I987" s="12" t="s">
        <v>19</v>
      </c>
      <c r="J987" s="12" t="s">
        <v>55</v>
      </c>
      <c r="K987" s="12">
        <v>235.072</v>
      </c>
      <c r="L987" s="12">
        <v>200.48099999999999</v>
      </c>
      <c r="O987" s="13">
        <f t="shared" si="30"/>
        <v>0.85284933977674926</v>
      </c>
    </row>
    <row r="988" spans="1:15" x14ac:dyDescent="0.25">
      <c r="A988" s="12">
        <f t="shared" si="31"/>
        <v>5</v>
      </c>
      <c r="B988" s="12">
        <v>2023</v>
      </c>
      <c r="C988" s="12">
        <v>7267</v>
      </c>
      <c r="E988" s="12" t="s">
        <v>13</v>
      </c>
      <c r="F988" s="12" t="s">
        <v>14</v>
      </c>
      <c r="G988" s="14">
        <v>45061</v>
      </c>
      <c r="H988" s="12" t="s">
        <v>18</v>
      </c>
      <c r="I988" s="12" t="s">
        <v>19</v>
      </c>
      <c r="J988" s="12" t="s">
        <v>55</v>
      </c>
      <c r="K988" s="12">
        <v>235</v>
      </c>
      <c r="L988" s="12">
        <v>192.15899999999999</v>
      </c>
      <c r="O988" s="13">
        <f t="shared" ref="O988:O1051" si="32">L988/K988</f>
        <v>0.81769787234042546</v>
      </c>
    </row>
    <row r="989" spans="1:15" x14ac:dyDescent="0.25">
      <c r="A989" s="12">
        <f t="shared" si="31"/>
        <v>5</v>
      </c>
      <c r="B989" s="12">
        <v>2023</v>
      </c>
      <c r="C989" s="12">
        <v>7268</v>
      </c>
      <c r="E989" s="12" t="s">
        <v>13</v>
      </c>
      <c r="F989" s="12" t="s">
        <v>14</v>
      </c>
      <c r="G989" s="14">
        <v>45062</v>
      </c>
      <c r="H989" s="12" t="s">
        <v>18</v>
      </c>
      <c r="I989" s="12" t="s">
        <v>19</v>
      </c>
      <c r="J989" s="12" t="s">
        <v>55</v>
      </c>
      <c r="K989" s="12">
        <v>234.999</v>
      </c>
      <c r="L989" s="12">
        <v>205.96799999999999</v>
      </c>
      <c r="O989" s="13">
        <f t="shared" si="32"/>
        <v>0.8764633040991664</v>
      </c>
    </row>
    <row r="990" spans="1:15" x14ac:dyDescent="0.25">
      <c r="A990" s="12">
        <f t="shared" si="31"/>
        <v>5</v>
      </c>
      <c r="B990" s="12">
        <v>2023</v>
      </c>
      <c r="C990" s="12">
        <v>7269</v>
      </c>
      <c r="E990" s="12" t="s">
        <v>13</v>
      </c>
      <c r="F990" s="12" t="s">
        <v>14</v>
      </c>
      <c r="G990" s="14">
        <v>45063</v>
      </c>
      <c r="H990" s="12" t="s">
        <v>18</v>
      </c>
      <c r="I990" s="12" t="s">
        <v>19</v>
      </c>
      <c r="J990" s="12" t="s">
        <v>55</v>
      </c>
      <c r="K990" s="12">
        <v>234.99799999999999</v>
      </c>
      <c r="L990" s="12">
        <v>188.61199999999999</v>
      </c>
      <c r="O990" s="13">
        <f t="shared" si="32"/>
        <v>0.80261108605179621</v>
      </c>
    </row>
    <row r="991" spans="1:15" x14ac:dyDescent="0.25">
      <c r="A991" s="12">
        <f t="shared" si="31"/>
        <v>5</v>
      </c>
      <c r="B991" s="12">
        <v>2023</v>
      </c>
      <c r="C991" s="12">
        <v>7270</v>
      </c>
      <c r="E991" s="12" t="s">
        <v>13</v>
      </c>
      <c r="F991" s="12" t="s">
        <v>14</v>
      </c>
      <c r="G991" s="14">
        <v>45064</v>
      </c>
      <c r="H991" s="12" t="s">
        <v>18</v>
      </c>
      <c r="I991" s="12" t="s">
        <v>19</v>
      </c>
      <c r="J991" s="12" t="s">
        <v>55</v>
      </c>
      <c r="K991" s="12">
        <v>234.999</v>
      </c>
      <c r="L991" s="12">
        <v>206.47300000000001</v>
      </c>
      <c r="O991" s="13">
        <f t="shared" si="32"/>
        <v>0.87861224941382732</v>
      </c>
    </row>
    <row r="992" spans="1:15" x14ac:dyDescent="0.25">
      <c r="A992" s="12">
        <f t="shared" si="31"/>
        <v>5</v>
      </c>
      <c r="B992" s="12">
        <v>2023</v>
      </c>
      <c r="C992" s="12">
        <v>7271</v>
      </c>
      <c r="E992" s="12" t="s">
        <v>13</v>
      </c>
      <c r="F992" s="12" t="s">
        <v>14</v>
      </c>
      <c r="G992" s="14">
        <v>45065</v>
      </c>
      <c r="H992" s="12" t="s">
        <v>37</v>
      </c>
      <c r="I992" s="12" t="s">
        <v>20</v>
      </c>
      <c r="J992" s="12" t="s">
        <v>56</v>
      </c>
      <c r="K992" s="12">
        <v>235.00700000000001</v>
      </c>
      <c r="L992" s="12">
        <v>189.38</v>
      </c>
      <c r="O992" s="13">
        <f t="shared" si="32"/>
        <v>0.80584833643253173</v>
      </c>
    </row>
    <row r="993" spans="1:15" x14ac:dyDescent="0.25">
      <c r="A993" s="12">
        <f t="shared" si="31"/>
        <v>5</v>
      </c>
      <c r="B993" s="12">
        <v>2023</v>
      </c>
      <c r="C993" s="12">
        <v>7272</v>
      </c>
      <c r="E993" s="12" t="s">
        <v>13</v>
      </c>
      <c r="F993" s="12" t="s">
        <v>14</v>
      </c>
      <c r="G993" s="14">
        <v>45066</v>
      </c>
      <c r="H993" s="12" t="s">
        <v>37</v>
      </c>
      <c r="I993" s="12" t="s">
        <v>20</v>
      </c>
      <c r="J993" s="12" t="s">
        <v>56</v>
      </c>
      <c r="K993" s="12">
        <v>235.00700000000001</v>
      </c>
      <c r="L993" s="12">
        <v>213.952</v>
      </c>
      <c r="O993" s="13">
        <f t="shared" si="32"/>
        <v>0.91040692404907086</v>
      </c>
    </row>
    <row r="994" spans="1:15" x14ac:dyDescent="0.25">
      <c r="A994" s="12">
        <f t="shared" si="31"/>
        <v>5</v>
      </c>
      <c r="B994" s="12">
        <v>2023</v>
      </c>
      <c r="C994" s="12">
        <v>7273</v>
      </c>
      <c r="E994" s="12" t="s">
        <v>13</v>
      </c>
      <c r="F994" s="12" t="s">
        <v>14</v>
      </c>
      <c r="G994" s="14">
        <v>45067</v>
      </c>
      <c r="H994" s="12" t="s">
        <v>38</v>
      </c>
      <c r="I994" s="12" t="s">
        <v>19</v>
      </c>
      <c r="J994" s="12" t="s">
        <v>55</v>
      </c>
      <c r="K994" s="12">
        <v>234.999</v>
      </c>
      <c r="L994" s="12">
        <v>200.17500000000001</v>
      </c>
      <c r="O994" s="13">
        <f t="shared" si="32"/>
        <v>0.85181213537078893</v>
      </c>
    </row>
    <row r="995" spans="1:15" x14ac:dyDescent="0.25">
      <c r="A995" s="12">
        <f t="shared" si="31"/>
        <v>5</v>
      </c>
      <c r="B995" s="12">
        <v>2023</v>
      </c>
      <c r="C995" s="12">
        <v>7274</v>
      </c>
      <c r="E995" s="12" t="s">
        <v>13</v>
      </c>
      <c r="F995" s="12" t="s">
        <v>14</v>
      </c>
      <c r="G995" s="14">
        <v>45068</v>
      </c>
      <c r="H995" s="12" t="s">
        <v>38</v>
      </c>
      <c r="I995" s="12" t="s">
        <v>19</v>
      </c>
      <c r="J995" s="12" t="s">
        <v>55</v>
      </c>
      <c r="K995" s="12">
        <v>235</v>
      </c>
      <c r="L995" s="12">
        <v>203.16800000000001</v>
      </c>
      <c r="O995" s="13">
        <f t="shared" si="32"/>
        <v>0.86454468085106384</v>
      </c>
    </row>
    <row r="996" spans="1:15" x14ac:dyDescent="0.25">
      <c r="A996" s="12">
        <f t="shared" si="31"/>
        <v>5</v>
      </c>
      <c r="B996" s="12">
        <v>2023</v>
      </c>
      <c r="C996" s="12">
        <v>7275</v>
      </c>
      <c r="E996" s="12" t="s">
        <v>13</v>
      </c>
      <c r="F996" s="12" t="s">
        <v>14</v>
      </c>
      <c r="G996" s="14">
        <v>45069</v>
      </c>
      <c r="H996" s="12" t="s">
        <v>38</v>
      </c>
      <c r="I996" s="12" t="s">
        <v>19</v>
      </c>
      <c r="J996" s="12" t="s">
        <v>55</v>
      </c>
      <c r="K996" s="12">
        <v>234.999</v>
      </c>
      <c r="L996" s="12">
        <v>186.4</v>
      </c>
      <c r="O996" s="13">
        <f t="shared" si="32"/>
        <v>0.79319486465899858</v>
      </c>
    </row>
    <row r="997" spans="1:15" x14ac:dyDescent="0.25">
      <c r="A997" s="12">
        <f t="shared" si="31"/>
        <v>5</v>
      </c>
      <c r="B997" s="12">
        <v>2023</v>
      </c>
      <c r="C997" s="12">
        <v>7276</v>
      </c>
      <c r="E997" s="12" t="s">
        <v>13</v>
      </c>
      <c r="F997" s="12" t="s">
        <v>14</v>
      </c>
      <c r="G997" s="14">
        <v>45070</v>
      </c>
      <c r="H997" s="12" t="s">
        <v>38</v>
      </c>
      <c r="I997" s="12" t="s">
        <v>19</v>
      </c>
      <c r="J997" s="12" t="s">
        <v>55</v>
      </c>
      <c r="K997" s="12">
        <v>235</v>
      </c>
      <c r="L997" s="12">
        <v>216.95400000000001</v>
      </c>
      <c r="O997" s="13">
        <f t="shared" si="32"/>
        <v>0.9232085106382979</v>
      </c>
    </row>
    <row r="998" spans="1:15" x14ac:dyDescent="0.25">
      <c r="A998" s="12">
        <f t="shared" si="31"/>
        <v>5</v>
      </c>
      <c r="B998" s="12">
        <v>2023</v>
      </c>
      <c r="C998" s="12">
        <v>7277</v>
      </c>
      <c r="E998" s="12" t="s">
        <v>13</v>
      </c>
      <c r="F998" s="12" t="s">
        <v>14</v>
      </c>
      <c r="G998" s="14">
        <v>45071</v>
      </c>
      <c r="H998" s="12" t="s">
        <v>38</v>
      </c>
      <c r="I998" s="12" t="s">
        <v>19</v>
      </c>
      <c r="J998" s="12" t="s">
        <v>55</v>
      </c>
      <c r="K998" s="12">
        <v>234.999</v>
      </c>
      <c r="L998" s="12">
        <v>193.28800000000001</v>
      </c>
      <c r="O998" s="13">
        <f t="shared" si="32"/>
        <v>0.82250562768352209</v>
      </c>
    </row>
    <row r="999" spans="1:15" x14ac:dyDescent="0.25">
      <c r="A999" s="12">
        <f t="shared" si="31"/>
        <v>5</v>
      </c>
      <c r="B999" s="12">
        <v>2023</v>
      </c>
      <c r="C999" s="12">
        <v>7278</v>
      </c>
      <c r="E999" s="12" t="s">
        <v>13</v>
      </c>
      <c r="F999" s="12" t="s">
        <v>14</v>
      </c>
      <c r="G999" s="14">
        <v>45072</v>
      </c>
      <c r="H999" s="12" t="s">
        <v>18</v>
      </c>
      <c r="I999" s="12" t="s">
        <v>19</v>
      </c>
      <c r="J999" s="12" t="s">
        <v>55</v>
      </c>
      <c r="K999" s="12">
        <v>235.006</v>
      </c>
      <c r="L999" s="12">
        <v>198.74600000000001</v>
      </c>
      <c r="O999" s="13">
        <f t="shared" si="32"/>
        <v>0.84570606707913842</v>
      </c>
    </row>
    <row r="1000" spans="1:15" x14ac:dyDescent="0.25">
      <c r="A1000" s="12">
        <f t="shared" si="31"/>
        <v>5</v>
      </c>
      <c r="B1000" s="12">
        <v>2023</v>
      </c>
      <c r="C1000" s="12">
        <v>7279</v>
      </c>
      <c r="E1000" s="12" t="s">
        <v>13</v>
      </c>
      <c r="F1000" s="12" t="s">
        <v>14</v>
      </c>
      <c r="G1000" s="14">
        <v>45073</v>
      </c>
      <c r="H1000" s="12" t="s">
        <v>18</v>
      </c>
      <c r="I1000" s="12" t="s">
        <v>19</v>
      </c>
      <c r="J1000" s="12" t="s">
        <v>55</v>
      </c>
      <c r="K1000" s="12">
        <v>235</v>
      </c>
      <c r="L1000" s="12">
        <v>197.934</v>
      </c>
      <c r="O1000" s="13">
        <f t="shared" si="32"/>
        <v>0.8422723404255319</v>
      </c>
    </row>
    <row r="1001" spans="1:15" x14ac:dyDescent="0.25">
      <c r="A1001" s="12">
        <f t="shared" si="31"/>
        <v>5</v>
      </c>
      <c r="B1001" s="12">
        <v>2023</v>
      </c>
      <c r="C1001" s="12">
        <v>7280</v>
      </c>
      <c r="E1001" s="12" t="s">
        <v>13</v>
      </c>
      <c r="F1001" s="12" t="s">
        <v>14</v>
      </c>
      <c r="G1001" s="14">
        <v>45074</v>
      </c>
      <c r="H1001" s="12" t="s">
        <v>18</v>
      </c>
      <c r="I1001" s="12" t="s">
        <v>19</v>
      </c>
      <c r="J1001" s="12" t="s">
        <v>55</v>
      </c>
      <c r="K1001" s="12">
        <v>235</v>
      </c>
      <c r="L1001" s="12">
        <v>199.64699999999999</v>
      </c>
      <c r="O1001" s="13">
        <f t="shared" si="32"/>
        <v>0.84956170212765958</v>
      </c>
    </row>
    <row r="1002" spans="1:15" x14ac:dyDescent="0.25">
      <c r="A1002" s="12">
        <f t="shared" si="31"/>
        <v>5</v>
      </c>
      <c r="B1002" s="12">
        <v>2023</v>
      </c>
      <c r="C1002" s="12">
        <v>7281</v>
      </c>
      <c r="E1002" s="12" t="s">
        <v>13</v>
      </c>
      <c r="F1002" s="12" t="s">
        <v>14</v>
      </c>
      <c r="G1002" s="14">
        <v>45075</v>
      </c>
      <c r="H1002" s="12" t="s">
        <v>18</v>
      </c>
      <c r="I1002" s="12" t="s">
        <v>19</v>
      </c>
      <c r="J1002" s="12" t="s">
        <v>55</v>
      </c>
      <c r="K1002" s="12">
        <v>235</v>
      </c>
      <c r="L1002" s="12">
        <v>198.40299999999999</v>
      </c>
      <c r="O1002" s="13">
        <f t="shared" si="32"/>
        <v>0.84426808510638296</v>
      </c>
    </row>
    <row r="1003" spans="1:15" x14ac:dyDescent="0.25">
      <c r="A1003" s="12">
        <f t="shared" si="31"/>
        <v>5</v>
      </c>
      <c r="B1003" s="12">
        <v>2023</v>
      </c>
      <c r="C1003" s="12">
        <v>7282</v>
      </c>
      <c r="E1003" s="12" t="s">
        <v>13</v>
      </c>
      <c r="F1003" s="12" t="s">
        <v>14</v>
      </c>
      <c r="G1003" s="14">
        <v>45076</v>
      </c>
      <c r="H1003" s="12" t="s">
        <v>18</v>
      </c>
      <c r="I1003" s="12" t="s">
        <v>19</v>
      </c>
      <c r="J1003" s="12" t="s">
        <v>55</v>
      </c>
      <c r="K1003" s="12">
        <v>234.999</v>
      </c>
      <c r="L1003" s="12">
        <v>196.517</v>
      </c>
      <c r="O1003" s="13">
        <f t="shared" si="32"/>
        <v>0.83624611168558161</v>
      </c>
    </row>
    <row r="1004" spans="1:15" x14ac:dyDescent="0.25">
      <c r="A1004" s="12">
        <f t="shared" si="31"/>
        <v>5</v>
      </c>
      <c r="B1004" s="12">
        <v>2023</v>
      </c>
      <c r="C1004" s="12">
        <v>7283</v>
      </c>
      <c r="E1004" s="12" t="s">
        <v>13</v>
      </c>
      <c r="F1004" s="12" t="s">
        <v>14</v>
      </c>
      <c r="G1004" s="14">
        <v>45077</v>
      </c>
      <c r="H1004" s="12" t="s">
        <v>17</v>
      </c>
      <c r="I1004" s="12" t="s">
        <v>20</v>
      </c>
      <c r="J1004" s="12" t="s">
        <v>80</v>
      </c>
      <c r="K1004" s="12">
        <v>230.00899999999999</v>
      </c>
      <c r="L1004" s="12">
        <v>199.952</v>
      </c>
      <c r="O1004" s="13">
        <f t="shared" si="32"/>
        <v>0.86932250477155248</v>
      </c>
    </row>
    <row r="1005" spans="1:15" x14ac:dyDescent="0.25">
      <c r="A1005" s="12">
        <f t="shared" si="31"/>
        <v>6</v>
      </c>
      <c r="B1005" s="12">
        <v>2023</v>
      </c>
      <c r="C1005" s="12">
        <v>7284</v>
      </c>
      <c r="E1005" s="12" t="s">
        <v>13</v>
      </c>
      <c r="F1005" s="12" t="s">
        <v>14</v>
      </c>
      <c r="G1005" s="14">
        <v>45078</v>
      </c>
      <c r="H1005" s="12" t="s">
        <v>17</v>
      </c>
      <c r="I1005" s="12" t="s">
        <v>19</v>
      </c>
      <c r="J1005" s="12" t="s">
        <v>55</v>
      </c>
      <c r="K1005" s="12">
        <v>230</v>
      </c>
      <c r="L1005" s="12">
        <v>196.65199999999999</v>
      </c>
      <c r="O1005" s="13">
        <f t="shared" si="32"/>
        <v>0.85500869565217386</v>
      </c>
    </row>
    <row r="1006" spans="1:15" x14ac:dyDescent="0.25">
      <c r="A1006" s="12">
        <f t="shared" si="31"/>
        <v>6</v>
      </c>
      <c r="B1006" s="12">
        <v>2023</v>
      </c>
      <c r="C1006" s="12">
        <v>7285</v>
      </c>
      <c r="E1006" s="12" t="s">
        <v>13</v>
      </c>
      <c r="F1006" s="12" t="s">
        <v>14</v>
      </c>
      <c r="G1006" s="14">
        <v>45079</v>
      </c>
      <c r="H1006" s="12" t="s">
        <v>17</v>
      </c>
      <c r="I1006" s="12" t="s">
        <v>19</v>
      </c>
      <c r="J1006" s="12" t="s">
        <v>55</v>
      </c>
      <c r="K1006" s="12">
        <v>229.999</v>
      </c>
      <c r="L1006" s="12">
        <v>195.434</v>
      </c>
      <c r="O1006" s="13">
        <f t="shared" si="32"/>
        <v>0.84971673789886049</v>
      </c>
    </row>
    <row r="1007" spans="1:15" x14ac:dyDescent="0.25">
      <c r="A1007" s="12">
        <f t="shared" si="31"/>
        <v>6</v>
      </c>
      <c r="B1007" s="12">
        <v>2023</v>
      </c>
      <c r="C1007" s="12">
        <v>7286</v>
      </c>
      <c r="E1007" s="12" t="s">
        <v>13</v>
      </c>
      <c r="F1007" s="12" t="s">
        <v>14</v>
      </c>
      <c r="G1007" s="14">
        <v>45080</v>
      </c>
      <c r="H1007" s="12" t="s">
        <v>17</v>
      </c>
      <c r="I1007" s="12" t="s">
        <v>19</v>
      </c>
      <c r="J1007" s="12" t="s">
        <v>55</v>
      </c>
      <c r="K1007" s="12">
        <v>230.00800000000001</v>
      </c>
      <c r="L1007" s="12">
        <v>204.15600000000001</v>
      </c>
      <c r="O1007" s="13">
        <f t="shared" si="32"/>
        <v>0.88760390942923728</v>
      </c>
    </row>
    <row r="1008" spans="1:15" x14ac:dyDescent="0.25">
      <c r="A1008" s="12">
        <f t="shared" si="31"/>
        <v>6</v>
      </c>
      <c r="B1008" s="12">
        <v>2023</v>
      </c>
      <c r="C1008" s="12">
        <v>7287</v>
      </c>
      <c r="E1008" s="12" t="s">
        <v>13</v>
      </c>
      <c r="F1008" s="12" t="s">
        <v>14</v>
      </c>
      <c r="G1008" s="14">
        <v>45081</v>
      </c>
      <c r="H1008" s="12" t="s">
        <v>17</v>
      </c>
      <c r="I1008" s="12" t="s">
        <v>19</v>
      </c>
      <c r="J1008" s="12" t="s">
        <v>55</v>
      </c>
      <c r="K1008" s="12">
        <v>230.00800000000001</v>
      </c>
      <c r="L1008" s="12">
        <v>187.363</v>
      </c>
      <c r="O1008" s="13">
        <f t="shared" si="32"/>
        <v>0.81459340544676706</v>
      </c>
    </row>
    <row r="1009" spans="1:15" x14ac:dyDescent="0.25">
      <c r="A1009" s="12">
        <f t="shared" si="31"/>
        <v>6</v>
      </c>
      <c r="B1009" s="12">
        <v>2023</v>
      </c>
      <c r="C1009" s="12">
        <v>7288</v>
      </c>
      <c r="E1009" s="12" t="s">
        <v>13</v>
      </c>
      <c r="F1009" s="12" t="s">
        <v>14</v>
      </c>
      <c r="G1009" s="14">
        <v>45082</v>
      </c>
      <c r="H1009" s="12" t="s">
        <v>17</v>
      </c>
      <c r="I1009" s="12" t="s">
        <v>19</v>
      </c>
      <c r="J1009" s="12" t="s">
        <v>55</v>
      </c>
      <c r="K1009" s="12">
        <v>230.00800000000001</v>
      </c>
      <c r="L1009" s="12">
        <v>196.27199999999999</v>
      </c>
      <c r="O1009" s="13">
        <f t="shared" si="32"/>
        <v>0.85332684080553711</v>
      </c>
    </row>
    <row r="1010" spans="1:15" x14ac:dyDescent="0.25">
      <c r="A1010" s="12">
        <f t="shared" si="31"/>
        <v>6</v>
      </c>
      <c r="B1010" s="12">
        <v>2023</v>
      </c>
      <c r="C1010" s="12">
        <v>7289</v>
      </c>
      <c r="E1010" s="12" t="s">
        <v>13</v>
      </c>
      <c r="F1010" s="12" t="s">
        <v>14</v>
      </c>
      <c r="G1010" s="14">
        <v>45083</v>
      </c>
      <c r="H1010" s="12" t="s">
        <v>18</v>
      </c>
      <c r="I1010" s="12" t="s">
        <v>20</v>
      </c>
      <c r="J1010" s="12" t="s">
        <v>48</v>
      </c>
      <c r="K1010" s="12">
        <v>230.036</v>
      </c>
      <c r="L1010" s="12">
        <v>196.73</v>
      </c>
      <c r="O1010" s="13">
        <f t="shared" si="32"/>
        <v>0.85521396650958981</v>
      </c>
    </row>
    <row r="1011" spans="1:15" x14ac:dyDescent="0.25">
      <c r="A1011" s="12">
        <f t="shared" si="31"/>
        <v>6</v>
      </c>
      <c r="B1011" s="12">
        <v>2023</v>
      </c>
      <c r="C1011" s="12">
        <v>7290</v>
      </c>
      <c r="E1011" s="12" t="s">
        <v>13</v>
      </c>
      <c r="F1011" s="12" t="s">
        <v>14</v>
      </c>
      <c r="G1011" s="14">
        <v>45084</v>
      </c>
      <c r="H1011" s="12" t="s">
        <v>52</v>
      </c>
      <c r="I1011" s="12" t="s">
        <v>20</v>
      </c>
      <c r="J1011" s="12" t="s">
        <v>53</v>
      </c>
      <c r="K1011" s="12">
        <v>229.95099999999999</v>
      </c>
      <c r="L1011" s="12">
        <v>192.68100000000001</v>
      </c>
      <c r="O1011" s="13">
        <f t="shared" si="32"/>
        <v>0.83792199207657292</v>
      </c>
    </row>
    <row r="1012" spans="1:15" x14ac:dyDescent="0.25">
      <c r="A1012" s="12">
        <f t="shared" si="31"/>
        <v>6</v>
      </c>
      <c r="B1012" s="12">
        <v>2023</v>
      </c>
      <c r="C1012" s="12">
        <v>7291</v>
      </c>
      <c r="E1012" s="12" t="s">
        <v>13</v>
      </c>
      <c r="F1012" s="12" t="s">
        <v>14</v>
      </c>
      <c r="G1012" s="14">
        <v>45085</v>
      </c>
      <c r="H1012" s="12" t="s">
        <v>51</v>
      </c>
      <c r="I1012" s="12" t="s">
        <v>19</v>
      </c>
      <c r="J1012" s="12" t="s">
        <v>54</v>
      </c>
      <c r="K1012" s="12">
        <v>230.01</v>
      </c>
      <c r="L1012" s="12">
        <v>196.566</v>
      </c>
      <c r="O1012" s="13">
        <f t="shared" si="32"/>
        <v>0.85459762619016566</v>
      </c>
    </row>
    <row r="1013" spans="1:15" x14ac:dyDescent="0.25">
      <c r="A1013" s="12">
        <f t="shared" si="31"/>
        <v>6</v>
      </c>
      <c r="B1013" s="12">
        <v>2023</v>
      </c>
      <c r="C1013" s="12">
        <v>7292</v>
      </c>
      <c r="E1013" s="12" t="s">
        <v>13</v>
      </c>
      <c r="F1013" s="12" t="s">
        <v>14</v>
      </c>
      <c r="G1013" s="14">
        <v>45086</v>
      </c>
      <c r="H1013" s="12" t="s">
        <v>51</v>
      </c>
      <c r="I1013" s="12" t="s">
        <v>19</v>
      </c>
      <c r="J1013" s="12" t="s">
        <v>54</v>
      </c>
      <c r="K1013" s="12">
        <v>230.011</v>
      </c>
      <c r="L1013" s="12">
        <v>197.87299999999999</v>
      </c>
      <c r="O1013" s="13">
        <f t="shared" si="32"/>
        <v>0.86027624765772071</v>
      </c>
    </row>
    <row r="1014" spans="1:15" x14ac:dyDescent="0.25">
      <c r="A1014" s="12">
        <f t="shared" si="31"/>
        <v>6</v>
      </c>
      <c r="B1014" s="12">
        <v>2023</v>
      </c>
      <c r="C1014" s="12">
        <v>7293</v>
      </c>
      <c r="E1014" s="12" t="s">
        <v>13</v>
      </c>
      <c r="F1014" s="12" t="s">
        <v>14</v>
      </c>
      <c r="G1014" s="14">
        <v>45087</v>
      </c>
      <c r="H1014" s="12" t="s">
        <v>18</v>
      </c>
      <c r="I1014" s="12" t="s">
        <v>19</v>
      </c>
      <c r="J1014" s="12" t="s">
        <v>55</v>
      </c>
      <c r="K1014" s="12">
        <v>230.01</v>
      </c>
      <c r="L1014" s="12">
        <v>191.73500000000001</v>
      </c>
      <c r="O1014" s="13">
        <f t="shared" si="32"/>
        <v>0.83359419155688896</v>
      </c>
    </row>
    <row r="1015" spans="1:15" x14ac:dyDescent="0.25">
      <c r="A1015" s="12">
        <f t="shared" si="31"/>
        <v>6</v>
      </c>
      <c r="B1015" s="12">
        <v>2023</v>
      </c>
      <c r="C1015" s="12">
        <v>7294</v>
      </c>
      <c r="E1015" s="12" t="s">
        <v>13</v>
      </c>
      <c r="F1015" s="12" t="s">
        <v>14</v>
      </c>
      <c r="G1015" s="14">
        <v>45088</v>
      </c>
      <c r="H1015" s="12" t="s">
        <v>18</v>
      </c>
      <c r="I1015" s="12" t="s">
        <v>19</v>
      </c>
      <c r="J1015" s="12" t="s">
        <v>55</v>
      </c>
      <c r="K1015" s="12">
        <v>230.00399999999999</v>
      </c>
      <c r="L1015" s="12">
        <v>196.33099999999999</v>
      </c>
      <c r="O1015" s="13">
        <f t="shared" si="32"/>
        <v>0.85359819829220362</v>
      </c>
    </row>
    <row r="1016" spans="1:15" x14ac:dyDescent="0.25">
      <c r="A1016" s="12">
        <f t="shared" si="31"/>
        <v>6</v>
      </c>
      <c r="B1016" s="12">
        <v>2023</v>
      </c>
      <c r="C1016" s="12">
        <v>7295</v>
      </c>
      <c r="E1016" s="12" t="s">
        <v>13</v>
      </c>
      <c r="F1016" s="12" t="s">
        <v>14</v>
      </c>
      <c r="G1016" s="14">
        <v>45089</v>
      </c>
      <c r="H1016" s="12" t="s">
        <v>18</v>
      </c>
      <c r="I1016" s="12" t="s">
        <v>19</v>
      </c>
      <c r="J1016" s="12" t="s">
        <v>55</v>
      </c>
      <c r="K1016" s="12">
        <v>230.005</v>
      </c>
      <c r="L1016" s="12">
        <v>196.67599999999999</v>
      </c>
      <c r="O1016" s="13">
        <f t="shared" si="32"/>
        <v>0.85509445446838106</v>
      </c>
    </row>
    <row r="1017" spans="1:15" x14ac:dyDescent="0.25">
      <c r="A1017" s="12">
        <f t="shared" si="31"/>
        <v>6</v>
      </c>
      <c r="B1017" s="12">
        <v>2023</v>
      </c>
      <c r="C1017" s="12">
        <v>7296</v>
      </c>
      <c r="E1017" s="12" t="s">
        <v>13</v>
      </c>
      <c r="F1017" s="12" t="s">
        <v>14</v>
      </c>
      <c r="G1017" s="14">
        <v>45090</v>
      </c>
      <c r="H1017" s="12" t="s">
        <v>18</v>
      </c>
      <c r="I1017" s="12" t="s">
        <v>19</v>
      </c>
      <c r="J1017" s="12" t="s">
        <v>55</v>
      </c>
      <c r="K1017" s="12">
        <v>230.00399999999999</v>
      </c>
      <c r="L1017" s="12">
        <v>190.97399999999999</v>
      </c>
      <c r="O1017" s="13">
        <f t="shared" si="32"/>
        <v>0.83030729900349554</v>
      </c>
    </row>
    <row r="1018" spans="1:15" x14ac:dyDescent="0.25">
      <c r="A1018" s="12">
        <f t="shared" si="31"/>
        <v>6</v>
      </c>
      <c r="B1018" s="12">
        <v>2023</v>
      </c>
      <c r="C1018" s="12">
        <v>7297</v>
      </c>
      <c r="E1018" s="12" t="s">
        <v>13</v>
      </c>
      <c r="F1018" s="12" t="s">
        <v>14</v>
      </c>
      <c r="G1018" s="14">
        <v>45091</v>
      </c>
      <c r="H1018" s="12" t="s">
        <v>18</v>
      </c>
      <c r="I1018" s="12" t="s">
        <v>19</v>
      </c>
      <c r="J1018" s="12" t="s">
        <v>55</v>
      </c>
      <c r="K1018" s="12">
        <v>230.00399999999999</v>
      </c>
      <c r="L1018" s="12">
        <v>197.624</v>
      </c>
      <c r="O1018" s="13">
        <f t="shared" si="32"/>
        <v>0.85921983965496251</v>
      </c>
    </row>
    <row r="1019" spans="1:15" x14ac:dyDescent="0.25">
      <c r="A1019" s="12">
        <f t="shared" si="31"/>
        <v>6</v>
      </c>
      <c r="B1019" s="12">
        <v>2023</v>
      </c>
      <c r="C1019" s="12">
        <v>7298</v>
      </c>
      <c r="E1019" s="12" t="s">
        <v>13</v>
      </c>
      <c r="F1019" s="12" t="s">
        <v>14</v>
      </c>
      <c r="G1019" s="14">
        <v>45092</v>
      </c>
      <c r="H1019" s="12" t="s">
        <v>18</v>
      </c>
      <c r="I1019" s="12" t="s">
        <v>20</v>
      </c>
      <c r="J1019" s="12" t="s">
        <v>56</v>
      </c>
      <c r="K1019" s="12">
        <v>230.017</v>
      </c>
      <c r="L1019" s="12">
        <v>196.54599999999999</v>
      </c>
      <c r="O1019" s="13">
        <f t="shared" si="32"/>
        <v>0.85448466852450033</v>
      </c>
    </row>
    <row r="1020" spans="1:15" x14ac:dyDescent="0.25">
      <c r="A1020" s="12">
        <f t="shared" si="31"/>
        <v>6</v>
      </c>
      <c r="B1020" s="12">
        <v>2023</v>
      </c>
      <c r="C1020" s="12">
        <v>7299</v>
      </c>
      <c r="E1020" s="12" t="s">
        <v>13</v>
      </c>
      <c r="F1020" s="12" t="s">
        <v>14</v>
      </c>
      <c r="G1020" s="14">
        <v>45093</v>
      </c>
      <c r="H1020" s="12" t="s">
        <v>18</v>
      </c>
      <c r="I1020" s="12" t="s">
        <v>20</v>
      </c>
      <c r="J1020" s="12" t="s">
        <v>56</v>
      </c>
      <c r="K1020" s="12">
        <v>230.017</v>
      </c>
      <c r="L1020" s="12">
        <v>193.14</v>
      </c>
      <c r="O1020" s="13">
        <f t="shared" si="32"/>
        <v>0.83967706734719605</v>
      </c>
    </row>
    <row r="1021" spans="1:15" x14ac:dyDescent="0.25">
      <c r="A1021" s="12">
        <f t="shared" si="31"/>
        <v>6</v>
      </c>
      <c r="B1021" s="12">
        <v>2023</v>
      </c>
      <c r="C1021" s="12">
        <v>7300</v>
      </c>
      <c r="E1021" s="12" t="s">
        <v>13</v>
      </c>
      <c r="F1021" s="12" t="s">
        <v>14</v>
      </c>
      <c r="G1021" s="14">
        <v>45094</v>
      </c>
      <c r="H1021" s="12" t="s">
        <v>18</v>
      </c>
      <c r="I1021" s="12" t="s">
        <v>19</v>
      </c>
      <c r="J1021" s="12" t="s">
        <v>55</v>
      </c>
      <c r="K1021" s="12">
        <v>230.006</v>
      </c>
      <c r="L1021" s="12">
        <v>193.54499999999999</v>
      </c>
      <c r="O1021" s="13">
        <f t="shared" si="32"/>
        <v>0.84147804839873741</v>
      </c>
    </row>
    <row r="1022" spans="1:15" x14ac:dyDescent="0.25">
      <c r="A1022" s="12">
        <f t="shared" si="31"/>
        <v>6</v>
      </c>
      <c r="B1022" s="12">
        <v>2023</v>
      </c>
      <c r="C1022" s="12">
        <v>7301</v>
      </c>
      <c r="E1022" s="12" t="s">
        <v>13</v>
      </c>
      <c r="F1022" s="12" t="s">
        <v>14</v>
      </c>
      <c r="G1022" s="14">
        <v>45095</v>
      </c>
      <c r="H1022" s="12" t="s">
        <v>18</v>
      </c>
      <c r="I1022" s="12" t="s">
        <v>19</v>
      </c>
      <c r="J1022" s="12" t="s">
        <v>55</v>
      </c>
      <c r="K1022" s="12">
        <v>230.00399999999999</v>
      </c>
      <c r="L1022" s="12">
        <v>193.53200000000001</v>
      </c>
      <c r="O1022" s="13">
        <f t="shared" si="32"/>
        <v>0.8414288447157442</v>
      </c>
    </row>
    <row r="1023" spans="1:15" x14ac:dyDescent="0.25">
      <c r="A1023" s="12">
        <f t="shared" si="31"/>
        <v>6</v>
      </c>
      <c r="B1023" s="12">
        <v>2023</v>
      </c>
      <c r="C1023" s="12">
        <v>7302</v>
      </c>
      <c r="E1023" s="12" t="s">
        <v>13</v>
      </c>
      <c r="F1023" s="12" t="s">
        <v>14</v>
      </c>
      <c r="G1023" s="14">
        <v>45096</v>
      </c>
      <c r="H1023" s="12" t="s">
        <v>18</v>
      </c>
      <c r="I1023" s="12" t="s">
        <v>19</v>
      </c>
      <c r="J1023" s="12" t="s">
        <v>55</v>
      </c>
      <c r="K1023" s="12">
        <v>230.00399999999999</v>
      </c>
      <c r="L1023" s="12">
        <v>195.23099999999999</v>
      </c>
      <c r="O1023" s="13">
        <f t="shared" si="32"/>
        <v>0.8488156727709083</v>
      </c>
    </row>
    <row r="1024" spans="1:15" x14ac:dyDescent="0.25">
      <c r="A1024" s="12">
        <f t="shared" si="31"/>
        <v>6</v>
      </c>
      <c r="B1024" s="12">
        <v>2023</v>
      </c>
      <c r="C1024" s="12">
        <v>7303</v>
      </c>
      <c r="E1024" s="12" t="s">
        <v>13</v>
      </c>
      <c r="F1024" s="12" t="s">
        <v>14</v>
      </c>
      <c r="G1024" s="14">
        <v>45097</v>
      </c>
      <c r="H1024" s="12" t="s">
        <v>18</v>
      </c>
      <c r="I1024" s="12" t="s">
        <v>19</v>
      </c>
      <c r="J1024" s="12" t="s">
        <v>55</v>
      </c>
      <c r="K1024" s="12">
        <v>229.965</v>
      </c>
      <c r="L1024" s="12">
        <v>194.578</v>
      </c>
      <c r="O1024" s="13">
        <f t="shared" si="32"/>
        <v>0.84612006174852694</v>
      </c>
    </row>
    <row r="1025" spans="1:15" x14ac:dyDescent="0.25">
      <c r="A1025" s="12">
        <f t="shared" si="31"/>
        <v>6</v>
      </c>
      <c r="B1025" s="12">
        <v>2023</v>
      </c>
      <c r="C1025" s="12">
        <v>7304</v>
      </c>
      <c r="E1025" s="12" t="s">
        <v>13</v>
      </c>
      <c r="F1025" s="12" t="s">
        <v>14</v>
      </c>
      <c r="G1025" s="14">
        <v>45098</v>
      </c>
      <c r="H1025" s="12" t="s">
        <v>18</v>
      </c>
      <c r="I1025" s="12" t="s">
        <v>19</v>
      </c>
      <c r="J1025" s="12" t="s">
        <v>55</v>
      </c>
      <c r="K1025" s="12">
        <v>229.965</v>
      </c>
      <c r="L1025" s="12">
        <v>194.76400000000001</v>
      </c>
      <c r="O1025" s="13">
        <f t="shared" si="32"/>
        <v>0.84692888048181247</v>
      </c>
    </row>
    <row r="1026" spans="1:15" x14ac:dyDescent="0.25">
      <c r="A1026" s="12">
        <f t="shared" ref="A1026:A1089" si="33">MONTH(G1026)</f>
        <v>6</v>
      </c>
      <c r="B1026" s="12">
        <v>2023</v>
      </c>
      <c r="C1026" s="12">
        <v>7305</v>
      </c>
      <c r="E1026" s="12" t="s">
        <v>13</v>
      </c>
      <c r="F1026" s="12" t="s">
        <v>14</v>
      </c>
      <c r="G1026" s="14">
        <v>45099</v>
      </c>
      <c r="H1026" s="12" t="s">
        <v>38</v>
      </c>
      <c r="I1026" s="12" t="s">
        <v>19</v>
      </c>
      <c r="J1026" s="12" t="s">
        <v>55</v>
      </c>
      <c r="K1026" s="12">
        <v>229.99700000000001</v>
      </c>
      <c r="L1026" s="12">
        <v>191.88300000000001</v>
      </c>
      <c r="O1026" s="13">
        <f t="shared" si="32"/>
        <v>0.83428479501906549</v>
      </c>
    </row>
    <row r="1027" spans="1:15" x14ac:dyDescent="0.25">
      <c r="A1027" s="12">
        <f t="shared" si="33"/>
        <v>6</v>
      </c>
      <c r="B1027" s="12">
        <v>2023</v>
      </c>
      <c r="C1027" s="12">
        <v>7306</v>
      </c>
      <c r="E1027" s="12" t="s">
        <v>13</v>
      </c>
      <c r="F1027" s="12" t="s">
        <v>14</v>
      </c>
      <c r="G1027" s="14">
        <v>45100</v>
      </c>
      <c r="H1027" s="12" t="s">
        <v>38</v>
      </c>
      <c r="I1027" s="12" t="s">
        <v>19</v>
      </c>
      <c r="J1027" s="12" t="s">
        <v>55</v>
      </c>
      <c r="K1027" s="12">
        <v>229.98</v>
      </c>
      <c r="L1027" s="12">
        <v>196.95699999999999</v>
      </c>
      <c r="O1027" s="13">
        <f t="shared" si="32"/>
        <v>0.85640925297851989</v>
      </c>
    </row>
    <row r="1028" spans="1:15" x14ac:dyDescent="0.25">
      <c r="A1028" s="12">
        <f t="shared" si="33"/>
        <v>6</v>
      </c>
      <c r="B1028" s="12">
        <v>2023</v>
      </c>
      <c r="C1028" s="12">
        <v>7307</v>
      </c>
      <c r="E1028" s="12" t="s">
        <v>13</v>
      </c>
      <c r="F1028" s="12" t="s">
        <v>14</v>
      </c>
      <c r="G1028" s="14">
        <v>45101</v>
      </c>
      <c r="H1028" s="12" t="s">
        <v>38</v>
      </c>
      <c r="I1028" s="12" t="s">
        <v>19</v>
      </c>
      <c r="J1028" s="12" t="s">
        <v>55</v>
      </c>
      <c r="K1028" s="12">
        <v>229.98099999999999</v>
      </c>
      <c r="L1028" s="12">
        <v>191.85599999999999</v>
      </c>
      <c r="O1028" s="13">
        <f t="shared" si="32"/>
        <v>0.83422543601427945</v>
      </c>
    </row>
    <row r="1029" spans="1:15" x14ac:dyDescent="0.25">
      <c r="A1029" s="12">
        <f t="shared" si="33"/>
        <v>6</v>
      </c>
      <c r="B1029" s="12">
        <v>2023</v>
      </c>
      <c r="C1029" s="12">
        <v>7308</v>
      </c>
      <c r="E1029" s="12" t="s">
        <v>13</v>
      </c>
      <c r="F1029" s="12" t="s">
        <v>14</v>
      </c>
      <c r="G1029" s="14">
        <v>45102</v>
      </c>
      <c r="H1029" s="12" t="s">
        <v>38</v>
      </c>
      <c r="I1029" s="12" t="s">
        <v>19</v>
      </c>
      <c r="J1029" s="12" t="s">
        <v>55</v>
      </c>
      <c r="K1029" s="12">
        <v>229.96700000000001</v>
      </c>
      <c r="L1029" s="12">
        <v>194.785</v>
      </c>
      <c r="O1029" s="13">
        <f t="shared" si="32"/>
        <v>0.84701283227593516</v>
      </c>
    </row>
    <row r="1030" spans="1:15" x14ac:dyDescent="0.25">
      <c r="A1030" s="12">
        <f t="shared" si="33"/>
        <v>6</v>
      </c>
      <c r="B1030" s="12">
        <v>2023</v>
      </c>
      <c r="C1030" s="12">
        <v>7309</v>
      </c>
      <c r="E1030" s="12" t="s">
        <v>13</v>
      </c>
      <c r="F1030" s="12" t="s">
        <v>14</v>
      </c>
      <c r="G1030" s="14">
        <v>45103</v>
      </c>
      <c r="H1030" s="12" t="s">
        <v>38</v>
      </c>
      <c r="I1030" s="12" t="s">
        <v>19</v>
      </c>
      <c r="J1030" s="12" t="s">
        <v>55</v>
      </c>
      <c r="K1030" s="12">
        <v>229.96799999999999</v>
      </c>
      <c r="L1030" s="12">
        <v>188.624</v>
      </c>
      <c r="O1030" s="13">
        <f t="shared" si="32"/>
        <v>0.82021846517776387</v>
      </c>
    </row>
    <row r="1031" spans="1:15" x14ac:dyDescent="0.25">
      <c r="A1031" s="12">
        <f t="shared" si="33"/>
        <v>6</v>
      </c>
      <c r="B1031" s="12">
        <v>2023</v>
      </c>
      <c r="C1031" s="12">
        <v>7310</v>
      </c>
      <c r="E1031" s="12" t="s">
        <v>13</v>
      </c>
      <c r="F1031" s="12" t="s">
        <v>14</v>
      </c>
      <c r="G1031" s="14">
        <v>45104</v>
      </c>
      <c r="H1031" s="12" t="s">
        <v>18</v>
      </c>
      <c r="I1031" s="12" t="s">
        <v>20</v>
      </c>
      <c r="J1031" s="12" t="s">
        <v>79</v>
      </c>
      <c r="K1031" s="12">
        <v>230.001</v>
      </c>
      <c r="L1031" s="12">
        <v>199.12</v>
      </c>
      <c r="O1031" s="13">
        <f t="shared" si="32"/>
        <v>0.86573536636797233</v>
      </c>
    </row>
    <row r="1032" spans="1:15" x14ac:dyDescent="0.25">
      <c r="A1032" s="12">
        <f t="shared" si="33"/>
        <v>6</v>
      </c>
      <c r="B1032" s="12">
        <v>2023</v>
      </c>
      <c r="C1032" s="12">
        <v>7311</v>
      </c>
      <c r="E1032" s="12" t="s">
        <v>13</v>
      </c>
      <c r="F1032" s="12" t="s">
        <v>14</v>
      </c>
      <c r="G1032" s="14">
        <v>45105</v>
      </c>
      <c r="H1032" s="12" t="s">
        <v>18</v>
      </c>
      <c r="I1032" s="12" t="s">
        <v>20</v>
      </c>
      <c r="J1032" s="12" t="s">
        <v>79</v>
      </c>
      <c r="K1032" s="12">
        <v>230</v>
      </c>
      <c r="L1032" s="12">
        <v>196.374</v>
      </c>
      <c r="O1032" s="13">
        <f t="shared" si="32"/>
        <v>0.8538</v>
      </c>
    </row>
    <row r="1033" spans="1:15" x14ac:dyDescent="0.25">
      <c r="A1033" s="12">
        <f t="shared" si="33"/>
        <v>6</v>
      </c>
      <c r="B1033" s="12">
        <v>2023</v>
      </c>
      <c r="C1033" s="12">
        <v>7312</v>
      </c>
      <c r="E1033" s="12" t="s">
        <v>13</v>
      </c>
      <c r="F1033" s="12" t="s">
        <v>14</v>
      </c>
      <c r="G1033" s="14">
        <v>45106</v>
      </c>
      <c r="H1033" s="12" t="s">
        <v>18</v>
      </c>
      <c r="I1033" s="12" t="s">
        <v>20</v>
      </c>
      <c r="J1033" s="12" t="s">
        <v>48</v>
      </c>
      <c r="K1033" s="12">
        <v>230.005</v>
      </c>
      <c r="L1033" s="12">
        <v>196.07300000000001</v>
      </c>
      <c r="O1033" s="13">
        <f t="shared" si="32"/>
        <v>0.85247277233103635</v>
      </c>
    </row>
    <row r="1034" spans="1:15" x14ac:dyDescent="0.25">
      <c r="A1034" s="12">
        <f t="shared" si="33"/>
        <v>6</v>
      </c>
      <c r="B1034" s="12">
        <v>2023</v>
      </c>
      <c r="C1034" s="12">
        <v>7313</v>
      </c>
      <c r="E1034" s="12" t="s">
        <v>13</v>
      </c>
      <c r="F1034" s="12" t="s">
        <v>14</v>
      </c>
      <c r="G1034" s="14">
        <v>45107</v>
      </c>
      <c r="H1034" s="12" t="s">
        <v>18</v>
      </c>
      <c r="I1034" s="12" t="s">
        <v>20</v>
      </c>
      <c r="J1034" s="12" t="s">
        <v>48</v>
      </c>
      <c r="K1034" s="12">
        <v>230.00399999999999</v>
      </c>
      <c r="L1034" s="12">
        <v>191.19200000000001</v>
      </c>
      <c r="O1034" s="13">
        <f t="shared" si="32"/>
        <v>0.83125510860680696</v>
      </c>
    </row>
    <row r="1035" spans="1:15" x14ac:dyDescent="0.25">
      <c r="A1035" s="12">
        <f t="shared" si="33"/>
        <v>7</v>
      </c>
      <c r="B1035" s="12">
        <v>2023</v>
      </c>
      <c r="C1035" s="12">
        <v>7314</v>
      </c>
      <c r="E1035" s="12" t="s">
        <v>13</v>
      </c>
      <c r="F1035" s="12" t="s">
        <v>14</v>
      </c>
      <c r="G1035" s="14">
        <v>45108</v>
      </c>
      <c r="H1035" s="12" t="s">
        <v>18</v>
      </c>
      <c r="I1035" s="12" t="s">
        <v>19</v>
      </c>
      <c r="J1035" s="12" t="s">
        <v>55</v>
      </c>
      <c r="K1035" s="12">
        <v>230.00200000000001</v>
      </c>
      <c r="L1035" s="12">
        <v>189.958</v>
      </c>
      <c r="O1035" s="13">
        <f t="shared" si="32"/>
        <v>0.82589716611159902</v>
      </c>
    </row>
    <row r="1036" spans="1:15" x14ac:dyDescent="0.25">
      <c r="A1036" s="12">
        <f t="shared" si="33"/>
        <v>7</v>
      </c>
      <c r="B1036" s="12">
        <v>2023</v>
      </c>
      <c r="C1036" s="12">
        <v>7315</v>
      </c>
      <c r="E1036" s="12" t="s">
        <v>13</v>
      </c>
      <c r="F1036" s="12" t="s">
        <v>14</v>
      </c>
      <c r="G1036" s="14">
        <v>45109</v>
      </c>
      <c r="H1036" s="12" t="s">
        <v>18</v>
      </c>
      <c r="I1036" s="12" t="s">
        <v>19</v>
      </c>
      <c r="J1036" s="12" t="s">
        <v>55</v>
      </c>
      <c r="K1036" s="12">
        <v>229.98400000000001</v>
      </c>
      <c r="L1036" s="12">
        <v>180.083</v>
      </c>
      <c r="O1036" s="13">
        <f t="shared" si="32"/>
        <v>0.78302403645470986</v>
      </c>
    </row>
    <row r="1037" spans="1:15" x14ac:dyDescent="0.25">
      <c r="A1037" s="12">
        <f t="shared" si="33"/>
        <v>7</v>
      </c>
      <c r="B1037" s="12">
        <v>2023</v>
      </c>
      <c r="C1037" s="12">
        <v>7316</v>
      </c>
      <c r="E1037" s="12" t="s">
        <v>13</v>
      </c>
      <c r="F1037" s="12" t="s">
        <v>14</v>
      </c>
      <c r="G1037" s="14">
        <v>45110</v>
      </c>
      <c r="H1037" s="12" t="s">
        <v>18</v>
      </c>
      <c r="I1037" s="12" t="s">
        <v>19</v>
      </c>
      <c r="J1037" s="12" t="s">
        <v>55</v>
      </c>
      <c r="K1037" s="12">
        <v>229.98400000000001</v>
      </c>
      <c r="L1037" s="12">
        <v>202.714</v>
      </c>
      <c r="O1037" s="13">
        <f t="shared" si="32"/>
        <v>0.8814265340197579</v>
      </c>
    </row>
    <row r="1038" spans="1:15" x14ac:dyDescent="0.25">
      <c r="A1038" s="12">
        <f t="shared" si="33"/>
        <v>7</v>
      </c>
      <c r="B1038" s="12">
        <v>2023</v>
      </c>
      <c r="C1038" s="12">
        <v>7317</v>
      </c>
      <c r="E1038" s="12" t="s">
        <v>13</v>
      </c>
      <c r="F1038" s="12" t="s">
        <v>14</v>
      </c>
      <c r="G1038" s="14">
        <v>45111</v>
      </c>
      <c r="H1038" s="12" t="s">
        <v>18</v>
      </c>
      <c r="I1038" s="12" t="s">
        <v>19</v>
      </c>
      <c r="J1038" s="12" t="s">
        <v>55</v>
      </c>
      <c r="K1038" s="12">
        <v>230.00700000000001</v>
      </c>
      <c r="L1038" s="12">
        <v>194.565</v>
      </c>
      <c r="O1038" s="13">
        <f t="shared" si="32"/>
        <v>0.84590903755103097</v>
      </c>
    </row>
    <row r="1039" spans="1:15" x14ac:dyDescent="0.25">
      <c r="A1039" s="12">
        <f t="shared" si="33"/>
        <v>7</v>
      </c>
      <c r="B1039" s="12">
        <v>2023</v>
      </c>
      <c r="C1039" s="12">
        <v>7318</v>
      </c>
      <c r="E1039" s="12" t="s">
        <v>13</v>
      </c>
      <c r="F1039" s="12" t="s">
        <v>14</v>
      </c>
      <c r="G1039" s="14">
        <v>45112</v>
      </c>
      <c r="H1039" s="12" t="s">
        <v>18</v>
      </c>
      <c r="I1039" s="12" t="s">
        <v>19</v>
      </c>
      <c r="J1039" s="12" t="s">
        <v>55</v>
      </c>
      <c r="K1039" s="12">
        <v>230.00700000000001</v>
      </c>
      <c r="L1039" s="12">
        <v>190.071</v>
      </c>
      <c r="O1039" s="13">
        <f t="shared" si="32"/>
        <v>0.82637050176733751</v>
      </c>
    </row>
    <row r="1040" spans="1:15" x14ac:dyDescent="0.25">
      <c r="A1040" s="12">
        <f t="shared" si="33"/>
        <v>7</v>
      </c>
      <c r="B1040" s="12">
        <v>2023</v>
      </c>
      <c r="C1040" s="12">
        <v>7319</v>
      </c>
      <c r="E1040" s="12" t="s">
        <v>13</v>
      </c>
      <c r="F1040" s="12" t="s">
        <v>14</v>
      </c>
      <c r="G1040" s="14">
        <v>45113</v>
      </c>
      <c r="H1040" s="12" t="s">
        <v>38</v>
      </c>
      <c r="I1040" s="12" t="s">
        <v>19</v>
      </c>
      <c r="J1040" s="12" t="s">
        <v>55</v>
      </c>
      <c r="K1040" s="12">
        <v>229.99799999999999</v>
      </c>
      <c r="L1040" s="12">
        <v>195.17099999999999</v>
      </c>
      <c r="O1040" s="13">
        <f t="shared" si="32"/>
        <v>0.84857694414734042</v>
      </c>
    </row>
    <row r="1041" spans="1:15" x14ac:dyDescent="0.25">
      <c r="A1041" s="12">
        <f t="shared" si="33"/>
        <v>7</v>
      </c>
      <c r="B1041" s="12">
        <v>2023</v>
      </c>
      <c r="C1041" s="12">
        <v>7320</v>
      </c>
      <c r="E1041" s="12" t="s">
        <v>13</v>
      </c>
      <c r="F1041" s="12" t="s">
        <v>14</v>
      </c>
      <c r="G1041" s="14">
        <v>45114</v>
      </c>
      <c r="H1041" s="12" t="s">
        <v>38</v>
      </c>
      <c r="I1041" s="12" t="s">
        <v>19</v>
      </c>
      <c r="J1041" s="12" t="s">
        <v>55</v>
      </c>
      <c r="K1041" s="12">
        <v>230.00800000000001</v>
      </c>
      <c r="L1041" s="12">
        <v>190.99299999999999</v>
      </c>
      <c r="O1041" s="13">
        <f t="shared" si="32"/>
        <v>0.83037546520121031</v>
      </c>
    </row>
    <row r="1042" spans="1:15" x14ac:dyDescent="0.25">
      <c r="A1042" s="12">
        <f t="shared" si="33"/>
        <v>7</v>
      </c>
      <c r="B1042" s="12">
        <v>2023</v>
      </c>
      <c r="C1042" s="12">
        <v>7321</v>
      </c>
      <c r="E1042" s="12" t="s">
        <v>13</v>
      </c>
      <c r="F1042" s="12" t="s">
        <v>14</v>
      </c>
      <c r="G1042" s="14">
        <v>45115</v>
      </c>
      <c r="H1042" s="12" t="s">
        <v>38</v>
      </c>
      <c r="I1042" s="12" t="s">
        <v>19</v>
      </c>
      <c r="J1042" s="12" t="s">
        <v>55</v>
      </c>
      <c r="K1042" s="12">
        <v>230.00800000000001</v>
      </c>
      <c r="L1042" s="12">
        <v>192.13800000000001</v>
      </c>
      <c r="O1042" s="13">
        <f t="shared" si="32"/>
        <v>0.83535355291989843</v>
      </c>
    </row>
    <row r="1043" spans="1:15" x14ac:dyDescent="0.25">
      <c r="A1043" s="12">
        <f t="shared" si="33"/>
        <v>7</v>
      </c>
      <c r="B1043" s="12">
        <v>2023</v>
      </c>
      <c r="C1043" s="12">
        <v>7322</v>
      </c>
      <c r="E1043" s="12" t="s">
        <v>13</v>
      </c>
      <c r="F1043" s="12" t="s">
        <v>14</v>
      </c>
      <c r="G1043" s="14">
        <v>45116</v>
      </c>
      <c r="H1043" s="12" t="s">
        <v>38</v>
      </c>
      <c r="I1043" s="12" t="s">
        <v>19</v>
      </c>
      <c r="J1043" s="12" t="s">
        <v>55</v>
      </c>
      <c r="K1043" s="12">
        <v>230.00899999999999</v>
      </c>
      <c r="L1043" s="12">
        <v>193.303</v>
      </c>
      <c r="O1043" s="13">
        <f t="shared" si="32"/>
        <v>0.84041494028494546</v>
      </c>
    </row>
    <row r="1044" spans="1:15" x14ac:dyDescent="0.25">
      <c r="A1044" s="12">
        <f t="shared" si="33"/>
        <v>7</v>
      </c>
      <c r="B1044" s="12">
        <v>2023</v>
      </c>
      <c r="C1044" s="12">
        <v>7323</v>
      </c>
      <c r="E1044" s="12" t="s">
        <v>13</v>
      </c>
      <c r="F1044" s="12" t="s">
        <v>14</v>
      </c>
      <c r="G1044" s="14">
        <v>45117</v>
      </c>
      <c r="H1044" s="12" t="s">
        <v>38</v>
      </c>
      <c r="I1044" s="12" t="s">
        <v>19</v>
      </c>
      <c r="J1044" s="12" t="s">
        <v>55</v>
      </c>
      <c r="K1044" s="12">
        <v>230.00800000000001</v>
      </c>
      <c r="L1044" s="12">
        <v>191.30799999999999</v>
      </c>
      <c r="O1044" s="13">
        <f t="shared" si="32"/>
        <v>0.83174498278320752</v>
      </c>
    </row>
    <row r="1045" spans="1:15" x14ac:dyDescent="0.25">
      <c r="A1045" s="12">
        <f t="shared" si="33"/>
        <v>7</v>
      </c>
      <c r="B1045" s="12">
        <v>2023</v>
      </c>
      <c r="C1045" s="12">
        <v>7324</v>
      </c>
      <c r="E1045" s="12" t="s">
        <v>13</v>
      </c>
      <c r="F1045" s="12" t="s">
        <v>14</v>
      </c>
      <c r="G1045" s="14">
        <v>45118</v>
      </c>
      <c r="H1045" s="12" t="s">
        <v>18</v>
      </c>
      <c r="I1045" s="12" t="s">
        <v>20</v>
      </c>
      <c r="J1045" s="12" t="s">
        <v>79</v>
      </c>
      <c r="K1045" s="12">
        <v>230.00700000000001</v>
      </c>
      <c r="L1045" s="12">
        <v>141.16800000000001</v>
      </c>
      <c r="O1045" s="13">
        <f t="shared" si="32"/>
        <v>0.61375523353637063</v>
      </c>
    </row>
    <row r="1046" spans="1:15" x14ac:dyDescent="0.25">
      <c r="A1046" s="12">
        <f t="shared" si="33"/>
        <v>7</v>
      </c>
      <c r="B1046" s="12">
        <v>2023</v>
      </c>
      <c r="C1046" s="12">
        <v>7325</v>
      </c>
      <c r="E1046" s="12" t="s">
        <v>13</v>
      </c>
      <c r="F1046" s="12" t="s">
        <v>14</v>
      </c>
      <c r="G1046" s="14">
        <v>45119</v>
      </c>
      <c r="H1046" s="12" t="s">
        <v>18</v>
      </c>
      <c r="I1046" s="12" t="s">
        <v>20</v>
      </c>
      <c r="J1046" s="12" t="s">
        <v>79</v>
      </c>
      <c r="K1046" s="12">
        <v>230.00700000000001</v>
      </c>
      <c r="L1046" s="12">
        <v>203.006</v>
      </c>
      <c r="O1046" s="13">
        <f t="shared" si="32"/>
        <v>0.88260792062850257</v>
      </c>
    </row>
    <row r="1047" spans="1:15" x14ac:dyDescent="0.25">
      <c r="A1047" s="12">
        <f t="shared" si="33"/>
        <v>7</v>
      </c>
      <c r="B1047" s="12">
        <v>2023</v>
      </c>
      <c r="C1047" s="12">
        <v>7326</v>
      </c>
      <c r="E1047" s="12" t="s">
        <v>13</v>
      </c>
      <c r="F1047" s="12" t="s">
        <v>14</v>
      </c>
      <c r="G1047" s="14">
        <v>45120</v>
      </c>
      <c r="H1047" s="12" t="s">
        <v>38</v>
      </c>
      <c r="I1047" s="12" t="s">
        <v>19</v>
      </c>
      <c r="J1047" s="12" t="s">
        <v>55</v>
      </c>
      <c r="K1047" s="12">
        <v>229.999</v>
      </c>
      <c r="L1047" s="12">
        <v>189.60599999999999</v>
      </c>
      <c r="O1047" s="13">
        <f t="shared" si="32"/>
        <v>0.82437749729346643</v>
      </c>
    </row>
    <row r="1048" spans="1:15" x14ac:dyDescent="0.25">
      <c r="A1048" s="12">
        <f t="shared" si="33"/>
        <v>7</v>
      </c>
      <c r="B1048" s="12">
        <v>2023</v>
      </c>
      <c r="C1048" s="12">
        <v>7327</v>
      </c>
      <c r="E1048" s="12" t="s">
        <v>13</v>
      </c>
      <c r="F1048" s="12" t="s">
        <v>14</v>
      </c>
      <c r="G1048" s="14">
        <v>45121</v>
      </c>
      <c r="H1048" s="12" t="s">
        <v>38</v>
      </c>
      <c r="I1048" s="12" t="s">
        <v>19</v>
      </c>
      <c r="J1048" s="12" t="s">
        <v>55</v>
      </c>
      <c r="K1048" s="12">
        <v>229.99</v>
      </c>
      <c r="L1048" s="12">
        <v>192.489</v>
      </c>
      <c r="O1048" s="13">
        <f t="shared" si="32"/>
        <v>0.83694508456889427</v>
      </c>
    </row>
    <row r="1049" spans="1:15" x14ac:dyDescent="0.25">
      <c r="A1049" s="12">
        <f t="shared" si="33"/>
        <v>7</v>
      </c>
      <c r="B1049" s="12">
        <v>2023</v>
      </c>
      <c r="C1049" s="12">
        <v>7328</v>
      </c>
      <c r="E1049" s="12" t="s">
        <v>13</v>
      </c>
      <c r="F1049" s="12" t="s">
        <v>14</v>
      </c>
      <c r="G1049" s="14">
        <v>45122</v>
      </c>
      <c r="H1049" s="12" t="s">
        <v>38</v>
      </c>
      <c r="I1049" s="12" t="s">
        <v>19</v>
      </c>
      <c r="J1049" s="12" t="s">
        <v>55</v>
      </c>
      <c r="K1049" s="12">
        <v>229.99</v>
      </c>
      <c r="L1049" s="12">
        <v>187.114</v>
      </c>
      <c r="O1049" s="13">
        <f t="shared" si="32"/>
        <v>0.81357450323927127</v>
      </c>
    </row>
    <row r="1050" spans="1:15" x14ac:dyDescent="0.25">
      <c r="A1050" s="12">
        <f t="shared" si="33"/>
        <v>7</v>
      </c>
      <c r="B1050" s="12">
        <v>2023</v>
      </c>
      <c r="C1050" s="12">
        <v>7329</v>
      </c>
      <c r="E1050" s="12" t="s">
        <v>13</v>
      </c>
      <c r="F1050" s="12" t="s">
        <v>14</v>
      </c>
      <c r="G1050" s="14">
        <v>45123</v>
      </c>
      <c r="H1050" s="12" t="s">
        <v>38</v>
      </c>
      <c r="I1050" s="12" t="s">
        <v>19</v>
      </c>
      <c r="J1050" s="12" t="s">
        <v>55</v>
      </c>
      <c r="K1050" s="12">
        <v>229.99100000000001</v>
      </c>
      <c r="L1050" s="12">
        <v>189.28399999999999</v>
      </c>
      <c r="O1050" s="13">
        <f t="shared" si="32"/>
        <v>0.82300611763068976</v>
      </c>
    </row>
    <row r="1051" spans="1:15" x14ac:dyDescent="0.25">
      <c r="A1051" s="12">
        <f t="shared" si="33"/>
        <v>7</v>
      </c>
      <c r="B1051" s="12">
        <v>2023</v>
      </c>
      <c r="C1051" s="12">
        <v>7330</v>
      </c>
      <c r="E1051" s="12" t="s">
        <v>13</v>
      </c>
      <c r="F1051" s="12" t="s">
        <v>14</v>
      </c>
      <c r="G1051" s="14">
        <v>45124</v>
      </c>
      <c r="H1051" s="12" t="s">
        <v>38</v>
      </c>
      <c r="I1051" s="12" t="s">
        <v>19</v>
      </c>
      <c r="J1051" s="12" t="s">
        <v>55</v>
      </c>
      <c r="K1051" s="12">
        <v>229.99100000000001</v>
      </c>
      <c r="L1051" s="12">
        <v>193.53200000000001</v>
      </c>
      <c r="O1051" s="13">
        <f t="shared" si="32"/>
        <v>0.84147640559847992</v>
      </c>
    </row>
    <row r="1052" spans="1:15" x14ac:dyDescent="0.25">
      <c r="A1052" s="12">
        <f t="shared" si="33"/>
        <v>7</v>
      </c>
      <c r="B1052" s="12">
        <v>2023</v>
      </c>
      <c r="C1052" s="12">
        <v>7331</v>
      </c>
      <c r="E1052" s="12" t="s">
        <v>13</v>
      </c>
      <c r="F1052" s="12" t="s">
        <v>14</v>
      </c>
      <c r="G1052" s="14">
        <v>45125</v>
      </c>
      <c r="H1052" s="12" t="s">
        <v>18</v>
      </c>
      <c r="I1052" s="12" t="s">
        <v>20</v>
      </c>
      <c r="J1052" s="12" t="s">
        <v>48</v>
      </c>
      <c r="K1052" s="12">
        <v>230.00700000000001</v>
      </c>
      <c r="L1052" s="12">
        <v>193.74</v>
      </c>
      <c r="O1052" s="13">
        <f t="shared" ref="O1052:O1096" si="34">L1052/K1052</f>
        <v>0.84232219019421151</v>
      </c>
    </row>
    <row r="1053" spans="1:15" x14ac:dyDescent="0.25">
      <c r="A1053" s="12">
        <f t="shared" si="33"/>
        <v>7</v>
      </c>
      <c r="B1053" s="12">
        <v>2023</v>
      </c>
      <c r="C1053" s="12">
        <v>7332</v>
      </c>
      <c r="E1053" s="12" t="s">
        <v>13</v>
      </c>
      <c r="F1053" s="12" t="s">
        <v>14</v>
      </c>
      <c r="G1053" s="14">
        <v>45126</v>
      </c>
      <c r="H1053" s="12" t="s">
        <v>18</v>
      </c>
      <c r="I1053" s="12" t="s">
        <v>20</v>
      </c>
      <c r="J1053" s="12" t="s">
        <v>48</v>
      </c>
      <c r="K1053" s="12">
        <v>230.006</v>
      </c>
      <c r="L1053" s="12">
        <v>190.32300000000001</v>
      </c>
      <c r="O1053" s="13">
        <f t="shared" si="34"/>
        <v>0.82746971818126491</v>
      </c>
    </row>
    <row r="1054" spans="1:15" x14ac:dyDescent="0.25">
      <c r="A1054" s="12">
        <f t="shared" si="33"/>
        <v>7</v>
      </c>
      <c r="B1054" s="12">
        <v>2023</v>
      </c>
      <c r="C1054" s="12">
        <v>7333</v>
      </c>
      <c r="E1054" s="12" t="s">
        <v>13</v>
      </c>
      <c r="F1054" s="12" t="s">
        <v>14</v>
      </c>
      <c r="G1054" s="14">
        <v>45127</v>
      </c>
      <c r="H1054" s="12" t="s">
        <v>18</v>
      </c>
      <c r="I1054" s="12" t="s">
        <v>19</v>
      </c>
      <c r="J1054" s="12" t="s">
        <v>55</v>
      </c>
      <c r="K1054" s="12">
        <v>230.01300000000001</v>
      </c>
      <c r="L1054" s="12">
        <v>193.31899999999999</v>
      </c>
      <c r="O1054" s="13">
        <f t="shared" si="34"/>
        <v>0.84046988648467691</v>
      </c>
    </row>
    <row r="1055" spans="1:15" x14ac:dyDescent="0.25">
      <c r="A1055" s="12">
        <f t="shared" si="33"/>
        <v>7</v>
      </c>
      <c r="B1055" s="12">
        <v>2023</v>
      </c>
      <c r="C1055" s="12">
        <v>7334</v>
      </c>
      <c r="E1055" s="12" t="s">
        <v>13</v>
      </c>
      <c r="F1055" s="12" t="s">
        <v>14</v>
      </c>
      <c r="G1055" s="14">
        <v>45128</v>
      </c>
      <c r="H1055" s="12" t="s">
        <v>18</v>
      </c>
      <c r="I1055" s="12" t="s">
        <v>19</v>
      </c>
      <c r="J1055" s="12" t="s">
        <v>55</v>
      </c>
      <c r="K1055" s="12">
        <v>230.00700000000001</v>
      </c>
      <c r="L1055" s="12">
        <v>190.50299999999999</v>
      </c>
      <c r="O1055" s="13">
        <f t="shared" si="34"/>
        <v>0.82824870547418117</v>
      </c>
    </row>
    <row r="1056" spans="1:15" x14ac:dyDescent="0.25">
      <c r="A1056" s="12">
        <f t="shared" si="33"/>
        <v>7</v>
      </c>
      <c r="B1056" s="12">
        <v>2023</v>
      </c>
      <c r="C1056" s="12">
        <v>7335</v>
      </c>
      <c r="E1056" s="12" t="s">
        <v>13</v>
      </c>
      <c r="F1056" s="12" t="s">
        <v>14</v>
      </c>
      <c r="G1056" s="14">
        <v>45129</v>
      </c>
      <c r="H1056" s="12" t="s">
        <v>18</v>
      </c>
      <c r="I1056" s="12" t="s">
        <v>19</v>
      </c>
      <c r="J1056" s="12" t="s">
        <v>55</v>
      </c>
      <c r="K1056" s="12">
        <v>230.00700000000001</v>
      </c>
      <c r="L1056" s="12">
        <v>192.88300000000001</v>
      </c>
      <c r="O1056" s="13">
        <f t="shared" si="34"/>
        <v>0.83859621663688499</v>
      </c>
    </row>
    <row r="1057" spans="1:15" x14ac:dyDescent="0.25">
      <c r="A1057" s="12">
        <f t="shared" si="33"/>
        <v>7</v>
      </c>
      <c r="B1057" s="12">
        <v>2023</v>
      </c>
      <c r="C1057" s="12">
        <v>7336</v>
      </c>
      <c r="E1057" s="12" t="s">
        <v>13</v>
      </c>
      <c r="F1057" s="12" t="s">
        <v>14</v>
      </c>
      <c r="G1057" s="14">
        <v>45130</v>
      </c>
      <c r="H1057" s="12" t="s">
        <v>18</v>
      </c>
      <c r="I1057" s="12" t="s">
        <v>19</v>
      </c>
      <c r="J1057" s="12" t="s">
        <v>55</v>
      </c>
      <c r="K1057" s="12">
        <v>230.005</v>
      </c>
      <c r="L1057" s="12">
        <v>191.40799999999999</v>
      </c>
      <c r="O1057" s="13">
        <f t="shared" si="34"/>
        <v>0.83219060455207494</v>
      </c>
    </row>
    <row r="1058" spans="1:15" x14ac:dyDescent="0.25">
      <c r="A1058" s="12">
        <f t="shared" si="33"/>
        <v>7</v>
      </c>
      <c r="B1058" s="12">
        <v>2023</v>
      </c>
      <c r="C1058" s="12">
        <v>7337</v>
      </c>
      <c r="E1058" s="12" t="s">
        <v>13</v>
      </c>
      <c r="F1058" s="12" t="s">
        <v>14</v>
      </c>
      <c r="G1058" s="14">
        <v>45131</v>
      </c>
      <c r="H1058" s="12" t="s">
        <v>18</v>
      </c>
      <c r="I1058" s="12" t="s">
        <v>19</v>
      </c>
      <c r="J1058" s="12" t="s">
        <v>55</v>
      </c>
      <c r="K1058" s="12">
        <v>230.005</v>
      </c>
      <c r="L1058" s="12">
        <v>193.73500000000001</v>
      </c>
      <c r="O1058" s="13">
        <f t="shared" si="34"/>
        <v>0.84230777591791495</v>
      </c>
    </row>
    <row r="1059" spans="1:15" x14ac:dyDescent="0.25">
      <c r="A1059" s="12">
        <f t="shared" si="33"/>
        <v>7</v>
      </c>
      <c r="B1059" s="12">
        <v>2023</v>
      </c>
      <c r="C1059" s="12">
        <v>7338</v>
      </c>
      <c r="E1059" s="12" t="s">
        <v>13</v>
      </c>
      <c r="F1059" s="12" t="s">
        <v>14</v>
      </c>
      <c r="G1059" s="14">
        <v>45132</v>
      </c>
      <c r="H1059" s="12" t="s">
        <v>17</v>
      </c>
      <c r="I1059" s="12" t="s">
        <v>19</v>
      </c>
      <c r="J1059" s="12" t="s">
        <v>78</v>
      </c>
      <c r="K1059" s="12">
        <v>230.00800000000001</v>
      </c>
      <c r="L1059" s="12">
        <v>190.018</v>
      </c>
      <c r="O1059" s="13">
        <f t="shared" si="34"/>
        <v>0.82613648220931446</v>
      </c>
    </row>
    <row r="1060" spans="1:15" x14ac:dyDescent="0.25">
      <c r="A1060" s="12">
        <f t="shared" si="33"/>
        <v>7</v>
      </c>
      <c r="B1060" s="12">
        <v>2023</v>
      </c>
      <c r="C1060" s="12">
        <v>7339</v>
      </c>
      <c r="E1060" s="12" t="s">
        <v>13</v>
      </c>
      <c r="F1060" s="12" t="s">
        <v>14</v>
      </c>
      <c r="G1060" s="14">
        <v>45133</v>
      </c>
      <c r="H1060" s="12" t="s">
        <v>17</v>
      </c>
      <c r="I1060" s="12" t="s">
        <v>19</v>
      </c>
      <c r="J1060" s="12" t="s">
        <v>78</v>
      </c>
      <c r="K1060" s="12">
        <v>230.00700000000001</v>
      </c>
      <c r="L1060" s="12">
        <v>190.041</v>
      </c>
      <c r="O1060" s="13">
        <f t="shared" si="34"/>
        <v>0.82624007095436225</v>
      </c>
    </row>
    <row r="1061" spans="1:15" x14ac:dyDescent="0.25">
      <c r="A1061" s="12">
        <f t="shared" si="33"/>
        <v>7</v>
      </c>
      <c r="B1061" s="12">
        <v>2023</v>
      </c>
      <c r="C1061" s="12">
        <v>7340</v>
      </c>
      <c r="E1061" s="12" t="s">
        <v>13</v>
      </c>
      <c r="F1061" s="12" t="s">
        <v>14</v>
      </c>
      <c r="G1061" s="14">
        <v>45134</v>
      </c>
      <c r="H1061" s="12" t="s">
        <v>18</v>
      </c>
      <c r="I1061" s="12" t="s">
        <v>19</v>
      </c>
      <c r="J1061" s="12" t="s">
        <v>55</v>
      </c>
      <c r="K1061" s="12">
        <v>230.00200000000001</v>
      </c>
      <c r="L1061" s="12">
        <v>193.64400000000001</v>
      </c>
      <c r="O1061" s="13">
        <f t="shared" si="34"/>
        <v>0.84192311371205464</v>
      </c>
    </row>
    <row r="1062" spans="1:15" x14ac:dyDescent="0.25">
      <c r="A1062" s="12">
        <f t="shared" si="33"/>
        <v>7</v>
      </c>
      <c r="B1062" s="12">
        <v>2023</v>
      </c>
      <c r="C1062" s="12">
        <v>7341</v>
      </c>
      <c r="E1062" s="12" t="s">
        <v>13</v>
      </c>
      <c r="F1062" s="12" t="s">
        <v>14</v>
      </c>
      <c r="G1062" s="14">
        <v>45135</v>
      </c>
      <c r="H1062" s="12" t="s">
        <v>18</v>
      </c>
      <c r="I1062" s="12" t="s">
        <v>19</v>
      </c>
      <c r="J1062" s="12" t="s">
        <v>55</v>
      </c>
      <c r="K1062" s="12">
        <v>230.006</v>
      </c>
      <c r="L1062" s="12">
        <v>188.93</v>
      </c>
      <c r="O1062" s="13">
        <f t="shared" si="34"/>
        <v>0.82141335443423213</v>
      </c>
    </row>
    <row r="1063" spans="1:15" x14ac:dyDescent="0.25">
      <c r="A1063" s="12">
        <f t="shared" si="33"/>
        <v>7</v>
      </c>
      <c r="B1063" s="12">
        <v>2023</v>
      </c>
      <c r="C1063" s="12">
        <v>7342</v>
      </c>
      <c r="E1063" s="12" t="s">
        <v>13</v>
      </c>
      <c r="F1063" s="12" t="s">
        <v>14</v>
      </c>
      <c r="G1063" s="14">
        <v>45136</v>
      </c>
      <c r="H1063" s="12" t="s">
        <v>18</v>
      </c>
      <c r="I1063" s="12" t="s">
        <v>19</v>
      </c>
      <c r="J1063" s="12" t="s">
        <v>55</v>
      </c>
      <c r="K1063" s="12">
        <v>230.00700000000001</v>
      </c>
      <c r="L1063" s="12">
        <v>192.56800000000001</v>
      </c>
      <c r="O1063" s="13">
        <f t="shared" si="34"/>
        <v>0.83722669310064479</v>
      </c>
    </row>
    <row r="1064" spans="1:15" x14ac:dyDescent="0.25">
      <c r="A1064" s="12">
        <f t="shared" si="33"/>
        <v>7</v>
      </c>
      <c r="B1064" s="12">
        <v>2023</v>
      </c>
      <c r="C1064" s="12">
        <v>7343</v>
      </c>
      <c r="E1064" s="12" t="s">
        <v>13</v>
      </c>
      <c r="F1064" s="12" t="s">
        <v>14</v>
      </c>
      <c r="G1064" s="14">
        <v>45137</v>
      </c>
      <c r="H1064" s="12" t="s">
        <v>18</v>
      </c>
      <c r="I1064" s="12" t="s">
        <v>19</v>
      </c>
      <c r="J1064" s="12" t="s">
        <v>55</v>
      </c>
      <c r="K1064" s="12">
        <v>229.96</v>
      </c>
      <c r="L1064" s="12">
        <v>191.864</v>
      </c>
      <c r="O1064" s="13">
        <f t="shared" si="34"/>
        <v>0.83433640633153594</v>
      </c>
    </row>
    <row r="1065" spans="1:15" x14ac:dyDescent="0.25">
      <c r="A1065" s="12">
        <f t="shared" si="33"/>
        <v>7</v>
      </c>
      <c r="B1065" s="12">
        <v>2023</v>
      </c>
      <c r="C1065" s="12">
        <v>7344</v>
      </c>
      <c r="E1065" s="12" t="s">
        <v>13</v>
      </c>
      <c r="F1065" s="12" t="s">
        <v>14</v>
      </c>
      <c r="G1065" s="14">
        <v>45138</v>
      </c>
      <c r="H1065" s="12" t="s">
        <v>18</v>
      </c>
      <c r="I1065" s="12" t="s">
        <v>19</v>
      </c>
      <c r="J1065" s="12" t="s">
        <v>55</v>
      </c>
      <c r="K1065" s="12">
        <v>229.977</v>
      </c>
      <c r="L1065" s="12">
        <v>191.5</v>
      </c>
      <c r="O1065" s="13">
        <f t="shared" si="34"/>
        <v>0.83269196484865882</v>
      </c>
    </row>
    <row r="1066" spans="1:15" x14ac:dyDescent="0.25">
      <c r="A1066" s="12">
        <f t="shared" si="33"/>
        <v>8</v>
      </c>
      <c r="B1066" s="12">
        <v>2023</v>
      </c>
      <c r="C1066" s="12">
        <v>7345</v>
      </c>
      <c r="E1066" s="12" t="s">
        <v>13</v>
      </c>
      <c r="F1066" s="12" t="s">
        <v>14</v>
      </c>
      <c r="G1066" s="14">
        <v>45139</v>
      </c>
      <c r="H1066" s="12" t="s">
        <v>38</v>
      </c>
      <c r="I1066" s="12" t="s">
        <v>19</v>
      </c>
      <c r="J1066" s="12" t="s">
        <v>55</v>
      </c>
      <c r="K1066" s="12">
        <v>229.976</v>
      </c>
      <c r="L1066" s="12">
        <v>191.27</v>
      </c>
      <c r="O1066" s="13">
        <f t="shared" si="34"/>
        <v>0.83169548126761061</v>
      </c>
    </row>
    <row r="1067" spans="1:15" x14ac:dyDescent="0.25">
      <c r="A1067" s="12">
        <f t="shared" si="33"/>
        <v>8</v>
      </c>
      <c r="B1067" s="12">
        <v>2023</v>
      </c>
      <c r="C1067" s="12">
        <v>7346</v>
      </c>
      <c r="E1067" s="12" t="s">
        <v>13</v>
      </c>
      <c r="F1067" s="12" t="s">
        <v>14</v>
      </c>
      <c r="G1067" s="14">
        <v>45140</v>
      </c>
      <c r="H1067" s="12" t="s">
        <v>38</v>
      </c>
      <c r="I1067" s="12" t="s">
        <v>19</v>
      </c>
      <c r="J1067" s="12" t="s">
        <v>55</v>
      </c>
      <c r="K1067" s="12">
        <v>230.01</v>
      </c>
      <c r="L1067" s="12">
        <v>190.989</v>
      </c>
      <c r="O1067" s="13">
        <f t="shared" si="34"/>
        <v>0.83035085431068223</v>
      </c>
    </row>
    <row r="1068" spans="1:15" x14ac:dyDescent="0.25">
      <c r="A1068" s="12">
        <f t="shared" si="33"/>
        <v>8</v>
      </c>
      <c r="B1068" s="12">
        <v>2023</v>
      </c>
      <c r="C1068" s="12">
        <v>7347</v>
      </c>
      <c r="E1068" s="12" t="s">
        <v>13</v>
      </c>
      <c r="F1068" s="12" t="s">
        <v>14</v>
      </c>
      <c r="G1068" s="14">
        <v>45141</v>
      </c>
      <c r="H1068" s="12" t="s">
        <v>38</v>
      </c>
      <c r="I1068" s="12" t="s">
        <v>19</v>
      </c>
      <c r="J1068" s="12" t="s">
        <v>55</v>
      </c>
      <c r="K1068" s="12">
        <v>229.99600000000001</v>
      </c>
      <c r="L1068" s="12">
        <v>190.18600000000001</v>
      </c>
      <c r="O1068" s="13">
        <f t="shared" si="34"/>
        <v>0.82691003321796896</v>
      </c>
    </row>
    <row r="1069" spans="1:15" x14ac:dyDescent="0.25">
      <c r="A1069" s="12">
        <f t="shared" si="33"/>
        <v>8</v>
      </c>
      <c r="B1069" s="12">
        <v>2023</v>
      </c>
      <c r="C1069" s="12">
        <v>7348</v>
      </c>
      <c r="E1069" s="12" t="s">
        <v>13</v>
      </c>
      <c r="F1069" s="12" t="s">
        <v>14</v>
      </c>
      <c r="G1069" s="14">
        <v>45142</v>
      </c>
      <c r="H1069" s="12" t="s">
        <v>38</v>
      </c>
      <c r="I1069" s="12" t="s">
        <v>19</v>
      </c>
      <c r="J1069" s="12" t="s">
        <v>55</v>
      </c>
      <c r="K1069" s="12">
        <v>229.995</v>
      </c>
      <c r="L1069" s="12">
        <v>194.40799999999999</v>
      </c>
      <c r="O1069" s="13">
        <f t="shared" si="34"/>
        <v>0.84527054935976864</v>
      </c>
    </row>
    <row r="1070" spans="1:15" x14ac:dyDescent="0.25">
      <c r="A1070" s="12">
        <f t="shared" si="33"/>
        <v>8</v>
      </c>
      <c r="B1070" s="12">
        <v>2023</v>
      </c>
      <c r="C1070" s="12">
        <v>7349</v>
      </c>
      <c r="E1070" s="12" t="s">
        <v>13</v>
      </c>
      <c r="F1070" s="12" t="s">
        <v>14</v>
      </c>
      <c r="G1070" s="14">
        <v>45143</v>
      </c>
      <c r="H1070" s="12" t="s">
        <v>38</v>
      </c>
      <c r="I1070" s="12" t="s">
        <v>19</v>
      </c>
      <c r="J1070" s="12" t="s">
        <v>55</v>
      </c>
      <c r="K1070" s="12">
        <v>229.94399999999999</v>
      </c>
      <c r="L1070" s="12">
        <v>195.256</v>
      </c>
      <c r="O1070" s="13">
        <f t="shared" si="34"/>
        <v>0.8491458789966253</v>
      </c>
    </row>
    <row r="1071" spans="1:15" x14ac:dyDescent="0.25">
      <c r="A1071" s="12">
        <f t="shared" si="33"/>
        <v>8</v>
      </c>
      <c r="B1071" s="12">
        <v>2023</v>
      </c>
      <c r="C1071" s="12">
        <v>7350</v>
      </c>
      <c r="E1071" s="12" t="s">
        <v>13</v>
      </c>
      <c r="F1071" s="12" t="s">
        <v>14</v>
      </c>
      <c r="G1071" s="14">
        <v>45144</v>
      </c>
      <c r="H1071" s="12" t="s">
        <v>38</v>
      </c>
      <c r="I1071" s="12" t="s">
        <v>19</v>
      </c>
      <c r="J1071" s="12" t="s">
        <v>55</v>
      </c>
      <c r="K1071" s="12">
        <v>229.94300000000001</v>
      </c>
      <c r="L1071" s="12">
        <v>191.78399999999999</v>
      </c>
      <c r="O1071" s="13">
        <f t="shared" si="34"/>
        <v>0.8340501776527226</v>
      </c>
    </row>
    <row r="1072" spans="1:15" x14ac:dyDescent="0.25">
      <c r="A1072" s="12">
        <f t="shared" si="33"/>
        <v>8</v>
      </c>
      <c r="B1072" s="12">
        <v>2023</v>
      </c>
      <c r="C1072" s="12">
        <v>7351</v>
      </c>
      <c r="E1072" s="12" t="s">
        <v>13</v>
      </c>
      <c r="F1072" s="12" t="s">
        <v>14</v>
      </c>
      <c r="G1072" s="14">
        <v>45145</v>
      </c>
      <c r="H1072" s="12" t="s">
        <v>17</v>
      </c>
      <c r="I1072" s="12" t="s">
        <v>19</v>
      </c>
      <c r="J1072" s="12" t="s">
        <v>57</v>
      </c>
      <c r="K1072" s="12">
        <v>225.012</v>
      </c>
      <c r="L1072" s="12">
        <v>190.75</v>
      </c>
      <c r="O1072" s="13">
        <f t="shared" si="34"/>
        <v>0.8477325653742912</v>
      </c>
    </row>
    <row r="1073" spans="1:15" x14ac:dyDescent="0.25">
      <c r="A1073" s="12">
        <f t="shared" si="33"/>
        <v>8</v>
      </c>
      <c r="B1073" s="12">
        <v>2023</v>
      </c>
      <c r="C1073" s="12">
        <v>7352</v>
      </c>
      <c r="E1073" s="12" t="s">
        <v>13</v>
      </c>
      <c r="F1073" s="12" t="s">
        <v>14</v>
      </c>
      <c r="G1073" s="14">
        <v>45146</v>
      </c>
      <c r="H1073" s="12" t="s">
        <v>38</v>
      </c>
      <c r="I1073" s="12" t="s">
        <v>19</v>
      </c>
      <c r="J1073" s="12" t="s">
        <v>55</v>
      </c>
      <c r="K1073" s="12">
        <v>230</v>
      </c>
      <c r="L1073" s="12">
        <v>196.05500000000001</v>
      </c>
      <c r="O1073" s="13">
        <f t="shared" si="34"/>
        <v>0.85241304347826086</v>
      </c>
    </row>
    <row r="1074" spans="1:15" x14ac:dyDescent="0.25">
      <c r="A1074" s="12">
        <f t="shared" si="33"/>
        <v>8</v>
      </c>
      <c r="B1074" s="12">
        <v>2023</v>
      </c>
      <c r="C1074" s="12">
        <v>7353</v>
      </c>
      <c r="E1074" s="12" t="s">
        <v>13</v>
      </c>
      <c r="F1074" s="12" t="s">
        <v>14</v>
      </c>
      <c r="G1074" s="14">
        <v>45147</v>
      </c>
      <c r="H1074" s="12" t="s">
        <v>38</v>
      </c>
      <c r="I1074" s="12" t="s">
        <v>19</v>
      </c>
      <c r="J1074" s="12" t="s">
        <v>55</v>
      </c>
      <c r="K1074" s="12">
        <v>230.13</v>
      </c>
      <c r="L1074" s="12">
        <v>196.36199999999999</v>
      </c>
      <c r="O1074" s="13">
        <f t="shared" si="34"/>
        <v>0.85326554556120449</v>
      </c>
    </row>
    <row r="1075" spans="1:15" x14ac:dyDescent="0.25">
      <c r="A1075" s="12">
        <f t="shared" si="33"/>
        <v>8</v>
      </c>
      <c r="B1075" s="12">
        <v>2023</v>
      </c>
      <c r="C1075" s="12">
        <v>7354</v>
      </c>
      <c r="E1075" s="12" t="s">
        <v>13</v>
      </c>
      <c r="F1075" s="12" t="s">
        <v>14</v>
      </c>
      <c r="G1075" s="14">
        <v>45148</v>
      </c>
      <c r="H1075" s="12" t="s">
        <v>38</v>
      </c>
      <c r="I1075" s="12" t="s">
        <v>19</v>
      </c>
      <c r="J1075" s="12" t="s">
        <v>55</v>
      </c>
      <c r="K1075" s="12">
        <v>229.994</v>
      </c>
      <c r="L1075" s="12">
        <v>194.22399999999999</v>
      </c>
      <c r="O1075" s="13">
        <f t="shared" si="34"/>
        <v>0.84447420367487847</v>
      </c>
    </row>
    <row r="1076" spans="1:15" x14ac:dyDescent="0.25">
      <c r="A1076" s="12">
        <f t="shared" si="33"/>
        <v>8</v>
      </c>
      <c r="B1076" s="12">
        <v>2023</v>
      </c>
      <c r="C1076" s="12">
        <v>7355</v>
      </c>
      <c r="E1076" s="12" t="s">
        <v>13</v>
      </c>
      <c r="F1076" s="12" t="s">
        <v>14</v>
      </c>
      <c r="G1076" s="14">
        <v>45149</v>
      </c>
      <c r="H1076" s="12" t="s">
        <v>18</v>
      </c>
      <c r="I1076" s="12" t="s">
        <v>20</v>
      </c>
      <c r="J1076" s="12" t="s">
        <v>56</v>
      </c>
      <c r="K1076" s="12">
        <v>230.00700000000001</v>
      </c>
      <c r="L1076" s="12">
        <v>196.16300000000001</v>
      </c>
      <c r="O1076" s="13">
        <f t="shared" si="34"/>
        <v>0.85285665218884643</v>
      </c>
    </row>
    <row r="1077" spans="1:15" x14ac:dyDescent="0.25">
      <c r="A1077" s="12">
        <f t="shared" si="33"/>
        <v>8</v>
      </c>
      <c r="B1077" s="12">
        <v>2023</v>
      </c>
      <c r="C1077" s="12">
        <v>7356</v>
      </c>
      <c r="E1077" s="12" t="s">
        <v>13</v>
      </c>
      <c r="F1077" s="12" t="s">
        <v>14</v>
      </c>
      <c r="G1077" s="14">
        <v>45150</v>
      </c>
      <c r="H1077" s="12" t="s">
        <v>18</v>
      </c>
      <c r="I1077" s="12" t="s">
        <v>20</v>
      </c>
      <c r="J1077" s="12" t="s">
        <v>56</v>
      </c>
      <c r="K1077" s="12">
        <v>229.94300000000001</v>
      </c>
      <c r="L1077" s="12">
        <v>194.785</v>
      </c>
      <c r="O1077" s="13">
        <f t="shared" si="34"/>
        <v>0.84710123813292859</v>
      </c>
    </row>
    <row r="1078" spans="1:15" x14ac:dyDescent="0.25">
      <c r="A1078" s="12">
        <f t="shared" si="33"/>
        <v>8</v>
      </c>
      <c r="B1078" s="12">
        <v>2023</v>
      </c>
      <c r="C1078" s="12">
        <v>7357</v>
      </c>
      <c r="E1078" s="12" t="s">
        <v>13</v>
      </c>
      <c r="F1078" s="12" t="s">
        <v>14</v>
      </c>
      <c r="G1078" s="14">
        <v>45151</v>
      </c>
      <c r="H1078" s="12" t="s">
        <v>18</v>
      </c>
      <c r="I1078" s="12" t="s">
        <v>20</v>
      </c>
      <c r="J1078" s="12" t="s">
        <v>56</v>
      </c>
      <c r="K1078" s="12">
        <v>230.01599999999999</v>
      </c>
      <c r="L1078" s="12">
        <v>195.38300000000001</v>
      </c>
      <c r="O1078" s="13">
        <f t="shared" si="34"/>
        <v>0.84943221341124098</v>
      </c>
    </row>
    <row r="1079" spans="1:15" x14ac:dyDescent="0.25">
      <c r="A1079" s="12">
        <f t="shared" si="33"/>
        <v>8</v>
      </c>
      <c r="B1079" s="12">
        <v>2023</v>
      </c>
      <c r="C1079" s="12">
        <v>7358</v>
      </c>
      <c r="E1079" s="12" t="s">
        <v>13</v>
      </c>
      <c r="F1079" s="12" t="s">
        <v>14</v>
      </c>
      <c r="G1079" s="14">
        <v>45152</v>
      </c>
      <c r="H1079" s="12" t="s">
        <v>18</v>
      </c>
      <c r="I1079" s="12" t="s">
        <v>20</v>
      </c>
      <c r="J1079" s="12" t="s">
        <v>48</v>
      </c>
      <c r="K1079" s="12">
        <v>230.011</v>
      </c>
      <c r="L1079" s="12">
        <v>195.114</v>
      </c>
      <c r="O1079" s="13">
        <f t="shared" si="34"/>
        <v>0.84828116916147489</v>
      </c>
    </row>
    <row r="1080" spans="1:15" x14ac:dyDescent="0.25">
      <c r="A1080" s="12">
        <f t="shared" si="33"/>
        <v>8</v>
      </c>
      <c r="B1080" s="12">
        <v>2023</v>
      </c>
      <c r="C1080" s="12">
        <v>7359</v>
      </c>
      <c r="E1080" s="12" t="s">
        <v>13</v>
      </c>
      <c r="F1080" s="12" t="s">
        <v>14</v>
      </c>
      <c r="G1080" s="14">
        <v>45153</v>
      </c>
      <c r="H1080" s="12" t="s">
        <v>18</v>
      </c>
      <c r="I1080" s="12" t="s">
        <v>20</v>
      </c>
      <c r="J1080" s="12" t="s">
        <v>48</v>
      </c>
      <c r="K1080" s="12">
        <v>230.00899999999999</v>
      </c>
      <c r="L1080" s="12">
        <v>190.87200000000001</v>
      </c>
      <c r="O1080" s="13">
        <f t="shared" si="34"/>
        <v>0.82984578864305325</v>
      </c>
    </row>
    <row r="1081" spans="1:15" x14ac:dyDescent="0.25">
      <c r="A1081" s="12">
        <f t="shared" si="33"/>
        <v>8</v>
      </c>
      <c r="B1081" s="12">
        <v>2023</v>
      </c>
      <c r="C1081" s="12">
        <v>7360</v>
      </c>
      <c r="E1081" s="12" t="s">
        <v>13</v>
      </c>
      <c r="F1081" s="12" t="s">
        <v>14</v>
      </c>
      <c r="G1081" s="14">
        <v>45154</v>
      </c>
      <c r="H1081" s="12" t="s">
        <v>17</v>
      </c>
      <c r="I1081" s="12" t="s">
        <v>19</v>
      </c>
      <c r="J1081" s="12" t="s">
        <v>58</v>
      </c>
      <c r="K1081" s="12">
        <v>229.999</v>
      </c>
      <c r="L1081" s="12">
        <v>190.12899999999999</v>
      </c>
      <c r="O1081" s="13">
        <f t="shared" si="34"/>
        <v>0.82665142022356619</v>
      </c>
    </row>
    <row r="1082" spans="1:15" x14ac:dyDescent="0.25">
      <c r="A1082" s="12">
        <f t="shared" si="33"/>
        <v>8</v>
      </c>
      <c r="B1082" s="12">
        <v>2023</v>
      </c>
      <c r="C1082" s="12">
        <v>7361</v>
      </c>
      <c r="E1082" s="12" t="s">
        <v>13</v>
      </c>
      <c r="F1082" s="12" t="s">
        <v>14</v>
      </c>
      <c r="G1082" s="14">
        <v>45155</v>
      </c>
      <c r="H1082" s="12" t="s">
        <v>17</v>
      </c>
      <c r="I1082" s="12" t="s">
        <v>19</v>
      </c>
      <c r="J1082" s="12" t="s">
        <v>57</v>
      </c>
      <c r="K1082" s="12">
        <v>225.001</v>
      </c>
      <c r="L1082" s="12">
        <v>191.37799999999999</v>
      </c>
      <c r="O1082" s="13">
        <f t="shared" si="34"/>
        <v>0.85056510859951728</v>
      </c>
    </row>
    <row r="1083" spans="1:15" x14ac:dyDescent="0.25">
      <c r="A1083" s="12">
        <f t="shared" si="33"/>
        <v>8</v>
      </c>
      <c r="B1083" s="12">
        <v>2023</v>
      </c>
      <c r="C1083" s="12">
        <v>7362</v>
      </c>
      <c r="E1083" s="12" t="s">
        <v>13</v>
      </c>
      <c r="F1083" s="12" t="s">
        <v>14</v>
      </c>
      <c r="G1083" s="14">
        <v>45156</v>
      </c>
      <c r="H1083" s="12" t="s">
        <v>38</v>
      </c>
      <c r="I1083" s="12" t="s">
        <v>19</v>
      </c>
      <c r="J1083" s="12" t="s">
        <v>55</v>
      </c>
      <c r="K1083" s="12">
        <v>230.001</v>
      </c>
      <c r="L1083" s="12">
        <v>191.44800000000001</v>
      </c>
      <c r="O1083" s="13">
        <f t="shared" si="34"/>
        <v>0.83237898965656676</v>
      </c>
    </row>
    <row r="1084" spans="1:15" x14ac:dyDescent="0.25">
      <c r="A1084" s="12">
        <f t="shared" si="33"/>
        <v>8</v>
      </c>
      <c r="B1084" s="12">
        <v>2023</v>
      </c>
      <c r="C1084" s="12">
        <v>7363</v>
      </c>
      <c r="E1084" s="12" t="s">
        <v>13</v>
      </c>
      <c r="F1084" s="12" t="s">
        <v>14</v>
      </c>
      <c r="G1084" s="14">
        <v>45157</v>
      </c>
      <c r="H1084" s="12" t="s">
        <v>38</v>
      </c>
      <c r="I1084" s="12" t="s">
        <v>19</v>
      </c>
      <c r="J1084" s="12" t="s">
        <v>55</v>
      </c>
      <c r="K1084" s="12">
        <v>230.09200000000001</v>
      </c>
      <c r="L1084" s="12">
        <v>191.14500000000001</v>
      </c>
      <c r="O1084" s="13">
        <f t="shared" si="34"/>
        <v>0.83073292422161571</v>
      </c>
    </row>
    <row r="1085" spans="1:15" x14ac:dyDescent="0.25">
      <c r="A1085" s="12">
        <f t="shared" si="33"/>
        <v>8</v>
      </c>
      <c r="B1085" s="12">
        <v>2023</v>
      </c>
      <c r="C1085" s="12">
        <v>7364</v>
      </c>
      <c r="E1085" s="12" t="s">
        <v>13</v>
      </c>
      <c r="F1085" s="12" t="s">
        <v>14</v>
      </c>
      <c r="G1085" s="14">
        <v>45158</v>
      </c>
      <c r="H1085" s="12" t="s">
        <v>38</v>
      </c>
      <c r="I1085" s="12" t="s">
        <v>19</v>
      </c>
      <c r="J1085" s="12" t="s">
        <v>55</v>
      </c>
      <c r="K1085" s="12">
        <v>230.001</v>
      </c>
      <c r="L1085" s="12">
        <v>194.45699999999999</v>
      </c>
      <c r="O1085" s="13">
        <f t="shared" si="34"/>
        <v>0.84546154147155872</v>
      </c>
    </row>
    <row r="1086" spans="1:15" x14ac:dyDescent="0.25">
      <c r="A1086" s="12">
        <f t="shared" si="33"/>
        <v>8</v>
      </c>
      <c r="B1086" s="12">
        <v>2023</v>
      </c>
      <c r="C1086" s="12">
        <v>7365</v>
      </c>
      <c r="E1086" s="12" t="s">
        <v>13</v>
      </c>
      <c r="F1086" s="12" t="s">
        <v>14</v>
      </c>
      <c r="G1086" s="14">
        <v>45159</v>
      </c>
      <c r="H1086" s="12" t="s">
        <v>38</v>
      </c>
      <c r="I1086" s="12" t="s">
        <v>19</v>
      </c>
      <c r="J1086" s="12" t="s">
        <v>55</v>
      </c>
      <c r="K1086" s="12">
        <v>230</v>
      </c>
      <c r="L1086" s="12">
        <v>189.4</v>
      </c>
      <c r="O1086" s="13">
        <f t="shared" si="34"/>
        <v>0.82347826086956522</v>
      </c>
    </row>
    <row r="1087" spans="1:15" x14ac:dyDescent="0.25">
      <c r="A1087" s="12">
        <f t="shared" si="33"/>
        <v>8</v>
      </c>
      <c r="B1087" s="12">
        <v>2023</v>
      </c>
      <c r="C1087" s="12">
        <v>7366</v>
      </c>
      <c r="E1087" s="12" t="s">
        <v>13</v>
      </c>
      <c r="F1087" s="12" t="s">
        <v>14</v>
      </c>
      <c r="G1087" s="14">
        <v>45160</v>
      </c>
      <c r="H1087" s="12" t="s">
        <v>38</v>
      </c>
      <c r="I1087" s="12" t="s">
        <v>19</v>
      </c>
      <c r="J1087" s="12" t="s">
        <v>55</v>
      </c>
      <c r="K1087" s="12">
        <v>230.048</v>
      </c>
      <c r="L1087" s="12">
        <v>186.11099999999999</v>
      </c>
      <c r="O1087" s="13">
        <f t="shared" si="34"/>
        <v>0.80900942412018362</v>
      </c>
    </row>
    <row r="1088" spans="1:15" x14ac:dyDescent="0.25">
      <c r="A1088" s="12">
        <f t="shared" si="33"/>
        <v>8</v>
      </c>
      <c r="B1088" s="12">
        <v>2023</v>
      </c>
      <c r="C1088" s="12">
        <v>7367</v>
      </c>
      <c r="E1088" s="12" t="s">
        <v>13</v>
      </c>
      <c r="F1088" s="12" t="s">
        <v>14</v>
      </c>
      <c r="G1088" s="14">
        <v>45161</v>
      </c>
      <c r="H1088" s="12" t="s">
        <v>18</v>
      </c>
      <c r="I1088" s="12" t="s">
        <v>19</v>
      </c>
      <c r="J1088" s="12" t="s">
        <v>55</v>
      </c>
      <c r="K1088" s="12">
        <v>230.04900000000001</v>
      </c>
      <c r="L1088" s="12">
        <v>194.51499999999999</v>
      </c>
      <c r="O1088" s="13">
        <f t="shared" si="34"/>
        <v>0.84553725510652067</v>
      </c>
    </row>
    <row r="1089" spans="1:15" x14ac:dyDescent="0.25">
      <c r="A1089" s="12">
        <f t="shared" si="33"/>
        <v>8</v>
      </c>
      <c r="B1089" s="12">
        <v>2023</v>
      </c>
      <c r="C1089" s="12">
        <v>7368</v>
      </c>
      <c r="E1089" s="12" t="s">
        <v>13</v>
      </c>
      <c r="F1089" s="12" t="s">
        <v>14</v>
      </c>
      <c r="G1089" s="14">
        <v>45162</v>
      </c>
      <c r="H1089" s="12" t="s">
        <v>18</v>
      </c>
      <c r="I1089" s="12" t="s">
        <v>20</v>
      </c>
      <c r="J1089" s="12" t="s">
        <v>48</v>
      </c>
      <c r="K1089" s="12">
        <v>230.02199999999999</v>
      </c>
      <c r="L1089" s="12">
        <v>191.24700000000001</v>
      </c>
      <c r="O1089" s="13">
        <f t="shared" si="34"/>
        <v>0.8314291676448341</v>
      </c>
    </row>
    <row r="1090" spans="1:15" x14ac:dyDescent="0.25">
      <c r="A1090" s="12">
        <f t="shared" ref="A1090:A1153" si="35">MONTH(G1090)</f>
        <v>8</v>
      </c>
      <c r="B1090" s="12">
        <v>2023</v>
      </c>
      <c r="C1090" s="12">
        <v>7369</v>
      </c>
      <c r="E1090" s="12" t="s">
        <v>13</v>
      </c>
      <c r="F1090" s="12" t="s">
        <v>14</v>
      </c>
      <c r="G1090" s="14">
        <v>45163</v>
      </c>
      <c r="H1090" s="12" t="s">
        <v>18</v>
      </c>
      <c r="I1090" s="12" t="s">
        <v>20</v>
      </c>
      <c r="J1090" s="12" t="s">
        <v>48</v>
      </c>
      <c r="K1090" s="12">
        <v>229.99600000000001</v>
      </c>
      <c r="L1090" s="12">
        <v>193.721</v>
      </c>
      <c r="O1090" s="13">
        <f t="shared" si="34"/>
        <v>0.84227986573679536</v>
      </c>
    </row>
    <row r="1091" spans="1:15" x14ac:dyDescent="0.25">
      <c r="A1091" s="12">
        <f t="shared" si="35"/>
        <v>8</v>
      </c>
      <c r="B1091" s="12">
        <v>2023</v>
      </c>
      <c r="C1091" s="12">
        <v>7370</v>
      </c>
      <c r="E1091" s="12" t="s">
        <v>13</v>
      </c>
      <c r="F1091" s="12" t="s">
        <v>14</v>
      </c>
      <c r="G1091" s="14">
        <v>45164</v>
      </c>
      <c r="H1091" s="12" t="s">
        <v>18</v>
      </c>
      <c r="I1091" s="12" t="s">
        <v>19</v>
      </c>
      <c r="J1091" s="12" t="s">
        <v>55</v>
      </c>
      <c r="K1091" s="12">
        <v>230.00899999999999</v>
      </c>
      <c r="L1091" s="12">
        <v>192.63800000000001</v>
      </c>
      <c r="O1091" s="13">
        <f t="shared" si="34"/>
        <v>0.83752374907068861</v>
      </c>
    </row>
    <row r="1092" spans="1:15" x14ac:dyDescent="0.25">
      <c r="A1092" s="12">
        <f t="shared" si="35"/>
        <v>8</v>
      </c>
      <c r="B1092" s="12">
        <v>2023</v>
      </c>
      <c r="C1092" s="12">
        <v>7371</v>
      </c>
      <c r="E1092" s="12" t="s">
        <v>13</v>
      </c>
      <c r="F1092" s="12" t="s">
        <v>14</v>
      </c>
      <c r="G1092" s="14">
        <v>45165</v>
      </c>
      <c r="H1092" s="12" t="s">
        <v>18</v>
      </c>
      <c r="I1092" s="12" t="s">
        <v>19</v>
      </c>
      <c r="J1092" s="12" t="s">
        <v>55</v>
      </c>
      <c r="K1092" s="12">
        <v>230.00800000000001</v>
      </c>
      <c r="L1092" s="12">
        <v>184.631</v>
      </c>
      <c r="O1092" s="13">
        <f t="shared" si="34"/>
        <v>0.80271555771973147</v>
      </c>
    </row>
    <row r="1093" spans="1:15" x14ac:dyDescent="0.25">
      <c r="A1093" s="12">
        <f t="shared" si="35"/>
        <v>8</v>
      </c>
      <c r="B1093" s="12">
        <v>2023</v>
      </c>
      <c r="C1093" s="12">
        <v>7372</v>
      </c>
      <c r="E1093" s="12" t="s">
        <v>13</v>
      </c>
      <c r="F1093" s="12" t="s">
        <v>14</v>
      </c>
      <c r="G1093" s="14">
        <v>45166</v>
      </c>
      <c r="H1093" s="12" t="s">
        <v>18</v>
      </c>
      <c r="I1093" s="12" t="s">
        <v>19</v>
      </c>
      <c r="J1093" s="12" t="s">
        <v>55</v>
      </c>
      <c r="K1093" s="12">
        <v>229.977</v>
      </c>
      <c r="L1093" s="12">
        <v>191.988</v>
      </c>
      <c r="O1093" s="13">
        <f t="shared" si="34"/>
        <v>0.83481391617422607</v>
      </c>
    </row>
    <row r="1094" spans="1:15" x14ac:dyDescent="0.25">
      <c r="A1094" s="12">
        <f t="shared" si="35"/>
        <v>8</v>
      </c>
      <c r="B1094" s="12">
        <v>2023</v>
      </c>
      <c r="C1094" s="12">
        <v>7373</v>
      </c>
      <c r="E1094" s="12" t="s">
        <v>13</v>
      </c>
      <c r="F1094" s="12" t="s">
        <v>14</v>
      </c>
      <c r="G1094" s="14">
        <v>45167</v>
      </c>
      <c r="H1094" s="12" t="s">
        <v>18</v>
      </c>
      <c r="I1094" s="12" t="s">
        <v>19</v>
      </c>
      <c r="J1094" s="12" t="s">
        <v>55</v>
      </c>
      <c r="K1094" s="12">
        <v>230.00800000000001</v>
      </c>
      <c r="L1094" s="12">
        <v>190.85900000000001</v>
      </c>
      <c r="O1094" s="13">
        <f t="shared" si="34"/>
        <v>0.82979287676950364</v>
      </c>
    </row>
    <row r="1095" spans="1:15" x14ac:dyDescent="0.25">
      <c r="A1095" s="12">
        <f t="shared" si="35"/>
        <v>8</v>
      </c>
      <c r="B1095" s="12">
        <v>2023</v>
      </c>
      <c r="C1095" s="12">
        <v>7374</v>
      </c>
      <c r="E1095" s="12" t="s">
        <v>13</v>
      </c>
      <c r="F1095" s="12" t="s">
        <v>14</v>
      </c>
      <c r="G1095" s="14">
        <v>45168</v>
      </c>
      <c r="H1095" s="12" t="s">
        <v>18</v>
      </c>
      <c r="I1095" s="12" t="s">
        <v>19</v>
      </c>
      <c r="J1095" s="12" t="s">
        <v>55</v>
      </c>
      <c r="K1095" s="12">
        <v>230.00700000000001</v>
      </c>
      <c r="L1095" s="12">
        <v>191.75700000000001</v>
      </c>
      <c r="O1095" s="13">
        <f t="shared" si="34"/>
        <v>0.83370071345654695</v>
      </c>
    </row>
    <row r="1096" spans="1:15" x14ac:dyDescent="0.25">
      <c r="A1096" s="12">
        <f t="shared" si="35"/>
        <v>8</v>
      </c>
      <c r="B1096" s="12">
        <v>2023</v>
      </c>
      <c r="C1096" s="12">
        <v>7375</v>
      </c>
      <c r="E1096" s="12" t="s">
        <v>13</v>
      </c>
      <c r="F1096" s="12" t="s">
        <v>14</v>
      </c>
      <c r="G1096" s="14">
        <v>45169</v>
      </c>
      <c r="H1096" s="12" t="s">
        <v>18</v>
      </c>
      <c r="I1096" s="12" t="s">
        <v>19</v>
      </c>
      <c r="J1096" s="12" t="s">
        <v>55</v>
      </c>
      <c r="K1096" s="12">
        <v>230.00399999999999</v>
      </c>
      <c r="L1096" s="12">
        <v>193.68600000000001</v>
      </c>
      <c r="O1096" s="13">
        <f t="shared" si="34"/>
        <v>0.84209839828872546</v>
      </c>
    </row>
    <row r="1097" spans="1:15" x14ac:dyDescent="0.25">
      <c r="A1097" s="16">
        <f t="shared" si="35"/>
        <v>9</v>
      </c>
      <c r="B1097" s="16">
        <v>2023</v>
      </c>
      <c r="C1097" s="16">
        <v>7376</v>
      </c>
      <c r="D1097" s="16"/>
      <c r="E1097" s="12" t="s">
        <v>13</v>
      </c>
      <c r="F1097" s="12" t="s">
        <v>14</v>
      </c>
      <c r="G1097" s="14">
        <v>45170</v>
      </c>
      <c r="H1097" s="12" t="s">
        <v>18</v>
      </c>
      <c r="I1097" s="12" t="s">
        <v>19</v>
      </c>
      <c r="J1097" s="12" t="s">
        <v>55</v>
      </c>
      <c r="K1097" s="12">
        <v>230.005</v>
      </c>
      <c r="L1097" s="12">
        <v>191.542</v>
      </c>
      <c r="O1097" s="13">
        <f t="shared" ref="O1097:O1160" si="36">L1097/K1097</f>
        <v>0.83277320058259607</v>
      </c>
    </row>
    <row r="1098" spans="1:15" x14ac:dyDescent="0.25">
      <c r="A1098" s="12">
        <f t="shared" si="35"/>
        <v>9</v>
      </c>
      <c r="B1098" s="12">
        <v>2023</v>
      </c>
      <c r="C1098" s="12">
        <v>7377</v>
      </c>
      <c r="E1098" s="12" t="s">
        <v>13</v>
      </c>
      <c r="F1098" s="12" t="s">
        <v>14</v>
      </c>
      <c r="G1098" s="14">
        <v>45171</v>
      </c>
      <c r="H1098" s="12" t="s">
        <v>18</v>
      </c>
      <c r="I1098" s="12" t="s">
        <v>19</v>
      </c>
      <c r="J1098" s="12" t="s">
        <v>55</v>
      </c>
      <c r="K1098" s="12">
        <v>229.935</v>
      </c>
      <c r="L1098" s="12">
        <v>188.69900000000001</v>
      </c>
      <c r="O1098" s="13">
        <f t="shared" si="36"/>
        <v>0.8206623611020506</v>
      </c>
    </row>
    <row r="1099" spans="1:15" x14ac:dyDescent="0.25">
      <c r="A1099" s="12">
        <f t="shared" si="35"/>
        <v>9</v>
      </c>
      <c r="B1099" s="12">
        <v>2023</v>
      </c>
      <c r="C1099" s="12">
        <v>7378</v>
      </c>
      <c r="E1099" s="12" t="s">
        <v>13</v>
      </c>
      <c r="F1099" s="12" t="s">
        <v>14</v>
      </c>
      <c r="G1099" s="14">
        <v>45172</v>
      </c>
      <c r="H1099" s="12" t="s">
        <v>18</v>
      </c>
      <c r="I1099" s="12" t="s">
        <v>19</v>
      </c>
      <c r="J1099" s="12" t="s">
        <v>55</v>
      </c>
      <c r="K1099" s="12">
        <v>230.00800000000001</v>
      </c>
      <c r="L1099" s="12">
        <v>188.529</v>
      </c>
      <c r="O1099" s="13">
        <f t="shared" si="36"/>
        <v>0.81966279433758815</v>
      </c>
    </row>
    <row r="1100" spans="1:15" x14ac:dyDescent="0.25">
      <c r="A1100" s="12">
        <f t="shared" si="35"/>
        <v>9</v>
      </c>
      <c r="B1100" s="12">
        <v>2023</v>
      </c>
      <c r="C1100" s="12">
        <v>7379</v>
      </c>
      <c r="E1100" s="12" t="s">
        <v>13</v>
      </c>
      <c r="F1100" s="12" t="s">
        <v>14</v>
      </c>
      <c r="G1100" s="14">
        <v>45173</v>
      </c>
      <c r="H1100" s="12" t="s">
        <v>18</v>
      </c>
      <c r="I1100" s="12" t="s">
        <v>19</v>
      </c>
      <c r="J1100" s="12" t="s">
        <v>55</v>
      </c>
      <c r="K1100" s="12">
        <v>230.00700000000001</v>
      </c>
      <c r="L1100" s="12">
        <v>190.86600000000001</v>
      </c>
      <c r="O1100" s="13">
        <f t="shared" si="36"/>
        <v>0.82982691831118183</v>
      </c>
    </row>
    <row r="1101" spans="1:15" x14ac:dyDescent="0.25">
      <c r="A1101" s="12">
        <f t="shared" si="35"/>
        <v>9</v>
      </c>
      <c r="B1101" s="12">
        <v>2023</v>
      </c>
      <c r="C1101" s="12">
        <v>7380</v>
      </c>
      <c r="E1101" s="12" t="s">
        <v>13</v>
      </c>
      <c r="F1101" s="12" t="s">
        <v>14</v>
      </c>
      <c r="G1101" s="14">
        <v>45174</v>
      </c>
      <c r="H1101" s="12" t="s">
        <v>18</v>
      </c>
      <c r="I1101" s="12" t="s">
        <v>20</v>
      </c>
      <c r="J1101" s="12" t="s">
        <v>56</v>
      </c>
      <c r="K1101" s="12">
        <v>230.00800000000001</v>
      </c>
      <c r="L1101" s="12">
        <v>191.71799999999999</v>
      </c>
      <c r="O1101" s="13">
        <f t="shared" si="36"/>
        <v>0.83352752947723552</v>
      </c>
    </row>
    <row r="1102" spans="1:15" x14ac:dyDescent="0.25">
      <c r="A1102" s="12">
        <f t="shared" si="35"/>
        <v>9</v>
      </c>
      <c r="B1102" s="12">
        <v>2023</v>
      </c>
      <c r="C1102" s="12">
        <v>7381</v>
      </c>
      <c r="E1102" s="12" t="s">
        <v>13</v>
      </c>
      <c r="F1102" s="12" t="s">
        <v>14</v>
      </c>
      <c r="G1102" s="14">
        <v>45175</v>
      </c>
      <c r="H1102" s="12" t="s">
        <v>18</v>
      </c>
      <c r="I1102" s="12" t="s">
        <v>20</v>
      </c>
      <c r="J1102" s="12" t="s">
        <v>56</v>
      </c>
      <c r="K1102" s="12">
        <v>230.00700000000001</v>
      </c>
      <c r="L1102" s="12">
        <v>183.79400000000001</v>
      </c>
      <c r="O1102" s="13">
        <f t="shared" si="36"/>
        <v>0.7990800279991479</v>
      </c>
    </row>
    <row r="1103" spans="1:15" x14ac:dyDescent="0.25">
      <c r="A1103" s="12">
        <f t="shared" si="35"/>
        <v>9</v>
      </c>
      <c r="B1103" s="12">
        <v>2023</v>
      </c>
      <c r="C1103" s="12">
        <v>7382</v>
      </c>
      <c r="E1103" s="12" t="s">
        <v>13</v>
      </c>
      <c r="F1103" s="12" t="s">
        <v>14</v>
      </c>
      <c r="G1103" s="14">
        <v>45176</v>
      </c>
      <c r="H1103" s="12" t="s">
        <v>18</v>
      </c>
      <c r="I1103" s="12" t="s">
        <v>20</v>
      </c>
      <c r="J1103" s="12" t="s">
        <v>56</v>
      </c>
      <c r="K1103" s="12">
        <v>230.01300000000001</v>
      </c>
      <c r="L1103" s="12">
        <v>191.233</v>
      </c>
      <c r="O1103" s="13">
        <f t="shared" si="36"/>
        <v>0.8314008338659119</v>
      </c>
    </row>
    <row r="1104" spans="1:15" x14ac:dyDescent="0.25">
      <c r="A1104" s="12">
        <f t="shared" si="35"/>
        <v>9</v>
      </c>
      <c r="B1104" s="12">
        <v>2023</v>
      </c>
      <c r="C1104" s="12">
        <v>7383</v>
      </c>
      <c r="E1104" s="12" t="s">
        <v>13</v>
      </c>
      <c r="F1104" s="12" t="s">
        <v>14</v>
      </c>
      <c r="G1104" s="14">
        <v>45177</v>
      </c>
      <c r="H1104" s="12" t="s">
        <v>18</v>
      </c>
      <c r="I1104" s="12" t="s">
        <v>20</v>
      </c>
      <c r="J1104" s="12" t="s">
        <v>56</v>
      </c>
      <c r="K1104" s="12">
        <v>229.95</v>
      </c>
      <c r="L1104" s="12">
        <v>188.52600000000001</v>
      </c>
      <c r="O1104" s="13">
        <f t="shared" si="36"/>
        <v>0.81985649054142218</v>
      </c>
    </row>
    <row r="1105" spans="1:15" x14ac:dyDescent="0.25">
      <c r="A1105" s="12">
        <f t="shared" si="35"/>
        <v>9</v>
      </c>
      <c r="B1105" s="12">
        <v>2023</v>
      </c>
      <c r="C1105" s="12">
        <v>7384</v>
      </c>
      <c r="E1105" s="12" t="s">
        <v>13</v>
      </c>
      <c r="F1105" s="12" t="s">
        <v>14</v>
      </c>
      <c r="G1105" s="14">
        <v>45178</v>
      </c>
      <c r="H1105" s="12" t="s">
        <v>18</v>
      </c>
      <c r="I1105" s="12" t="s">
        <v>20</v>
      </c>
      <c r="J1105" s="12" t="s">
        <v>56</v>
      </c>
      <c r="K1105" s="12">
        <v>229.958</v>
      </c>
      <c r="L1105" s="12">
        <v>194.684</v>
      </c>
      <c r="O1105" s="13">
        <f t="shared" si="36"/>
        <v>0.84660677167134868</v>
      </c>
    </row>
    <row r="1106" spans="1:15" x14ac:dyDescent="0.25">
      <c r="A1106" s="12">
        <f t="shared" si="35"/>
        <v>9</v>
      </c>
      <c r="B1106" s="12">
        <v>2023</v>
      </c>
      <c r="C1106" s="12">
        <v>7385</v>
      </c>
      <c r="E1106" s="12" t="s">
        <v>13</v>
      </c>
      <c r="F1106" s="12" t="s">
        <v>14</v>
      </c>
      <c r="G1106" s="14">
        <v>45179</v>
      </c>
      <c r="H1106" s="12" t="s">
        <v>18</v>
      </c>
      <c r="I1106" s="12" t="s">
        <v>19</v>
      </c>
      <c r="J1106" s="12" t="s">
        <v>57</v>
      </c>
      <c r="K1106" s="12">
        <v>230.00800000000001</v>
      </c>
      <c r="L1106" s="12">
        <v>191.90899999999999</v>
      </c>
      <c r="O1106" s="13">
        <f t="shared" si="36"/>
        <v>0.83435793537616076</v>
      </c>
    </row>
    <row r="1107" spans="1:15" x14ac:dyDescent="0.25">
      <c r="A1107" s="12">
        <f t="shared" si="35"/>
        <v>9</v>
      </c>
      <c r="B1107" s="12">
        <v>2023</v>
      </c>
      <c r="C1107" s="12">
        <v>7386</v>
      </c>
      <c r="E1107" s="12" t="s">
        <v>13</v>
      </c>
      <c r="F1107" s="12" t="s">
        <v>14</v>
      </c>
      <c r="G1107" s="14">
        <v>45180</v>
      </c>
      <c r="H1107" s="12" t="s">
        <v>18</v>
      </c>
      <c r="I1107" s="12" t="s">
        <v>19</v>
      </c>
      <c r="J1107" s="12" t="s">
        <v>57</v>
      </c>
      <c r="K1107" s="12">
        <v>230.00800000000001</v>
      </c>
      <c r="L1107" s="12">
        <v>192.40700000000001</v>
      </c>
      <c r="O1107" s="13">
        <f t="shared" si="36"/>
        <v>0.83652307745817533</v>
      </c>
    </row>
    <row r="1108" spans="1:15" x14ac:dyDescent="0.25">
      <c r="A1108" s="12">
        <f t="shared" si="35"/>
        <v>9</v>
      </c>
      <c r="B1108" s="12">
        <v>2023</v>
      </c>
      <c r="C1108" s="12">
        <v>7387</v>
      </c>
      <c r="E1108" s="12" t="s">
        <v>13</v>
      </c>
      <c r="F1108" s="12" t="s">
        <v>14</v>
      </c>
      <c r="G1108" s="14">
        <v>45181</v>
      </c>
      <c r="H1108" s="12" t="s">
        <v>17</v>
      </c>
      <c r="I1108" s="12" t="s">
        <v>19</v>
      </c>
      <c r="J1108" s="12" t="s">
        <v>58</v>
      </c>
      <c r="K1108" s="12">
        <v>230.00299999999999</v>
      </c>
      <c r="L1108" s="12">
        <v>192.54900000000001</v>
      </c>
      <c r="O1108" s="13">
        <f t="shared" si="36"/>
        <v>0.83715864575679455</v>
      </c>
    </row>
    <row r="1109" spans="1:15" x14ac:dyDescent="0.25">
      <c r="A1109" s="12">
        <f t="shared" si="35"/>
        <v>9</v>
      </c>
      <c r="B1109" s="12">
        <v>2023</v>
      </c>
      <c r="C1109" s="12">
        <v>7388</v>
      </c>
      <c r="E1109" s="12" t="s">
        <v>13</v>
      </c>
      <c r="F1109" s="12" t="s">
        <v>14</v>
      </c>
      <c r="G1109" s="14">
        <v>45182</v>
      </c>
      <c r="H1109" s="12" t="s">
        <v>17</v>
      </c>
      <c r="I1109" s="12" t="s">
        <v>19</v>
      </c>
      <c r="J1109" s="12" t="s">
        <v>58</v>
      </c>
      <c r="K1109" s="12">
        <v>230.00200000000001</v>
      </c>
      <c r="L1109" s="12">
        <v>189.739</v>
      </c>
      <c r="O1109" s="13">
        <f t="shared" si="36"/>
        <v>0.8249450004782567</v>
      </c>
    </row>
    <row r="1110" spans="1:15" x14ac:dyDescent="0.25">
      <c r="A1110" s="12">
        <f t="shared" si="35"/>
        <v>9</v>
      </c>
      <c r="B1110" s="12">
        <v>2023</v>
      </c>
      <c r="C1110" s="12">
        <v>7389</v>
      </c>
      <c r="E1110" s="12" t="s">
        <v>13</v>
      </c>
      <c r="F1110" s="12" t="s">
        <v>14</v>
      </c>
      <c r="G1110" s="14">
        <v>45183</v>
      </c>
      <c r="H1110" s="12" t="s">
        <v>51</v>
      </c>
      <c r="I1110" s="12" t="s">
        <v>19</v>
      </c>
      <c r="J1110" s="12" t="s">
        <v>57</v>
      </c>
      <c r="K1110" s="12">
        <v>230.01400000000001</v>
      </c>
      <c r="L1110" s="12">
        <v>190.71</v>
      </c>
      <c r="O1110" s="13">
        <f t="shared" si="36"/>
        <v>0.8291234446598903</v>
      </c>
    </row>
    <row r="1111" spans="1:15" x14ac:dyDescent="0.25">
      <c r="A1111" s="12">
        <f t="shared" si="35"/>
        <v>9</v>
      </c>
      <c r="B1111" s="12">
        <v>2023</v>
      </c>
      <c r="C1111" s="12">
        <v>7390</v>
      </c>
      <c r="E1111" s="12" t="s">
        <v>13</v>
      </c>
      <c r="F1111" s="12" t="s">
        <v>14</v>
      </c>
      <c r="G1111" s="14">
        <v>45184</v>
      </c>
      <c r="H1111" s="12" t="s">
        <v>51</v>
      </c>
      <c r="I1111" s="12" t="s">
        <v>19</v>
      </c>
      <c r="J1111" s="12" t="s">
        <v>57</v>
      </c>
      <c r="K1111" s="12">
        <v>230.02</v>
      </c>
      <c r="L1111" s="12">
        <v>195.19200000000001</v>
      </c>
      <c r="O1111" s="13">
        <f t="shared" si="36"/>
        <v>0.84858707938440137</v>
      </c>
    </row>
    <row r="1112" spans="1:15" x14ac:dyDescent="0.25">
      <c r="A1112" s="12">
        <f t="shared" si="35"/>
        <v>9</v>
      </c>
      <c r="B1112" s="12">
        <v>2023</v>
      </c>
      <c r="C1112" s="12">
        <v>7391</v>
      </c>
      <c r="E1112" s="12" t="s">
        <v>13</v>
      </c>
      <c r="F1112" s="12" t="s">
        <v>14</v>
      </c>
      <c r="G1112" s="14">
        <v>45185</v>
      </c>
      <c r="H1112" s="12" t="s">
        <v>51</v>
      </c>
      <c r="I1112" s="12" t="s">
        <v>19</v>
      </c>
      <c r="J1112" s="12" t="s">
        <v>57</v>
      </c>
      <c r="K1112" s="12">
        <v>230.01599999999999</v>
      </c>
      <c r="L1112" s="12">
        <v>189.816</v>
      </c>
      <c r="O1112" s="13">
        <f t="shared" si="36"/>
        <v>0.82522954924874792</v>
      </c>
    </row>
    <row r="1113" spans="1:15" x14ac:dyDescent="0.25">
      <c r="A1113" s="12">
        <f t="shared" si="35"/>
        <v>9</v>
      </c>
      <c r="B1113" s="12">
        <v>2023</v>
      </c>
      <c r="C1113" s="12">
        <v>7392</v>
      </c>
      <c r="E1113" s="12" t="s">
        <v>13</v>
      </c>
      <c r="F1113" s="12" t="s">
        <v>14</v>
      </c>
      <c r="G1113" s="14">
        <v>45186</v>
      </c>
      <c r="H1113" s="12" t="s">
        <v>51</v>
      </c>
      <c r="I1113" s="12" t="s">
        <v>19</v>
      </c>
      <c r="J1113" s="12" t="s">
        <v>57</v>
      </c>
      <c r="K1113" s="12">
        <v>230.017</v>
      </c>
      <c r="L1113" s="12">
        <v>189.31299999999999</v>
      </c>
      <c r="O1113" s="13">
        <f t="shared" si="36"/>
        <v>0.82303916667028953</v>
      </c>
    </row>
    <row r="1114" spans="1:15" x14ac:dyDescent="0.25">
      <c r="A1114" s="12">
        <f t="shared" si="35"/>
        <v>9</v>
      </c>
      <c r="B1114" s="12">
        <v>2023</v>
      </c>
      <c r="C1114" s="12">
        <v>7393</v>
      </c>
      <c r="E1114" s="12" t="s">
        <v>13</v>
      </c>
      <c r="F1114" s="12" t="s">
        <v>14</v>
      </c>
      <c r="G1114" s="14">
        <v>45187</v>
      </c>
      <c r="H1114" s="12" t="s">
        <v>51</v>
      </c>
      <c r="I1114" s="12" t="s">
        <v>19</v>
      </c>
      <c r="J1114" s="12" t="s">
        <v>57</v>
      </c>
      <c r="K1114" s="12">
        <v>229.98599999999999</v>
      </c>
      <c r="L1114" s="12">
        <v>193.34</v>
      </c>
      <c r="O1114" s="13">
        <f t="shared" si="36"/>
        <v>0.84065986625272848</v>
      </c>
    </row>
    <row r="1115" spans="1:15" x14ac:dyDescent="0.25">
      <c r="A1115" s="12">
        <f t="shared" si="35"/>
        <v>9</v>
      </c>
      <c r="B1115" s="12">
        <v>2023</v>
      </c>
      <c r="C1115" s="12">
        <v>7394</v>
      </c>
      <c r="E1115" s="12" t="s">
        <v>13</v>
      </c>
      <c r="F1115" s="12" t="s">
        <v>14</v>
      </c>
      <c r="G1115" s="14">
        <v>45188</v>
      </c>
      <c r="H1115" s="12" t="s">
        <v>18</v>
      </c>
      <c r="I1115" s="12" t="s">
        <v>19</v>
      </c>
      <c r="J1115" s="12" t="s">
        <v>57</v>
      </c>
      <c r="K1115" s="12">
        <v>230.00399999999999</v>
      </c>
      <c r="L1115" s="12">
        <v>198.41300000000001</v>
      </c>
      <c r="O1115" s="13">
        <f t="shared" si="36"/>
        <v>0.86265021477887349</v>
      </c>
    </row>
    <row r="1116" spans="1:15" x14ac:dyDescent="0.25">
      <c r="A1116" s="12">
        <f t="shared" si="35"/>
        <v>9</v>
      </c>
      <c r="B1116" s="12">
        <v>2023</v>
      </c>
      <c r="C1116" s="12">
        <v>7395</v>
      </c>
      <c r="E1116" s="12" t="s">
        <v>13</v>
      </c>
      <c r="F1116" s="12" t="s">
        <v>14</v>
      </c>
      <c r="G1116" s="14">
        <v>45189</v>
      </c>
      <c r="H1116" s="12" t="s">
        <v>18</v>
      </c>
      <c r="I1116" s="12" t="s">
        <v>19</v>
      </c>
      <c r="J1116" s="12" t="s">
        <v>57</v>
      </c>
      <c r="K1116" s="12">
        <v>230.012</v>
      </c>
      <c r="L1116" s="12">
        <v>191.78899999999999</v>
      </c>
      <c r="O1116" s="13">
        <f t="shared" si="36"/>
        <v>0.83382171364972257</v>
      </c>
    </row>
    <row r="1117" spans="1:15" x14ac:dyDescent="0.25">
      <c r="A1117" s="12">
        <f t="shared" si="35"/>
        <v>9</v>
      </c>
      <c r="B1117" s="12">
        <v>2023</v>
      </c>
      <c r="C1117" s="12">
        <v>7396</v>
      </c>
      <c r="E1117" s="12" t="s">
        <v>13</v>
      </c>
      <c r="F1117" s="12" t="s">
        <v>14</v>
      </c>
      <c r="G1117" s="14">
        <v>45190</v>
      </c>
      <c r="H1117" s="12" t="s">
        <v>18</v>
      </c>
      <c r="I1117" s="12" t="s">
        <v>19</v>
      </c>
      <c r="J1117" s="12" t="s">
        <v>57</v>
      </c>
      <c r="K1117" s="12">
        <v>230.00399999999999</v>
      </c>
      <c r="L1117" s="12">
        <v>194.51300000000001</v>
      </c>
      <c r="O1117" s="13">
        <f t="shared" si="36"/>
        <v>0.84569398793064476</v>
      </c>
    </row>
    <row r="1118" spans="1:15" x14ac:dyDescent="0.25">
      <c r="A1118" s="12">
        <f t="shared" si="35"/>
        <v>9</v>
      </c>
      <c r="B1118" s="12">
        <v>2023</v>
      </c>
      <c r="C1118" s="12">
        <v>7397</v>
      </c>
      <c r="E1118" s="12" t="s">
        <v>13</v>
      </c>
      <c r="F1118" s="12" t="s">
        <v>14</v>
      </c>
      <c r="G1118" s="14">
        <v>45191</v>
      </c>
      <c r="H1118" s="12" t="s">
        <v>18</v>
      </c>
      <c r="I1118" s="12" t="s">
        <v>19</v>
      </c>
      <c r="J1118" s="12" t="s">
        <v>57</v>
      </c>
      <c r="K1118" s="12">
        <v>229.928</v>
      </c>
      <c r="L1118" s="12">
        <v>192.916</v>
      </c>
      <c r="O1118" s="13">
        <f t="shared" si="36"/>
        <v>0.83902786959395981</v>
      </c>
    </row>
    <row r="1119" spans="1:15" x14ac:dyDescent="0.25">
      <c r="A1119" s="12">
        <f t="shared" si="35"/>
        <v>9</v>
      </c>
      <c r="B1119" s="12">
        <v>2023</v>
      </c>
      <c r="C1119" s="12">
        <v>7398</v>
      </c>
      <c r="E1119" s="12" t="s">
        <v>13</v>
      </c>
      <c r="F1119" s="12" t="s">
        <v>14</v>
      </c>
      <c r="G1119" s="14">
        <v>45192</v>
      </c>
      <c r="H1119" s="12" t="s">
        <v>18</v>
      </c>
      <c r="I1119" s="12" t="s">
        <v>19</v>
      </c>
      <c r="J1119" s="12" t="s">
        <v>57</v>
      </c>
      <c r="K1119" s="12">
        <v>230.01300000000001</v>
      </c>
      <c r="L1119" s="12">
        <v>191.381</v>
      </c>
      <c r="O1119" s="13">
        <f t="shared" si="36"/>
        <v>0.83204427575832673</v>
      </c>
    </row>
    <row r="1120" spans="1:15" x14ac:dyDescent="0.25">
      <c r="A1120" s="12">
        <f t="shared" si="35"/>
        <v>9</v>
      </c>
      <c r="B1120" s="12">
        <v>2023</v>
      </c>
      <c r="C1120" s="12">
        <v>7399</v>
      </c>
      <c r="E1120" s="12" t="s">
        <v>13</v>
      </c>
      <c r="F1120" s="12" t="s">
        <v>14</v>
      </c>
      <c r="G1120" s="14">
        <v>45193</v>
      </c>
      <c r="H1120" s="12" t="s">
        <v>17</v>
      </c>
      <c r="I1120" s="12" t="s">
        <v>19</v>
      </c>
      <c r="J1120" s="12" t="s">
        <v>59</v>
      </c>
      <c r="K1120" s="12">
        <v>230.001</v>
      </c>
      <c r="L1120" s="12">
        <v>196.37100000000001</v>
      </c>
      <c r="O1120" s="13">
        <f t="shared" si="36"/>
        <v>0.85378324442067643</v>
      </c>
    </row>
    <row r="1121" spans="1:15" x14ac:dyDescent="0.25">
      <c r="A1121" s="12">
        <f t="shared" si="35"/>
        <v>9</v>
      </c>
      <c r="B1121" s="12">
        <v>2023</v>
      </c>
      <c r="C1121" s="12">
        <v>7400</v>
      </c>
      <c r="E1121" s="12" t="s">
        <v>13</v>
      </c>
      <c r="F1121" s="12" t="s">
        <v>14</v>
      </c>
      <c r="G1121" s="14">
        <v>45194</v>
      </c>
      <c r="H1121" s="12" t="s">
        <v>18</v>
      </c>
      <c r="I1121" s="12" t="s">
        <v>19</v>
      </c>
      <c r="J1121" s="12" t="s">
        <v>57</v>
      </c>
      <c r="K1121" s="12">
        <v>229.97300000000001</v>
      </c>
      <c r="L1121" s="12">
        <v>193.48</v>
      </c>
      <c r="O1121" s="13">
        <f t="shared" si="36"/>
        <v>0.841316154505094</v>
      </c>
    </row>
    <row r="1122" spans="1:15" x14ac:dyDescent="0.25">
      <c r="A1122" s="12">
        <f t="shared" si="35"/>
        <v>9</v>
      </c>
      <c r="B1122" s="12">
        <v>2023</v>
      </c>
      <c r="C1122" s="12">
        <v>7401</v>
      </c>
      <c r="E1122" s="12" t="s">
        <v>13</v>
      </c>
      <c r="F1122" s="12" t="s">
        <v>14</v>
      </c>
      <c r="G1122" s="14">
        <v>45195</v>
      </c>
      <c r="H1122" s="12" t="s">
        <v>18</v>
      </c>
      <c r="I1122" s="12" t="s">
        <v>19</v>
      </c>
      <c r="J1122" s="12" t="s">
        <v>57</v>
      </c>
      <c r="K1122" s="12">
        <v>230.00299999999999</v>
      </c>
      <c r="L1122" s="12">
        <v>193.12899999999999</v>
      </c>
      <c r="O1122" s="13">
        <f t="shared" si="36"/>
        <v>0.8396803519954088</v>
      </c>
    </row>
    <row r="1123" spans="1:15" x14ac:dyDescent="0.25">
      <c r="A1123" s="12">
        <f t="shared" si="35"/>
        <v>9</v>
      </c>
      <c r="B1123" s="12">
        <v>2023</v>
      </c>
      <c r="C1123" s="12">
        <v>7402</v>
      </c>
      <c r="E1123" s="12" t="s">
        <v>13</v>
      </c>
      <c r="F1123" s="12" t="s">
        <v>14</v>
      </c>
      <c r="G1123" s="14">
        <v>45196</v>
      </c>
      <c r="H1123" s="12" t="s">
        <v>18</v>
      </c>
      <c r="I1123" s="12" t="s">
        <v>19</v>
      </c>
      <c r="J1123" s="12" t="s">
        <v>57</v>
      </c>
      <c r="K1123" s="12">
        <v>229.98699999999999</v>
      </c>
      <c r="L1123" s="12">
        <v>194.87</v>
      </c>
      <c r="O1123" s="13">
        <f t="shared" si="36"/>
        <v>0.84730876092996565</v>
      </c>
    </row>
    <row r="1124" spans="1:15" x14ac:dyDescent="0.25">
      <c r="A1124" s="12">
        <f t="shared" si="35"/>
        <v>9</v>
      </c>
      <c r="B1124" s="12">
        <v>2023</v>
      </c>
      <c r="C1124" s="12">
        <v>7403</v>
      </c>
      <c r="E1124" s="12" t="s">
        <v>13</v>
      </c>
      <c r="F1124" s="12" t="s">
        <v>14</v>
      </c>
      <c r="G1124" s="14">
        <v>45197</v>
      </c>
      <c r="H1124" s="12" t="s">
        <v>18</v>
      </c>
      <c r="I1124" s="12" t="s">
        <v>19</v>
      </c>
      <c r="J1124" s="12" t="s">
        <v>57</v>
      </c>
      <c r="K1124" s="12">
        <v>229.99700000000001</v>
      </c>
      <c r="L1124" s="12">
        <v>192.785</v>
      </c>
      <c r="O1124" s="13">
        <f t="shared" si="36"/>
        <v>0.83820658530328651</v>
      </c>
    </row>
    <row r="1125" spans="1:15" x14ac:dyDescent="0.25">
      <c r="A1125" s="12">
        <f t="shared" si="35"/>
        <v>9</v>
      </c>
      <c r="B1125" s="12">
        <v>2023</v>
      </c>
      <c r="C1125" s="12">
        <v>7404</v>
      </c>
      <c r="E1125" s="12" t="s">
        <v>13</v>
      </c>
      <c r="F1125" s="12" t="s">
        <v>14</v>
      </c>
      <c r="G1125" s="14">
        <v>45198</v>
      </c>
      <c r="H1125" s="12" t="s">
        <v>18</v>
      </c>
      <c r="I1125" s="12" t="s">
        <v>19</v>
      </c>
      <c r="J1125" s="12" t="s">
        <v>57</v>
      </c>
      <c r="K1125" s="12">
        <v>230.03</v>
      </c>
      <c r="L1125" s="12">
        <v>195.142</v>
      </c>
      <c r="O1125" s="13">
        <f t="shared" si="36"/>
        <v>0.84833282615311045</v>
      </c>
    </row>
    <row r="1126" spans="1:15" x14ac:dyDescent="0.25">
      <c r="A1126" s="12">
        <f t="shared" si="35"/>
        <v>9</v>
      </c>
      <c r="B1126" s="12">
        <v>2023</v>
      </c>
      <c r="C1126" s="12">
        <v>7405</v>
      </c>
      <c r="E1126" s="12" t="s">
        <v>13</v>
      </c>
      <c r="F1126" s="12" t="s">
        <v>14</v>
      </c>
      <c r="G1126" s="14">
        <v>45199</v>
      </c>
      <c r="H1126" s="12" t="s">
        <v>17</v>
      </c>
      <c r="I1126" s="12" t="s">
        <v>19</v>
      </c>
      <c r="J1126" s="12" t="s">
        <v>58</v>
      </c>
      <c r="K1126" s="12">
        <v>230</v>
      </c>
      <c r="L1126" s="12">
        <v>193.16800000000001</v>
      </c>
      <c r="O1126" s="13">
        <f t="shared" si="36"/>
        <v>0.83986086956521744</v>
      </c>
    </row>
    <row r="1127" spans="1:15" x14ac:dyDescent="0.25">
      <c r="A1127" s="12">
        <f t="shared" si="35"/>
        <v>10</v>
      </c>
      <c r="B1127" s="12">
        <v>2023</v>
      </c>
      <c r="C1127" s="12">
        <v>7406</v>
      </c>
      <c r="E1127" s="12" t="s">
        <v>13</v>
      </c>
      <c r="F1127" s="12" t="s">
        <v>14</v>
      </c>
      <c r="G1127" s="14">
        <v>45200</v>
      </c>
      <c r="H1127" s="12" t="s">
        <v>17</v>
      </c>
      <c r="I1127" s="12" t="s">
        <v>19</v>
      </c>
      <c r="J1127" s="12" t="s">
        <v>58</v>
      </c>
      <c r="K1127" s="12">
        <v>230.01</v>
      </c>
      <c r="L1127" s="12">
        <v>192.245</v>
      </c>
      <c r="O1127" s="13">
        <f t="shared" si="36"/>
        <v>0.83581148645711056</v>
      </c>
    </row>
    <row r="1128" spans="1:15" x14ac:dyDescent="0.25">
      <c r="A1128" s="12">
        <f t="shared" si="35"/>
        <v>10</v>
      </c>
      <c r="B1128" s="12">
        <v>2023</v>
      </c>
      <c r="C1128" s="12">
        <v>7407</v>
      </c>
      <c r="E1128" s="12" t="s">
        <v>13</v>
      </c>
      <c r="F1128" s="12" t="s">
        <v>14</v>
      </c>
      <c r="G1128" s="14">
        <v>45201</v>
      </c>
      <c r="H1128" s="12" t="s">
        <v>64</v>
      </c>
      <c r="I1128" s="12" t="s">
        <v>20</v>
      </c>
      <c r="J1128" s="12" t="s">
        <v>56</v>
      </c>
      <c r="K1128" s="12">
        <v>234.934</v>
      </c>
      <c r="L1128" s="12">
        <v>190.87899999999999</v>
      </c>
      <c r="O1128" s="13">
        <f t="shared" si="36"/>
        <v>0.81247924949134642</v>
      </c>
    </row>
    <row r="1129" spans="1:15" x14ac:dyDescent="0.25">
      <c r="A1129" s="12">
        <f t="shared" si="35"/>
        <v>10</v>
      </c>
      <c r="B1129" s="12">
        <v>2023</v>
      </c>
      <c r="C1129" s="12">
        <v>7408</v>
      </c>
      <c r="E1129" s="12" t="s">
        <v>13</v>
      </c>
      <c r="F1129" s="12" t="s">
        <v>14</v>
      </c>
      <c r="G1129" s="14">
        <v>45202</v>
      </c>
      <c r="H1129" s="12" t="s">
        <v>64</v>
      </c>
      <c r="I1129" s="12" t="s">
        <v>20</v>
      </c>
      <c r="J1129" s="12" t="s">
        <v>56</v>
      </c>
      <c r="K1129" s="12">
        <v>235.09899999999999</v>
      </c>
      <c r="L1129" s="12">
        <v>198.358</v>
      </c>
      <c r="O1129" s="13">
        <f t="shared" si="36"/>
        <v>0.84372115576842099</v>
      </c>
    </row>
    <row r="1130" spans="1:15" x14ac:dyDescent="0.25">
      <c r="A1130" s="12">
        <f t="shared" si="35"/>
        <v>10</v>
      </c>
      <c r="B1130" s="12">
        <v>2023</v>
      </c>
      <c r="C1130" s="12">
        <v>7409</v>
      </c>
      <c r="E1130" s="12" t="s">
        <v>13</v>
      </c>
      <c r="F1130" s="12" t="s">
        <v>14</v>
      </c>
      <c r="G1130" s="14">
        <v>45203</v>
      </c>
      <c r="H1130" s="12" t="s">
        <v>64</v>
      </c>
      <c r="I1130" s="12" t="s">
        <v>20</v>
      </c>
      <c r="J1130" s="12" t="s">
        <v>56</v>
      </c>
      <c r="K1130" s="12">
        <v>235.09200000000001</v>
      </c>
      <c r="L1130" s="12">
        <v>193.53899999999999</v>
      </c>
      <c r="O1130" s="13">
        <f t="shared" si="36"/>
        <v>0.82324791996324831</v>
      </c>
    </row>
    <row r="1131" spans="1:15" x14ac:dyDescent="0.25">
      <c r="A1131" s="12">
        <f t="shared" si="35"/>
        <v>10</v>
      </c>
      <c r="B1131" s="12">
        <v>2023</v>
      </c>
      <c r="C1131" s="12">
        <v>7410</v>
      </c>
      <c r="E1131" s="12" t="s">
        <v>13</v>
      </c>
      <c r="F1131" s="12" t="s">
        <v>14</v>
      </c>
      <c r="G1131" s="14">
        <v>45204</v>
      </c>
      <c r="H1131" s="12" t="s">
        <v>64</v>
      </c>
      <c r="I1131" s="12" t="s">
        <v>20</v>
      </c>
      <c r="J1131" s="12" t="s">
        <v>56</v>
      </c>
      <c r="K1131" s="12">
        <v>234.98500000000001</v>
      </c>
      <c r="L1131" s="12">
        <v>187.65</v>
      </c>
      <c r="O1131" s="13">
        <f t="shared" si="36"/>
        <v>0.79856161031555206</v>
      </c>
    </row>
    <row r="1132" spans="1:15" x14ac:dyDescent="0.25">
      <c r="A1132" s="12">
        <f t="shared" si="35"/>
        <v>10</v>
      </c>
      <c r="B1132" s="12">
        <v>2023</v>
      </c>
      <c r="C1132" s="12">
        <v>7411</v>
      </c>
      <c r="E1132" s="12" t="s">
        <v>13</v>
      </c>
      <c r="F1132" s="12" t="s">
        <v>14</v>
      </c>
      <c r="G1132" s="14">
        <v>45205</v>
      </c>
      <c r="H1132" s="12" t="s">
        <v>64</v>
      </c>
      <c r="I1132" s="12" t="s">
        <v>20</v>
      </c>
      <c r="J1132" s="12" t="s">
        <v>56</v>
      </c>
      <c r="K1132" s="12">
        <v>235.018</v>
      </c>
      <c r="L1132" s="12">
        <v>193.72</v>
      </c>
      <c r="O1132" s="13">
        <f t="shared" si="36"/>
        <v>0.82427728939910982</v>
      </c>
    </row>
    <row r="1133" spans="1:15" x14ac:dyDescent="0.25">
      <c r="A1133" s="12">
        <f t="shared" si="35"/>
        <v>10</v>
      </c>
      <c r="B1133" s="12">
        <v>2023</v>
      </c>
      <c r="C1133" s="12">
        <v>7412</v>
      </c>
      <c r="E1133" s="12" t="s">
        <v>13</v>
      </c>
      <c r="F1133" s="12" t="s">
        <v>14</v>
      </c>
      <c r="G1133" s="14">
        <v>45206</v>
      </c>
      <c r="H1133" s="12" t="s">
        <v>64</v>
      </c>
      <c r="I1133" s="12" t="s">
        <v>20</v>
      </c>
      <c r="J1133" s="12" t="s">
        <v>56</v>
      </c>
      <c r="K1133" s="12">
        <v>235.00800000000001</v>
      </c>
      <c r="L1133" s="12">
        <v>195.89500000000001</v>
      </c>
      <c r="O1133" s="13">
        <f t="shared" si="36"/>
        <v>0.83356736791939001</v>
      </c>
    </row>
    <row r="1134" spans="1:15" x14ac:dyDescent="0.25">
      <c r="A1134" s="12">
        <f t="shared" si="35"/>
        <v>10</v>
      </c>
      <c r="B1134" s="12">
        <v>2023</v>
      </c>
      <c r="C1134" s="12">
        <v>7413</v>
      </c>
      <c r="E1134" s="12" t="s">
        <v>13</v>
      </c>
      <c r="F1134" s="12" t="s">
        <v>14</v>
      </c>
      <c r="G1134" s="14">
        <v>45207</v>
      </c>
      <c r="H1134" s="12" t="s">
        <v>64</v>
      </c>
      <c r="I1134" s="12" t="s">
        <v>20</v>
      </c>
      <c r="J1134" s="12" t="s">
        <v>56</v>
      </c>
      <c r="K1134" s="12">
        <v>235.09299999999999</v>
      </c>
      <c r="L1134" s="12">
        <v>195.53899999999999</v>
      </c>
      <c r="O1134" s="13">
        <f t="shared" si="36"/>
        <v>0.83175168975681968</v>
      </c>
    </row>
    <row r="1135" spans="1:15" x14ac:dyDescent="0.25">
      <c r="A1135" s="12">
        <f t="shared" si="35"/>
        <v>10</v>
      </c>
      <c r="B1135" s="12">
        <v>2023</v>
      </c>
      <c r="C1135" s="12">
        <v>7414</v>
      </c>
      <c r="E1135" s="12" t="s">
        <v>13</v>
      </c>
      <c r="F1135" s="12" t="s">
        <v>14</v>
      </c>
      <c r="G1135" s="14">
        <v>45208</v>
      </c>
      <c r="H1135" s="12" t="s">
        <v>64</v>
      </c>
      <c r="I1135" s="12" t="s">
        <v>20</v>
      </c>
      <c r="J1135" s="12" t="s">
        <v>56</v>
      </c>
      <c r="K1135" s="12">
        <v>234.96100000000001</v>
      </c>
      <c r="L1135" s="12">
        <v>197.16200000000001</v>
      </c>
      <c r="O1135" s="13">
        <f t="shared" si="36"/>
        <v>0.8391264933329361</v>
      </c>
    </row>
    <row r="1136" spans="1:15" x14ac:dyDescent="0.25">
      <c r="A1136" s="12">
        <f t="shared" si="35"/>
        <v>10</v>
      </c>
      <c r="B1136" s="12">
        <v>2023</v>
      </c>
      <c r="C1136" s="12">
        <v>7415</v>
      </c>
      <c r="E1136" s="12" t="s">
        <v>13</v>
      </c>
      <c r="F1136" s="12" t="s">
        <v>14</v>
      </c>
      <c r="G1136" s="14">
        <v>45209</v>
      </c>
      <c r="H1136" s="12" t="s">
        <v>18</v>
      </c>
      <c r="I1136" s="12" t="s">
        <v>20</v>
      </c>
      <c r="J1136" s="12" t="s">
        <v>56</v>
      </c>
      <c r="K1136" s="12">
        <v>235</v>
      </c>
      <c r="L1136" s="12">
        <v>197.71600000000001</v>
      </c>
      <c r="O1136" s="13">
        <f t="shared" si="36"/>
        <v>0.84134468085106384</v>
      </c>
    </row>
    <row r="1137" spans="1:15" x14ac:dyDescent="0.25">
      <c r="A1137" s="12">
        <f t="shared" si="35"/>
        <v>10</v>
      </c>
      <c r="B1137" s="12">
        <v>2023</v>
      </c>
      <c r="C1137" s="12">
        <v>7416</v>
      </c>
      <c r="E1137" s="12" t="s">
        <v>13</v>
      </c>
      <c r="F1137" s="12" t="s">
        <v>14</v>
      </c>
      <c r="G1137" s="14">
        <v>45210</v>
      </c>
      <c r="H1137" s="12" t="s">
        <v>18</v>
      </c>
      <c r="I1137" s="12" t="s">
        <v>20</v>
      </c>
      <c r="J1137" s="12" t="s">
        <v>56</v>
      </c>
      <c r="K1137" s="12">
        <v>234.93199999999999</v>
      </c>
      <c r="L1137" s="12">
        <v>199.03</v>
      </c>
      <c r="O1137" s="13">
        <f t="shared" si="36"/>
        <v>0.84718131203922842</v>
      </c>
    </row>
    <row r="1138" spans="1:15" x14ac:dyDescent="0.25">
      <c r="A1138" s="12">
        <f t="shared" si="35"/>
        <v>10</v>
      </c>
      <c r="B1138" s="12">
        <v>2023</v>
      </c>
      <c r="C1138" s="12">
        <v>7417</v>
      </c>
      <c r="E1138" s="12" t="s">
        <v>13</v>
      </c>
      <c r="F1138" s="12" t="s">
        <v>14</v>
      </c>
      <c r="G1138" s="14">
        <v>45211</v>
      </c>
      <c r="H1138" s="12" t="s">
        <v>18</v>
      </c>
      <c r="I1138" s="12" t="s">
        <v>20</v>
      </c>
      <c r="J1138" s="12" t="s">
        <v>56</v>
      </c>
      <c r="K1138" s="12">
        <v>235.02799999999999</v>
      </c>
      <c r="L1138" s="12">
        <v>195.98400000000001</v>
      </c>
      <c r="O1138" s="13">
        <f t="shared" si="36"/>
        <v>0.83387511275252313</v>
      </c>
    </row>
    <row r="1139" spans="1:15" x14ac:dyDescent="0.25">
      <c r="A1139" s="12">
        <f t="shared" si="35"/>
        <v>10</v>
      </c>
      <c r="B1139" s="12">
        <v>2023</v>
      </c>
      <c r="C1139" s="12">
        <v>7418</v>
      </c>
      <c r="E1139" s="12" t="s">
        <v>13</v>
      </c>
      <c r="F1139" s="12" t="s">
        <v>14</v>
      </c>
      <c r="G1139" s="14">
        <v>45212</v>
      </c>
      <c r="H1139" s="12" t="s">
        <v>18</v>
      </c>
      <c r="I1139" s="12" t="s">
        <v>20</v>
      </c>
      <c r="J1139" s="12" t="s">
        <v>56</v>
      </c>
      <c r="K1139" s="12">
        <v>235.05199999999999</v>
      </c>
      <c r="L1139" s="12">
        <v>198.99299999999999</v>
      </c>
      <c r="O1139" s="13">
        <f t="shared" si="36"/>
        <v>0.8465913925429267</v>
      </c>
    </row>
    <row r="1140" spans="1:15" x14ac:dyDescent="0.25">
      <c r="A1140" s="12">
        <f t="shared" si="35"/>
        <v>10</v>
      </c>
      <c r="B1140" s="12">
        <v>2023</v>
      </c>
      <c r="C1140" s="12">
        <v>7419</v>
      </c>
      <c r="E1140" s="12" t="s">
        <v>13</v>
      </c>
      <c r="F1140" s="12" t="s">
        <v>14</v>
      </c>
      <c r="G1140" s="14">
        <v>45213</v>
      </c>
      <c r="H1140" s="12" t="s">
        <v>18</v>
      </c>
      <c r="I1140" s="12" t="s">
        <v>20</v>
      </c>
      <c r="J1140" s="12" t="s">
        <v>56</v>
      </c>
      <c r="K1140" s="12">
        <v>234.941</v>
      </c>
      <c r="L1140" s="12">
        <v>190.328</v>
      </c>
      <c r="O1140" s="13">
        <f t="shared" si="36"/>
        <v>0.81010977224069025</v>
      </c>
    </row>
    <row r="1141" spans="1:15" x14ac:dyDescent="0.25">
      <c r="A1141" s="12">
        <f t="shared" si="35"/>
        <v>10</v>
      </c>
      <c r="B1141" s="12">
        <v>2023</v>
      </c>
      <c r="C1141" s="12">
        <v>7420</v>
      </c>
      <c r="E1141" s="12" t="s">
        <v>13</v>
      </c>
      <c r="F1141" s="12" t="s">
        <v>14</v>
      </c>
      <c r="G1141" s="14">
        <v>45214</v>
      </c>
      <c r="H1141" s="12" t="s">
        <v>18</v>
      </c>
      <c r="I1141" s="12" t="s">
        <v>20</v>
      </c>
      <c r="J1141" s="12" t="s">
        <v>56</v>
      </c>
      <c r="K1141" s="12">
        <v>235.01400000000001</v>
      </c>
      <c r="L1141" s="12">
        <v>195.453</v>
      </c>
      <c r="O1141" s="13">
        <f t="shared" si="36"/>
        <v>0.83166534759631339</v>
      </c>
    </row>
    <row r="1142" spans="1:15" x14ac:dyDescent="0.25">
      <c r="A1142" s="12">
        <f t="shared" si="35"/>
        <v>10</v>
      </c>
      <c r="B1142" s="12">
        <v>2023</v>
      </c>
      <c r="C1142" s="12">
        <v>7421</v>
      </c>
      <c r="E1142" s="12" t="s">
        <v>13</v>
      </c>
      <c r="F1142" s="12" t="s">
        <v>14</v>
      </c>
      <c r="G1142" s="14">
        <v>45215</v>
      </c>
      <c r="H1142" s="12" t="s">
        <v>17</v>
      </c>
      <c r="I1142" s="12" t="s">
        <v>19</v>
      </c>
      <c r="J1142" s="12" t="s">
        <v>58</v>
      </c>
      <c r="K1142" s="12">
        <v>235.00899999999999</v>
      </c>
      <c r="L1142" s="12">
        <v>198.374</v>
      </c>
      <c r="N1142" s="12">
        <v>11</v>
      </c>
      <c r="O1142" s="13">
        <f t="shared" si="36"/>
        <v>0.84411235314392219</v>
      </c>
    </row>
    <row r="1143" spans="1:15" x14ac:dyDescent="0.25">
      <c r="A1143" s="12">
        <f t="shared" si="35"/>
        <v>10</v>
      </c>
      <c r="B1143" s="12">
        <v>2023</v>
      </c>
      <c r="C1143" s="12">
        <v>7422</v>
      </c>
      <c r="E1143" s="12" t="s">
        <v>13</v>
      </c>
      <c r="F1143" s="12" t="s">
        <v>14</v>
      </c>
      <c r="G1143" s="14">
        <v>45216</v>
      </c>
      <c r="H1143" s="12" t="s">
        <v>17</v>
      </c>
      <c r="I1143" s="12" t="s">
        <v>19</v>
      </c>
      <c r="J1143" s="12" t="s">
        <v>58</v>
      </c>
      <c r="K1143" s="12">
        <v>235.00899999999999</v>
      </c>
      <c r="L1143" s="12">
        <v>194.04400000000001</v>
      </c>
      <c r="N1143" s="12">
        <v>11</v>
      </c>
      <c r="O1143" s="13">
        <f t="shared" si="36"/>
        <v>0.82568752686067348</v>
      </c>
    </row>
    <row r="1144" spans="1:15" x14ac:dyDescent="0.25">
      <c r="A1144" s="12">
        <f t="shared" si="35"/>
        <v>10</v>
      </c>
      <c r="B1144" s="12">
        <v>2023</v>
      </c>
      <c r="C1144" s="12">
        <v>7423</v>
      </c>
      <c r="E1144" s="12" t="s">
        <v>13</v>
      </c>
      <c r="F1144" s="12" t="s">
        <v>14</v>
      </c>
      <c r="G1144" s="14">
        <v>45217</v>
      </c>
      <c r="H1144" s="12" t="s">
        <v>17</v>
      </c>
      <c r="I1144" s="12" t="s">
        <v>19</v>
      </c>
      <c r="J1144" s="12" t="s">
        <v>57</v>
      </c>
      <c r="K1144" s="12">
        <v>235.00800000000001</v>
      </c>
      <c r="L1144" s="12">
        <v>198.35</v>
      </c>
      <c r="N1144" s="12">
        <v>11.6</v>
      </c>
      <c r="O1144" s="13">
        <f t="shared" si="36"/>
        <v>0.84401382080610021</v>
      </c>
    </row>
    <row r="1145" spans="1:15" x14ac:dyDescent="0.25">
      <c r="A1145" s="12">
        <f t="shared" si="35"/>
        <v>10</v>
      </c>
      <c r="B1145" s="12">
        <v>2023</v>
      </c>
      <c r="C1145" s="12">
        <v>7424</v>
      </c>
      <c r="E1145" s="12" t="s">
        <v>13</v>
      </c>
      <c r="F1145" s="12" t="s">
        <v>14</v>
      </c>
      <c r="G1145" s="14">
        <v>45218</v>
      </c>
      <c r="H1145" s="12" t="s">
        <v>17</v>
      </c>
      <c r="I1145" s="12" t="s">
        <v>19</v>
      </c>
      <c r="J1145" s="12" t="s">
        <v>57</v>
      </c>
      <c r="K1145" s="12">
        <v>235.00800000000001</v>
      </c>
      <c r="L1145" s="12">
        <v>199.16399999999999</v>
      </c>
      <c r="N1145" s="12">
        <v>11.6</v>
      </c>
      <c r="O1145" s="13">
        <f t="shared" si="36"/>
        <v>0.84747753267973847</v>
      </c>
    </row>
    <row r="1146" spans="1:15" x14ac:dyDescent="0.25">
      <c r="A1146" s="12">
        <f t="shared" si="35"/>
        <v>10</v>
      </c>
      <c r="B1146" s="12">
        <v>2023</v>
      </c>
      <c r="C1146" s="12">
        <v>7425</v>
      </c>
      <c r="E1146" s="12" t="s">
        <v>13</v>
      </c>
      <c r="F1146" s="12" t="s">
        <v>14</v>
      </c>
      <c r="G1146" s="14">
        <v>45219</v>
      </c>
      <c r="H1146" s="12" t="s">
        <v>17</v>
      </c>
      <c r="I1146" s="12" t="s">
        <v>19</v>
      </c>
      <c r="J1146" s="12" t="s">
        <v>60</v>
      </c>
      <c r="K1146" s="12">
        <v>235.00800000000001</v>
      </c>
      <c r="L1146" s="12">
        <v>203.04599999999999</v>
      </c>
      <c r="O1146" s="13">
        <f t="shared" si="36"/>
        <v>0.86399611928104569</v>
      </c>
    </row>
    <row r="1147" spans="1:15" x14ac:dyDescent="0.25">
      <c r="A1147" s="12">
        <f t="shared" si="35"/>
        <v>10</v>
      </c>
      <c r="B1147" s="12">
        <v>2023</v>
      </c>
      <c r="C1147" s="12">
        <v>7426</v>
      </c>
      <c r="E1147" s="12" t="s">
        <v>13</v>
      </c>
      <c r="F1147" s="12" t="s">
        <v>14</v>
      </c>
      <c r="G1147" s="14">
        <v>45220</v>
      </c>
      <c r="H1147" s="12" t="s">
        <v>64</v>
      </c>
      <c r="I1147" s="12" t="s">
        <v>20</v>
      </c>
      <c r="J1147" s="12" t="s">
        <v>61</v>
      </c>
      <c r="K1147" s="12">
        <v>235.005</v>
      </c>
      <c r="L1147" s="12">
        <v>204.11199999999999</v>
      </c>
      <c r="O1147" s="13">
        <f t="shared" si="36"/>
        <v>0.86854322248462801</v>
      </c>
    </row>
    <row r="1148" spans="1:15" x14ac:dyDescent="0.25">
      <c r="A1148" s="12">
        <f t="shared" si="35"/>
        <v>10</v>
      </c>
      <c r="B1148" s="12">
        <v>2023</v>
      </c>
      <c r="C1148" s="12">
        <v>7427</v>
      </c>
      <c r="E1148" s="12" t="s">
        <v>13</v>
      </c>
      <c r="F1148" s="12" t="s">
        <v>14</v>
      </c>
      <c r="G1148" s="14">
        <v>45221</v>
      </c>
      <c r="H1148" s="12" t="s">
        <v>17</v>
      </c>
      <c r="I1148" s="12" t="s">
        <v>19</v>
      </c>
      <c r="J1148" s="12" t="s">
        <v>58</v>
      </c>
      <c r="K1148" s="12">
        <v>235.01</v>
      </c>
      <c r="L1148" s="12">
        <v>195.62700000000001</v>
      </c>
      <c r="O1148" s="13">
        <f t="shared" si="36"/>
        <v>0.83241989702565855</v>
      </c>
    </row>
    <row r="1149" spans="1:15" x14ac:dyDescent="0.25">
      <c r="A1149" s="12">
        <f t="shared" si="35"/>
        <v>10</v>
      </c>
      <c r="B1149" s="12">
        <v>2023</v>
      </c>
      <c r="C1149" s="12">
        <v>7428</v>
      </c>
      <c r="E1149" s="12" t="s">
        <v>13</v>
      </c>
      <c r="F1149" s="12" t="s">
        <v>14</v>
      </c>
      <c r="G1149" s="14">
        <v>45222</v>
      </c>
      <c r="H1149" s="12" t="s">
        <v>64</v>
      </c>
      <c r="I1149" s="12" t="s">
        <v>20</v>
      </c>
      <c r="J1149" s="12" t="s">
        <v>62</v>
      </c>
      <c r="K1149" s="12">
        <v>235.01</v>
      </c>
      <c r="L1149" s="12">
        <v>197.93299999999999</v>
      </c>
      <c r="O1149" s="13">
        <f t="shared" si="36"/>
        <v>0.84223224543636444</v>
      </c>
    </row>
    <row r="1150" spans="1:15" x14ac:dyDescent="0.25">
      <c r="A1150" s="12">
        <f t="shared" si="35"/>
        <v>10</v>
      </c>
      <c r="B1150" s="12">
        <v>2023</v>
      </c>
      <c r="C1150" s="12">
        <v>7429</v>
      </c>
      <c r="E1150" s="12" t="s">
        <v>13</v>
      </c>
      <c r="F1150" s="12" t="s">
        <v>14</v>
      </c>
      <c r="G1150" s="14">
        <v>45223</v>
      </c>
      <c r="H1150" s="12" t="s">
        <v>18</v>
      </c>
      <c r="I1150" s="12" t="s">
        <v>20</v>
      </c>
      <c r="J1150" s="12" t="s">
        <v>56</v>
      </c>
      <c r="K1150" s="12">
        <v>235.01400000000001</v>
      </c>
      <c r="L1150" s="12">
        <v>196.46299999999999</v>
      </c>
      <c r="O1150" s="13">
        <f t="shared" si="36"/>
        <v>0.83596296390853309</v>
      </c>
    </row>
    <row r="1151" spans="1:15" x14ac:dyDescent="0.25">
      <c r="A1151" s="12">
        <f t="shared" si="35"/>
        <v>10</v>
      </c>
      <c r="B1151" s="12">
        <v>2023</v>
      </c>
      <c r="C1151" s="12">
        <v>7430</v>
      </c>
      <c r="E1151" s="12" t="s">
        <v>13</v>
      </c>
      <c r="F1151" s="12" t="s">
        <v>14</v>
      </c>
      <c r="G1151" s="14">
        <v>45224</v>
      </c>
      <c r="H1151" s="12" t="s">
        <v>18</v>
      </c>
      <c r="I1151" s="12" t="s">
        <v>20</v>
      </c>
      <c r="J1151" s="12" t="s">
        <v>56</v>
      </c>
      <c r="K1151" s="12">
        <v>235.01</v>
      </c>
      <c r="L1151" s="12">
        <v>198.42099999999999</v>
      </c>
      <c r="O1151" s="13">
        <f t="shared" si="36"/>
        <v>0.84430875281902895</v>
      </c>
    </row>
    <row r="1152" spans="1:15" x14ac:dyDescent="0.25">
      <c r="A1152" s="12">
        <f t="shared" si="35"/>
        <v>10</v>
      </c>
      <c r="B1152" s="12">
        <v>2023</v>
      </c>
      <c r="C1152" s="12">
        <v>7431</v>
      </c>
      <c r="E1152" s="12" t="s">
        <v>13</v>
      </c>
      <c r="F1152" s="12" t="s">
        <v>14</v>
      </c>
      <c r="G1152" s="14">
        <v>45225</v>
      </c>
      <c r="H1152" s="12" t="s">
        <v>18</v>
      </c>
      <c r="I1152" s="12" t="s">
        <v>20</v>
      </c>
      <c r="J1152" s="12" t="s">
        <v>56</v>
      </c>
      <c r="K1152" s="12">
        <v>235.01499999999999</v>
      </c>
      <c r="L1152" s="12">
        <v>194.7</v>
      </c>
      <c r="O1152" s="13">
        <f t="shared" si="36"/>
        <v>0.82845775801544586</v>
      </c>
    </row>
    <row r="1153" spans="1:15" x14ac:dyDescent="0.25">
      <c r="A1153" s="12">
        <f t="shared" si="35"/>
        <v>10</v>
      </c>
      <c r="B1153" s="12">
        <v>2023</v>
      </c>
      <c r="C1153" s="12">
        <v>7432</v>
      </c>
      <c r="E1153" s="12" t="s">
        <v>13</v>
      </c>
      <c r="F1153" s="12" t="s">
        <v>14</v>
      </c>
      <c r="G1153" s="14">
        <v>45226</v>
      </c>
      <c r="H1153" s="12" t="s">
        <v>18</v>
      </c>
      <c r="I1153" s="12" t="s">
        <v>20</v>
      </c>
      <c r="J1153" s="12" t="s">
        <v>56</v>
      </c>
      <c r="K1153" s="12">
        <v>235.01</v>
      </c>
      <c r="L1153" s="12">
        <v>204.845</v>
      </c>
      <c r="O1153" s="13">
        <f t="shared" si="36"/>
        <v>0.87164375984000686</v>
      </c>
    </row>
    <row r="1154" spans="1:15" x14ac:dyDescent="0.25">
      <c r="A1154" s="12">
        <f t="shared" ref="A1154:A1217" si="37">MONTH(G1154)</f>
        <v>10</v>
      </c>
      <c r="B1154" s="12">
        <v>2023</v>
      </c>
      <c r="C1154" s="12">
        <v>7433</v>
      </c>
      <c r="E1154" s="12" t="s">
        <v>13</v>
      </c>
      <c r="F1154" s="12" t="s">
        <v>14</v>
      </c>
      <c r="G1154" s="14">
        <v>45227</v>
      </c>
      <c r="H1154" s="12" t="s">
        <v>18</v>
      </c>
      <c r="I1154" s="12" t="s">
        <v>20</v>
      </c>
      <c r="J1154" s="12" t="s">
        <v>56</v>
      </c>
      <c r="K1154" s="12">
        <v>235.01300000000001</v>
      </c>
      <c r="L1154" s="12">
        <v>197.68600000000001</v>
      </c>
      <c r="O1154" s="13">
        <f t="shared" si="36"/>
        <v>0.84117048844106501</v>
      </c>
    </row>
    <row r="1155" spans="1:15" x14ac:dyDescent="0.25">
      <c r="A1155" s="12">
        <f t="shared" si="37"/>
        <v>10</v>
      </c>
      <c r="B1155" s="12">
        <v>2023</v>
      </c>
      <c r="C1155" s="12">
        <v>7434</v>
      </c>
      <c r="E1155" s="12" t="s">
        <v>13</v>
      </c>
      <c r="F1155" s="12" t="s">
        <v>14</v>
      </c>
      <c r="G1155" s="14">
        <v>45228</v>
      </c>
      <c r="H1155" s="12" t="s">
        <v>64</v>
      </c>
      <c r="I1155" s="12" t="s">
        <v>20</v>
      </c>
      <c r="J1155" s="12" t="s">
        <v>63</v>
      </c>
      <c r="K1155" s="12">
        <v>235.00899999999999</v>
      </c>
      <c r="L1155" s="12">
        <v>199.57400000000001</v>
      </c>
      <c r="O1155" s="13">
        <f t="shared" si="36"/>
        <v>0.84921854056653157</v>
      </c>
    </row>
    <row r="1156" spans="1:15" x14ac:dyDescent="0.25">
      <c r="A1156" s="12">
        <f t="shared" si="37"/>
        <v>10</v>
      </c>
      <c r="B1156" s="12">
        <v>2023</v>
      </c>
      <c r="C1156" s="12">
        <v>7435</v>
      </c>
      <c r="E1156" s="12" t="s">
        <v>13</v>
      </c>
      <c r="F1156" s="12" t="s">
        <v>14</v>
      </c>
      <c r="G1156" s="14">
        <v>45229</v>
      </c>
      <c r="H1156" s="12" t="s">
        <v>18</v>
      </c>
      <c r="I1156" s="12" t="s">
        <v>19</v>
      </c>
      <c r="J1156" s="12" t="s">
        <v>57</v>
      </c>
      <c r="K1156" s="12">
        <v>234.99799999999999</v>
      </c>
      <c r="L1156" s="12">
        <v>196.93</v>
      </c>
      <c r="O1156" s="13">
        <f t="shared" si="36"/>
        <v>0.83800713197559129</v>
      </c>
    </row>
    <row r="1157" spans="1:15" x14ac:dyDescent="0.25">
      <c r="A1157" s="12">
        <f t="shared" si="37"/>
        <v>10</v>
      </c>
      <c r="B1157" s="12">
        <v>2023</v>
      </c>
      <c r="C1157" s="12">
        <v>7436</v>
      </c>
      <c r="E1157" s="12" t="s">
        <v>13</v>
      </c>
      <c r="F1157" s="12" t="s">
        <v>14</v>
      </c>
      <c r="G1157" s="14">
        <v>45230</v>
      </c>
      <c r="H1157" s="12" t="s">
        <v>18</v>
      </c>
      <c r="I1157" s="12" t="s">
        <v>19</v>
      </c>
      <c r="J1157" s="12" t="s">
        <v>57</v>
      </c>
      <c r="K1157" s="12">
        <v>234.97800000000001</v>
      </c>
      <c r="L1157" s="12">
        <v>201.50899999999999</v>
      </c>
      <c r="O1157" s="13">
        <f t="shared" si="36"/>
        <v>0.85756538910025615</v>
      </c>
    </row>
    <row r="1158" spans="1:15" x14ac:dyDescent="0.25">
      <c r="A1158" s="12">
        <f t="shared" si="37"/>
        <v>11</v>
      </c>
      <c r="B1158" s="12">
        <v>2023</v>
      </c>
      <c r="C1158" s="12">
        <v>7437</v>
      </c>
      <c r="E1158" s="12" t="s">
        <v>13</v>
      </c>
      <c r="F1158" s="12" t="s">
        <v>14</v>
      </c>
      <c r="G1158" s="14">
        <v>45231</v>
      </c>
      <c r="H1158" s="12" t="s">
        <v>65</v>
      </c>
      <c r="I1158" s="12" t="s">
        <v>20</v>
      </c>
      <c r="J1158" s="12" t="s">
        <v>62</v>
      </c>
      <c r="K1158" s="12">
        <v>235.00299999999999</v>
      </c>
      <c r="L1158" s="12">
        <v>196.50200000000001</v>
      </c>
      <c r="O1158" s="13">
        <f t="shared" si="36"/>
        <v>0.83616804891852459</v>
      </c>
    </row>
    <row r="1159" spans="1:15" x14ac:dyDescent="0.25">
      <c r="A1159" s="12">
        <f t="shared" si="37"/>
        <v>11</v>
      </c>
      <c r="B1159" s="12">
        <v>2023</v>
      </c>
      <c r="C1159" s="12">
        <v>7438</v>
      </c>
      <c r="E1159" s="12" t="s">
        <v>13</v>
      </c>
      <c r="F1159" s="12" t="s">
        <v>14</v>
      </c>
      <c r="G1159" s="14">
        <v>45232</v>
      </c>
      <c r="H1159" s="12" t="s">
        <v>18</v>
      </c>
      <c r="I1159" s="12" t="s">
        <v>19</v>
      </c>
      <c r="J1159" s="12" t="s">
        <v>57</v>
      </c>
      <c r="K1159" s="12">
        <v>235.017</v>
      </c>
      <c r="L1159" s="12">
        <v>200.964</v>
      </c>
      <c r="O1159" s="13">
        <f t="shared" si="36"/>
        <v>0.85510409885242344</v>
      </c>
    </row>
    <row r="1160" spans="1:15" x14ac:dyDescent="0.25">
      <c r="A1160" s="12">
        <f t="shared" si="37"/>
        <v>11</v>
      </c>
      <c r="B1160" s="12">
        <v>2023</v>
      </c>
      <c r="C1160" s="12">
        <v>7439</v>
      </c>
      <c r="E1160" s="12" t="s">
        <v>13</v>
      </c>
      <c r="F1160" s="12" t="s">
        <v>14</v>
      </c>
      <c r="G1160" s="14">
        <v>45233</v>
      </c>
      <c r="H1160" s="12" t="s">
        <v>17</v>
      </c>
      <c r="I1160" s="12" t="s">
        <v>19</v>
      </c>
      <c r="J1160" s="12" t="s">
        <v>60</v>
      </c>
      <c r="K1160" s="12">
        <v>235.00200000000001</v>
      </c>
      <c r="L1160" s="12">
        <v>201.161</v>
      </c>
      <c r="O1160" s="13">
        <f t="shared" si="36"/>
        <v>0.85599697023855115</v>
      </c>
    </row>
    <row r="1161" spans="1:15" x14ac:dyDescent="0.25">
      <c r="A1161" s="12">
        <f t="shared" si="37"/>
        <v>11</v>
      </c>
      <c r="B1161" s="12">
        <v>2023</v>
      </c>
      <c r="C1161" s="12">
        <v>7440</v>
      </c>
      <c r="E1161" s="12" t="s">
        <v>13</v>
      </c>
      <c r="F1161" s="12" t="s">
        <v>14</v>
      </c>
      <c r="G1161" s="14">
        <v>45234</v>
      </c>
      <c r="H1161" s="12" t="s">
        <v>65</v>
      </c>
      <c r="I1161" s="12" t="s">
        <v>20</v>
      </c>
      <c r="J1161" s="12" t="s">
        <v>66</v>
      </c>
      <c r="K1161" s="12">
        <v>235.01499999999999</v>
      </c>
      <c r="L1161" s="12">
        <v>198.75399999999999</v>
      </c>
      <c r="O1161" s="13">
        <f t="shared" ref="O1161:O1224" si="38">L1161/K1161</f>
        <v>0.84570772078377976</v>
      </c>
    </row>
    <row r="1162" spans="1:15" x14ac:dyDescent="0.25">
      <c r="A1162" s="12">
        <f t="shared" si="37"/>
        <v>11</v>
      </c>
      <c r="B1162" s="12">
        <v>2023</v>
      </c>
      <c r="C1162" s="12">
        <v>7441</v>
      </c>
      <c r="E1162" s="12" t="s">
        <v>13</v>
      </c>
      <c r="F1162" s="12" t="s">
        <v>14</v>
      </c>
      <c r="G1162" s="14">
        <v>45235</v>
      </c>
      <c r="H1162" s="12" t="s">
        <v>65</v>
      </c>
      <c r="I1162" s="12" t="s">
        <v>20</v>
      </c>
      <c r="J1162" s="12" t="s">
        <v>61</v>
      </c>
      <c r="K1162" s="12">
        <v>235.00700000000001</v>
      </c>
      <c r="L1162" s="12">
        <v>200.45599999999999</v>
      </c>
      <c r="O1162" s="13">
        <f t="shared" si="38"/>
        <v>0.85297884743858687</v>
      </c>
    </row>
    <row r="1163" spans="1:15" x14ac:dyDescent="0.25">
      <c r="A1163" s="12">
        <f t="shared" si="37"/>
        <v>11</v>
      </c>
      <c r="B1163" s="12">
        <v>2023</v>
      </c>
      <c r="C1163" s="12">
        <v>7442</v>
      </c>
      <c r="E1163" s="12" t="s">
        <v>13</v>
      </c>
      <c r="F1163" s="12" t="s">
        <v>14</v>
      </c>
      <c r="G1163" s="14">
        <v>45236</v>
      </c>
      <c r="H1163" s="12" t="s">
        <v>65</v>
      </c>
      <c r="I1163" s="12" t="s">
        <v>20</v>
      </c>
      <c r="J1163" s="12" t="s">
        <v>61</v>
      </c>
      <c r="K1163" s="12">
        <v>235.03299999999999</v>
      </c>
      <c r="L1163" s="12">
        <v>201.429</v>
      </c>
      <c r="O1163" s="13">
        <f t="shared" si="38"/>
        <v>0.85702433275327305</v>
      </c>
    </row>
    <row r="1164" spans="1:15" x14ac:dyDescent="0.25">
      <c r="A1164" s="12">
        <f t="shared" si="37"/>
        <v>11</v>
      </c>
      <c r="B1164" s="12">
        <v>2023</v>
      </c>
      <c r="C1164" s="12">
        <v>7443</v>
      </c>
      <c r="E1164" s="12" t="s">
        <v>13</v>
      </c>
      <c r="F1164" s="12" t="s">
        <v>14</v>
      </c>
      <c r="G1164" s="14">
        <v>45237</v>
      </c>
      <c r="H1164" s="12" t="s">
        <v>17</v>
      </c>
      <c r="I1164" s="12" t="s">
        <v>19</v>
      </c>
      <c r="J1164" s="12" t="s">
        <v>67</v>
      </c>
      <c r="K1164" s="12">
        <v>235</v>
      </c>
      <c r="L1164" s="12">
        <v>198.721</v>
      </c>
      <c r="O1164" s="13">
        <f t="shared" si="38"/>
        <v>0.84562127659574471</v>
      </c>
    </row>
    <row r="1165" spans="1:15" x14ac:dyDescent="0.25">
      <c r="A1165" s="12">
        <f t="shared" si="37"/>
        <v>11</v>
      </c>
      <c r="B1165" s="12">
        <v>2023</v>
      </c>
      <c r="C1165" s="12">
        <v>7444</v>
      </c>
      <c r="E1165" s="12" t="s">
        <v>13</v>
      </c>
      <c r="F1165" s="12" t="s">
        <v>14</v>
      </c>
      <c r="G1165" s="14">
        <v>45238</v>
      </c>
      <c r="H1165" s="12" t="s">
        <v>17</v>
      </c>
      <c r="I1165" s="12" t="s">
        <v>19</v>
      </c>
      <c r="J1165" s="12" t="s">
        <v>67</v>
      </c>
      <c r="K1165" s="12">
        <v>235.01400000000001</v>
      </c>
      <c r="L1165" s="12">
        <v>201.624</v>
      </c>
      <c r="O1165" s="13">
        <f t="shared" si="38"/>
        <v>0.85792335775741013</v>
      </c>
    </row>
    <row r="1166" spans="1:15" x14ac:dyDescent="0.25">
      <c r="A1166" s="12">
        <f t="shared" si="37"/>
        <v>11</v>
      </c>
      <c r="B1166" s="12">
        <v>2023</v>
      </c>
      <c r="C1166" s="12">
        <v>7445</v>
      </c>
      <c r="E1166" s="12" t="s">
        <v>13</v>
      </c>
      <c r="F1166" s="12" t="s">
        <v>14</v>
      </c>
      <c r="G1166" s="14">
        <v>45239</v>
      </c>
      <c r="H1166" s="12" t="s">
        <v>17</v>
      </c>
      <c r="I1166" s="12" t="s">
        <v>19</v>
      </c>
      <c r="J1166" s="12" t="s">
        <v>68</v>
      </c>
      <c r="K1166" s="12">
        <v>235.02</v>
      </c>
      <c r="L1166" s="12">
        <v>204.386</v>
      </c>
      <c r="O1166" s="13">
        <f t="shared" si="38"/>
        <v>0.86965364649817034</v>
      </c>
    </row>
    <row r="1167" spans="1:15" x14ac:dyDescent="0.25">
      <c r="A1167" s="12">
        <f t="shared" si="37"/>
        <v>11</v>
      </c>
      <c r="B1167" s="12">
        <v>2023</v>
      </c>
      <c r="C1167" s="12">
        <v>7446</v>
      </c>
      <c r="E1167" s="12" t="s">
        <v>13</v>
      </c>
      <c r="F1167" s="12" t="s">
        <v>14</v>
      </c>
      <c r="G1167" s="14">
        <v>45240</v>
      </c>
      <c r="H1167" s="12" t="s">
        <v>65</v>
      </c>
      <c r="I1167" s="12" t="s">
        <v>20</v>
      </c>
      <c r="J1167" s="12" t="s">
        <v>56</v>
      </c>
      <c r="K1167" s="12">
        <v>235.00899999999999</v>
      </c>
      <c r="L1167" s="12">
        <v>199.577</v>
      </c>
      <c r="O1167" s="13">
        <f t="shared" si="38"/>
        <v>0.84923130603508801</v>
      </c>
    </row>
    <row r="1168" spans="1:15" x14ac:dyDescent="0.25">
      <c r="A1168" s="12">
        <f t="shared" si="37"/>
        <v>11</v>
      </c>
      <c r="B1168" s="12">
        <v>2023</v>
      </c>
      <c r="C1168" s="12">
        <v>7447</v>
      </c>
      <c r="E1168" s="12" t="s">
        <v>13</v>
      </c>
      <c r="F1168" s="12" t="s">
        <v>14</v>
      </c>
      <c r="G1168" s="14">
        <v>45241</v>
      </c>
      <c r="H1168" s="12" t="s">
        <v>65</v>
      </c>
      <c r="I1168" s="12" t="s">
        <v>20</v>
      </c>
      <c r="J1168" s="12" t="s">
        <v>56</v>
      </c>
      <c r="K1168" s="12">
        <v>235.00399999999999</v>
      </c>
      <c r="L1168" s="12">
        <v>200.07599999999999</v>
      </c>
      <c r="O1168" s="13">
        <f t="shared" si="38"/>
        <v>0.85137274259161544</v>
      </c>
    </row>
    <row r="1169" spans="1:15" x14ac:dyDescent="0.25">
      <c r="A1169" s="12">
        <f t="shared" si="37"/>
        <v>11</v>
      </c>
      <c r="B1169" s="12">
        <v>2023</v>
      </c>
      <c r="C1169" s="12">
        <v>7448</v>
      </c>
      <c r="E1169" s="12" t="s">
        <v>13</v>
      </c>
      <c r="F1169" s="12" t="s">
        <v>14</v>
      </c>
      <c r="G1169" s="14">
        <v>45242</v>
      </c>
      <c r="H1169" s="12" t="s">
        <v>65</v>
      </c>
      <c r="I1169" s="12" t="s">
        <v>20</v>
      </c>
      <c r="J1169" s="12" t="s">
        <v>56</v>
      </c>
      <c r="K1169" s="12">
        <v>234.96100000000001</v>
      </c>
      <c r="L1169" s="12">
        <v>210.87299999999999</v>
      </c>
      <c r="O1169" s="13">
        <f t="shared" si="38"/>
        <v>0.89748085852545734</v>
      </c>
    </row>
    <row r="1170" spans="1:15" x14ac:dyDescent="0.25">
      <c r="A1170" s="12">
        <f t="shared" si="37"/>
        <v>11</v>
      </c>
      <c r="B1170" s="12">
        <v>2023</v>
      </c>
      <c r="C1170" s="12">
        <v>7449</v>
      </c>
      <c r="E1170" s="12" t="s">
        <v>13</v>
      </c>
      <c r="F1170" s="12" t="s">
        <v>14</v>
      </c>
      <c r="G1170" s="14">
        <v>45243</v>
      </c>
      <c r="H1170" s="12" t="s">
        <v>65</v>
      </c>
      <c r="I1170" s="12" t="s">
        <v>20</v>
      </c>
      <c r="J1170" s="12" t="s">
        <v>56</v>
      </c>
      <c r="K1170" s="12">
        <v>234.96</v>
      </c>
      <c r="L1170" s="12">
        <v>189.49799999999999</v>
      </c>
      <c r="O1170" s="13">
        <f t="shared" si="38"/>
        <v>0.80651174668028591</v>
      </c>
    </row>
    <row r="1171" spans="1:15" x14ac:dyDescent="0.25">
      <c r="A1171" s="12">
        <f t="shared" si="37"/>
        <v>11</v>
      </c>
      <c r="B1171" s="12">
        <v>2023</v>
      </c>
      <c r="C1171" s="12">
        <v>7450</v>
      </c>
      <c r="E1171" s="12" t="s">
        <v>13</v>
      </c>
      <c r="F1171" s="12" t="s">
        <v>14</v>
      </c>
      <c r="G1171" s="14">
        <v>45244</v>
      </c>
      <c r="H1171" s="12" t="s">
        <v>18</v>
      </c>
      <c r="I1171" s="12" t="s">
        <v>19</v>
      </c>
      <c r="J1171" s="12" t="s">
        <v>57</v>
      </c>
      <c r="K1171" s="12">
        <v>235.02</v>
      </c>
      <c r="L1171" s="12">
        <v>200.935</v>
      </c>
      <c r="O1171" s="13">
        <f t="shared" si="38"/>
        <v>0.85496978980512295</v>
      </c>
    </row>
    <row r="1172" spans="1:15" x14ac:dyDescent="0.25">
      <c r="A1172" s="12">
        <f t="shared" si="37"/>
        <v>11</v>
      </c>
      <c r="B1172" s="12">
        <v>2023</v>
      </c>
      <c r="C1172" s="12">
        <v>7451</v>
      </c>
      <c r="E1172" s="12" t="s">
        <v>13</v>
      </c>
      <c r="F1172" s="12" t="s">
        <v>14</v>
      </c>
      <c r="G1172" s="14">
        <v>45245</v>
      </c>
      <c r="H1172" s="12" t="s">
        <v>18</v>
      </c>
      <c r="I1172" s="12" t="s">
        <v>19</v>
      </c>
      <c r="J1172" s="12" t="s">
        <v>57</v>
      </c>
      <c r="K1172" s="12">
        <v>235</v>
      </c>
      <c r="L1172" s="12">
        <v>199.47800000000001</v>
      </c>
      <c r="O1172" s="13">
        <f t="shared" si="38"/>
        <v>0.84884255319148938</v>
      </c>
    </row>
    <row r="1173" spans="1:15" x14ac:dyDescent="0.25">
      <c r="A1173" s="12">
        <f t="shared" si="37"/>
        <v>11</v>
      </c>
      <c r="B1173" s="12">
        <v>2023</v>
      </c>
      <c r="C1173" s="12">
        <v>7452</v>
      </c>
      <c r="E1173" s="12" t="s">
        <v>13</v>
      </c>
      <c r="F1173" s="12" t="s">
        <v>14</v>
      </c>
      <c r="G1173" s="14">
        <v>45246</v>
      </c>
      <c r="H1173" s="12" t="s">
        <v>18</v>
      </c>
      <c r="I1173" s="12" t="s">
        <v>19</v>
      </c>
      <c r="J1173" s="12" t="s">
        <v>57</v>
      </c>
      <c r="K1173" s="12">
        <v>235.005</v>
      </c>
      <c r="L1173" s="12">
        <v>201.078</v>
      </c>
      <c r="O1173" s="13">
        <f t="shared" si="38"/>
        <v>0.85563285887534313</v>
      </c>
    </row>
    <row r="1174" spans="1:15" x14ac:dyDescent="0.25">
      <c r="A1174" s="12">
        <f t="shared" si="37"/>
        <v>11</v>
      </c>
      <c r="B1174" s="12">
        <v>2023</v>
      </c>
      <c r="C1174" s="12">
        <v>7453</v>
      </c>
      <c r="E1174" s="12" t="s">
        <v>13</v>
      </c>
      <c r="F1174" s="12" t="s">
        <v>14</v>
      </c>
      <c r="G1174" s="14">
        <v>45247</v>
      </c>
      <c r="H1174" s="12" t="s">
        <v>18</v>
      </c>
      <c r="I1174" s="12" t="s">
        <v>19</v>
      </c>
      <c r="J1174" s="12" t="s">
        <v>57</v>
      </c>
      <c r="K1174" s="12">
        <v>235.053</v>
      </c>
      <c r="L1174" s="12">
        <v>200.93100000000001</v>
      </c>
      <c r="O1174" s="13">
        <f t="shared" si="38"/>
        <v>0.8548327398501615</v>
      </c>
    </row>
    <row r="1175" spans="1:15" x14ac:dyDescent="0.25">
      <c r="A1175" s="12">
        <f t="shared" si="37"/>
        <v>11</v>
      </c>
      <c r="B1175" s="12">
        <v>2023</v>
      </c>
      <c r="C1175" s="12">
        <v>7454</v>
      </c>
      <c r="E1175" s="12" t="s">
        <v>13</v>
      </c>
      <c r="F1175" s="12" t="s">
        <v>14</v>
      </c>
      <c r="G1175" s="14">
        <v>45248</v>
      </c>
      <c r="H1175" s="12" t="s">
        <v>18</v>
      </c>
      <c r="I1175" s="12" t="s">
        <v>19</v>
      </c>
      <c r="J1175" s="12" t="s">
        <v>57</v>
      </c>
      <c r="K1175" s="12">
        <v>235.02799999999999</v>
      </c>
      <c r="L1175" s="12">
        <v>201.15199999999999</v>
      </c>
      <c r="O1175" s="13">
        <f t="shared" si="38"/>
        <v>0.85586398216382731</v>
      </c>
    </row>
    <row r="1176" spans="1:15" x14ac:dyDescent="0.25">
      <c r="A1176" s="12">
        <f t="shared" si="37"/>
        <v>11</v>
      </c>
      <c r="B1176" s="12">
        <v>2023</v>
      </c>
      <c r="C1176" s="12">
        <v>7455</v>
      </c>
      <c r="E1176" s="12" t="s">
        <v>13</v>
      </c>
      <c r="F1176" s="12" t="s">
        <v>14</v>
      </c>
      <c r="G1176" s="14">
        <v>45249</v>
      </c>
      <c r="H1176" s="12" t="s">
        <v>52</v>
      </c>
      <c r="I1176" s="12" t="s">
        <v>20</v>
      </c>
      <c r="J1176" s="12" t="s">
        <v>53</v>
      </c>
      <c r="K1176" s="12">
        <v>235.011</v>
      </c>
      <c r="L1176" s="12">
        <v>196.98599999999999</v>
      </c>
      <c r="O1176" s="13">
        <f t="shared" si="38"/>
        <v>0.83819906302258185</v>
      </c>
    </row>
    <row r="1177" spans="1:15" x14ac:dyDescent="0.25">
      <c r="A1177" s="12">
        <f t="shared" si="37"/>
        <v>11</v>
      </c>
      <c r="B1177" s="12">
        <v>2023</v>
      </c>
      <c r="C1177" s="12">
        <v>7456</v>
      </c>
      <c r="E1177" s="12" t="s">
        <v>13</v>
      </c>
      <c r="F1177" s="12" t="s">
        <v>14</v>
      </c>
      <c r="G1177" s="14">
        <v>45250</v>
      </c>
      <c r="H1177" s="12" t="s">
        <v>52</v>
      </c>
      <c r="I1177" s="12" t="s">
        <v>20</v>
      </c>
      <c r="J1177" s="12" t="s">
        <v>53</v>
      </c>
      <c r="K1177" s="12">
        <v>234.995</v>
      </c>
      <c r="L1177" s="12">
        <v>201.79499999999999</v>
      </c>
      <c r="O1177" s="13">
        <f t="shared" si="38"/>
        <v>0.85872039830634683</v>
      </c>
    </row>
    <row r="1178" spans="1:15" x14ac:dyDescent="0.25">
      <c r="A1178" s="12">
        <f t="shared" si="37"/>
        <v>11</v>
      </c>
      <c r="B1178" s="12">
        <v>2023</v>
      </c>
      <c r="C1178" s="12">
        <v>7457</v>
      </c>
      <c r="E1178" s="12" t="s">
        <v>13</v>
      </c>
      <c r="F1178" s="12" t="s">
        <v>14</v>
      </c>
      <c r="G1178" s="14">
        <v>45251</v>
      </c>
      <c r="H1178" s="12" t="s">
        <v>17</v>
      </c>
      <c r="I1178" s="12" t="s">
        <v>19</v>
      </c>
      <c r="J1178" s="12" t="s">
        <v>69</v>
      </c>
      <c r="K1178" s="12">
        <v>235.001</v>
      </c>
      <c r="L1178" s="12">
        <v>201.89500000000001</v>
      </c>
      <c r="O1178" s="13">
        <f t="shared" si="38"/>
        <v>0.85912400372764375</v>
      </c>
    </row>
    <row r="1179" spans="1:15" x14ac:dyDescent="0.25">
      <c r="A1179" s="12">
        <f t="shared" si="37"/>
        <v>11</v>
      </c>
      <c r="B1179" s="12">
        <v>2023</v>
      </c>
      <c r="C1179" s="12">
        <v>7458</v>
      </c>
      <c r="E1179" s="12" t="s">
        <v>13</v>
      </c>
      <c r="F1179" s="12" t="s">
        <v>14</v>
      </c>
      <c r="G1179" s="14">
        <v>45252</v>
      </c>
      <c r="H1179" s="12" t="s">
        <v>18</v>
      </c>
      <c r="I1179" s="12" t="s">
        <v>19</v>
      </c>
      <c r="J1179" s="12" t="s">
        <v>57</v>
      </c>
      <c r="K1179" s="12">
        <v>235.005</v>
      </c>
      <c r="L1179" s="12">
        <v>198.63800000000001</v>
      </c>
      <c r="O1179" s="13">
        <f t="shared" si="38"/>
        <v>0.84525010106167953</v>
      </c>
    </row>
    <row r="1180" spans="1:15" x14ac:dyDescent="0.25">
      <c r="A1180" s="12">
        <f t="shared" si="37"/>
        <v>11</v>
      </c>
      <c r="B1180" s="12">
        <v>2023</v>
      </c>
      <c r="C1180" s="12">
        <v>7459</v>
      </c>
      <c r="E1180" s="12" t="s">
        <v>13</v>
      </c>
      <c r="F1180" s="12" t="s">
        <v>14</v>
      </c>
      <c r="G1180" s="14">
        <v>45253</v>
      </c>
      <c r="H1180" s="12" t="s">
        <v>18</v>
      </c>
      <c r="I1180" s="12" t="s">
        <v>19</v>
      </c>
      <c r="J1180" s="12" t="s">
        <v>57</v>
      </c>
      <c r="K1180" s="12">
        <v>235.06100000000001</v>
      </c>
      <c r="L1180" s="12">
        <v>200.495</v>
      </c>
      <c r="O1180" s="13">
        <f t="shared" si="38"/>
        <v>0.85294880903254899</v>
      </c>
    </row>
    <row r="1181" spans="1:15" x14ac:dyDescent="0.25">
      <c r="A1181" s="12">
        <f t="shared" si="37"/>
        <v>11</v>
      </c>
      <c r="B1181" s="12">
        <v>2023</v>
      </c>
      <c r="C1181" s="12">
        <v>7460</v>
      </c>
      <c r="E1181" s="12" t="s">
        <v>13</v>
      </c>
      <c r="F1181" s="12" t="s">
        <v>14</v>
      </c>
      <c r="G1181" s="14">
        <v>45254</v>
      </c>
      <c r="H1181" s="12" t="s">
        <v>18</v>
      </c>
      <c r="I1181" s="12" t="s">
        <v>19</v>
      </c>
      <c r="J1181" s="12" t="s">
        <v>57</v>
      </c>
      <c r="K1181" s="12">
        <v>234.99700000000001</v>
      </c>
      <c r="L1181" s="12">
        <v>203.67599999999999</v>
      </c>
      <c r="O1181" s="13">
        <f t="shared" si="38"/>
        <v>0.86671744745677592</v>
      </c>
    </row>
    <row r="1182" spans="1:15" x14ac:dyDescent="0.25">
      <c r="A1182" s="12">
        <f t="shared" si="37"/>
        <v>11</v>
      </c>
      <c r="B1182" s="12">
        <v>2023</v>
      </c>
      <c r="C1182" s="12">
        <v>7461</v>
      </c>
      <c r="E1182" s="12" t="s">
        <v>13</v>
      </c>
      <c r="F1182" s="12" t="s">
        <v>14</v>
      </c>
      <c r="G1182" s="14">
        <v>45255</v>
      </c>
      <c r="H1182" s="12" t="s">
        <v>18</v>
      </c>
      <c r="I1182" s="12" t="s">
        <v>19</v>
      </c>
      <c r="J1182" s="12" t="s">
        <v>57</v>
      </c>
      <c r="K1182" s="12">
        <v>235.05</v>
      </c>
      <c r="L1182" s="12">
        <v>201.46799999999999</v>
      </c>
      <c r="O1182" s="13">
        <f t="shared" si="38"/>
        <v>0.85712827058072738</v>
      </c>
    </row>
    <row r="1183" spans="1:15" x14ac:dyDescent="0.25">
      <c r="A1183" s="12">
        <f t="shared" si="37"/>
        <v>11</v>
      </c>
      <c r="B1183" s="12">
        <v>2023</v>
      </c>
      <c r="C1183" s="12">
        <v>7462</v>
      </c>
      <c r="E1183" s="12" t="s">
        <v>13</v>
      </c>
      <c r="F1183" s="12" t="s">
        <v>14</v>
      </c>
      <c r="G1183" s="14">
        <v>45256</v>
      </c>
      <c r="H1183" s="12" t="s">
        <v>18</v>
      </c>
      <c r="I1183" s="12" t="s">
        <v>19</v>
      </c>
      <c r="J1183" s="12" t="s">
        <v>57</v>
      </c>
      <c r="K1183" s="12">
        <v>235.035</v>
      </c>
      <c r="L1183" s="12">
        <v>201.66200000000001</v>
      </c>
      <c r="O1183" s="13">
        <f t="shared" si="38"/>
        <v>0.85800838173038063</v>
      </c>
    </row>
    <row r="1184" spans="1:15" x14ac:dyDescent="0.25">
      <c r="A1184" s="12">
        <f t="shared" si="37"/>
        <v>11</v>
      </c>
      <c r="B1184" s="12">
        <v>2023</v>
      </c>
      <c r="C1184" s="12">
        <v>7463</v>
      </c>
      <c r="E1184" s="12" t="s">
        <v>13</v>
      </c>
      <c r="F1184" s="12" t="s">
        <v>14</v>
      </c>
      <c r="G1184" s="14">
        <v>45257</v>
      </c>
      <c r="H1184" s="12" t="s">
        <v>46</v>
      </c>
      <c r="I1184" s="12" t="s">
        <v>70</v>
      </c>
      <c r="J1184" s="12" t="s">
        <v>71</v>
      </c>
      <c r="K1184" s="12">
        <v>235</v>
      </c>
      <c r="L1184" s="12">
        <v>201.41399999999999</v>
      </c>
      <c r="O1184" s="13">
        <f t="shared" si="38"/>
        <v>0.8570808510638297</v>
      </c>
    </row>
    <row r="1185" spans="1:15" x14ac:dyDescent="0.25">
      <c r="A1185" s="12">
        <f t="shared" si="37"/>
        <v>11</v>
      </c>
      <c r="B1185" s="12">
        <v>2023</v>
      </c>
      <c r="C1185" s="12">
        <v>7464</v>
      </c>
      <c r="E1185" s="12" t="s">
        <v>13</v>
      </c>
      <c r="F1185" s="12" t="s">
        <v>14</v>
      </c>
      <c r="G1185" s="14">
        <v>45258</v>
      </c>
      <c r="H1185" s="12" t="s">
        <v>64</v>
      </c>
      <c r="I1185" s="12" t="s">
        <v>20</v>
      </c>
      <c r="J1185" s="12" t="s">
        <v>62</v>
      </c>
      <c r="K1185" s="12">
        <v>235.07300000000001</v>
      </c>
      <c r="L1185" s="12">
        <v>198.46100000000001</v>
      </c>
      <c r="N1185" s="12">
        <v>12.1</v>
      </c>
      <c r="O1185" s="13">
        <f t="shared" si="38"/>
        <v>0.84425263641507109</v>
      </c>
    </row>
    <row r="1186" spans="1:15" x14ac:dyDescent="0.25">
      <c r="A1186" s="12">
        <f t="shared" si="37"/>
        <v>11</v>
      </c>
      <c r="B1186" s="12">
        <v>2023</v>
      </c>
      <c r="C1186" s="12">
        <v>7465</v>
      </c>
      <c r="E1186" s="12" t="s">
        <v>13</v>
      </c>
      <c r="F1186" s="12" t="s">
        <v>14</v>
      </c>
      <c r="G1186" s="14">
        <v>45258</v>
      </c>
      <c r="H1186" s="12" t="s">
        <v>64</v>
      </c>
      <c r="I1186" s="12" t="s">
        <v>20</v>
      </c>
      <c r="J1186" s="12" t="s">
        <v>62</v>
      </c>
      <c r="K1186" s="12">
        <v>235.07300000000001</v>
      </c>
      <c r="L1186" s="12">
        <v>199.63</v>
      </c>
      <c r="N1186" s="12">
        <v>12.1</v>
      </c>
      <c r="O1186" s="13">
        <f t="shared" si="38"/>
        <v>0.84922555971974656</v>
      </c>
    </row>
    <row r="1187" spans="1:15" x14ac:dyDescent="0.25">
      <c r="A1187" s="12">
        <f t="shared" si="37"/>
        <v>11</v>
      </c>
      <c r="B1187" s="12">
        <v>2023</v>
      </c>
      <c r="C1187" s="12">
        <v>7466</v>
      </c>
      <c r="E1187" s="12" t="s">
        <v>13</v>
      </c>
      <c r="F1187" s="12" t="s">
        <v>14</v>
      </c>
      <c r="G1187" s="14">
        <v>45259</v>
      </c>
      <c r="H1187" s="12" t="s">
        <v>64</v>
      </c>
      <c r="I1187" s="12" t="s">
        <v>20</v>
      </c>
      <c r="J1187" s="12" t="s">
        <v>62</v>
      </c>
      <c r="K1187" s="12">
        <v>235.01</v>
      </c>
      <c r="L1187" s="12">
        <v>205.61099999999999</v>
      </c>
      <c r="O1187" s="13">
        <f t="shared" si="38"/>
        <v>0.87490319560869745</v>
      </c>
    </row>
    <row r="1188" spans="1:15" x14ac:dyDescent="0.25">
      <c r="A1188" s="12">
        <f t="shared" si="37"/>
        <v>11</v>
      </c>
      <c r="B1188" s="12">
        <v>2023</v>
      </c>
      <c r="C1188" s="12">
        <v>7467</v>
      </c>
      <c r="E1188" s="12" t="s">
        <v>13</v>
      </c>
      <c r="F1188" s="12" t="s">
        <v>14</v>
      </c>
      <c r="G1188" s="14">
        <v>45260</v>
      </c>
      <c r="H1188" s="12" t="s">
        <v>18</v>
      </c>
      <c r="I1188" s="12" t="s">
        <v>20</v>
      </c>
      <c r="J1188" s="12" t="s">
        <v>62</v>
      </c>
      <c r="K1188" s="12">
        <v>235.017</v>
      </c>
      <c r="L1188" s="12">
        <v>198.428</v>
      </c>
      <c r="O1188" s="13">
        <f t="shared" si="38"/>
        <v>0.84431339009518458</v>
      </c>
    </row>
    <row r="1189" spans="1:15" x14ac:dyDescent="0.25">
      <c r="A1189" s="12">
        <f t="shared" si="37"/>
        <v>12</v>
      </c>
      <c r="B1189" s="12">
        <v>2023</v>
      </c>
      <c r="C1189" s="12">
        <v>7468</v>
      </c>
      <c r="E1189" s="12" t="s">
        <v>13</v>
      </c>
      <c r="F1189" s="12" t="s">
        <v>14</v>
      </c>
      <c r="G1189" s="14">
        <v>45261</v>
      </c>
      <c r="H1189" s="12" t="s">
        <v>18</v>
      </c>
      <c r="I1189" s="12" t="s">
        <v>20</v>
      </c>
      <c r="J1189" s="12" t="s">
        <v>62</v>
      </c>
      <c r="K1189" s="12">
        <v>235.012</v>
      </c>
      <c r="L1189" s="12">
        <v>196.89</v>
      </c>
      <c r="O1189" s="13">
        <f t="shared" si="38"/>
        <v>0.83778700662093841</v>
      </c>
    </row>
    <row r="1190" spans="1:15" x14ac:dyDescent="0.25">
      <c r="A1190" s="12">
        <f t="shared" si="37"/>
        <v>12</v>
      </c>
      <c r="B1190" s="12">
        <v>2023</v>
      </c>
      <c r="C1190" s="12">
        <v>7469</v>
      </c>
      <c r="E1190" s="12" t="s">
        <v>13</v>
      </c>
      <c r="F1190" s="12" t="s">
        <v>14</v>
      </c>
      <c r="G1190" s="14">
        <v>45262</v>
      </c>
      <c r="H1190" s="12" t="s">
        <v>18</v>
      </c>
      <c r="I1190" s="12" t="s">
        <v>19</v>
      </c>
      <c r="J1190" s="12" t="s">
        <v>57</v>
      </c>
      <c r="K1190" s="12">
        <v>235.02699999999999</v>
      </c>
      <c r="L1190" s="12">
        <v>200.88</v>
      </c>
      <c r="O1190" s="13">
        <f t="shared" si="38"/>
        <v>0.85471030987929053</v>
      </c>
    </row>
    <row r="1191" spans="1:15" x14ac:dyDescent="0.25">
      <c r="A1191" s="12">
        <f t="shared" si="37"/>
        <v>12</v>
      </c>
      <c r="B1191" s="12">
        <v>2023</v>
      </c>
      <c r="C1191" s="12">
        <v>7470</v>
      </c>
      <c r="E1191" s="12" t="s">
        <v>13</v>
      </c>
      <c r="F1191" s="12" t="s">
        <v>14</v>
      </c>
      <c r="G1191" s="14">
        <v>45263</v>
      </c>
      <c r="H1191" s="12" t="s">
        <v>18</v>
      </c>
      <c r="I1191" s="12" t="s">
        <v>19</v>
      </c>
      <c r="J1191" s="12" t="s">
        <v>57</v>
      </c>
      <c r="K1191" s="12">
        <v>234.99799999999999</v>
      </c>
      <c r="L1191" s="12">
        <v>202.80199999999999</v>
      </c>
      <c r="O1191" s="13">
        <f t="shared" si="38"/>
        <v>0.86299457867726537</v>
      </c>
    </row>
    <row r="1192" spans="1:15" x14ac:dyDescent="0.25">
      <c r="A1192" s="12">
        <f t="shared" si="37"/>
        <v>12</v>
      </c>
      <c r="B1192" s="12">
        <v>2023</v>
      </c>
      <c r="C1192" s="12">
        <v>7471</v>
      </c>
      <c r="E1192" s="12" t="s">
        <v>13</v>
      </c>
      <c r="F1192" s="12" t="s">
        <v>14</v>
      </c>
      <c r="G1192" s="14">
        <v>45264</v>
      </c>
      <c r="H1192" s="12" t="s">
        <v>18</v>
      </c>
      <c r="I1192" s="12" t="s">
        <v>19</v>
      </c>
      <c r="J1192" s="12" t="s">
        <v>57</v>
      </c>
      <c r="K1192" s="12">
        <v>235.00299999999999</v>
      </c>
      <c r="L1192" s="12">
        <v>200.80500000000001</v>
      </c>
      <c r="O1192" s="13">
        <f t="shared" si="38"/>
        <v>0.8544784534665516</v>
      </c>
    </row>
    <row r="1193" spans="1:15" x14ac:dyDescent="0.25">
      <c r="A1193" s="12">
        <f t="shared" si="37"/>
        <v>12</v>
      </c>
      <c r="B1193" s="12">
        <v>2023</v>
      </c>
      <c r="C1193" s="12">
        <v>7472</v>
      </c>
      <c r="E1193" s="12" t="s">
        <v>13</v>
      </c>
      <c r="F1193" s="12" t="s">
        <v>14</v>
      </c>
      <c r="G1193" s="14">
        <v>45265</v>
      </c>
      <c r="H1193" s="12" t="s">
        <v>18</v>
      </c>
      <c r="I1193" s="12" t="s">
        <v>19</v>
      </c>
      <c r="J1193" s="12" t="s">
        <v>57</v>
      </c>
      <c r="K1193" s="12">
        <v>235.01499999999999</v>
      </c>
      <c r="L1193" s="12">
        <v>204.744</v>
      </c>
      <c r="O1193" s="13">
        <f t="shared" si="38"/>
        <v>0.87119545560921652</v>
      </c>
    </row>
    <row r="1194" spans="1:15" x14ac:dyDescent="0.25">
      <c r="A1194" s="12">
        <f t="shared" si="37"/>
        <v>12</v>
      </c>
      <c r="B1194" s="12">
        <v>2023</v>
      </c>
      <c r="C1194" s="12">
        <v>7473</v>
      </c>
      <c r="E1194" s="12" t="s">
        <v>13</v>
      </c>
      <c r="F1194" s="12" t="s">
        <v>14</v>
      </c>
      <c r="G1194" s="14">
        <v>45266</v>
      </c>
      <c r="H1194" s="12" t="s">
        <v>18</v>
      </c>
      <c r="I1194" s="12" t="s">
        <v>19</v>
      </c>
      <c r="J1194" s="12" t="s">
        <v>57</v>
      </c>
      <c r="K1194" s="12">
        <v>234.797</v>
      </c>
      <c r="L1194" s="12">
        <v>201.32</v>
      </c>
      <c r="O1194" s="13">
        <f t="shared" si="38"/>
        <v>0.85742151731069816</v>
      </c>
    </row>
    <row r="1195" spans="1:15" x14ac:dyDescent="0.25">
      <c r="A1195" s="12">
        <f t="shared" si="37"/>
        <v>12</v>
      </c>
      <c r="B1195" s="12">
        <v>2023</v>
      </c>
      <c r="C1195" s="12">
        <v>7474</v>
      </c>
      <c r="E1195" s="12" t="s">
        <v>13</v>
      </c>
      <c r="F1195" s="12" t="s">
        <v>14</v>
      </c>
      <c r="G1195" s="14">
        <v>45267</v>
      </c>
      <c r="H1195" s="12" t="s">
        <v>18</v>
      </c>
      <c r="I1195" s="12" t="s">
        <v>20</v>
      </c>
      <c r="J1195" s="12" t="s">
        <v>61</v>
      </c>
      <c r="K1195" s="12">
        <v>235.00899999999999</v>
      </c>
      <c r="L1195" s="12">
        <v>203.916</v>
      </c>
      <c r="O1195" s="13">
        <f t="shared" si="38"/>
        <v>0.86769442872400637</v>
      </c>
    </row>
    <row r="1196" spans="1:15" x14ac:dyDescent="0.25">
      <c r="A1196" s="12">
        <f t="shared" si="37"/>
        <v>12</v>
      </c>
      <c r="B1196" s="12">
        <v>2023</v>
      </c>
      <c r="C1196" s="12">
        <v>7475</v>
      </c>
      <c r="E1196" s="12" t="s">
        <v>13</v>
      </c>
      <c r="F1196" s="12" t="s">
        <v>14</v>
      </c>
      <c r="G1196" s="14">
        <v>45268</v>
      </c>
      <c r="H1196" s="12" t="s">
        <v>18</v>
      </c>
      <c r="I1196" s="12" t="s">
        <v>20</v>
      </c>
      <c r="J1196" s="12" t="s">
        <v>61</v>
      </c>
      <c r="K1196" s="12">
        <v>235.00200000000001</v>
      </c>
      <c r="L1196" s="12">
        <v>202.03899999999999</v>
      </c>
      <c r="O1196" s="13">
        <f t="shared" si="38"/>
        <v>0.85973310865439434</v>
      </c>
    </row>
    <row r="1197" spans="1:15" x14ac:dyDescent="0.25">
      <c r="A1197" s="12">
        <f t="shared" si="37"/>
        <v>12</v>
      </c>
      <c r="B1197" s="12">
        <v>2023</v>
      </c>
      <c r="C1197" s="12">
        <v>7476</v>
      </c>
      <c r="E1197" s="12" t="s">
        <v>13</v>
      </c>
      <c r="F1197" s="12" t="s">
        <v>14</v>
      </c>
      <c r="G1197" s="14">
        <v>45269</v>
      </c>
      <c r="H1197" s="12" t="s">
        <v>18</v>
      </c>
      <c r="I1197" s="12" t="s">
        <v>19</v>
      </c>
      <c r="J1197" s="12" t="s">
        <v>67</v>
      </c>
      <c r="K1197" s="12">
        <v>235.00200000000001</v>
      </c>
      <c r="L1197" s="12">
        <v>208.524</v>
      </c>
      <c r="O1197" s="13">
        <f t="shared" si="38"/>
        <v>0.88732861847984268</v>
      </c>
    </row>
    <row r="1198" spans="1:15" x14ac:dyDescent="0.25">
      <c r="A1198" s="12">
        <f t="shared" si="37"/>
        <v>12</v>
      </c>
      <c r="B1198" s="12">
        <v>2023</v>
      </c>
      <c r="C1198" s="12">
        <v>7477</v>
      </c>
      <c r="E1198" s="12" t="s">
        <v>13</v>
      </c>
      <c r="F1198" s="12" t="s">
        <v>14</v>
      </c>
      <c r="G1198" s="14">
        <v>45270</v>
      </c>
      <c r="H1198" s="12" t="s">
        <v>18</v>
      </c>
      <c r="I1198" s="12" t="s">
        <v>19</v>
      </c>
      <c r="J1198" s="12" t="s">
        <v>67</v>
      </c>
      <c r="K1198" s="12">
        <v>235.00399999999999</v>
      </c>
      <c r="L1198" s="12">
        <v>202.221</v>
      </c>
      <c r="O1198" s="13">
        <f t="shared" si="38"/>
        <v>0.86050024680430981</v>
      </c>
    </row>
    <row r="1199" spans="1:15" x14ac:dyDescent="0.25">
      <c r="A1199" s="12">
        <f t="shared" si="37"/>
        <v>12</v>
      </c>
      <c r="B1199" s="12">
        <v>2023</v>
      </c>
      <c r="C1199" s="12">
        <v>7478</v>
      </c>
      <c r="E1199" s="12" t="s">
        <v>13</v>
      </c>
      <c r="F1199" s="12" t="s">
        <v>14</v>
      </c>
      <c r="G1199" s="14">
        <v>45271</v>
      </c>
      <c r="H1199" s="12" t="s">
        <v>18</v>
      </c>
      <c r="I1199" s="12" t="s">
        <v>19</v>
      </c>
      <c r="J1199" s="12" t="s">
        <v>57</v>
      </c>
      <c r="K1199" s="12">
        <v>235.018</v>
      </c>
      <c r="L1199" s="12">
        <v>204.32400000000001</v>
      </c>
      <c r="O1199" s="13">
        <f t="shared" si="38"/>
        <v>0.86939723765839216</v>
      </c>
    </row>
    <row r="1200" spans="1:15" x14ac:dyDescent="0.25">
      <c r="A1200" s="12">
        <f t="shared" si="37"/>
        <v>12</v>
      </c>
      <c r="B1200" s="12">
        <v>2023</v>
      </c>
      <c r="C1200" s="12">
        <v>7479</v>
      </c>
      <c r="E1200" s="12" t="s">
        <v>13</v>
      </c>
      <c r="F1200" s="12" t="s">
        <v>14</v>
      </c>
      <c r="G1200" s="14">
        <v>45272</v>
      </c>
      <c r="H1200" s="12" t="s">
        <v>18</v>
      </c>
      <c r="I1200" s="12" t="s">
        <v>19</v>
      </c>
      <c r="J1200" s="12" t="s">
        <v>57</v>
      </c>
      <c r="K1200" s="12">
        <v>235.00200000000001</v>
      </c>
      <c r="L1200" s="12">
        <v>203.68600000000001</v>
      </c>
      <c r="O1200" s="13">
        <f t="shared" si="38"/>
        <v>0.86674155964630084</v>
      </c>
    </row>
    <row r="1201" spans="1:15" x14ac:dyDescent="0.25">
      <c r="A1201" s="12">
        <f t="shared" si="37"/>
        <v>12</v>
      </c>
      <c r="B1201" s="12">
        <v>2023</v>
      </c>
      <c r="C1201" s="12">
        <v>7480</v>
      </c>
      <c r="E1201" s="12" t="s">
        <v>13</v>
      </c>
      <c r="F1201" s="12" t="s">
        <v>14</v>
      </c>
      <c r="G1201" s="14">
        <v>45273</v>
      </c>
      <c r="H1201" s="12" t="s">
        <v>18</v>
      </c>
      <c r="I1201" s="12" t="s">
        <v>19</v>
      </c>
      <c r="J1201" s="12" t="s">
        <v>57</v>
      </c>
      <c r="K1201" s="12">
        <v>235.00899999999999</v>
      </c>
      <c r="L1201" s="12">
        <v>204.02600000000001</v>
      </c>
      <c r="O1201" s="13">
        <f t="shared" si="38"/>
        <v>0.8681624959044123</v>
      </c>
    </row>
    <row r="1202" spans="1:15" x14ac:dyDescent="0.25">
      <c r="A1202" s="12">
        <f t="shared" si="37"/>
        <v>12</v>
      </c>
      <c r="B1202" s="12">
        <v>2023</v>
      </c>
      <c r="C1202" s="12">
        <v>7481</v>
      </c>
      <c r="E1202" s="12" t="s">
        <v>13</v>
      </c>
      <c r="F1202" s="12" t="s">
        <v>14</v>
      </c>
      <c r="G1202" s="14">
        <v>45273</v>
      </c>
      <c r="H1202" s="12" t="s">
        <v>18</v>
      </c>
      <c r="I1202" s="12" t="s">
        <v>19</v>
      </c>
      <c r="J1202" s="12" t="s">
        <v>57</v>
      </c>
      <c r="K1202" s="12">
        <v>235.00700000000001</v>
      </c>
      <c r="L1202" s="12">
        <v>203.27600000000001</v>
      </c>
      <c r="O1202" s="13">
        <f t="shared" si="38"/>
        <v>0.86497849000242544</v>
      </c>
    </row>
    <row r="1203" spans="1:15" x14ac:dyDescent="0.25">
      <c r="A1203" s="12">
        <f t="shared" si="37"/>
        <v>12</v>
      </c>
      <c r="B1203" s="12">
        <v>2023</v>
      </c>
      <c r="C1203" s="12">
        <v>7482</v>
      </c>
      <c r="E1203" s="12" t="s">
        <v>13</v>
      </c>
      <c r="F1203" s="12" t="s">
        <v>14</v>
      </c>
      <c r="G1203" s="14">
        <v>45274</v>
      </c>
      <c r="H1203" s="12" t="s">
        <v>18</v>
      </c>
      <c r="I1203" s="12" t="s">
        <v>19</v>
      </c>
      <c r="J1203" s="12" t="s">
        <v>57</v>
      </c>
      <c r="K1203" s="12">
        <v>235.011</v>
      </c>
      <c r="L1203" s="12">
        <v>200.977</v>
      </c>
      <c r="O1203" s="13">
        <f t="shared" si="38"/>
        <v>0.85518124683525454</v>
      </c>
    </row>
    <row r="1204" spans="1:15" x14ac:dyDescent="0.25">
      <c r="A1204" s="12">
        <f t="shared" si="37"/>
        <v>12</v>
      </c>
      <c r="B1204" s="12">
        <v>2023</v>
      </c>
      <c r="C1204" s="12">
        <v>7483</v>
      </c>
      <c r="E1204" s="12" t="s">
        <v>13</v>
      </c>
      <c r="F1204" s="12" t="s">
        <v>14</v>
      </c>
      <c r="G1204" s="14">
        <v>45275</v>
      </c>
      <c r="H1204" s="12" t="s">
        <v>17</v>
      </c>
      <c r="I1204" s="12" t="s">
        <v>19</v>
      </c>
      <c r="J1204" s="12" t="s">
        <v>57</v>
      </c>
      <c r="K1204" s="12">
        <v>235</v>
      </c>
      <c r="L1204" s="12">
        <v>200.44300000000001</v>
      </c>
      <c r="O1204" s="13">
        <f t="shared" si="38"/>
        <v>0.85294893617021283</v>
      </c>
    </row>
    <row r="1205" spans="1:15" x14ac:dyDescent="0.25">
      <c r="A1205" s="12">
        <f t="shared" si="37"/>
        <v>12</v>
      </c>
      <c r="B1205" s="12">
        <v>2023</v>
      </c>
      <c r="C1205" s="12">
        <v>7484</v>
      </c>
      <c r="E1205" s="12" t="s">
        <v>13</v>
      </c>
      <c r="F1205" s="12" t="s">
        <v>14</v>
      </c>
      <c r="G1205" s="14">
        <v>45276</v>
      </c>
      <c r="H1205" s="12" t="s">
        <v>17</v>
      </c>
      <c r="I1205" s="12" t="s">
        <v>19</v>
      </c>
      <c r="J1205" s="12" t="s">
        <v>57</v>
      </c>
      <c r="K1205" s="12">
        <v>235.00700000000001</v>
      </c>
      <c r="L1205" s="12">
        <v>204.26300000000001</v>
      </c>
      <c r="O1205" s="13">
        <f t="shared" si="38"/>
        <v>0.86917836489976896</v>
      </c>
    </row>
    <row r="1206" spans="1:15" x14ac:dyDescent="0.25">
      <c r="A1206" s="12">
        <f t="shared" si="37"/>
        <v>12</v>
      </c>
      <c r="B1206" s="12">
        <v>2023</v>
      </c>
      <c r="C1206" s="12">
        <v>7485</v>
      </c>
      <c r="E1206" s="12" t="s">
        <v>13</v>
      </c>
      <c r="F1206" s="12" t="s">
        <v>14</v>
      </c>
      <c r="G1206" s="14">
        <v>45277</v>
      </c>
      <c r="H1206" s="12" t="s">
        <v>17</v>
      </c>
      <c r="I1206" s="12" t="s">
        <v>19</v>
      </c>
      <c r="J1206" s="12" t="s">
        <v>57</v>
      </c>
      <c r="K1206" s="12">
        <v>235.006</v>
      </c>
      <c r="L1206" s="12">
        <v>200.86600000000001</v>
      </c>
      <c r="O1206" s="13">
        <f t="shared" si="38"/>
        <v>0.8547271133502975</v>
      </c>
    </row>
    <row r="1207" spans="1:15" x14ac:dyDescent="0.25">
      <c r="A1207" s="12">
        <f t="shared" si="37"/>
        <v>12</v>
      </c>
      <c r="B1207" s="12">
        <v>2023</v>
      </c>
      <c r="C1207" s="12">
        <v>7486</v>
      </c>
      <c r="E1207" s="12" t="s">
        <v>13</v>
      </c>
      <c r="F1207" s="12" t="s">
        <v>14</v>
      </c>
      <c r="G1207" s="14">
        <v>45278</v>
      </c>
      <c r="H1207" s="12" t="s">
        <v>17</v>
      </c>
      <c r="I1207" s="12" t="s">
        <v>19</v>
      </c>
      <c r="J1207" s="12" t="s">
        <v>57</v>
      </c>
      <c r="K1207" s="12">
        <v>234.98500000000001</v>
      </c>
      <c r="L1207" s="12">
        <v>204.35</v>
      </c>
      <c r="O1207" s="13">
        <f t="shared" si="38"/>
        <v>0.8696299763814711</v>
      </c>
    </row>
    <row r="1208" spans="1:15" x14ac:dyDescent="0.25">
      <c r="A1208" s="12">
        <f t="shared" si="37"/>
        <v>12</v>
      </c>
      <c r="B1208" s="12">
        <v>2023</v>
      </c>
      <c r="C1208" s="12">
        <v>7487</v>
      </c>
      <c r="E1208" s="12" t="s">
        <v>13</v>
      </c>
      <c r="F1208" s="12" t="s">
        <v>14</v>
      </c>
      <c r="G1208" s="14">
        <v>45279</v>
      </c>
      <c r="H1208" s="12" t="s">
        <v>17</v>
      </c>
      <c r="I1208" s="12" t="s">
        <v>19</v>
      </c>
      <c r="J1208" s="12" t="s">
        <v>57</v>
      </c>
      <c r="K1208" s="12">
        <v>235.00399999999999</v>
      </c>
      <c r="L1208" s="12">
        <v>202.66300000000001</v>
      </c>
      <c r="N1208" s="12">
        <v>11</v>
      </c>
      <c r="O1208" s="13">
        <f t="shared" si="38"/>
        <v>0.86238106585419827</v>
      </c>
    </row>
    <row r="1209" spans="1:15" x14ac:dyDescent="0.25">
      <c r="A1209" s="12">
        <f t="shared" si="37"/>
        <v>12</v>
      </c>
      <c r="B1209" s="12">
        <v>2023</v>
      </c>
      <c r="C1209" s="12">
        <v>7488</v>
      </c>
      <c r="E1209" s="12" t="s">
        <v>13</v>
      </c>
      <c r="F1209" s="12" t="s">
        <v>14</v>
      </c>
      <c r="G1209" s="14">
        <v>45280</v>
      </c>
      <c r="H1209" s="12" t="s">
        <v>18</v>
      </c>
      <c r="I1209" s="12" t="s">
        <v>20</v>
      </c>
      <c r="J1209" s="12" t="s">
        <v>61</v>
      </c>
      <c r="K1209" s="12">
        <v>235.08</v>
      </c>
      <c r="L1209" s="12">
        <v>201.38</v>
      </c>
      <c r="N1209" s="12">
        <v>11</v>
      </c>
      <c r="O1209" s="13">
        <f t="shared" si="38"/>
        <v>0.85664454653734889</v>
      </c>
    </row>
    <row r="1210" spans="1:15" x14ac:dyDescent="0.25">
      <c r="A1210" s="12">
        <f t="shared" si="37"/>
        <v>12</v>
      </c>
      <c r="B1210" s="12">
        <v>2023</v>
      </c>
      <c r="C1210" s="12">
        <v>7489</v>
      </c>
      <c r="E1210" s="12" t="s">
        <v>13</v>
      </c>
      <c r="F1210" s="12" t="s">
        <v>14</v>
      </c>
      <c r="G1210" s="14">
        <v>45281</v>
      </c>
      <c r="H1210" s="12" t="s">
        <v>18</v>
      </c>
      <c r="I1210" s="12" t="s">
        <v>20</v>
      </c>
      <c r="J1210" s="12" t="s">
        <v>61</v>
      </c>
      <c r="K1210" s="12">
        <v>235.02600000000001</v>
      </c>
      <c r="L1210" s="12">
        <v>209.94200000000001</v>
      </c>
      <c r="O1210" s="13">
        <f t="shared" si="38"/>
        <v>0.89327138274063289</v>
      </c>
    </row>
    <row r="1211" spans="1:15" x14ac:dyDescent="0.25">
      <c r="A1211" s="12">
        <f t="shared" si="37"/>
        <v>12</v>
      </c>
      <c r="B1211" s="12">
        <v>2023</v>
      </c>
      <c r="C1211" s="12">
        <v>7490</v>
      </c>
      <c r="E1211" s="12" t="s">
        <v>13</v>
      </c>
      <c r="F1211" s="12" t="s">
        <v>14</v>
      </c>
      <c r="G1211" s="14">
        <v>45282</v>
      </c>
      <c r="H1211" s="12" t="s">
        <v>18</v>
      </c>
      <c r="I1211" s="12" t="s">
        <v>19</v>
      </c>
      <c r="J1211" s="12" t="s">
        <v>67</v>
      </c>
      <c r="K1211" s="12">
        <v>234.95</v>
      </c>
      <c r="L1211" s="12">
        <v>206.38399999999999</v>
      </c>
      <c r="O1211" s="13">
        <f t="shared" si="38"/>
        <v>0.87841668440093634</v>
      </c>
    </row>
    <row r="1212" spans="1:15" x14ac:dyDescent="0.25">
      <c r="A1212" s="12">
        <f t="shared" si="37"/>
        <v>12</v>
      </c>
      <c r="B1212" s="12">
        <v>2023</v>
      </c>
      <c r="C1212" s="12">
        <v>7491</v>
      </c>
      <c r="E1212" s="12" t="s">
        <v>13</v>
      </c>
      <c r="F1212" s="12" t="s">
        <v>14</v>
      </c>
      <c r="G1212" s="14">
        <v>45283</v>
      </c>
      <c r="H1212" s="12" t="s">
        <v>18</v>
      </c>
      <c r="I1212" s="12" t="s">
        <v>19</v>
      </c>
      <c r="J1212" s="12" t="s">
        <v>57</v>
      </c>
      <c r="K1212" s="12">
        <v>235.01300000000001</v>
      </c>
      <c r="L1212" s="12">
        <v>196.857</v>
      </c>
      <c r="O1212" s="13">
        <f t="shared" si="38"/>
        <v>0.83764302400292745</v>
      </c>
    </row>
    <row r="1213" spans="1:15" x14ac:dyDescent="0.25">
      <c r="A1213" s="12">
        <f t="shared" si="37"/>
        <v>12</v>
      </c>
      <c r="B1213" s="12">
        <v>2023</v>
      </c>
      <c r="C1213" s="12">
        <v>7492</v>
      </c>
      <c r="E1213" s="12" t="s">
        <v>13</v>
      </c>
      <c r="F1213" s="12" t="s">
        <v>14</v>
      </c>
      <c r="G1213" s="14">
        <v>45284</v>
      </c>
      <c r="H1213" s="12" t="s">
        <v>18</v>
      </c>
      <c r="I1213" s="12" t="s">
        <v>19</v>
      </c>
      <c r="J1213" s="12" t="s">
        <v>57</v>
      </c>
      <c r="K1213" s="12">
        <v>235.00800000000001</v>
      </c>
      <c r="L1213" s="12">
        <v>208.72200000000001</v>
      </c>
      <c r="O1213" s="13">
        <f t="shared" si="38"/>
        <v>0.8881484885620915</v>
      </c>
    </row>
    <row r="1214" spans="1:15" x14ac:dyDescent="0.25">
      <c r="A1214" s="12">
        <f t="shared" si="37"/>
        <v>12</v>
      </c>
      <c r="B1214" s="12">
        <v>2023</v>
      </c>
      <c r="C1214" s="12">
        <v>7493</v>
      </c>
      <c r="E1214" s="12" t="s">
        <v>13</v>
      </c>
      <c r="F1214" s="12" t="s">
        <v>14</v>
      </c>
      <c r="G1214" s="14">
        <v>45285</v>
      </c>
      <c r="H1214" s="12" t="s">
        <v>18</v>
      </c>
      <c r="I1214" s="12" t="s">
        <v>19</v>
      </c>
      <c r="J1214" s="12" t="s">
        <v>57</v>
      </c>
      <c r="K1214" s="12">
        <v>235.01</v>
      </c>
      <c r="L1214" s="12">
        <v>202.60499999999999</v>
      </c>
      <c r="O1214" s="13">
        <f t="shared" si="38"/>
        <v>0.86211225054253005</v>
      </c>
    </row>
    <row r="1215" spans="1:15" x14ac:dyDescent="0.25">
      <c r="A1215" s="12">
        <f t="shared" si="37"/>
        <v>12</v>
      </c>
      <c r="B1215" s="12">
        <v>2023</v>
      </c>
      <c r="C1215" s="12">
        <v>7494</v>
      </c>
      <c r="E1215" s="12" t="s">
        <v>13</v>
      </c>
      <c r="F1215" s="12" t="s">
        <v>14</v>
      </c>
      <c r="G1215" s="14">
        <v>45286</v>
      </c>
      <c r="H1215" s="12" t="s">
        <v>18</v>
      </c>
      <c r="I1215" s="12" t="s">
        <v>19</v>
      </c>
      <c r="J1215" s="12" t="s">
        <v>57</v>
      </c>
      <c r="K1215" s="12">
        <v>235.02500000000001</v>
      </c>
      <c r="L1215" s="12">
        <v>204.56299999999999</v>
      </c>
      <c r="O1215" s="13">
        <f t="shared" si="38"/>
        <v>0.87038825656845009</v>
      </c>
    </row>
    <row r="1216" spans="1:15" x14ac:dyDescent="0.25">
      <c r="A1216" s="12">
        <f t="shared" si="37"/>
        <v>12</v>
      </c>
      <c r="B1216" s="12">
        <v>2023</v>
      </c>
      <c r="C1216" s="12">
        <v>7495</v>
      </c>
      <c r="E1216" s="12" t="s">
        <v>13</v>
      </c>
      <c r="F1216" s="12" t="s">
        <v>14</v>
      </c>
      <c r="G1216" s="14">
        <v>45287</v>
      </c>
      <c r="H1216" s="12" t="s">
        <v>18</v>
      </c>
      <c r="I1216" s="12" t="s">
        <v>19</v>
      </c>
      <c r="J1216" s="12" t="s">
        <v>57</v>
      </c>
      <c r="K1216" s="12">
        <v>235.01300000000001</v>
      </c>
      <c r="L1216" s="12">
        <v>200.22900000000001</v>
      </c>
      <c r="O1216" s="13">
        <f t="shared" si="38"/>
        <v>0.8519911664461115</v>
      </c>
    </row>
    <row r="1217" spans="1:15" x14ac:dyDescent="0.25">
      <c r="A1217" s="12">
        <f t="shared" si="37"/>
        <v>12</v>
      </c>
      <c r="B1217" s="12">
        <v>2023</v>
      </c>
      <c r="C1217" s="12">
        <v>7496</v>
      </c>
      <c r="E1217" s="12" t="s">
        <v>13</v>
      </c>
      <c r="F1217" s="12" t="s">
        <v>14</v>
      </c>
      <c r="G1217" s="14">
        <v>45288</v>
      </c>
      <c r="H1217" s="12" t="s">
        <v>64</v>
      </c>
      <c r="I1217" s="12" t="s">
        <v>20</v>
      </c>
      <c r="J1217" s="12" t="s">
        <v>62</v>
      </c>
      <c r="K1217" s="12">
        <v>235</v>
      </c>
      <c r="L1217" s="12">
        <v>199.417</v>
      </c>
      <c r="O1217" s="13">
        <f t="shared" si="38"/>
        <v>0.84858297872340427</v>
      </c>
    </row>
    <row r="1218" spans="1:15" x14ac:dyDescent="0.25">
      <c r="A1218" s="12">
        <f t="shared" ref="A1218:A1281" si="39">MONTH(G1218)</f>
        <v>12</v>
      </c>
      <c r="B1218" s="12">
        <v>2023</v>
      </c>
      <c r="C1218" s="12">
        <v>7497</v>
      </c>
      <c r="E1218" s="12" t="s">
        <v>13</v>
      </c>
      <c r="F1218" s="12" t="s">
        <v>14</v>
      </c>
      <c r="G1218" s="14">
        <v>45289</v>
      </c>
      <c r="H1218" s="12" t="s">
        <v>64</v>
      </c>
      <c r="I1218" s="12" t="s">
        <v>20</v>
      </c>
      <c r="J1218" s="12" t="s">
        <v>62</v>
      </c>
      <c r="K1218" s="12">
        <v>235.00399999999999</v>
      </c>
      <c r="L1218" s="12">
        <v>200.102</v>
      </c>
      <c r="O1218" s="13">
        <f t="shared" si="38"/>
        <v>0.85148337900631488</v>
      </c>
    </row>
    <row r="1219" spans="1:15" x14ac:dyDescent="0.25">
      <c r="A1219" s="12">
        <f t="shared" si="39"/>
        <v>12</v>
      </c>
      <c r="B1219" s="12">
        <v>2023</v>
      </c>
      <c r="C1219" s="12">
        <v>7498</v>
      </c>
      <c r="E1219" s="12" t="s">
        <v>13</v>
      </c>
      <c r="F1219" s="12" t="s">
        <v>14</v>
      </c>
      <c r="G1219" s="14">
        <v>45290</v>
      </c>
      <c r="H1219" s="12" t="s">
        <v>64</v>
      </c>
      <c r="I1219" s="12" t="s">
        <v>20</v>
      </c>
      <c r="J1219" s="12" t="s">
        <v>62</v>
      </c>
      <c r="K1219" s="12">
        <v>235.01</v>
      </c>
      <c r="L1219" s="12">
        <v>201.65</v>
      </c>
      <c r="O1219" s="13">
        <f t="shared" si="38"/>
        <v>0.85804859367686492</v>
      </c>
    </row>
    <row r="1220" spans="1:15" x14ac:dyDescent="0.25">
      <c r="A1220" s="12">
        <f t="shared" si="39"/>
        <v>12</v>
      </c>
      <c r="B1220" s="12">
        <v>2023</v>
      </c>
      <c r="C1220" s="16">
        <v>7499</v>
      </c>
      <c r="D1220" s="16"/>
      <c r="E1220" s="12" t="s">
        <v>13</v>
      </c>
      <c r="F1220" s="12" t="s">
        <v>14</v>
      </c>
      <c r="G1220" s="14">
        <v>45291</v>
      </c>
      <c r="H1220" s="12" t="s">
        <v>64</v>
      </c>
      <c r="I1220" s="12" t="s">
        <v>20</v>
      </c>
      <c r="J1220" s="12" t="s">
        <v>62</v>
      </c>
      <c r="K1220" s="12">
        <v>235.00399999999999</v>
      </c>
      <c r="L1220" s="12">
        <v>199.31399999999999</v>
      </c>
      <c r="O1220" s="13">
        <f t="shared" si="38"/>
        <v>0.84813024459158137</v>
      </c>
    </row>
    <row r="1221" spans="1:15" x14ac:dyDescent="0.25">
      <c r="A1221" s="12">
        <f t="shared" si="39"/>
        <v>1</v>
      </c>
      <c r="B1221" s="12">
        <v>2024</v>
      </c>
      <c r="C1221" s="12">
        <v>7500</v>
      </c>
      <c r="E1221" s="12" t="s">
        <v>13</v>
      </c>
      <c r="F1221" s="12" t="s">
        <v>14</v>
      </c>
      <c r="G1221" s="14">
        <v>45292</v>
      </c>
      <c r="H1221" s="12" t="s">
        <v>64</v>
      </c>
      <c r="I1221" s="12" t="s">
        <v>20</v>
      </c>
      <c r="J1221" s="12" t="s">
        <v>62</v>
      </c>
      <c r="K1221" s="12">
        <v>235.018</v>
      </c>
      <c r="L1221" s="12">
        <v>201.53299999999999</v>
      </c>
      <c r="O1221" s="13">
        <f t="shared" si="38"/>
        <v>0.85752155154073295</v>
      </c>
    </row>
    <row r="1222" spans="1:15" x14ac:dyDescent="0.25">
      <c r="A1222" s="12">
        <f t="shared" si="39"/>
        <v>1</v>
      </c>
      <c r="B1222" s="12">
        <v>2024</v>
      </c>
      <c r="C1222" s="12">
        <v>7501</v>
      </c>
      <c r="E1222" s="12" t="s">
        <v>13</v>
      </c>
      <c r="F1222" s="12" t="s">
        <v>14</v>
      </c>
      <c r="G1222" s="14">
        <v>45292</v>
      </c>
      <c r="H1222" s="12" t="s">
        <v>18</v>
      </c>
      <c r="I1222" s="12" t="s">
        <v>19</v>
      </c>
      <c r="J1222" s="12" t="s">
        <v>57</v>
      </c>
      <c r="K1222" s="12">
        <v>235.01300000000001</v>
      </c>
      <c r="L1222" s="12">
        <v>202.71700000000001</v>
      </c>
      <c r="O1222" s="13">
        <f t="shared" si="38"/>
        <v>0.8625778148442852</v>
      </c>
    </row>
    <row r="1223" spans="1:15" x14ac:dyDescent="0.25">
      <c r="A1223" s="12">
        <f t="shared" si="39"/>
        <v>1</v>
      </c>
      <c r="B1223" s="12">
        <v>2024</v>
      </c>
      <c r="C1223" s="12">
        <v>7502</v>
      </c>
      <c r="E1223" s="12" t="s">
        <v>13</v>
      </c>
      <c r="F1223" s="12" t="s">
        <v>14</v>
      </c>
      <c r="G1223" s="14">
        <v>45293</v>
      </c>
      <c r="H1223" s="12" t="s">
        <v>18</v>
      </c>
      <c r="I1223" s="12" t="s">
        <v>19</v>
      </c>
      <c r="J1223" s="12" t="s">
        <v>57</v>
      </c>
      <c r="K1223" s="12">
        <v>235.03100000000001</v>
      </c>
      <c r="L1223" s="12">
        <v>204.21</v>
      </c>
      <c r="O1223" s="13">
        <f t="shared" si="38"/>
        <v>0.86886410728797481</v>
      </c>
    </row>
    <row r="1224" spans="1:15" x14ac:dyDescent="0.25">
      <c r="A1224" s="12">
        <f t="shared" si="39"/>
        <v>1</v>
      </c>
      <c r="B1224" s="12">
        <v>2024</v>
      </c>
      <c r="C1224" s="12">
        <v>7503</v>
      </c>
      <c r="E1224" s="12" t="s">
        <v>13</v>
      </c>
      <c r="F1224" s="12" t="s">
        <v>14</v>
      </c>
      <c r="G1224" s="14">
        <v>45294</v>
      </c>
      <c r="H1224" s="12" t="s">
        <v>18</v>
      </c>
      <c r="I1224" s="12" t="s">
        <v>19</v>
      </c>
      <c r="J1224" s="12" t="s">
        <v>57</v>
      </c>
      <c r="K1224" s="12">
        <v>235.02199999999999</v>
      </c>
      <c r="L1224" s="12">
        <v>200.1</v>
      </c>
      <c r="O1224" s="13">
        <f t="shared" si="38"/>
        <v>0.85140965526631551</v>
      </c>
    </row>
    <row r="1225" spans="1:15" x14ac:dyDescent="0.25">
      <c r="A1225" s="12">
        <f t="shared" si="39"/>
        <v>1</v>
      </c>
      <c r="B1225" s="12">
        <v>2024</v>
      </c>
      <c r="C1225" s="12">
        <v>7504</v>
      </c>
      <c r="E1225" s="12" t="s">
        <v>13</v>
      </c>
      <c r="F1225" s="12" t="s">
        <v>14</v>
      </c>
      <c r="G1225" s="14">
        <v>45295</v>
      </c>
      <c r="H1225" s="12" t="s">
        <v>18</v>
      </c>
      <c r="I1225" s="12" t="s">
        <v>19</v>
      </c>
      <c r="J1225" s="12" t="s">
        <v>57</v>
      </c>
      <c r="K1225" s="12">
        <v>235.00299999999999</v>
      </c>
      <c r="L1225" s="12">
        <v>203.52500000000001</v>
      </c>
      <c r="O1225" s="13">
        <f t="shared" ref="O1225:O1288" si="40">L1225/K1225</f>
        <v>0.86605277379437717</v>
      </c>
    </row>
    <row r="1226" spans="1:15" x14ac:dyDescent="0.25">
      <c r="A1226" s="12">
        <f t="shared" si="39"/>
        <v>1</v>
      </c>
      <c r="B1226" s="12">
        <v>2024</v>
      </c>
      <c r="C1226" s="12">
        <v>7505</v>
      </c>
      <c r="E1226" s="12" t="s">
        <v>13</v>
      </c>
      <c r="F1226" s="12" t="s">
        <v>14</v>
      </c>
      <c r="G1226" s="14">
        <v>45296</v>
      </c>
      <c r="H1226" s="12" t="s">
        <v>18</v>
      </c>
      <c r="I1226" s="12" t="s">
        <v>19</v>
      </c>
      <c r="J1226" s="12" t="s">
        <v>57</v>
      </c>
      <c r="K1226" s="12">
        <v>234.93899999999999</v>
      </c>
      <c r="L1226" s="12">
        <v>198.59899999999999</v>
      </c>
      <c r="O1226" s="13">
        <f t="shared" si="40"/>
        <v>0.84532155155167932</v>
      </c>
    </row>
    <row r="1227" spans="1:15" x14ac:dyDescent="0.25">
      <c r="A1227" s="12">
        <f t="shared" si="39"/>
        <v>1</v>
      </c>
      <c r="B1227" s="12">
        <v>2024</v>
      </c>
      <c r="C1227" s="12">
        <v>7506</v>
      </c>
      <c r="E1227" s="12" t="s">
        <v>13</v>
      </c>
      <c r="F1227" s="12" t="s">
        <v>14</v>
      </c>
      <c r="G1227" s="14">
        <v>45297</v>
      </c>
      <c r="H1227" s="12" t="s">
        <v>18</v>
      </c>
      <c r="I1227" s="12" t="s">
        <v>19</v>
      </c>
      <c r="J1227" s="12" t="s">
        <v>67</v>
      </c>
      <c r="K1227" s="12">
        <v>235.00899999999999</v>
      </c>
      <c r="L1227" s="12">
        <v>203.73699999999999</v>
      </c>
      <c r="O1227" s="13">
        <f t="shared" si="40"/>
        <v>0.8669327557668004</v>
      </c>
    </row>
    <row r="1228" spans="1:15" x14ac:dyDescent="0.25">
      <c r="A1228" s="12">
        <f t="shared" si="39"/>
        <v>1</v>
      </c>
      <c r="B1228" s="12">
        <v>2024</v>
      </c>
      <c r="C1228" s="12">
        <v>7507</v>
      </c>
      <c r="E1228" s="12" t="s">
        <v>13</v>
      </c>
      <c r="F1228" s="12" t="s">
        <v>14</v>
      </c>
      <c r="G1228" s="14">
        <v>45298</v>
      </c>
      <c r="H1228" s="12" t="s">
        <v>18</v>
      </c>
      <c r="I1228" s="12" t="s">
        <v>19</v>
      </c>
      <c r="J1228" s="12" t="s">
        <v>67</v>
      </c>
      <c r="K1228" s="12">
        <v>235.012</v>
      </c>
      <c r="L1228" s="12">
        <v>199.285</v>
      </c>
      <c r="O1228" s="13">
        <f t="shared" si="40"/>
        <v>0.84797797559273569</v>
      </c>
    </row>
    <row r="1229" spans="1:15" x14ac:dyDescent="0.25">
      <c r="A1229" s="12">
        <f t="shared" si="39"/>
        <v>1</v>
      </c>
      <c r="B1229" s="12">
        <v>2024</v>
      </c>
      <c r="C1229" s="12">
        <v>7508</v>
      </c>
      <c r="E1229" s="12" t="s">
        <v>13</v>
      </c>
      <c r="F1229" s="12" t="s">
        <v>14</v>
      </c>
      <c r="G1229" s="14">
        <v>45299</v>
      </c>
      <c r="H1229" s="12" t="s">
        <v>18</v>
      </c>
      <c r="I1229" s="12" t="s">
        <v>19</v>
      </c>
      <c r="J1229" s="12" t="s">
        <v>57</v>
      </c>
      <c r="K1229" s="12">
        <v>234.92400000000001</v>
      </c>
      <c r="L1229" s="12">
        <v>201.649</v>
      </c>
      <c r="O1229" s="13">
        <f t="shared" si="40"/>
        <v>0.85835844783844983</v>
      </c>
    </row>
    <row r="1230" spans="1:15" x14ac:dyDescent="0.25">
      <c r="A1230" s="12">
        <f t="shared" si="39"/>
        <v>1</v>
      </c>
      <c r="B1230" s="12">
        <v>2024</v>
      </c>
      <c r="C1230" s="12">
        <v>7509</v>
      </c>
      <c r="E1230" s="12" t="s">
        <v>13</v>
      </c>
      <c r="F1230" s="12" t="s">
        <v>14</v>
      </c>
      <c r="G1230" s="14">
        <v>45300</v>
      </c>
      <c r="H1230" s="12" t="s">
        <v>18</v>
      </c>
      <c r="I1230" s="12" t="s">
        <v>19</v>
      </c>
      <c r="J1230" s="12" t="s">
        <v>57</v>
      </c>
      <c r="K1230" s="12">
        <v>234.952</v>
      </c>
      <c r="L1230" s="12">
        <v>199.179</v>
      </c>
      <c r="O1230" s="13">
        <f t="shared" si="40"/>
        <v>0.84774336885832002</v>
      </c>
    </row>
    <row r="1231" spans="1:15" x14ac:dyDescent="0.25">
      <c r="A1231" s="12">
        <f t="shared" si="39"/>
        <v>1</v>
      </c>
      <c r="B1231" s="12">
        <v>2024</v>
      </c>
      <c r="C1231" s="12">
        <v>7510</v>
      </c>
      <c r="E1231" s="12" t="s">
        <v>13</v>
      </c>
      <c r="F1231" s="12" t="s">
        <v>14</v>
      </c>
      <c r="G1231" s="14">
        <v>45301</v>
      </c>
      <c r="H1231" s="12" t="s">
        <v>18</v>
      </c>
      <c r="I1231" s="12" t="s">
        <v>19</v>
      </c>
      <c r="J1231" s="12" t="s">
        <v>57</v>
      </c>
      <c r="K1231" s="12">
        <v>235.03700000000001</v>
      </c>
      <c r="L1231" s="12">
        <v>201.88499999999999</v>
      </c>
      <c r="O1231" s="13">
        <f t="shared" si="40"/>
        <v>0.85894986746767521</v>
      </c>
    </row>
    <row r="1232" spans="1:15" x14ac:dyDescent="0.25">
      <c r="A1232" s="12">
        <f t="shared" si="39"/>
        <v>1</v>
      </c>
      <c r="B1232" s="12">
        <v>2024</v>
      </c>
      <c r="C1232" s="12">
        <v>7511</v>
      </c>
      <c r="E1232" s="12" t="s">
        <v>13</v>
      </c>
      <c r="F1232" s="12" t="s">
        <v>14</v>
      </c>
      <c r="G1232" s="14">
        <v>45302</v>
      </c>
      <c r="H1232" s="12" t="s">
        <v>18</v>
      </c>
      <c r="I1232" s="12" t="s">
        <v>19</v>
      </c>
      <c r="J1232" s="12" t="s">
        <v>57</v>
      </c>
      <c r="K1232" s="12">
        <v>235.02500000000001</v>
      </c>
      <c r="L1232" s="12">
        <v>199.17699999999999</v>
      </c>
      <c r="O1232" s="13">
        <f t="shared" si="40"/>
        <v>0.84747154558025739</v>
      </c>
    </row>
    <row r="1233" spans="1:15" x14ac:dyDescent="0.25">
      <c r="A1233" s="12">
        <f t="shared" si="39"/>
        <v>1</v>
      </c>
      <c r="B1233" s="12">
        <v>2024</v>
      </c>
      <c r="C1233" s="12">
        <v>7512</v>
      </c>
      <c r="E1233" s="12" t="s">
        <v>13</v>
      </c>
      <c r="F1233" s="12" t="s">
        <v>14</v>
      </c>
      <c r="G1233" s="14">
        <v>45303</v>
      </c>
      <c r="H1233" s="12" t="s">
        <v>18</v>
      </c>
      <c r="I1233" s="12" t="s">
        <v>19</v>
      </c>
      <c r="J1233" s="12" t="s">
        <v>57</v>
      </c>
      <c r="K1233" s="12">
        <v>235.077</v>
      </c>
      <c r="L1233" s="12">
        <v>203.12100000000001</v>
      </c>
      <c r="O1233" s="13">
        <f t="shared" si="40"/>
        <v>0.86406156280708024</v>
      </c>
    </row>
    <row r="1234" spans="1:15" x14ac:dyDescent="0.25">
      <c r="A1234" s="12">
        <f t="shared" si="39"/>
        <v>1</v>
      </c>
      <c r="B1234" s="12">
        <v>2024</v>
      </c>
      <c r="C1234" s="12">
        <v>7513</v>
      </c>
      <c r="E1234" s="12" t="s">
        <v>13</v>
      </c>
      <c r="F1234" s="12" t="s">
        <v>14</v>
      </c>
      <c r="G1234" s="14">
        <v>45304</v>
      </c>
      <c r="H1234" s="12" t="s">
        <v>64</v>
      </c>
      <c r="I1234" s="12" t="s">
        <v>20</v>
      </c>
      <c r="J1234" s="12" t="s">
        <v>61</v>
      </c>
      <c r="K1234" s="12">
        <v>235.06</v>
      </c>
      <c r="L1234" s="12">
        <v>201.75299999999999</v>
      </c>
      <c r="O1234" s="13">
        <f t="shared" si="40"/>
        <v>0.85830426274142768</v>
      </c>
    </row>
    <row r="1235" spans="1:15" x14ac:dyDescent="0.25">
      <c r="A1235" s="12">
        <f t="shared" si="39"/>
        <v>1</v>
      </c>
      <c r="B1235" s="12">
        <v>2024</v>
      </c>
      <c r="C1235" s="12">
        <v>7514</v>
      </c>
      <c r="E1235" s="12" t="s">
        <v>13</v>
      </c>
      <c r="F1235" s="12" t="s">
        <v>14</v>
      </c>
      <c r="G1235" s="14">
        <v>45305</v>
      </c>
      <c r="H1235" s="12" t="s">
        <v>64</v>
      </c>
      <c r="I1235" s="12" t="s">
        <v>20</v>
      </c>
      <c r="J1235" s="12" t="s">
        <v>61</v>
      </c>
      <c r="K1235" s="12">
        <v>235.00299999999999</v>
      </c>
      <c r="L1235" s="12">
        <v>204.20599999999999</v>
      </c>
      <c r="O1235" s="13">
        <f t="shared" si="40"/>
        <v>0.86895060914115996</v>
      </c>
    </row>
    <row r="1236" spans="1:15" x14ac:dyDescent="0.25">
      <c r="A1236" s="12">
        <f t="shared" si="39"/>
        <v>1</v>
      </c>
      <c r="B1236" s="12">
        <v>2024</v>
      </c>
      <c r="C1236" s="12">
        <v>7515</v>
      </c>
      <c r="E1236" s="12" t="s">
        <v>13</v>
      </c>
      <c r="F1236" s="12" t="s">
        <v>14</v>
      </c>
      <c r="G1236" s="14">
        <v>45306</v>
      </c>
      <c r="H1236" s="12" t="s">
        <v>17</v>
      </c>
      <c r="I1236" s="12" t="s">
        <v>19</v>
      </c>
      <c r="J1236" s="12" t="s">
        <v>57</v>
      </c>
      <c r="K1236" s="12">
        <v>235.024</v>
      </c>
      <c r="L1236" s="12">
        <v>202.48599999999999</v>
      </c>
      <c r="O1236" s="13">
        <f t="shared" si="40"/>
        <v>0.86155456464020697</v>
      </c>
    </row>
    <row r="1237" spans="1:15" x14ac:dyDescent="0.25">
      <c r="A1237" s="12">
        <f t="shared" si="39"/>
        <v>1</v>
      </c>
      <c r="B1237" s="12">
        <v>2024</v>
      </c>
      <c r="C1237" s="12">
        <v>7516</v>
      </c>
      <c r="E1237" s="12" t="s">
        <v>13</v>
      </c>
      <c r="F1237" s="12" t="s">
        <v>14</v>
      </c>
      <c r="G1237" s="14">
        <v>45307</v>
      </c>
      <c r="H1237" s="12" t="s">
        <v>17</v>
      </c>
      <c r="I1237" s="12" t="s">
        <v>19</v>
      </c>
      <c r="J1237" s="12" t="s">
        <v>57</v>
      </c>
      <c r="K1237" s="12">
        <v>234.999</v>
      </c>
      <c r="L1237" s="12">
        <v>203.09899999999999</v>
      </c>
      <c r="O1237" s="13">
        <f t="shared" si="40"/>
        <v>0.86425474150953829</v>
      </c>
    </row>
    <row r="1238" spans="1:15" x14ac:dyDescent="0.25">
      <c r="A1238" s="12">
        <f t="shared" si="39"/>
        <v>1</v>
      </c>
      <c r="B1238" s="12">
        <v>2024</v>
      </c>
      <c r="C1238" s="12">
        <v>7517</v>
      </c>
      <c r="E1238" s="12" t="s">
        <v>13</v>
      </c>
      <c r="F1238" s="12" t="s">
        <v>14</v>
      </c>
      <c r="G1238" s="14">
        <v>45308</v>
      </c>
      <c r="H1238" s="12" t="s">
        <v>17</v>
      </c>
      <c r="I1238" s="12" t="s">
        <v>19</v>
      </c>
      <c r="J1238" s="12" t="s">
        <v>57</v>
      </c>
      <c r="K1238" s="12">
        <v>235.02</v>
      </c>
      <c r="L1238" s="12">
        <v>199.08600000000001</v>
      </c>
      <c r="O1238" s="13">
        <f t="shared" si="40"/>
        <v>0.84710237426601998</v>
      </c>
    </row>
    <row r="1239" spans="1:15" x14ac:dyDescent="0.25">
      <c r="A1239" s="12">
        <f t="shared" si="39"/>
        <v>1</v>
      </c>
      <c r="B1239" s="12">
        <v>2024</v>
      </c>
      <c r="C1239" s="12">
        <v>7518</v>
      </c>
      <c r="E1239" s="12" t="s">
        <v>13</v>
      </c>
      <c r="F1239" s="12" t="s">
        <v>14</v>
      </c>
      <c r="G1239" s="14">
        <v>45309</v>
      </c>
      <c r="H1239" s="12" t="s">
        <v>17</v>
      </c>
      <c r="I1239" s="12" t="s">
        <v>19</v>
      </c>
      <c r="J1239" s="12" t="s">
        <v>57</v>
      </c>
      <c r="K1239" s="12">
        <v>235.00299999999999</v>
      </c>
      <c r="L1239" s="12">
        <v>201.44399999999999</v>
      </c>
      <c r="O1239" s="13">
        <f t="shared" si="40"/>
        <v>0.85719756769062527</v>
      </c>
    </row>
    <row r="1240" spans="1:15" x14ac:dyDescent="0.25">
      <c r="A1240" s="12">
        <f t="shared" si="39"/>
        <v>1</v>
      </c>
      <c r="B1240" s="12">
        <v>2024</v>
      </c>
      <c r="C1240" s="12">
        <v>7519</v>
      </c>
      <c r="E1240" s="12" t="s">
        <v>13</v>
      </c>
      <c r="F1240" s="12" t="s">
        <v>14</v>
      </c>
      <c r="G1240" s="14">
        <v>45310</v>
      </c>
      <c r="H1240" s="12" t="s">
        <v>17</v>
      </c>
      <c r="I1240" s="12" t="s">
        <v>19</v>
      </c>
      <c r="J1240" s="12" t="s">
        <v>57</v>
      </c>
      <c r="K1240" s="12">
        <v>235.01599999999999</v>
      </c>
      <c r="L1240" s="12">
        <v>199.15600000000001</v>
      </c>
      <c r="O1240" s="13">
        <f t="shared" si="40"/>
        <v>0.84741464410933731</v>
      </c>
    </row>
    <row r="1241" spans="1:15" x14ac:dyDescent="0.25">
      <c r="A1241" s="12">
        <f t="shared" si="39"/>
        <v>1</v>
      </c>
      <c r="B1241" s="12">
        <v>2024</v>
      </c>
      <c r="C1241" s="12">
        <v>7520</v>
      </c>
      <c r="E1241" s="12" t="s">
        <v>13</v>
      </c>
      <c r="F1241" s="12" t="s">
        <v>14</v>
      </c>
      <c r="G1241" s="14">
        <v>45311</v>
      </c>
      <c r="H1241" s="12" t="s">
        <v>18</v>
      </c>
      <c r="I1241" s="12" t="s">
        <v>19</v>
      </c>
      <c r="J1241" s="12" t="s">
        <v>67</v>
      </c>
      <c r="K1241" s="12">
        <v>234.988</v>
      </c>
      <c r="L1241" s="12">
        <v>201.023</v>
      </c>
      <c r="O1241" s="13">
        <f t="shared" si="40"/>
        <v>0.85546070437639365</v>
      </c>
    </row>
    <row r="1242" spans="1:15" x14ac:dyDescent="0.25">
      <c r="A1242" s="12">
        <f t="shared" si="39"/>
        <v>1</v>
      </c>
      <c r="B1242" s="12">
        <v>2024</v>
      </c>
      <c r="C1242" s="12">
        <v>7521</v>
      </c>
      <c r="E1242" s="12" t="s">
        <v>13</v>
      </c>
      <c r="F1242" s="12" t="s">
        <v>14</v>
      </c>
      <c r="G1242" s="14">
        <v>45312</v>
      </c>
      <c r="H1242" s="12" t="s">
        <v>18</v>
      </c>
      <c r="I1242" s="12" t="s">
        <v>19</v>
      </c>
      <c r="J1242" s="12" t="s">
        <v>67</v>
      </c>
      <c r="K1242" s="12">
        <v>235.001</v>
      </c>
      <c r="L1242" s="12">
        <v>200.73</v>
      </c>
      <c r="O1242" s="13">
        <f t="shared" si="40"/>
        <v>0.85416657801456153</v>
      </c>
    </row>
    <row r="1243" spans="1:15" x14ac:dyDescent="0.25">
      <c r="A1243" s="12">
        <f t="shared" si="39"/>
        <v>1</v>
      </c>
      <c r="B1243" s="12">
        <v>2024</v>
      </c>
      <c r="C1243" s="12">
        <v>7522</v>
      </c>
      <c r="E1243" s="12" t="s">
        <v>13</v>
      </c>
      <c r="F1243" s="12" t="s">
        <v>14</v>
      </c>
      <c r="G1243" s="14">
        <v>45313</v>
      </c>
      <c r="H1243" s="12" t="s">
        <v>18</v>
      </c>
      <c r="I1243" s="12" t="s">
        <v>19</v>
      </c>
      <c r="J1243" s="12" t="s">
        <v>57</v>
      </c>
      <c r="K1243" s="12">
        <v>235.001</v>
      </c>
      <c r="L1243" s="12">
        <v>206.87200000000001</v>
      </c>
      <c r="O1243" s="13">
        <f t="shared" si="40"/>
        <v>0.88030263701005529</v>
      </c>
    </row>
    <row r="1244" spans="1:15" x14ac:dyDescent="0.25">
      <c r="A1244" s="12">
        <f t="shared" si="39"/>
        <v>1</v>
      </c>
      <c r="B1244" s="12">
        <v>2024</v>
      </c>
      <c r="C1244" s="12">
        <v>7523</v>
      </c>
      <c r="E1244" s="12" t="s">
        <v>13</v>
      </c>
      <c r="F1244" s="12" t="s">
        <v>14</v>
      </c>
      <c r="G1244" s="14">
        <v>45314</v>
      </c>
      <c r="H1244" s="12" t="s">
        <v>18</v>
      </c>
      <c r="I1244" s="12" t="s">
        <v>19</v>
      </c>
      <c r="J1244" s="12" t="s">
        <v>57</v>
      </c>
      <c r="K1244" s="12">
        <v>234.999</v>
      </c>
      <c r="L1244" s="12">
        <v>204.03800000000001</v>
      </c>
      <c r="O1244" s="13">
        <f t="shared" si="40"/>
        <v>0.86825050319363073</v>
      </c>
    </row>
    <row r="1245" spans="1:15" x14ac:dyDescent="0.25">
      <c r="A1245" s="12">
        <f t="shared" si="39"/>
        <v>1</v>
      </c>
      <c r="B1245" s="12">
        <v>2024</v>
      </c>
      <c r="C1245" s="12">
        <v>7524</v>
      </c>
      <c r="E1245" s="12" t="s">
        <v>13</v>
      </c>
      <c r="F1245" s="12" t="s">
        <v>14</v>
      </c>
      <c r="G1245" s="14">
        <v>45315</v>
      </c>
      <c r="H1245" s="12" t="s">
        <v>18</v>
      </c>
      <c r="I1245" s="12" t="s">
        <v>19</v>
      </c>
      <c r="J1245" s="12" t="s">
        <v>57</v>
      </c>
      <c r="K1245" s="12">
        <v>234.971</v>
      </c>
      <c r="L1245" s="12">
        <v>210.05600000000001</v>
      </c>
      <c r="O1245" s="13">
        <f t="shared" si="40"/>
        <v>0.89396563831281306</v>
      </c>
    </row>
    <row r="1246" spans="1:15" x14ac:dyDescent="0.25">
      <c r="A1246" s="12">
        <f t="shared" si="39"/>
        <v>1</v>
      </c>
      <c r="B1246" s="12">
        <v>2024</v>
      </c>
      <c r="C1246" s="12">
        <v>7525</v>
      </c>
      <c r="E1246" s="12" t="s">
        <v>13</v>
      </c>
      <c r="F1246" s="12" t="s">
        <v>14</v>
      </c>
      <c r="G1246" s="14">
        <v>45316</v>
      </c>
      <c r="H1246" s="12" t="s">
        <v>18</v>
      </c>
      <c r="I1246" s="12" t="s">
        <v>19</v>
      </c>
      <c r="J1246" s="12" t="s">
        <v>57</v>
      </c>
      <c r="K1246" s="12">
        <v>235.1</v>
      </c>
      <c r="L1246" s="12">
        <v>207.922</v>
      </c>
      <c r="O1246" s="13">
        <f t="shared" si="40"/>
        <v>0.88439812845597621</v>
      </c>
    </row>
    <row r="1247" spans="1:15" x14ac:dyDescent="0.25">
      <c r="A1247" s="12">
        <f t="shared" si="39"/>
        <v>1</v>
      </c>
      <c r="B1247" s="12">
        <v>2024</v>
      </c>
      <c r="C1247" s="12">
        <v>7526</v>
      </c>
      <c r="E1247" s="12" t="s">
        <v>13</v>
      </c>
      <c r="F1247" s="12" t="s">
        <v>14</v>
      </c>
      <c r="G1247" s="14">
        <v>45317</v>
      </c>
      <c r="H1247" s="12" t="s">
        <v>18</v>
      </c>
      <c r="I1247" s="12" t="s">
        <v>19</v>
      </c>
      <c r="J1247" s="12" t="s">
        <v>57</v>
      </c>
      <c r="K1247" s="12">
        <v>235.053</v>
      </c>
      <c r="L1247" s="12">
        <v>203.05600000000001</v>
      </c>
      <c r="O1247" s="13">
        <f t="shared" si="40"/>
        <v>0.86387325411715665</v>
      </c>
    </row>
    <row r="1248" spans="1:15" x14ac:dyDescent="0.25">
      <c r="A1248" s="12">
        <f t="shared" si="39"/>
        <v>1</v>
      </c>
      <c r="B1248" s="12">
        <v>2024</v>
      </c>
      <c r="C1248" s="12">
        <v>7527</v>
      </c>
      <c r="E1248" s="12" t="s">
        <v>13</v>
      </c>
      <c r="F1248" s="12" t="s">
        <v>14</v>
      </c>
      <c r="G1248" s="14">
        <v>45318</v>
      </c>
      <c r="H1248" s="12" t="s">
        <v>64</v>
      </c>
      <c r="I1248" s="12" t="s">
        <v>20</v>
      </c>
      <c r="J1248" s="12" t="s">
        <v>62</v>
      </c>
      <c r="K1248" s="12">
        <v>235.011</v>
      </c>
      <c r="L1248" s="12">
        <v>196.48</v>
      </c>
      <c r="O1248" s="13">
        <f t="shared" si="40"/>
        <v>0.83604597231618938</v>
      </c>
    </row>
    <row r="1249" spans="1:15" x14ac:dyDescent="0.25">
      <c r="A1249" s="12">
        <f t="shared" si="39"/>
        <v>1</v>
      </c>
      <c r="B1249" s="12">
        <v>2024</v>
      </c>
      <c r="C1249" s="12">
        <v>7528</v>
      </c>
      <c r="E1249" s="12" t="s">
        <v>13</v>
      </c>
      <c r="F1249" s="12" t="s">
        <v>14</v>
      </c>
      <c r="G1249" s="14">
        <v>45319</v>
      </c>
      <c r="H1249" s="12" t="s">
        <v>64</v>
      </c>
      <c r="I1249" s="12" t="s">
        <v>20</v>
      </c>
      <c r="J1249" s="12" t="s">
        <v>62</v>
      </c>
      <c r="K1249" s="12">
        <v>235</v>
      </c>
      <c r="L1249" s="12">
        <v>200.42599999999999</v>
      </c>
      <c r="O1249" s="13">
        <f t="shared" si="40"/>
        <v>0.85287659574468078</v>
      </c>
    </row>
    <row r="1250" spans="1:15" x14ac:dyDescent="0.25">
      <c r="A1250" s="12">
        <f t="shared" si="39"/>
        <v>1</v>
      </c>
      <c r="B1250" s="12">
        <v>2024</v>
      </c>
      <c r="C1250" s="12">
        <v>7529</v>
      </c>
      <c r="E1250" s="12" t="s">
        <v>13</v>
      </c>
      <c r="F1250" s="12" t="s">
        <v>14</v>
      </c>
      <c r="G1250" s="14">
        <v>45320</v>
      </c>
      <c r="H1250" s="12" t="s">
        <v>64</v>
      </c>
      <c r="I1250" s="12" t="s">
        <v>20</v>
      </c>
      <c r="J1250" s="12" t="s">
        <v>62</v>
      </c>
      <c r="K1250" s="12">
        <v>235.01</v>
      </c>
      <c r="L1250" s="12">
        <v>197.44</v>
      </c>
      <c r="O1250" s="13">
        <f t="shared" si="40"/>
        <v>0.84013446236330369</v>
      </c>
    </row>
    <row r="1251" spans="1:15" x14ac:dyDescent="0.25">
      <c r="A1251" s="12">
        <f t="shared" si="39"/>
        <v>1</v>
      </c>
      <c r="B1251" s="12">
        <v>2024</v>
      </c>
      <c r="C1251" s="12">
        <v>7530</v>
      </c>
      <c r="E1251" s="12" t="s">
        <v>13</v>
      </c>
      <c r="F1251" s="12" t="s">
        <v>14</v>
      </c>
      <c r="G1251" s="14">
        <v>45321</v>
      </c>
      <c r="H1251" s="12" t="s">
        <v>64</v>
      </c>
      <c r="I1251" s="12" t="s">
        <v>20</v>
      </c>
      <c r="J1251" s="12" t="s">
        <v>62</v>
      </c>
      <c r="K1251" s="12">
        <v>235.011</v>
      </c>
      <c r="L1251" s="12">
        <v>199.86799999999999</v>
      </c>
      <c r="O1251" s="13">
        <f t="shared" si="40"/>
        <v>0.85046231878507816</v>
      </c>
    </row>
    <row r="1252" spans="1:15" x14ac:dyDescent="0.25">
      <c r="A1252" s="12">
        <f t="shared" si="39"/>
        <v>1</v>
      </c>
      <c r="B1252" s="12">
        <v>2024</v>
      </c>
      <c r="C1252" s="12">
        <v>7531</v>
      </c>
      <c r="E1252" s="12" t="s">
        <v>13</v>
      </c>
      <c r="F1252" s="12" t="s">
        <v>14</v>
      </c>
      <c r="G1252" s="14">
        <v>45322</v>
      </c>
      <c r="H1252" s="12" t="s">
        <v>64</v>
      </c>
      <c r="I1252" s="12" t="s">
        <v>20</v>
      </c>
      <c r="J1252" s="12" t="s">
        <v>62</v>
      </c>
      <c r="K1252" s="12">
        <v>235.011</v>
      </c>
      <c r="L1252" s="12">
        <v>197.744</v>
      </c>
      <c r="O1252" s="13">
        <f t="shared" si="40"/>
        <v>0.84142444396219751</v>
      </c>
    </row>
    <row r="1253" spans="1:15" x14ac:dyDescent="0.25">
      <c r="A1253" s="12">
        <f t="shared" si="39"/>
        <v>2</v>
      </c>
      <c r="B1253" s="12">
        <v>2024</v>
      </c>
      <c r="C1253" s="12">
        <v>7532</v>
      </c>
      <c r="E1253" s="12" t="s">
        <v>13</v>
      </c>
      <c r="F1253" s="12" t="s">
        <v>14</v>
      </c>
      <c r="G1253" s="14">
        <v>45323</v>
      </c>
      <c r="H1253" s="12" t="s">
        <v>64</v>
      </c>
      <c r="I1253" s="12" t="s">
        <v>20</v>
      </c>
      <c r="J1253" s="12" t="s">
        <v>61</v>
      </c>
      <c r="K1253" s="12">
        <v>232.011</v>
      </c>
      <c r="L1253" s="12">
        <v>201.47900000000001</v>
      </c>
      <c r="O1253" s="13">
        <f t="shared" si="40"/>
        <v>0.86840279124696684</v>
      </c>
    </row>
    <row r="1254" spans="1:15" x14ac:dyDescent="0.25">
      <c r="A1254" s="12">
        <f t="shared" si="39"/>
        <v>2</v>
      </c>
      <c r="B1254" s="12">
        <v>2024</v>
      </c>
      <c r="C1254" s="12">
        <v>7533</v>
      </c>
      <c r="E1254" s="12" t="s">
        <v>13</v>
      </c>
      <c r="F1254" s="12" t="s">
        <v>14</v>
      </c>
      <c r="G1254" s="14">
        <v>45324</v>
      </c>
      <c r="H1254" s="12" t="s">
        <v>64</v>
      </c>
      <c r="I1254" s="12" t="s">
        <v>20</v>
      </c>
      <c r="J1254" s="12" t="s">
        <v>61</v>
      </c>
      <c r="K1254" s="12">
        <v>232.03200000000001</v>
      </c>
      <c r="L1254" s="12">
        <v>201.26300000000001</v>
      </c>
      <c r="O1254" s="13">
        <f t="shared" si="40"/>
        <v>0.86739329058060954</v>
      </c>
    </row>
    <row r="1255" spans="1:15" x14ac:dyDescent="0.25">
      <c r="A1255" s="12">
        <f t="shared" si="39"/>
        <v>2</v>
      </c>
      <c r="B1255" s="12">
        <v>2024</v>
      </c>
      <c r="C1255" s="12">
        <v>7534</v>
      </c>
      <c r="E1255" s="12" t="s">
        <v>13</v>
      </c>
      <c r="F1255" s="12" t="s">
        <v>14</v>
      </c>
      <c r="G1255" s="14">
        <v>45325</v>
      </c>
      <c r="H1255" s="12" t="s">
        <v>18</v>
      </c>
      <c r="I1255" s="12" t="s">
        <v>19</v>
      </c>
      <c r="J1255" s="12" t="s">
        <v>67</v>
      </c>
      <c r="K1255" s="12">
        <v>235.00899999999999</v>
      </c>
      <c r="L1255" s="12">
        <v>202.40299999999999</v>
      </c>
      <c r="O1255" s="13">
        <f t="shared" si="40"/>
        <v>0.86125637741533301</v>
      </c>
    </row>
    <row r="1256" spans="1:15" x14ac:dyDescent="0.25">
      <c r="A1256" s="12">
        <f t="shared" si="39"/>
        <v>2</v>
      </c>
      <c r="B1256" s="12">
        <v>2024</v>
      </c>
      <c r="C1256" s="12">
        <v>7535</v>
      </c>
      <c r="E1256" s="12" t="s">
        <v>13</v>
      </c>
      <c r="F1256" s="12" t="s">
        <v>14</v>
      </c>
      <c r="G1256" s="14">
        <v>45325</v>
      </c>
      <c r="H1256" s="12" t="s">
        <v>18</v>
      </c>
      <c r="I1256" s="12" t="s">
        <v>19</v>
      </c>
      <c r="J1256" s="12" t="s">
        <v>67</v>
      </c>
      <c r="K1256" s="12">
        <v>234.97499999999999</v>
      </c>
      <c r="L1256" s="12">
        <v>199.19900000000001</v>
      </c>
      <c r="O1256" s="13">
        <f t="shared" si="40"/>
        <v>0.84774550484094058</v>
      </c>
    </row>
    <row r="1257" spans="1:15" x14ac:dyDescent="0.25">
      <c r="A1257" s="12">
        <f t="shared" si="39"/>
        <v>2</v>
      </c>
      <c r="B1257" s="12">
        <v>2024</v>
      </c>
      <c r="C1257" s="12">
        <v>7536</v>
      </c>
      <c r="E1257" s="12" t="s">
        <v>13</v>
      </c>
      <c r="F1257" s="12" t="s">
        <v>14</v>
      </c>
      <c r="G1257" s="14">
        <v>45327</v>
      </c>
      <c r="H1257" s="12" t="s">
        <v>18</v>
      </c>
      <c r="I1257" s="12" t="s">
        <v>20</v>
      </c>
      <c r="J1257" s="12" t="s">
        <v>61</v>
      </c>
      <c r="K1257" s="12">
        <v>232.017</v>
      </c>
      <c r="L1257" s="12">
        <v>201.42699999999999</v>
      </c>
      <c r="O1257" s="13">
        <f t="shared" si="40"/>
        <v>0.86815621269131138</v>
      </c>
    </row>
    <row r="1258" spans="1:15" x14ac:dyDescent="0.25">
      <c r="A1258" s="12">
        <f t="shared" si="39"/>
        <v>2</v>
      </c>
      <c r="B1258" s="12">
        <v>2024</v>
      </c>
      <c r="C1258" s="12">
        <v>7537</v>
      </c>
      <c r="E1258" s="12" t="s">
        <v>13</v>
      </c>
      <c r="F1258" s="12" t="s">
        <v>14</v>
      </c>
      <c r="G1258" s="14">
        <v>45327</v>
      </c>
      <c r="H1258" s="12" t="s">
        <v>18</v>
      </c>
      <c r="I1258" s="12" t="s">
        <v>20</v>
      </c>
      <c r="J1258" s="12" t="s">
        <v>61</v>
      </c>
      <c r="K1258" s="12">
        <v>232.048</v>
      </c>
      <c r="L1258" s="12">
        <v>197.41499999999999</v>
      </c>
      <c r="O1258" s="13">
        <f t="shared" si="40"/>
        <v>0.85075070675032749</v>
      </c>
    </row>
    <row r="1259" spans="1:15" x14ac:dyDescent="0.25">
      <c r="A1259" s="12">
        <f t="shared" si="39"/>
        <v>2</v>
      </c>
      <c r="B1259" s="12">
        <v>2024</v>
      </c>
      <c r="C1259" s="12">
        <v>7538</v>
      </c>
      <c r="E1259" s="12" t="s">
        <v>13</v>
      </c>
      <c r="F1259" s="12" t="s">
        <v>14</v>
      </c>
      <c r="G1259" s="14">
        <v>45328</v>
      </c>
      <c r="H1259" s="12" t="s">
        <v>18</v>
      </c>
      <c r="I1259" s="12" t="s">
        <v>19</v>
      </c>
      <c r="J1259" s="12" t="s">
        <v>57</v>
      </c>
      <c r="K1259" s="12">
        <v>235.00800000000001</v>
      </c>
      <c r="L1259" s="12">
        <v>205.97300000000001</v>
      </c>
      <c r="O1259" s="13">
        <f t="shared" si="40"/>
        <v>0.87645101443355122</v>
      </c>
    </row>
    <row r="1260" spans="1:15" x14ac:dyDescent="0.25">
      <c r="A1260" s="12">
        <f t="shared" si="39"/>
        <v>2</v>
      </c>
      <c r="B1260" s="12">
        <v>2024</v>
      </c>
      <c r="C1260" s="12">
        <v>7539</v>
      </c>
      <c r="E1260" s="12" t="s">
        <v>13</v>
      </c>
      <c r="F1260" s="12" t="s">
        <v>14</v>
      </c>
      <c r="G1260" s="14">
        <v>45329</v>
      </c>
      <c r="H1260" s="12" t="s">
        <v>18</v>
      </c>
      <c r="I1260" s="12" t="s">
        <v>19</v>
      </c>
      <c r="J1260" s="12" t="s">
        <v>57</v>
      </c>
      <c r="K1260" s="12">
        <v>235</v>
      </c>
      <c r="L1260" s="12">
        <v>205.06399999999999</v>
      </c>
      <c r="O1260" s="13">
        <f t="shared" si="40"/>
        <v>0.87261276595744675</v>
      </c>
    </row>
    <row r="1261" spans="1:15" x14ac:dyDescent="0.25">
      <c r="A1261" s="12">
        <f t="shared" si="39"/>
        <v>2</v>
      </c>
      <c r="B1261" s="12">
        <v>2024</v>
      </c>
      <c r="C1261" s="12">
        <v>7540</v>
      </c>
      <c r="E1261" s="12" t="s">
        <v>13</v>
      </c>
      <c r="F1261" s="12" t="s">
        <v>14</v>
      </c>
      <c r="G1261" s="14">
        <v>45330</v>
      </c>
      <c r="H1261" s="12" t="s">
        <v>18</v>
      </c>
      <c r="I1261" s="12" t="s">
        <v>19</v>
      </c>
      <c r="J1261" s="12" t="s">
        <v>57</v>
      </c>
      <c r="K1261" s="12">
        <v>235.03299999999999</v>
      </c>
      <c r="L1261" s="12">
        <v>208.881</v>
      </c>
      <c r="O1261" s="13">
        <f t="shared" si="40"/>
        <v>0.8887305186931197</v>
      </c>
    </row>
    <row r="1262" spans="1:15" x14ac:dyDescent="0.25">
      <c r="A1262" s="12">
        <f t="shared" si="39"/>
        <v>2</v>
      </c>
      <c r="B1262" s="12">
        <v>2024</v>
      </c>
      <c r="C1262" s="12">
        <v>7541</v>
      </c>
      <c r="E1262" s="12" t="s">
        <v>13</v>
      </c>
      <c r="F1262" s="12" t="s">
        <v>14</v>
      </c>
      <c r="G1262" s="14">
        <v>45331</v>
      </c>
      <c r="H1262" s="12" t="s">
        <v>18</v>
      </c>
      <c r="I1262" s="12" t="s">
        <v>19</v>
      </c>
      <c r="J1262" s="12" t="s">
        <v>57</v>
      </c>
      <c r="K1262" s="12">
        <v>235.00700000000001</v>
      </c>
      <c r="L1262" s="12">
        <v>205.92500000000001</v>
      </c>
      <c r="O1262" s="13">
        <f t="shared" si="40"/>
        <v>0.87625049466611638</v>
      </c>
    </row>
    <row r="1263" spans="1:15" x14ac:dyDescent="0.25">
      <c r="A1263" s="12">
        <f t="shared" si="39"/>
        <v>2</v>
      </c>
      <c r="B1263" s="12">
        <v>2024</v>
      </c>
      <c r="C1263" s="12">
        <v>7542</v>
      </c>
      <c r="E1263" s="12" t="s">
        <v>13</v>
      </c>
      <c r="F1263" s="12" t="s">
        <v>14</v>
      </c>
      <c r="G1263" s="14">
        <v>45332</v>
      </c>
      <c r="H1263" s="12" t="s">
        <v>18</v>
      </c>
      <c r="I1263" s="12" t="s">
        <v>19</v>
      </c>
      <c r="J1263" s="12" t="s">
        <v>57</v>
      </c>
      <c r="K1263" s="12">
        <v>235.02799999999999</v>
      </c>
      <c r="L1263" s="12">
        <v>208.57599999999999</v>
      </c>
      <c r="O1263" s="13">
        <f t="shared" si="40"/>
        <v>0.88745170788161409</v>
      </c>
    </row>
    <row r="1264" spans="1:15" x14ac:dyDescent="0.25">
      <c r="A1264" s="12">
        <f t="shared" si="39"/>
        <v>2</v>
      </c>
      <c r="B1264" s="12">
        <v>2024</v>
      </c>
      <c r="C1264" s="12">
        <v>7543</v>
      </c>
      <c r="E1264" s="12" t="s">
        <v>13</v>
      </c>
      <c r="F1264" s="12" t="s">
        <v>14</v>
      </c>
      <c r="G1264" s="14">
        <v>45333</v>
      </c>
      <c r="H1264" s="12" t="s">
        <v>18</v>
      </c>
      <c r="I1264" s="12" t="s">
        <v>19</v>
      </c>
      <c r="J1264" s="12" t="s">
        <v>67</v>
      </c>
      <c r="K1264" s="12">
        <v>235.01</v>
      </c>
      <c r="L1264" s="12">
        <v>198.49100000000001</v>
      </c>
      <c r="O1264" s="13">
        <f t="shared" si="40"/>
        <v>0.84460661248457525</v>
      </c>
    </row>
    <row r="1265" spans="1:15" x14ac:dyDescent="0.25">
      <c r="A1265" s="12">
        <f t="shared" si="39"/>
        <v>2</v>
      </c>
      <c r="B1265" s="12">
        <v>2024</v>
      </c>
      <c r="C1265" s="12">
        <v>7544</v>
      </c>
      <c r="E1265" s="12" t="s">
        <v>13</v>
      </c>
      <c r="F1265" s="12" t="s">
        <v>14</v>
      </c>
      <c r="G1265" s="14">
        <v>45334</v>
      </c>
      <c r="H1265" s="12" t="s">
        <v>18</v>
      </c>
      <c r="I1265" s="12" t="s">
        <v>19</v>
      </c>
      <c r="J1265" s="12" t="s">
        <v>67</v>
      </c>
      <c r="K1265" s="12">
        <v>235.00299999999999</v>
      </c>
      <c r="L1265" s="12">
        <v>200.94200000000001</v>
      </c>
      <c r="O1265" s="13">
        <f t="shared" si="40"/>
        <v>0.85506142474776925</v>
      </c>
    </row>
    <row r="1266" spans="1:15" x14ac:dyDescent="0.25">
      <c r="A1266" s="12">
        <f t="shared" si="39"/>
        <v>2</v>
      </c>
      <c r="B1266" s="12">
        <v>2024</v>
      </c>
      <c r="C1266" s="12">
        <v>7545</v>
      </c>
      <c r="E1266" s="12" t="s">
        <v>13</v>
      </c>
      <c r="F1266" s="12" t="s">
        <v>14</v>
      </c>
      <c r="G1266" s="14">
        <v>45335</v>
      </c>
      <c r="H1266" s="12" t="s">
        <v>64</v>
      </c>
      <c r="I1266" s="12" t="s">
        <v>20</v>
      </c>
      <c r="J1266" s="12" t="s">
        <v>62</v>
      </c>
      <c r="K1266" s="12">
        <v>232.06800000000001</v>
      </c>
      <c r="L1266" s="12">
        <v>203.255</v>
      </c>
      <c r="O1266" s="13">
        <f t="shared" si="40"/>
        <v>0.87584242549597524</v>
      </c>
    </row>
    <row r="1267" spans="1:15" x14ac:dyDescent="0.25">
      <c r="A1267" s="12">
        <f t="shared" si="39"/>
        <v>2</v>
      </c>
      <c r="B1267" s="12">
        <v>2024</v>
      </c>
      <c r="C1267" s="12">
        <v>7546</v>
      </c>
      <c r="E1267" s="12" t="s">
        <v>13</v>
      </c>
      <c r="F1267" s="12" t="s">
        <v>14</v>
      </c>
      <c r="G1267" s="14">
        <v>45336</v>
      </c>
      <c r="H1267" s="12" t="s">
        <v>64</v>
      </c>
      <c r="I1267" s="12" t="s">
        <v>20</v>
      </c>
      <c r="J1267" s="12" t="s">
        <v>62</v>
      </c>
      <c r="K1267" s="12">
        <v>232.00299999999999</v>
      </c>
      <c r="L1267" s="12">
        <v>204.774</v>
      </c>
      <c r="O1267" s="13">
        <f t="shared" si="40"/>
        <v>0.88263513833872842</v>
      </c>
    </row>
    <row r="1268" spans="1:15" x14ac:dyDescent="0.25">
      <c r="A1268" s="12">
        <f t="shared" si="39"/>
        <v>2</v>
      </c>
      <c r="B1268" s="12">
        <v>2024</v>
      </c>
      <c r="C1268" s="12">
        <v>7547</v>
      </c>
      <c r="E1268" s="12" t="s">
        <v>13</v>
      </c>
      <c r="F1268" s="12" t="s">
        <v>14</v>
      </c>
      <c r="G1268" s="14">
        <v>45337</v>
      </c>
      <c r="H1268" s="12" t="s">
        <v>64</v>
      </c>
      <c r="I1268" s="12" t="s">
        <v>20</v>
      </c>
      <c r="J1268" s="12" t="s">
        <v>62</v>
      </c>
      <c r="K1268" s="12">
        <v>232.066</v>
      </c>
      <c r="L1268" s="12">
        <v>202.91800000000001</v>
      </c>
      <c r="O1268" s="13">
        <f t="shared" si="40"/>
        <v>0.87439780062568406</v>
      </c>
    </row>
    <row r="1269" spans="1:15" x14ac:dyDescent="0.25">
      <c r="A1269" s="12">
        <f t="shared" si="39"/>
        <v>2</v>
      </c>
      <c r="B1269" s="12">
        <v>2024</v>
      </c>
      <c r="C1269" s="12">
        <v>7548</v>
      </c>
      <c r="E1269" s="12" t="s">
        <v>13</v>
      </c>
      <c r="F1269" s="12" t="s">
        <v>14</v>
      </c>
      <c r="G1269" s="14">
        <v>45338</v>
      </c>
      <c r="H1269" s="12" t="s">
        <v>64</v>
      </c>
      <c r="I1269" s="12" t="s">
        <v>20</v>
      </c>
      <c r="J1269" s="12" t="s">
        <v>62</v>
      </c>
      <c r="K1269" s="12">
        <v>232.02099999999999</v>
      </c>
      <c r="L1269" s="12">
        <v>205.41499999999999</v>
      </c>
      <c r="O1269" s="13">
        <f t="shared" si="40"/>
        <v>0.88532934518858208</v>
      </c>
    </row>
    <row r="1270" spans="1:15" x14ac:dyDescent="0.25">
      <c r="A1270" s="12">
        <f t="shared" si="39"/>
        <v>2</v>
      </c>
      <c r="B1270" s="12">
        <v>2024</v>
      </c>
      <c r="C1270" s="12">
        <v>7549</v>
      </c>
      <c r="E1270" s="12" t="s">
        <v>13</v>
      </c>
      <c r="F1270" s="12" t="s">
        <v>14</v>
      </c>
      <c r="G1270" s="14">
        <v>45339</v>
      </c>
      <c r="H1270" s="12" t="s">
        <v>64</v>
      </c>
      <c r="I1270" s="12" t="s">
        <v>20</v>
      </c>
      <c r="J1270" s="12" t="s">
        <v>62</v>
      </c>
      <c r="K1270" s="12">
        <v>232.00200000000001</v>
      </c>
      <c r="L1270" s="12">
        <v>197.648</v>
      </c>
      <c r="O1270" s="13">
        <f t="shared" si="40"/>
        <v>0.85192369031301451</v>
      </c>
    </row>
    <row r="1271" spans="1:15" x14ac:dyDescent="0.25">
      <c r="A1271" s="12">
        <f t="shared" si="39"/>
        <v>2</v>
      </c>
      <c r="B1271" s="12">
        <v>2024</v>
      </c>
      <c r="C1271" s="12">
        <v>7550</v>
      </c>
      <c r="E1271" s="12" t="s">
        <v>13</v>
      </c>
      <c r="F1271" s="12" t="s">
        <v>14</v>
      </c>
      <c r="G1271" s="14">
        <v>45340</v>
      </c>
      <c r="H1271" s="12" t="s">
        <v>37</v>
      </c>
      <c r="I1271" s="12" t="s">
        <v>19</v>
      </c>
      <c r="J1271" s="12" t="s">
        <v>57</v>
      </c>
      <c r="K1271" s="12">
        <v>235.06100000000001</v>
      </c>
      <c r="L1271" s="12">
        <v>203.87299999999999</v>
      </c>
      <c r="O1271" s="13">
        <f t="shared" si="40"/>
        <v>0.86731954684103274</v>
      </c>
    </row>
    <row r="1272" spans="1:15" x14ac:dyDescent="0.25">
      <c r="A1272" s="12">
        <f t="shared" si="39"/>
        <v>2</v>
      </c>
      <c r="B1272" s="12">
        <v>2024</v>
      </c>
      <c r="C1272" s="12">
        <v>7551</v>
      </c>
      <c r="E1272" s="12" t="s">
        <v>13</v>
      </c>
      <c r="F1272" s="12" t="s">
        <v>14</v>
      </c>
      <c r="G1272" s="14">
        <v>45341</v>
      </c>
      <c r="H1272" s="12" t="s">
        <v>37</v>
      </c>
      <c r="I1272" s="12" t="s">
        <v>19</v>
      </c>
      <c r="J1272" s="12" t="s">
        <v>57</v>
      </c>
      <c r="K1272" s="12">
        <v>235.07</v>
      </c>
      <c r="L1272" s="12">
        <v>203.25800000000001</v>
      </c>
      <c r="O1272" s="13">
        <f t="shared" si="40"/>
        <v>0.86467009826860086</v>
      </c>
    </row>
    <row r="1273" spans="1:15" x14ac:dyDescent="0.25">
      <c r="A1273" s="12">
        <f t="shared" si="39"/>
        <v>2</v>
      </c>
      <c r="B1273" s="12">
        <v>2024</v>
      </c>
      <c r="C1273" s="12">
        <v>7552</v>
      </c>
      <c r="E1273" s="12" t="s">
        <v>13</v>
      </c>
      <c r="F1273" s="12" t="s">
        <v>14</v>
      </c>
      <c r="G1273" s="14">
        <v>45342</v>
      </c>
      <c r="H1273" s="12" t="s">
        <v>37</v>
      </c>
      <c r="I1273" s="12" t="s">
        <v>19</v>
      </c>
      <c r="J1273" s="12" t="s">
        <v>57</v>
      </c>
      <c r="K1273" s="12">
        <v>234.988</v>
      </c>
      <c r="L1273" s="12">
        <v>205.09800000000001</v>
      </c>
      <c r="O1273" s="13">
        <f t="shared" si="40"/>
        <v>0.87280201542206415</v>
      </c>
    </row>
    <row r="1274" spans="1:15" x14ac:dyDescent="0.25">
      <c r="A1274" s="12">
        <f t="shared" si="39"/>
        <v>2</v>
      </c>
      <c r="B1274" s="12">
        <v>2024</v>
      </c>
      <c r="C1274" s="12">
        <v>7553</v>
      </c>
      <c r="E1274" s="12" t="s">
        <v>13</v>
      </c>
      <c r="F1274" s="12" t="s">
        <v>14</v>
      </c>
      <c r="G1274" s="14">
        <v>45343</v>
      </c>
      <c r="H1274" s="12" t="s">
        <v>37</v>
      </c>
      <c r="I1274" s="12" t="s">
        <v>19</v>
      </c>
      <c r="J1274" s="12" t="s">
        <v>57</v>
      </c>
      <c r="K1274" s="12">
        <v>235.005</v>
      </c>
      <c r="L1274" s="12">
        <v>202.53200000000001</v>
      </c>
      <c r="O1274" s="13">
        <f t="shared" si="40"/>
        <v>0.86181996127741967</v>
      </c>
    </row>
    <row r="1275" spans="1:15" x14ac:dyDescent="0.25">
      <c r="A1275" s="12">
        <f t="shared" si="39"/>
        <v>2</v>
      </c>
      <c r="B1275" s="12">
        <v>2024</v>
      </c>
      <c r="C1275" s="12">
        <v>7554</v>
      </c>
      <c r="E1275" s="12" t="s">
        <v>13</v>
      </c>
      <c r="F1275" s="12" t="s">
        <v>14</v>
      </c>
      <c r="G1275" s="14">
        <v>45344</v>
      </c>
      <c r="H1275" s="12" t="s">
        <v>37</v>
      </c>
      <c r="I1275" s="12" t="s">
        <v>19</v>
      </c>
      <c r="J1275" s="12" t="s">
        <v>57</v>
      </c>
      <c r="K1275" s="12">
        <v>235.00700000000001</v>
      </c>
      <c r="L1275" s="12">
        <v>202.73500000000001</v>
      </c>
      <c r="O1275" s="13">
        <f t="shared" si="40"/>
        <v>0.86267643091482382</v>
      </c>
    </row>
    <row r="1276" spans="1:15" x14ac:dyDescent="0.25">
      <c r="A1276" s="12">
        <f t="shared" si="39"/>
        <v>2</v>
      </c>
      <c r="B1276" s="12">
        <v>2024</v>
      </c>
      <c r="C1276" s="12">
        <v>7555</v>
      </c>
      <c r="E1276" s="12" t="s">
        <v>13</v>
      </c>
      <c r="F1276" s="12" t="s">
        <v>14</v>
      </c>
      <c r="G1276" s="14">
        <v>45345</v>
      </c>
      <c r="H1276" s="12" t="s">
        <v>64</v>
      </c>
      <c r="I1276" s="12" t="s">
        <v>20</v>
      </c>
      <c r="J1276" s="12" t="s">
        <v>62</v>
      </c>
      <c r="K1276" s="12">
        <v>231.97900000000001</v>
      </c>
      <c r="L1276" s="12">
        <v>199.68199999999999</v>
      </c>
      <c r="O1276" s="13">
        <f t="shared" si="40"/>
        <v>0.86077619094831848</v>
      </c>
    </row>
    <row r="1277" spans="1:15" x14ac:dyDescent="0.25">
      <c r="A1277" s="12">
        <f t="shared" si="39"/>
        <v>2</v>
      </c>
      <c r="B1277" s="12">
        <v>2024</v>
      </c>
      <c r="C1277" s="12">
        <v>7556</v>
      </c>
      <c r="E1277" s="12" t="s">
        <v>13</v>
      </c>
      <c r="F1277" s="12" t="s">
        <v>14</v>
      </c>
      <c r="G1277" s="14">
        <v>45346</v>
      </c>
      <c r="H1277" s="12" t="s">
        <v>64</v>
      </c>
      <c r="I1277" s="12" t="s">
        <v>20</v>
      </c>
      <c r="J1277" s="12" t="s">
        <v>62</v>
      </c>
      <c r="K1277" s="12">
        <v>232.02</v>
      </c>
      <c r="L1277" s="12">
        <v>201.232</v>
      </c>
      <c r="O1277" s="13">
        <f t="shared" si="40"/>
        <v>0.8673045427118351</v>
      </c>
    </row>
    <row r="1278" spans="1:15" x14ac:dyDescent="0.25">
      <c r="A1278" s="12">
        <f t="shared" si="39"/>
        <v>2</v>
      </c>
      <c r="B1278" s="12">
        <v>2024</v>
      </c>
      <c r="C1278" s="12">
        <v>7557</v>
      </c>
      <c r="E1278" s="12" t="s">
        <v>13</v>
      </c>
      <c r="F1278" s="12" t="s">
        <v>14</v>
      </c>
      <c r="G1278" s="14">
        <v>45346</v>
      </c>
      <c r="H1278" s="12" t="s">
        <v>64</v>
      </c>
      <c r="I1278" s="12" t="s">
        <v>20</v>
      </c>
      <c r="J1278" s="12" t="s">
        <v>61</v>
      </c>
      <c r="K1278" s="12">
        <v>235.01599999999999</v>
      </c>
      <c r="L1278" s="12">
        <v>202.57400000000001</v>
      </c>
      <c r="O1278" s="13">
        <f t="shared" si="40"/>
        <v>0.8619583347516766</v>
      </c>
    </row>
    <row r="1279" spans="1:15" x14ac:dyDescent="0.25">
      <c r="A1279" s="12">
        <f t="shared" si="39"/>
        <v>2</v>
      </c>
      <c r="B1279" s="12">
        <v>2024</v>
      </c>
      <c r="C1279" s="12">
        <v>7558</v>
      </c>
      <c r="E1279" s="12" t="s">
        <v>13</v>
      </c>
      <c r="F1279" s="12" t="s">
        <v>14</v>
      </c>
      <c r="G1279" s="14">
        <v>45347</v>
      </c>
      <c r="H1279" s="12" t="s">
        <v>64</v>
      </c>
      <c r="I1279" s="12" t="s">
        <v>20</v>
      </c>
      <c r="J1279" s="12" t="s">
        <v>61</v>
      </c>
      <c r="K1279" s="12">
        <v>232.053</v>
      </c>
      <c r="L1279" s="12">
        <v>203.93899999999999</v>
      </c>
      <c r="O1279" s="13">
        <f t="shared" si="40"/>
        <v>0.87884664279281022</v>
      </c>
    </row>
    <row r="1280" spans="1:15" x14ac:dyDescent="0.25">
      <c r="A1280" s="12">
        <f t="shared" si="39"/>
        <v>2</v>
      </c>
      <c r="B1280" s="12">
        <v>2024</v>
      </c>
      <c r="C1280" s="12">
        <v>7559</v>
      </c>
      <c r="E1280" s="12" t="s">
        <v>13</v>
      </c>
      <c r="F1280" s="12" t="s">
        <v>14</v>
      </c>
      <c r="G1280" s="14">
        <v>45348</v>
      </c>
      <c r="H1280" s="12" t="s">
        <v>64</v>
      </c>
      <c r="I1280" s="12" t="s">
        <v>20</v>
      </c>
      <c r="J1280" s="12" t="s">
        <v>61</v>
      </c>
      <c r="K1280" s="12">
        <v>232.01900000000001</v>
      </c>
      <c r="L1280" s="12">
        <v>195.09800000000001</v>
      </c>
      <c r="O1280" s="13">
        <f t="shared" si="40"/>
        <v>0.84087079075420557</v>
      </c>
    </row>
    <row r="1281" spans="1:15" x14ac:dyDescent="0.25">
      <c r="A1281" s="12">
        <f t="shared" si="39"/>
        <v>2</v>
      </c>
      <c r="B1281" s="12">
        <v>2024</v>
      </c>
      <c r="C1281" s="12">
        <v>7560</v>
      </c>
      <c r="E1281" s="12" t="s">
        <v>13</v>
      </c>
      <c r="F1281" s="12" t="s">
        <v>14</v>
      </c>
      <c r="G1281" s="14">
        <v>45349</v>
      </c>
      <c r="H1281" s="12" t="s">
        <v>64</v>
      </c>
      <c r="I1281" s="12" t="s">
        <v>20</v>
      </c>
      <c r="J1281" s="12" t="s">
        <v>61</v>
      </c>
      <c r="K1281" s="12">
        <v>232.035</v>
      </c>
      <c r="L1281" s="12">
        <v>201.88900000000001</v>
      </c>
      <c r="O1281" s="13">
        <f t="shared" si="40"/>
        <v>0.87007994483590845</v>
      </c>
    </row>
    <row r="1282" spans="1:15" x14ac:dyDescent="0.25">
      <c r="A1282" s="12">
        <f t="shared" ref="A1282:A1345" si="41">MONTH(G1282)</f>
        <v>2</v>
      </c>
      <c r="B1282" s="12">
        <v>2024</v>
      </c>
      <c r="C1282" s="12">
        <v>7561</v>
      </c>
      <c r="E1282" s="12" t="s">
        <v>13</v>
      </c>
      <c r="F1282" s="12" t="s">
        <v>14</v>
      </c>
      <c r="G1282" s="14">
        <v>45350</v>
      </c>
      <c r="H1282" s="12" t="s">
        <v>64</v>
      </c>
      <c r="I1282" s="12" t="s">
        <v>20</v>
      </c>
      <c r="J1282" s="12" t="s">
        <v>61</v>
      </c>
      <c r="K1282" s="12">
        <v>232.005</v>
      </c>
      <c r="L1282" s="12">
        <v>203.53700000000001</v>
      </c>
      <c r="O1282" s="13">
        <f t="shared" si="40"/>
        <v>0.87729574793646692</v>
      </c>
    </row>
    <row r="1283" spans="1:15" x14ac:dyDescent="0.25">
      <c r="A1283" s="12">
        <f t="shared" si="41"/>
        <v>2</v>
      </c>
      <c r="B1283" s="12">
        <v>2024</v>
      </c>
      <c r="C1283" s="12">
        <v>7562</v>
      </c>
      <c r="E1283" s="12" t="s">
        <v>13</v>
      </c>
      <c r="F1283" s="12" t="s">
        <v>14</v>
      </c>
      <c r="G1283" s="14">
        <v>45351</v>
      </c>
      <c r="H1283" s="12" t="s">
        <v>17</v>
      </c>
      <c r="I1283" s="12" t="s">
        <v>20</v>
      </c>
      <c r="J1283" s="12" t="s">
        <v>61</v>
      </c>
      <c r="K1283" s="12">
        <v>231.99600000000001</v>
      </c>
      <c r="L1283" s="12">
        <v>200.63200000000001</v>
      </c>
      <c r="O1283" s="13">
        <f t="shared" si="40"/>
        <v>0.86480801393127471</v>
      </c>
    </row>
    <row r="1284" spans="1:15" x14ac:dyDescent="0.25">
      <c r="A1284" s="12">
        <f t="shared" si="41"/>
        <v>3</v>
      </c>
      <c r="B1284" s="12">
        <v>2024</v>
      </c>
      <c r="C1284" s="12">
        <v>7563</v>
      </c>
      <c r="E1284" s="12" t="s">
        <v>13</v>
      </c>
      <c r="F1284" s="12" t="s">
        <v>14</v>
      </c>
      <c r="G1284" s="14">
        <v>45352</v>
      </c>
      <c r="H1284" s="12" t="s">
        <v>17</v>
      </c>
      <c r="I1284" s="12" t="s">
        <v>20</v>
      </c>
      <c r="J1284" s="12" t="s">
        <v>61</v>
      </c>
      <c r="K1284" s="12">
        <v>232.011</v>
      </c>
      <c r="L1284" s="12">
        <v>199.92099999999999</v>
      </c>
      <c r="O1284" s="13">
        <f t="shared" si="40"/>
        <v>0.86168759239863624</v>
      </c>
    </row>
    <row r="1285" spans="1:15" x14ac:dyDescent="0.25">
      <c r="A1285" s="12">
        <f t="shared" si="41"/>
        <v>3</v>
      </c>
      <c r="B1285" s="12">
        <v>2024</v>
      </c>
      <c r="C1285" s="12">
        <v>7564</v>
      </c>
      <c r="E1285" s="12" t="s">
        <v>13</v>
      </c>
      <c r="F1285" s="12" t="s">
        <v>14</v>
      </c>
      <c r="G1285" s="14">
        <v>45353</v>
      </c>
      <c r="H1285" s="12" t="s">
        <v>17</v>
      </c>
      <c r="I1285" s="12" t="s">
        <v>20</v>
      </c>
      <c r="J1285" s="12" t="s">
        <v>61</v>
      </c>
      <c r="K1285" s="12">
        <v>232.011</v>
      </c>
      <c r="L1285" s="12">
        <v>203.19399999999999</v>
      </c>
      <c r="O1285" s="13">
        <f t="shared" si="40"/>
        <v>0.87579468214869116</v>
      </c>
    </row>
    <row r="1286" spans="1:15" x14ac:dyDescent="0.25">
      <c r="A1286" s="12">
        <f t="shared" si="41"/>
        <v>3</v>
      </c>
      <c r="B1286" s="12">
        <v>2024</v>
      </c>
      <c r="C1286" s="12">
        <v>7565</v>
      </c>
      <c r="E1286" s="12" t="s">
        <v>13</v>
      </c>
      <c r="F1286" s="12" t="s">
        <v>14</v>
      </c>
      <c r="G1286" s="14">
        <v>45354</v>
      </c>
      <c r="H1286" s="12" t="s">
        <v>17</v>
      </c>
      <c r="I1286" s="12" t="s">
        <v>20</v>
      </c>
      <c r="J1286" s="12" t="s">
        <v>61</v>
      </c>
      <c r="K1286" s="12">
        <v>232.012</v>
      </c>
      <c r="L1286" s="12">
        <v>202.398</v>
      </c>
      <c r="O1286" s="13">
        <f t="shared" si="40"/>
        <v>0.87236005034222364</v>
      </c>
    </row>
    <row r="1287" spans="1:15" x14ac:dyDescent="0.25">
      <c r="A1287" s="12">
        <f t="shared" si="41"/>
        <v>3</v>
      </c>
      <c r="B1287" s="12">
        <v>2024</v>
      </c>
      <c r="C1287" s="12">
        <v>7566</v>
      </c>
      <c r="E1287" s="12" t="s">
        <v>13</v>
      </c>
      <c r="F1287" s="12" t="s">
        <v>14</v>
      </c>
      <c r="G1287" s="14">
        <v>45355</v>
      </c>
      <c r="H1287" s="12" t="s">
        <v>17</v>
      </c>
      <c r="I1287" s="12" t="s">
        <v>20</v>
      </c>
      <c r="J1287" s="12" t="s">
        <v>61</v>
      </c>
      <c r="K1287" s="12">
        <v>232.02</v>
      </c>
      <c r="L1287" s="12">
        <v>202.935</v>
      </c>
      <c r="O1287" s="13">
        <f t="shared" si="40"/>
        <v>0.87464442720455127</v>
      </c>
    </row>
    <row r="1288" spans="1:15" x14ac:dyDescent="0.25">
      <c r="A1288" s="12">
        <f t="shared" si="41"/>
        <v>3</v>
      </c>
      <c r="B1288" s="12">
        <v>2024</v>
      </c>
      <c r="C1288" s="12">
        <v>7567</v>
      </c>
      <c r="E1288" s="12" t="s">
        <v>13</v>
      </c>
      <c r="F1288" s="12" t="s">
        <v>14</v>
      </c>
      <c r="G1288" s="14">
        <v>45356</v>
      </c>
      <c r="H1288" s="12" t="s">
        <v>18</v>
      </c>
      <c r="I1288" s="12" t="s">
        <v>19</v>
      </c>
      <c r="J1288" s="12" t="s">
        <v>57</v>
      </c>
      <c r="K1288" s="12">
        <v>235.01</v>
      </c>
      <c r="L1288" s="12">
        <v>200.018</v>
      </c>
      <c r="O1288" s="13">
        <f t="shared" si="40"/>
        <v>0.85110420833156042</v>
      </c>
    </row>
    <row r="1289" spans="1:15" x14ac:dyDescent="0.25">
      <c r="A1289" s="12">
        <f t="shared" si="41"/>
        <v>3</v>
      </c>
      <c r="B1289" s="12">
        <v>2024</v>
      </c>
      <c r="C1289" s="12">
        <v>7568</v>
      </c>
      <c r="E1289" s="12" t="s">
        <v>13</v>
      </c>
      <c r="F1289" s="12" t="s">
        <v>14</v>
      </c>
      <c r="G1289" s="14">
        <v>45357</v>
      </c>
      <c r="H1289" s="12" t="s">
        <v>18</v>
      </c>
      <c r="I1289" s="12" t="s">
        <v>19</v>
      </c>
      <c r="J1289" s="12" t="s">
        <v>57</v>
      </c>
      <c r="K1289" s="12">
        <v>234.95400000000001</v>
      </c>
      <c r="L1289" s="12">
        <v>200.91800000000001</v>
      </c>
      <c r="O1289" s="13">
        <f t="shared" ref="O1289:O1352" si="42">L1289/K1289</f>
        <v>0.8551376014028278</v>
      </c>
    </row>
    <row r="1290" spans="1:15" x14ac:dyDescent="0.25">
      <c r="A1290" s="12">
        <f t="shared" si="41"/>
        <v>3</v>
      </c>
      <c r="B1290" s="12">
        <v>2024</v>
      </c>
      <c r="C1290" s="12">
        <v>7569</v>
      </c>
      <c r="E1290" s="12" t="s">
        <v>13</v>
      </c>
      <c r="F1290" s="12" t="s">
        <v>14</v>
      </c>
      <c r="G1290" s="14">
        <v>45358</v>
      </c>
      <c r="H1290" s="12" t="s">
        <v>18</v>
      </c>
      <c r="I1290" s="12" t="s">
        <v>19</v>
      </c>
      <c r="J1290" s="12" t="s">
        <v>57</v>
      </c>
      <c r="K1290" s="12">
        <v>235.012</v>
      </c>
      <c r="L1290" s="12">
        <v>200.42</v>
      </c>
      <c r="O1290" s="13">
        <f t="shared" si="42"/>
        <v>0.85280751621193807</v>
      </c>
    </row>
    <row r="1291" spans="1:15" x14ac:dyDescent="0.25">
      <c r="A1291" s="12">
        <f t="shared" si="41"/>
        <v>3</v>
      </c>
      <c r="B1291" s="12">
        <v>2024</v>
      </c>
      <c r="C1291" s="12">
        <v>7570</v>
      </c>
      <c r="E1291" s="12" t="s">
        <v>13</v>
      </c>
      <c r="F1291" s="12" t="s">
        <v>14</v>
      </c>
      <c r="G1291" s="14">
        <v>45359</v>
      </c>
      <c r="H1291" s="12" t="s">
        <v>18</v>
      </c>
      <c r="I1291" s="12" t="s">
        <v>19</v>
      </c>
      <c r="J1291" s="12" t="s">
        <v>57</v>
      </c>
      <c r="K1291" s="12">
        <v>234.946</v>
      </c>
      <c r="L1291" s="12">
        <v>203.499</v>
      </c>
      <c r="O1291" s="13">
        <f t="shared" si="42"/>
        <v>0.86615222221276378</v>
      </c>
    </row>
    <row r="1292" spans="1:15" x14ac:dyDescent="0.25">
      <c r="A1292" s="12">
        <f t="shared" si="41"/>
        <v>3</v>
      </c>
      <c r="B1292" s="12">
        <v>2024</v>
      </c>
      <c r="C1292" s="12">
        <v>7571</v>
      </c>
      <c r="E1292" s="12" t="s">
        <v>13</v>
      </c>
      <c r="F1292" s="12" t="s">
        <v>14</v>
      </c>
      <c r="G1292" s="14">
        <v>45360</v>
      </c>
      <c r="H1292" s="12" t="s">
        <v>18</v>
      </c>
      <c r="I1292" s="12" t="s">
        <v>19</v>
      </c>
      <c r="J1292" s="12" t="s">
        <v>57</v>
      </c>
      <c r="K1292" s="12">
        <v>235.012</v>
      </c>
      <c r="L1292" s="12">
        <v>200.36199999999999</v>
      </c>
      <c r="O1292" s="13">
        <f t="shared" si="42"/>
        <v>0.85256072030364405</v>
      </c>
    </row>
    <row r="1293" spans="1:15" x14ac:dyDescent="0.25">
      <c r="A1293" s="12">
        <f t="shared" si="41"/>
        <v>3</v>
      </c>
      <c r="B1293" s="12">
        <v>2024</v>
      </c>
      <c r="C1293" s="12">
        <v>7572</v>
      </c>
      <c r="E1293" s="12" t="s">
        <v>13</v>
      </c>
      <c r="F1293" s="12" t="s">
        <v>14</v>
      </c>
      <c r="G1293" s="14">
        <v>45360</v>
      </c>
      <c r="H1293" s="12" t="s">
        <v>18</v>
      </c>
      <c r="I1293" s="12" t="s">
        <v>19</v>
      </c>
      <c r="J1293" s="12" t="s">
        <v>67</v>
      </c>
      <c r="K1293" s="12">
        <v>235.00700000000001</v>
      </c>
      <c r="L1293" s="12">
        <v>205.459</v>
      </c>
      <c r="O1293" s="13">
        <f t="shared" si="42"/>
        <v>0.87426757500840402</v>
      </c>
    </row>
    <row r="1294" spans="1:15" x14ac:dyDescent="0.25">
      <c r="A1294" s="12">
        <f t="shared" si="41"/>
        <v>3</v>
      </c>
      <c r="B1294" s="12">
        <v>2024</v>
      </c>
      <c r="C1294" s="12">
        <v>7573</v>
      </c>
      <c r="E1294" s="12" t="s">
        <v>13</v>
      </c>
      <c r="F1294" s="12" t="s">
        <v>14</v>
      </c>
      <c r="G1294" s="14">
        <v>45361</v>
      </c>
      <c r="H1294" s="12" t="s">
        <v>18</v>
      </c>
      <c r="I1294" s="12" t="s">
        <v>19</v>
      </c>
      <c r="J1294" s="12" t="s">
        <v>67</v>
      </c>
      <c r="K1294" s="12">
        <v>235.00200000000001</v>
      </c>
      <c r="L1294" s="12">
        <v>203.602</v>
      </c>
      <c r="O1294" s="13">
        <f t="shared" si="42"/>
        <v>0.86638411587986486</v>
      </c>
    </row>
    <row r="1295" spans="1:15" x14ac:dyDescent="0.25">
      <c r="A1295" s="12">
        <f t="shared" si="41"/>
        <v>3</v>
      </c>
      <c r="B1295" s="12">
        <v>2024</v>
      </c>
      <c r="C1295" s="12">
        <v>7574</v>
      </c>
      <c r="E1295" s="12" t="s">
        <v>13</v>
      </c>
      <c r="F1295" s="12" t="s">
        <v>14</v>
      </c>
      <c r="G1295" s="14">
        <v>45362</v>
      </c>
      <c r="H1295" s="12" t="s">
        <v>51</v>
      </c>
      <c r="I1295" s="12" t="s">
        <v>19</v>
      </c>
      <c r="J1295" s="12" t="s">
        <v>57</v>
      </c>
      <c r="K1295" s="12">
        <v>235.01</v>
      </c>
      <c r="L1295" s="12">
        <v>203.02199999999999</v>
      </c>
      <c r="O1295" s="13">
        <f t="shared" si="42"/>
        <v>0.86388664312156926</v>
      </c>
    </row>
    <row r="1296" spans="1:15" x14ac:dyDescent="0.25">
      <c r="A1296" s="12">
        <f t="shared" si="41"/>
        <v>3</v>
      </c>
      <c r="B1296" s="12">
        <v>2024</v>
      </c>
      <c r="C1296" s="12">
        <v>7575</v>
      </c>
      <c r="E1296" s="12" t="s">
        <v>13</v>
      </c>
      <c r="F1296" s="12" t="s">
        <v>14</v>
      </c>
      <c r="G1296" s="14">
        <v>45363</v>
      </c>
      <c r="H1296" s="12" t="s">
        <v>51</v>
      </c>
      <c r="I1296" s="12" t="s">
        <v>19</v>
      </c>
      <c r="J1296" s="12" t="s">
        <v>57</v>
      </c>
      <c r="K1296" s="12">
        <v>235.005</v>
      </c>
      <c r="L1296" s="12">
        <v>205.69499999999999</v>
      </c>
      <c r="O1296" s="13">
        <f t="shared" si="42"/>
        <v>0.87527924937767276</v>
      </c>
    </row>
    <row r="1297" spans="1:15" x14ac:dyDescent="0.25">
      <c r="A1297" s="12">
        <f t="shared" si="41"/>
        <v>3</v>
      </c>
      <c r="B1297" s="12">
        <v>2024</v>
      </c>
      <c r="C1297" s="12">
        <v>7576</v>
      </c>
      <c r="E1297" s="12" t="s">
        <v>13</v>
      </c>
      <c r="F1297" s="12" t="s">
        <v>14</v>
      </c>
      <c r="G1297" s="14">
        <v>45364</v>
      </c>
      <c r="H1297" s="12" t="s">
        <v>51</v>
      </c>
      <c r="I1297" s="12" t="s">
        <v>19</v>
      </c>
      <c r="J1297" s="12" t="s">
        <v>57</v>
      </c>
      <c r="K1297" s="12">
        <v>234.989</v>
      </c>
      <c r="L1297" s="12">
        <v>207.94399999999999</v>
      </c>
      <c r="O1297" s="13">
        <f t="shared" si="42"/>
        <v>0.88490950640242727</v>
      </c>
    </row>
    <row r="1298" spans="1:15" x14ac:dyDescent="0.25">
      <c r="A1298" s="12">
        <f t="shared" si="41"/>
        <v>3</v>
      </c>
      <c r="B1298" s="12">
        <v>2024</v>
      </c>
      <c r="C1298" s="12">
        <v>7577</v>
      </c>
      <c r="E1298" s="12" t="s">
        <v>13</v>
      </c>
      <c r="F1298" s="12" t="s">
        <v>14</v>
      </c>
      <c r="G1298" s="14">
        <v>45365</v>
      </c>
      <c r="H1298" s="12" t="s">
        <v>51</v>
      </c>
      <c r="I1298" s="12" t="s">
        <v>19</v>
      </c>
      <c r="J1298" s="12" t="s">
        <v>57</v>
      </c>
      <c r="K1298" s="12">
        <v>235.011</v>
      </c>
      <c r="L1298" s="12">
        <v>201.88399999999999</v>
      </c>
      <c r="O1298" s="13">
        <f t="shared" si="42"/>
        <v>0.85904064065086316</v>
      </c>
    </row>
    <row r="1299" spans="1:15" x14ac:dyDescent="0.25">
      <c r="A1299" s="12">
        <f t="shared" si="41"/>
        <v>3</v>
      </c>
      <c r="B1299" s="12">
        <v>2024</v>
      </c>
      <c r="C1299" s="12">
        <v>7578</v>
      </c>
      <c r="E1299" s="12" t="s">
        <v>13</v>
      </c>
      <c r="F1299" s="12" t="s">
        <v>14</v>
      </c>
      <c r="G1299" s="14">
        <v>45366</v>
      </c>
      <c r="H1299" s="12" t="s">
        <v>51</v>
      </c>
      <c r="I1299" s="12" t="s">
        <v>19</v>
      </c>
      <c r="J1299" s="12" t="s">
        <v>57</v>
      </c>
      <c r="K1299" s="12">
        <v>235.041</v>
      </c>
      <c r="L1299" s="12">
        <v>206.65100000000001</v>
      </c>
      <c r="O1299" s="13">
        <f t="shared" si="42"/>
        <v>0.87921256291455541</v>
      </c>
    </row>
    <row r="1300" spans="1:15" x14ac:dyDescent="0.25">
      <c r="A1300" s="12">
        <f t="shared" si="41"/>
        <v>3</v>
      </c>
      <c r="B1300" s="12">
        <v>2024</v>
      </c>
      <c r="C1300" s="12">
        <v>7579</v>
      </c>
      <c r="E1300" s="12" t="s">
        <v>13</v>
      </c>
      <c r="F1300" s="12" t="s">
        <v>14</v>
      </c>
      <c r="G1300" s="14">
        <v>45367</v>
      </c>
      <c r="H1300" s="12" t="s">
        <v>18</v>
      </c>
      <c r="I1300" s="12" t="s">
        <v>20</v>
      </c>
      <c r="J1300" s="12" t="s">
        <v>62</v>
      </c>
      <c r="K1300" s="12">
        <v>231.98599999999999</v>
      </c>
      <c r="L1300" s="12">
        <v>196.45599999999999</v>
      </c>
      <c r="O1300" s="13">
        <f t="shared" si="42"/>
        <v>0.84684420611588629</v>
      </c>
    </row>
    <row r="1301" spans="1:15" x14ac:dyDescent="0.25">
      <c r="A1301" s="12">
        <f t="shared" si="41"/>
        <v>3</v>
      </c>
      <c r="B1301" s="12">
        <v>2024</v>
      </c>
      <c r="C1301" s="12">
        <v>7580</v>
      </c>
      <c r="E1301" s="12" t="s">
        <v>13</v>
      </c>
      <c r="F1301" s="12" t="s">
        <v>14</v>
      </c>
      <c r="G1301" s="14">
        <v>45368</v>
      </c>
      <c r="H1301" s="12" t="s">
        <v>18</v>
      </c>
      <c r="I1301" s="12" t="s">
        <v>20</v>
      </c>
      <c r="J1301" s="12" t="s">
        <v>62</v>
      </c>
      <c r="K1301" s="12">
        <v>231.99700000000001</v>
      </c>
      <c r="L1301" s="12">
        <v>200.30500000000001</v>
      </c>
      <c r="O1301" s="13">
        <f t="shared" si="42"/>
        <v>0.86339478527739577</v>
      </c>
    </row>
    <row r="1302" spans="1:15" x14ac:dyDescent="0.25">
      <c r="A1302" s="12">
        <f t="shared" si="41"/>
        <v>3</v>
      </c>
      <c r="B1302" s="12">
        <v>2024</v>
      </c>
      <c r="C1302" s="12">
        <v>7581</v>
      </c>
      <c r="E1302" s="12" t="s">
        <v>13</v>
      </c>
      <c r="F1302" s="12" t="s">
        <v>14</v>
      </c>
      <c r="G1302" s="14">
        <v>45369</v>
      </c>
      <c r="H1302" s="12" t="s">
        <v>18</v>
      </c>
      <c r="I1302" s="12" t="s">
        <v>20</v>
      </c>
      <c r="J1302" s="12" t="s">
        <v>63</v>
      </c>
      <c r="K1302" s="12">
        <v>232.006</v>
      </c>
      <c r="L1302" s="12">
        <v>198.87799999999999</v>
      </c>
      <c r="O1302" s="13">
        <f t="shared" si="42"/>
        <v>0.85721058938130901</v>
      </c>
    </row>
    <row r="1303" spans="1:15" x14ac:dyDescent="0.25">
      <c r="A1303" s="12">
        <f t="shared" si="41"/>
        <v>3</v>
      </c>
      <c r="B1303" s="12">
        <v>2024</v>
      </c>
      <c r="C1303" s="12">
        <v>7582</v>
      </c>
      <c r="E1303" s="12" t="s">
        <v>13</v>
      </c>
      <c r="F1303" s="12" t="s">
        <v>14</v>
      </c>
      <c r="G1303" s="14">
        <v>45370</v>
      </c>
      <c r="H1303" s="12" t="s">
        <v>18</v>
      </c>
      <c r="I1303" s="12" t="s">
        <v>20</v>
      </c>
      <c r="J1303" s="12" t="s">
        <v>63</v>
      </c>
      <c r="K1303" s="12">
        <v>232.13</v>
      </c>
      <c r="L1303" s="12">
        <v>201.02</v>
      </c>
      <c r="O1303" s="13">
        <f t="shared" si="42"/>
        <v>0.86598026967647446</v>
      </c>
    </row>
    <row r="1304" spans="1:15" x14ac:dyDescent="0.25">
      <c r="A1304" s="12">
        <f t="shared" si="41"/>
        <v>3</v>
      </c>
      <c r="B1304" s="12">
        <v>2024</v>
      </c>
      <c r="C1304" s="12">
        <v>7583</v>
      </c>
      <c r="E1304" s="12" t="s">
        <v>13</v>
      </c>
      <c r="F1304" s="12" t="s">
        <v>14</v>
      </c>
      <c r="G1304" s="14">
        <v>45371</v>
      </c>
      <c r="H1304" s="12" t="s">
        <v>18</v>
      </c>
      <c r="I1304" s="12" t="s">
        <v>19</v>
      </c>
      <c r="J1304" s="12" t="s">
        <v>57</v>
      </c>
      <c r="K1304" s="12">
        <v>235.01599999999999</v>
      </c>
      <c r="L1304" s="12">
        <v>200.82400000000001</v>
      </c>
      <c r="O1304" s="13">
        <f t="shared" si="42"/>
        <v>0.85451203322326996</v>
      </c>
    </row>
    <row r="1305" spans="1:15" x14ac:dyDescent="0.25">
      <c r="A1305" s="12">
        <f t="shared" si="41"/>
        <v>3</v>
      </c>
      <c r="B1305" s="12">
        <v>2024</v>
      </c>
      <c r="C1305" s="12">
        <v>7584</v>
      </c>
      <c r="E1305" s="12" t="s">
        <v>13</v>
      </c>
      <c r="F1305" s="12" t="s">
        <v>14</v>
      </c>
      <c r="G1305" s="14">
        <v>45372</v>
      </c>
      <c r="H1305" s="12" t="s">
        <v>18</v>
      </c>
      <c r="I1305" s="12" t="s">
        <v>19</v>
      </c>
      <c r="J1305" s="12" t="s">
        <v>57</v>
      </c>
      <c r="K1305" s="12">
        <v>235.006</v>
      </c>
      <c r="L1305" s="12">
        <v>203.53700000000001</v>
      </c>
      <c r="O1305" s="13">
        <f t="shared" si="42"/>
        <v>0.86609278060985684</v>
      </c>
    </row>
    <row r="1306" spans="1:15" x14ac:dyDescent="0.25">
      <c r="A1306" s="12">
        <f t="shared" si="41"/>
        <v>3</v>
      </c>
      <c r="B1306" s="12">
        <v>2024</v>
      </c>
      <c r="C1306" s="12">
        <v>7585</v>
      </c>
      <c r="E1306" s="12" t="s">
        <v>13</v>
      </c>
      <c r="F1306" s="12" t="s">
        <v>14</v>
      </c>
      <c r="G1306" s="14">
        <v>45373</v>
      </c>
      <c r="H1306" s="12" t="s">
        <v>18</v>
      </c>
      <c r="I1306" s="12" t="s">
        <v>19</v>
      </c>
      <c r="J1306" s="12" t="s">
        <v>57</v>
      </c>
      <c r="K1306" s="12">
        <v>234.92699999999999</v>
      </c>
      <c r="L1306" s="12">
        <v>198.69800000000001</v>
      </c>
      <c r="O1306" s="13">
        <f t="shared" si="42"/>
        <v>0.84578613782153611</v>
      </c>
    </row>
    <row r="1307" spans="1:15" x14ac:dyDescent="0.25">
      <c r="A1307" s="12">
        <f t="shared" si="41"/>
        <v>3</v>
      </c>
      <c r="B1307" s="12">
        <v>2024</v>
      </c>
      <c r="C1307" s="12">
        <v>7586</v>
      </c>
      <c r="E1307" s="12" t="s">
        <v>13</v>
      </c>
      <c r="F1307" s="12" t="s">
        <v>14</v>
      </c>
      <c r="G1307" s="14">
        <v>45374</v>
      </c>
      <c r="H1307" s="12" t="s">
        <v>18</v>
      </c>
      <c r="I1307" s="12" t="s">
        <v>19</v>
      </c>
      <c r="J1307" s="12" t="s">
        <v>57</v>
      </c>
      <c r="K1307" s="12">
        <v>235.005</v>
      </c>
      <c r="L1307" s="12">
        <v>202.01300000000001</v>
      </c>
      <c r="O1307" s="13">
        <f t="shared" si="42"/>
        <v>0.85961149762771005</v>
      </c>
    </row>
    <row r="1308" spans="1:15" x14ac:dyDescent="0.25">
      <c r="A1308" s="12">
        <f t="shared" si="41"/>
        <v>3</v>
      </c>
      <c r="B1308" s="12">
        <v>2024</v>
      </c>
      <c r="C1308" s="12">
        <v>7587</v>
      </c>
      <c r="E1308" s="12" t="s">
        <v>13</v>
      </c>
      <c r="F1308" s="12" t="s">
        <v>14</v>
      </c>
      <c r="G1308" s="14">
        <v>45374</v>
      </c>
      <c r="H1308" s="12" t="s">
        <v>18</v>
      </c>
      <c r="I1308" s="12" t="s">
        <v>19</v>
      </c>
      <c r="J1308" s="12" t="s">
        <v>57</v>
      </c>
      <c r="K1308" s="12">
        <v>234.93899999999999</v>
      </c>
      <c r="L1308" s="12">
        <v>201.184</v>
      </c>
      <c r="O1308" s="13">
        <f t="shared" si="42"/>
        <v>0.85632440761218875</v>
      </c>
    </row>
    <row r="1309" spans="1:15" x14ac:dyDescent="0.25">
      <c r="A1309" s="12">
        <f t="shared" si="41"/>
        <v>3</v>
      </c>
      <c r="B1309" s="12">
        <v>2024</v>
      </c>
      <c r="C1309" s="12">
        <v>7588</v>
      </c>
      <c r="E1309" s="12" t="s">
        <v>13</v>
      </c>
      <c r="F1309" s="12" t="s">
        <v>14</v>
      </c>
      <c r="G1309" s="14">
        <v>45375</v>
      </c>
      <c r="H1309" s="12" t="s">
        <v>18</v>
      </c>
      <c r="I1309" s="12" t="s">
        <v>19</v>
      </c>
      <c r="J1309" s="12" t="s">
        <v>67</v>
      </c>
      <c r="K1309" s="12">
        <v>235.00800000000001</v>
      </c>
      <c r="L1309" s="12">
        <v>201.601</v>
      </c>
      <c r="O1309" s="13">
        <f t="shared" si="42"/>
        <v>0.85784739242919383</v>
      </c>
    </row>
    <row r="1310" spans="1:15" x14ac:dyDescent="0.25">
      <c r="A1310" s="12">
        <f t="shared" si="41"/>
        <v>3</v>
      </c>
      <c r="B1310" s="12">
        <v>2024</v>
      </c>
      <c r="C1310" s="12">
        <v>7589</v>
      </c>
      <c r="E1310" s="12" t="s">
        <v>13</v>
      </c>
      <c r="F1310" s="12" t="s">
        <v>14</v>
      </c>
      <c r="G1310" s="14">
        <v>45376</v>
      </c>
      <c r="H1310" s="12" t="s">
        <v>18</v>
      </c>
      <c r="I1310" s="12" t="s">
        <v>19</v>
      </c>
      <c r="J1310" s="12" t="s">
        <v>67</v>
      </c>
      <c r="K1310" s="12">
        <v>235.00899999999999</v>
      </c>
      <c r="L1310" s="12">
        <v>200.11</v>
      </c>
      <c r="O1310" s="13">
        <f t="shared" si="42"/>
        <v>0.85149930428196374</v>
      </c>
    </row>
    <row r="1311" spans="1:15" x14ac:dyDescent="0.25">
      <c r="A1311" s="12">
        <f t="shared" si="41"/>
        <v>3</v>
      </c>
      <c r="B1311" s="12">
        <v>2024</v>
      </c>
      <c r="C1311" s="12">
        <v>7590</v>
      </c>
      <c r="E1311" s="12" t="s">
        <v>13</v>
      </c>
      <c r="F1311" s="12" t="s">
        <v>14</v>
      </c>
      <c r="G1311" s="14">
        <v>45377</v>
      </c>
      <c r="H1311" s="12" t="s">
        <v>18</v>
      </c>
      <c r="I1311" s="12" t="s">
        <v>20</v>
      </c>
      <c r="J1311" s="12" t="s">
        <v>61</v>
      </c>
      <c r="K1311" s="12">
        <v>232.00800000000001</v>
      </c>
      <c r="L1311" s="12">
        <v>201.876</v>
      </c>
      <c r="O1311" s="13">
        <f t="shared" si="42"/>
        <v>0.87012516809765184</v>
      </c>
    </row>
    <row r="1312" spans="1:15" x14ac:dyDescent="0.25">
      <c r="A1312" s="12">
        <f t="shared" si="41"/>
        <v>3</v>
      </c>
      <c r="B1312" s="12">
        <v>2024</v>
      </c>
      <c r="C1312" s="12">
        <v>7591</v>
      </c>
      <c r="E1312" s="12" t="s">
        <v>13</v>
      </c>
      <c r="F1312" s="12" t="s">
        <v>14</v>
      </c>
      <c r="G1312" s="14">
        <v>45378</v>
      </c>
      <c r="H1312" s="12" t="s">
        <v>18</v>
      </c>
      <c r="I1312" s="12" t="s">
        <v>20</v>
      </c>
      <c r="J1312" s="12" t="s">
        <v>61</v>
      </c>
      <c r="K1312" s="12">
        <v>232.011</v>
      </c>
      <c r="L1312" s="12">
        <v>199.02500000000001</v>
      </c>
      <c r="O1312" s="13">
        <f t="shared" si="42"/>
        <v>0.85782570653977619</v>
      </c>
    </row>
    <row r="1313" spans="1:15" x14ac:dyDescent="0.25">
      <c r="A1313" s="12">
        <f t="shared" si="41"/>
        <v>3</v>
      </c>
      <c r="B1313" s="12">
        <v>2024</v>
      </c>
      <c r="C1313" s="12">
        <v>7592</v>
      </c>
      <c r="E1313" s="12" t="s">
        <v>13</v>
      </c>
      <c r="F1313" s="12" t="s">
        <v>14</v>
      </c>
      <c r="G1313" s="14">
        <v>45379</v>
      </c>
      <c r="H1313" s="12" t="s">
        <v>18</v>
      </c>
      <c r="I1313" s="12" t="s">
        <v>20</v>
      </c>
      <c r="J1313" s="12" t="s">
        <v>61</v>
      </c>
      <c r="K1313" s="12">
        <v>231.929</v>
      </c>
      <c r="L1313" s="12">
        <v>199.203</v>
      </c>
      <c r="O1313" s="13">
        <f t="shared" si="42"/>
        <v>0.85889647262739888</v>
      </c>
    </row>
    <row r="1314" spans="1:15" x14ac:dyDescent="0.25">
      <c r="A1314" s="12">
        <f t="shared" si="41"/>
        <v>3</v>
      </c>
      <c r="B1314" s="12">
        <v>2024</v>
      </c>
      <c r="C1314" s="12">
        <v>7593</v>
      </c>
      <c r="E1314" s="12" t="s">
        <v>13</v>
      </c>
      <c r="F1314" s="12" t="s">
        <v>14</v>
      </c>
      <c r="G1314" s="14">
        <v>45380</v>
      </c>
      <c r="H1314" s="12" t="s">
        <v>18</v>
      </c>
      <c r="I1314" s="12" t="s">
        <v>20</v>
      </c>
      <c r="J1314" s="12" t="s">
        <v>61</v>
      </c>
      <c r="K1314" s="12">
        <v>231.905</v>
      </c>
      <c r="L1314" s="12">
        <v>200.85</v>
      </c>
      <c r="O1314" s="13">
        <f t="shared" si="42"/>
        <v>0.86608740648110216</v>
      </c>
    </row>
    <row r="1315" spans="1:15" x14ac:dyDescent="0.25">
      <c r="A1315" s="12">
        <f t="shared" si="41"/>
        <v>3</v>
      </c>
      <c r="B1315" s="12">
        <v>2024</v>
      </c>
      <c r="C1315" s="12">
        <v>7594</v>
      </c>
      <c r="E1315" s="12" t="s">
        <v>13</v>
      </c>
      <c r="F1315" s="12" t="s">
        <v>14</v>
      </c>
      <c r="G1315" s="14">
        <v>45381</v>
      </c>
      <c r="H1315" s="12" t="s">
        <v>17</v>
      </c>
      <c r="I1315" s="12" t="s">
        <v>19</v>
      </c>
      <c r="J1315" s="12" t="s">
        <v>72</v>
      </c>
      <c r="K1315" s="12">
        <v>231.97200000000001</v>
      </c>
      <c r="L1315" s="12">
        <v>202.40700000000001</v>
      </c>
      <c r="O1315" s="13">
        <f t="shared" si="42"/>
        <v>0.87254927318814346</v>
      </c>
    </row>
    <row r="1316" spans="1:15" x14ac:dyDescent="0.25">
      <c r="A1316" s="12">
        <f t="shared" si="41"/>
        <v>3</v>
      </c>
      <c r="B1316" s="12">
        <v>2024</v>
      </c>
      <c r="C1316" s="12">
        <v>7595</v>
      </c>
      <c r="E1316" s="12" t="s">
        <v>13</v>
      </c>
      <c r="F1316" s="12" t="s">
        <v>14</v>
      </c>
      <c r="G1316" s="14">
        <v>45382</v>
      </c>
      <c r="H1316" s="12" t="s">
        <v>17</v>
      </c>
      <c r="I1316" s="12" t="s">
        <v>19</v>
      </c>
      <c r="J1316" s="12" t="s">
        <v>72</v>
      </c>
      <c r="K1316" s="12">
        <v>232.00700000000001</v>
      </c>
      <c r="L1316" s="12">
        <v>199.52600000000001</v>
      </c>
      <c r="O1316" s="13">
        <f t="shared" si="42"/>
        <v>0.85999991379570451</v>
      </c>
    </row>
    <row r="1317" spans="1:15" x14ac:dyDescent="0.25">
      <c r="A1317" s="12">
        <f t="shared" si="41"/>
        <v>4</v>
      </c>
      <c r="B1317" s="12">
        <v>2024</v>
      </c>
      <c r="C1317" s="12">
        <v>7596</v>
      </c>
      <c r="E1317" s="12" t="s">
        <v>13</v>
      </c>
      <c r="F1317" s="12" t="s">
        <v>14</v>
      </c>
      <c r="G1317" s="14">
        <v>45383</v>
      </c>
      <c r="H1317" s="12" t="s">
        <v>17</v>
      </c>
      <c r="I1317" s="12" t="s">
        <v>19</v>
      </c>
      <c r="J1317" s="12" t="s">
        <v>59</v>
      </c>
      <c r="K1317" s="12">
        <v>229.63800000000001</v>
      </c>
      <c r="L1317" s="12">
        <v>202.43799999999999</v>
      </c>
      <c r="O1317" s="13">
        <f t="shared" si="42"/>
        <v>0.88155270469173208</v>
      </c>
    </row>
    <row r="1318" spans="1:15" x14ac:dyDescent="0.25">
      <c r="A1318" s="12">
        <f t="shared" si="41"/>
        <v>4</v>
      </c>
      <c r="B1318" s="12">
        <v>2024</v>
      </c>
      <c r="C1318" s="12">
        <v>7597</v>
      </c>
      <c r="E1318" s="12" t="s">
        <v>13</v>
      </c>
      <c r="F1318" s="12" t="s">
        <v>14</v>
      </c>
      <c r="G1318" s="14">
        <v>45384</v>
      </c>
      <c r="H1318" s="12" t="s">
        <v>37</v>
      </c>
      <c r="I1318" s="12" t="s">
        <v>19</v>
      </c>
      <c r="J1318" s="12" t="s">
        <v>57</v>
      </c>
      <c r="K1318" s="12">
        <v>231.95500000000001</v>
      </c>
      <c r="L1318" s="12">
        <v>197.392</v>
      </c>
      <c r="O1318" s="13">
        <f t="shared" si="42"/>
        <v>0.85099264943631303</v>
      </c>
    </row>
    <row r="1319" spans="1:15" x14ac:dyDescent="0.25">
      <c r="A1319" s="12">
        <f t="shared" si="41"/>
        <v>4</v>
      </c>
      <c r="B1319" s="12">
        <v>2024</v>
      </c>
      <c r="C1319" s="12">
        <v>7598</v>
      </c>
      <c r="E1319" s="12" t="s">
        <v>13</v>
      </c>
      <c r="F1319" s="12" t="s">
        <v>14</v>
      </c>
      <c r="G1319" s="14">
        <v>45385</v>
      </c>
      <c r="H1319" s="12" t="s">
        <v>37</v>
      </c>
      <c r="I1319" s="12" t="s">
        <v>19</v>
      </c>
      <c r="J1319" s="12" t="s">
        <v>57</v>
      </c>
      <c r="K1319" s="12">
        <v>232.01400000000001</v>
      </c>
      <c r="L1319" s="12">
        <v>198.48099999999999</v>
      </c>
      <c r="O1319" s="13">
        <f t="shared" si="42"/>
        <v>0.855469928538795</v>
      </c>
    </row>
    <row r="1320" spans="1:15" x14ac:dyDescent="0.25">
      <c r="A1320" s="12">
        <f t="shared" si="41"/>
        <v>4</v>
      </c>
      <c r="B1320" s="12">
        <v>2024</v>
      </c>
      <c r="C1320" s="12">
        <v>7599</v>
      </c>
      <c r="E1320" s="12" t="s">
        <v>13</v>
      </c>
      <c r="F1320" s="12" t="s">
        <v>14</v>
      </c>
      <c r="G1320" s="14">
        <v>45386</v>
      </c>
      <c r="H1320" s="12" t="s">
        <v>37</v>
      </c>
      <c r="I1320" s="12" t="s">
        <v>19</v>
      </c>
      <c r="J1320" s="12" t="s">
        <v>57</v>
      </c>
      <c r="K1320" s="12">
        <v>231.941</v>
      </c>
      <c r="L1320" s="12">
        <v>196.59399999999999</v>
      </c>
      <c r="O1320" s="13">
        <f t="shared" si="42"/>
        <v>0.847603485369124</v>
      </c>
    </row>
    <row r="1321" spans="1:15" x14ac:dyDescent="0.25">
      <c r="A1321" s="12">
        <f t="shared" si="41"/>
        <v>4</v>
      </c>
      <c r="B1321" s="12">
        <v>2024</v>
      </c>
      <c r="C1321" s="12">
        <v>7600</v>
      </c>
      <c r="E1321" s="12" t="s">
        <v>13</v>
      </c>
      <c r="F1321" s="12" t="s">
        <v>14</v>
      </c>
      <c r="G1321" s="14">
        <v>45387</v>
      </c>
      <c r="H1321" s="12" t="s">
        <v>37</v>
      </c>
      <c r="I1321" s="12" t="s">
        <v>19</v>
      </c>
      <c r="J1321" s="12" t="s">
        <v>57</v>
      </c>
      <c r="K1321" s="12">
        <v>231.90600000000001</v>
      </c>
      <c r="L1321" s="12">
        <v>200.459</v>
      </c>
      <c r="O1321" s="13">
        <f t="shared" si="42"/>
        <v>0.86439764387294848</v>
      </c>
    </row>
    <row r="1322" spans="1:15" x14ac:dyDescent="0.25">
      <c r="A1322" s="12">
        <f t="shared" si="41"/>
        <v>4</v>
      </c>
      <c r="B1322" s="12">
        <v>2024</v>
      </c>
      <c r="C1322" s="12">
        <v>7601</v>
      </c>
      <c r="E1322" s="12" t="s">
        <v>13</v>
      </c>
      <c r="F1322" s="12" t="s">
        <v>14</v>
      </c>
      <c r="G1322" s="14">
        <v>45388</v>
      </c>
      <c r="H1322" s="12" t="s">
        <v>37</v>
      </c>
      <c r="I1322" s="12" t="s">
        <v>19</v>
      </c>
      <c r="J1322" s="12" t="s">
        <v>57</v>
      </c>
      <c r="K1322" s="12">
        <v>232.01</v>
      </c>
      <c r="L1322" s="12">
        <v>199.304</v>
      </c>
      <c r="O1322" s="13">
        <f t="shared" si="42"/>
        <v>0.85903193827852253</v>
      </c>
    </row>
    <row r="1323" spans="1:15" x14ac:dyDescent="0.25">
      <c r="A1323" s="12">
        <f t="shared" si="41"/>
        <v>4</v>
      </c>
      <c r="B1323" s="12">
        <v>2024</v>
      </c>
      <c r="C1323" s="12">
        <v>7602</v>
      </c>
      <c r="E1323" s="12" t="s">
        <v>13</v>
      </c>
      <c r="F1323" s="12" t="s">
        <v>14</v>
      </c>
      <c r="G1323" s="14">
        <v>45389</v>
      </c>
      <c r="H1323" s="12" t="s">
        <v>17</v>
      </c>
      <c r="I1323" s="12" t="s">
        <v>19</v>
      </c>
      <c r="J1323" s="12" t="s">
        <v>57</v>
      </c>
      <c r="K1323" s="12">
        <v>231.976</v>
      </c>
      <c r="L1323" s="12">
        <v>199.68899999999999</v>
      </c>
      <c r="O1323" s="13">
        <f t="shared" si="42"/>
        <v>0.86081749836189947</v>
      </c>
    </row>
    <row r="1324" spans="1:15" x14ac:dyDescent="0.25">
      <c r="A1324" s="12">
        <f t="shared" si="41"/>
        <v>4</v>
      </c>
      <c r="B1324" s="12">
        <v>2024</v>
      </c>
      <c r="C1324" s="12">
        <v>7603</v>
      </c>
      <c r="E1324" s="12" t="s">
        <v>13</v>
      </c>
      <c r="F1324" s="12" t="s">
        <v>14</v>
      </c>
      <c r="G1324" s="14">
        <v>45389</v>
      </c>
      <c r="H1324" s="12" t="s">
        <v>17</v>
      </c>
      <c r="I1324" s="12" t="s">
        <v>19</v>
      </c>
      <c r="J1324" s="12" t="s">
        <v>57</v>
      </c>
      <c r="K1324" s="12">
        <v>231.83</v>
      </c>
      <c r="L1324" s="12">
        <v>198.18700000000001</v>
      </c>
      <c r="O1324" s="13">
        <f t="shared" si="42"/>
        <v>0.85488073157054734</v>
      </c>
    </row>
    <row r="1325" spans="1:15" x14ac:dyDescent="0.25">
      <c r="A1325" s="12">
        <f t="shared" si="41"/>
        <v>4</v>
      </c>
      <c r="B1325" s="12">
        <v>2024</v>
      </c>
      <c r="C1325" s="12">
        <v>7604</v>
      </c>
      <c r="E1325" s="12" t="s">
        <v>13</v>
      </c>
      <c r="F1325" s="12" t="s">
        <v>14</v>
      </c>
      <c r="G1325" s="14">
        <v>45390</v>
      </c>
      <c r="H1325" s="12" t="s">
        <v>17</v>
      </c>
      <c r="I1325" s="12" t="s">
        <v>19</v>
      </c>
      <c r="J1325" s="12" t="s">
        <v>57</v>
      </c>
      <c r="K1325" s="12">
        <v>232.02</v>
      </c>
      <c r="L1325" s="12">
        <v>197.00899999999999</v>
      </c>
      <c r="O1325" s="13">
        <f t="shared" si="42"/>
        <v>0.84910352555814139</v>
      </c>
    </row>
    <row r="1326" spans="1:15" x14ac:dyDescent="0.25">
      <c r="A1326" s="12">
        <f t="shared" si="41"/>
        <v>4</v>
      </c>
      <c r="B1326" s="12">
        <v>2024</v>
      </c>
      <c r="C1326" s="12">
        <v>7605</v>
      </c>
      <c r="E1326" s="12" t="s">
        <v>13</v>
      </c>
      <c r="F1326" s="12" t="s">
        <v>14</v>
      </c>
      <c r="G1326" s="14">
        <v>45391</v>
      </c>
      <c r="H1326" s="12" t="s">
        <v>17</v>
      </c>
      <c r="I1326" s="12" t="s">
        <v>19</v>
      </c>
      <c r="J1326" s="12" t="s">
        <v>57</v>
      </c>
      <c r="K1326" s="12">
        <v>231.99600000000001</v>
      </c>
      <c r="L1326" s="12">
        <v>197.21799999999999</v>
      </c>
      <c r="O1326" s="13">
        <f t="shared" si="42"/>
        <v>0.85009224296970631</v>
      </c>
    </row>
    <row r="1327" spans="1:15" x14ac:dyDescent="0.25">
      <c r="A1327" s="12">
        <f t="shared" si="41"/>
        <v>4</v>
      </c>
      <c r="B1327" s="12">
        <v>2024</v>
      </c>
      <c r="C1327" s="12">
        <v>7606</v>
      </c>
      <c r="E1327" s="12" t="s">
        <v>13</v>
      </c>
      <c r="F1327" s="12" t="s">
        <v>14</v>
      </c>
      <c r="G1327" s="14">
        <v>45392</v>
      </c>
      <c r="H1327" s="12" t="s">
        <v>17</v>
      </c>
      <c r="I1327" s="12" t="s">
        <v>19</v>
      </c>
      <c r="J1327" s="12" t="s">
        <v>57</v>
      </c>
      <c r="K1327" s="12">
        <v>232.00899999999999</v>
      </c>
      <c r="L1327" s="12">
        <v>198.55600000000001</v>
      </c>
      <c r="O1327" s="13">
        <f t="shared" si="42"/>
        <v>0.85581162799718991</v>
      </c>
    </row>
    <row r="1328" spans="1:15" x14ac:dyDescent="0.25">
      <c r="A1328" s="12">
        <f t="shared" si="41"/>
        <v>4</v>
      </c>
      <c r="B1328" s="12">
        <v>2024</v>
      </c>
      <c r="C1328" s="12">
        <v>7607</v>
      </c>
      <c r="E1328" s="12" t="s">
        <v>13</v>
      </c>
      <c r="F1328" s="12" t="s">
        <v>14</v>
      </c>
      <c r="G1328" s="14">
        <v>45393</v>
      </c>
      <c r="H1328" s="12" t="s">
        <v>64</v>
      </c>
      <c r="I1328" s="12" t="s">
        <v>20</v>
      </c>
      <c r="J1328" s="12" t="s">
        <v>61</v>
      </c>
      <c r="K1328" s="12">
        <v>230.00399999999999</v>
      </c>
      <c r="L1328" s="12">
        <v>200.958</v>
      </c>
      <c r="O1328" s="13">
        <f t="shared" si="42"/>
        <v>0.87371523973496112</v>
      </c>
    </row>
    <row r="1329" spans="1:15" x14ac:dyDescent="0.25">
      <c r="A1329" s="12">
        <f t="shared" si="41"/>
        <v>4</v>
      </c>
      <c r="B1329" s="12">
        <v>2024</v>
      </c>
      <c r="C1329" s="12">
        <v>7608</v>
      </c>
      <c r="E1329" s="12" t="s">
        <v>13</v>
      </c>
      <c r="F1329" s="12" t="s">
        <v>14</v>
      </c>
      <c r="G1329" s="14">
        <v>45394</v>
      </c>
      <c r="H1329" s="12" t="s">
        <v>64</v>
      </c>
      <c r="I1329" s="12" t="s">
        <v>20</v>
      </c>
      <c r="J1329" s="12" t="s">
        <v>61</v>
      </c>
      <c r="K1329" s="12">
        <v>230.02099999999999</v>
      </c>
      <c r="L1329" s="12">
        <v>199.042</v>
      </c>
      <c r="O1329" s="13">
        <f t="shared" si="42"/>
        <v>0.86532099243112592</v>
      </c>
    </row>
    <row r="1330" spans="1:15" x14ac:dyDescent="0.25">
      <c r="A1330" s="12">
        <f t="shared" si="41"/>
        <v>4</v>
      </c>
      <c r="B1330" s="12">
        <v>2024</v>
      </c>
      <c r="C1330" s="12">
        <v>7609</v>
      </c>
      <c r="E1330" s="12" t="s">
        <v>13</v>
      </c>
      <c r="F1330" s="12" t="s">
        <v>14</v>
      </c>
      <c r="G1330" s="14">
        <v>45395</v>
      </c>
      <c r="H1330" s="12" t="s">
        <v>64</v>
      </c>
      <c r="I1330" s="12" t="s">
        <v>20</v>
      </c>
      <c r="J1330" s="12" t="s">
        <v>61</v>
      </c>
      <c r="K1330" s="12">
        <v>230.02699999999999</v>
      </c>
      <c r="L1330" s="12">
        <v>196.999</v>
      </c>
      <c r="O1330" s="13">
        <f t="shared" si="42"/>
        <v>0.85641685541262547</v>
      </c>
    </row>
    <row r="1331" spans="1:15" x14ac:dyDescent="0.25">
      <c r="A1331" s="12">
        <f t="shared" si="41"/>
        <v>4</v>
      </c>
      <c r="B1331" s="12">
        <v>2024</v>
      </c>
      <c r="C1331" s="12">
        <v>7610</v>
      </c>
      <c r="E1331" s="12" t="s">
        <v>13</v>
      </c>
      <c r="F1331" s="12" t="s">
        <v>14</v>
      </c>
      <c r="G1331" s="14">
        <v>45396</v>
      </c>
      <c r="H1331" s="12" t="s">
        <v>64</v>
      </c>
      <c r="I1331" s="12" t="s">
        <v>20</v>
      </c>
      <c r="J1331" s="12" t="s">
        <v>61</v>
      </c>
      <c r="K1331" s="12">
        <v>230.01300000000001</v>
      </c>
      <c r="L1331" s="12">
        <v>195.81299999999999</v>
      </c>
      <c r="O1331" s="13">
        <f t="shared" si="42"/>
        <v>0.85131275188793665</v>
      </c>
    </row>
    <row r="1332" spans="1:15" x14ac:dyDescent="0.25">
      <c r="A1332" s="12">
        <f t="shared" si="41"/>
        <v>4</v>
      </c>
      <c r="B1332" s="12">
        <v>2024</v>
      </c>
      <c r="C1332" s="12">
        <v>7611</v>
      </c>
      <c r="E1332" s="12" t="s">
        <v>13</v>
      </c>
      <c r="F1332" s="12" t="s">
        <v>14</v>
      </c>
      <c r="G1332" s="14">
        <v>45397</v>
      </c>
      <c r="H1332" s="12" t="s">
        <v>64</v>
      </c>
      <c r="I1332" s="12" t="s">
        <v>20</v>
      </c>
      <c r="J1332" s="12" t="s">
        <v>61</v>
      </c>
      <c r="K1332" s="12">
        <v>229.959</v>
      </c>
      <c r="L1332" s="12">
        <v>197.78</v>
      </c>
      <c r="O1332" s="13">
        <f t="shared" si="42"/>
        <v>0.86006635965541678</v>
      </c>
    </row>
    <row r="1333" spans="1:15" x14ac:dyDescent="0.25">
      <c r="A1333" s="12">
        <f t="shared" si="41"/>
        <v>4</v>
      </c>
      <c r="B1333" s="12">
        <v>2024</v>
      </c>
      <c r="C1333" s="12">
        <v>7612</v>
      </c>
      <c r="E1333" s="12" t="s">
        <v>13</v>
      </c>
      <c r="F1333" s="12" t="s">
        <v>14</v>
      </c>
      <c r="G1333" s="14">
        <v>45398</v>
      </c>
      <c r="H1333" s="12" t="s">
        <v>17</v>
      </c>
      <c r="I1333" s="12" t="s">
        <v>19</v>
      </c>
      <c r="J1333" s="12" t="s">
        <v>72</v>
      </c>
      <c r="K1333" s="12">
        <v>232.01400000000001</v>
      </c>
      <c r="L1333" s="12">
        <v>202.209</v>
      </c>
      <c r="O1333" s="13">
        <f t="shared" si="42"/>
        <v>0.87153792443559441</v>
      </c>
    </row>
    <row r="1334" spans="1:15" x14ac:dyDescent="0.25">
      <c r="A1334" s="12">
        <f t="shared" si="41"/>
        <v>4</v>
      </c>
      <c r="B1334" s="12">
        <v>2024</v>
      </c>
      <c r="C1334" s="12">
        <v>7613</v>
      </c>
      <c r="E1334" s="12" t="s">
        <v>13</v>
      </c>
      <c r="F1334" s="12" t="s">
        <v>14</v>
      </c>
      <c r="G1334" s="14">
        <v>45399</v>
      </c>
      <c r="H1334" s="12" t="s">
        <v>17</v>
      </c>
      <c r="I1334" s="12" t="s">
        <v>19</v>
      </c>
      <c r="J1334" s="12" t="s">
        <v>72</v>
      </c>
      <c r="K1334" s="12">
        <v>232.006</v>
      </c>
      <c r="L1334" s="12">
        <v>199.072</v>
      </c>
      <c r="O1334" s="13">
        <f t="shared" si="42"/>
        <v>0.85804677465237966</v>
      </c>
    </row>
    <row r="1335" spans="1:15" x14ac:dyDescent="0.25">
      <c r="A1335" s="12">
        <f t="shared" si="41"/>
        <v>4</v>
      </c>
      <c r="B1335" s="12">
        <v>2024</v>
      </c>
      <c r="C1335" s="12">
        <v>7614</v>
      </c>
      <c r="E1335" s="12" t="s">
        <v>13</v>
      </c>
      <c r="F1335" s="12" t="s">
        <v>14</v>
      </c>
      <c r="G1335" s="14">
        <v>45400</v>
      </c>
      <c r="H1335" s="12" t="s">
        <v>18</v>
      </c>
      <c r="I1335" s="12" t="s">
        <v>19</v>
      </c>
      <c r="J1335" s="12" t="s">
        <v>57</v>
      </c>
      <c r="K1335" s="12">
        <v>232.02199999999999</v>
      </c>
      <c r="L1335" s="12">
        <v>203.88499999999999</v>
      </c>
      <c r="O1335" s="13">
        <f t="shared" si="42"/>
        <v>0.87873132720173086</v>
      </c>
    </row>
    <row r="1336" spans="1:15" x14ac:dyDescent="0.25">
      <c r="A1336" s="12">
        <f t="shared" si="41"/>
        <v>4</v>
      </c>
      <c r="B1336" s="12">
        <v>2024</v>
      </c>
      <c r="C1336" s="12">
        <v>7615</v>
      </c>
      <c r="E1336" s="12" t="s">
        <v>13</v>
      </c>
      <c r="F1336" s="12" t="s">
        <v>14</v>
      </c>
      <c r="G1336" s="14">
        <v>45401</v>
      </c>
      <c r="H1336" s="12" t="s">
        <v>18</v>
      </c>
      <c r="I1336" s="12" t="s">
        <v>19</v>
      </c>
      <c r="J1336" s="12" t="s">
        <v>57</v>
      </c>
      <c r="K1336" s="12">
        <v>232.018</v>
      </c>
      <c r="L1336" s="12">
        <v>198.10599999999999</v>
      </c>
      <c r="O1336" s="13">
        <f t="shared" si="42"/>
        <v>0.85383892629020164</v>
      </c>
    </row>
    <row r="1337" spans="1:15" x14ac:dyDescent="0.25">
      <c r="A1337" s="12">
        <f t="shared" si="41"/>
        <v>4</v>
      </c>
      <c r="B1337" s="12">
        <v>2024</v>
      </c>
      <c r="C1337" s="12">
        <v>7616</v>
      </c>
      <c r="E1337" s="12" t="s">
        <v>13</v>
      </c>
      <c r="F1337" s="12" t="s">
        <v>14</v>
      </c>
      <c r="G1337" s="14">
        <v>45402</v>
      </c>
      <c r="H1337" s="12" t="s">
        <v>64</v>
      </c>
      <c r="I1337" s="12" t="s">
        <v>20</v>
      </c>
      <c r="J1337" s="12" t="s">
        <v>63</v>
      </c>
      <c r="K1337" s="12">
        <v>230.00399999999999</v>
      </c>
      <c r="L1337" s="12">
        <v>194.13900000000001</v>
      </c>
      <c r="O1337" s="13">
        <f t="shared" si="42"/>
        <v>0.84406792925340435</v>
      </c>
    </row>
    <row r="1338" spans="1:15" x14ac:dyDescent="0.25">
      <c r="A1338" s="12">
        <f t="shared" si="41"/>
        <v>4</v>
      </c>
      <c r="B1338" s="12">
        <v>2024</v>
      </c>
      <c r="C1338" s="12">
        <v>7617</v>
      </c>
      <c r="E1338" s="12" t="s">
        <v>13</v>
      </c>
      <c r="F1338" s="12" t="s">
        <v>14</v>
      </c>
      <c r="G1338" s="14">
        <v>45402</v>
      </c>
      <c r="H1338" s="12" t="s">
        <v>64</v>
      </c>
      <c r="I1338" s="12" t="s">
        <v>20</v>
      </c>
      <c r="J1338" s="12" t="s">
        <v>61</v>
      </c>
      <c r="K1338" s="12">
        <v>232.00399999999999</v>
      </c>
      <c r="L1338" s="12">
        <v>196.56100000000001</v>
      </c>
      <c r="O1338" s="13">
        <f t="shared" si="42"/>
        <v>0.84723108222272037</v>
      </c>
    </row>
    <row r="1339" spans="1:15" x14ac:dyDescent="0.25">
      <c r="A1339" s="12">
        <f t="shared" si="41"/>
        <v>4</v>
      </c>
      <c r="B1339" s="12">
        <v>2024</v>
      </c>
      <c r="C1339" s="12">
        <v>7618</v>
      </c>
      <c r="E1339" s="12" t="s">
        <v>13</v>
      </c>
      <c r="F1339" s="12" t="s">
        <v>14</v>
      </c>
      <c r="G1339" s="14">
        <v>45403</v>
      </c>
      <c r="H1339" s="12" t="s">
        <v>64</v>
      </c>
      <c r="I1339" s="12" t="s">
        <v>20</v>
      </c>
      <c r="J1339" s="12" t="s">
        <v>61</v>
      </c>
      <c r="K1339" s="12">
        <v>232.00399999999999</v>
      </c>
      <c r="L1339" s="12">
        <v>200.84399999999999</v>
      </c>
      <c r="O1339" s="13">
        <f t="shared" si="42"/>
        <v>0.86569197082808913</v>
      </c>
    </row>
    <row r="1340" spans="1:15" x14ac:dyDescent="0.25">
      <c r="A1340" s="12">
        <f t="shared" si="41"/>
        <v>4</v>
      </c>
      <c r="B1340" s="12">
        <v>2024</v>
      </c>
      <c r="C1340" s="12">
        <v>7619</v>
      </c>
      <c r="E1340" s="12" t="s">
        <v>13</v>
      </c>
      <c r="F1340" s="12" t="s">
        <v>14</v>
      </c>
      <c r="G1340" s="14">
        <v>45404</v>
      </c>
      <c r="H1340" s="12" t="s">
        <v>64</v>
      </c>
      <c r="I1340" s="12" t="s">
        <v>20</v>
      </c>
      <c r="J1340" s="12" t="s">
        <v>61</v>
      </c>
      <c r="K1340" s="12">
        <v>232.01400000000001</v>
      </c>
      <c r="L1340" s="12">
        <v>198.191</v>
      </c>
      <c r="O1340" s="13">
        <f t="shared" si="42"/>
        <v>0.85422000396527797</v>
      </c>
    </row>
    <row r="1341" spans="1:15" x14ac:dyDescent="0.25">
      <c r="A1341" s="12">
        <f t="shared" si="41"/>
        <v>4</v>
      </c>
      <c r="B1341" s="12">
        <v>2024</v>
      </c>
      <c r="C1341" s="12">
        <v>7620</v>
      </c>
      <c r="E1341" s="12" t="s">
        <v>13</v>
      </c>
      <c r="F1341" s="12" t="s">
        <v>14</v>
      </c>
      <c r="G1341" s="14">
        <v>45405</v>
      </c>
      <c r="H1341" s="12" t="s">
        <v>64</v>
      </c>
      <c r="I1341" s="12" t="s">
        <v>20</v>
      </c>
      <c r="J1341" s="12" t="s">
        <v>61</v>
      </c>
      <c r="K1341" s="12">
        <v>232.01900000000001</v>
      </c>
      <c r="L1341" s="12">
        <v>200.88</v>
      </c>
      <c r="O1341" s="13">
        <f t="shared" si="42"/>
        <v>0.86579116365470066</v>
      </c>
    </row>
    <row r="1342" spans="1:15" x14ac:dyDescent="0.25">
      <c r="A1342" s="12">
        <f t="shared" si="41"/>
        <v>4</v>
      </c>
      <c r="B1342" s="12">
        <v>2024</v>
      </c>
      <c r="C1342" s="12">
        <v>7621</v>
      </c>
      <c r="E1342" s="12" t="s">
        <v>13</v>
      </c>
      <c r="F1342" s="12" t="s">
        <v>14</v>
      </c>
      <c r="G1342" s="14">
        <v>45406</v>
      </c>
      <c r="H1342" s="12" t="s">
        <v>64</v>
      </c>
      <c r="I1342" s="12" t="s">
        <v>20</v>
      </c>
      <c r="J1342" s="12" t="s">
        <v>61</v>
      </c>
      <c r="K1342" s="12">
        <v>232.01400000000001</v>
      </c>
      <c r="L1342" s="12">
        <v>195.59200000000001</v>
      </c>
      <c r="O1342" s="13">
        <f t="shared" si="42"/>
        <v>0.8430180937357229</v>
      </c>
    </row>
    <row r="1343" spans="1:15" x14ac:dyDescent="0.25">
      <c r="A1343" s="12">
        <f t="shared" si="41"/>
        <v>4</v>
      </c>
      <c r="B1343" s="12">
        <v>2024</v>
      </c>
      <c r="C1343" s="12">
        <v>7622</v>
      </c>
      <c r="E1343" s="12" t="s">
        <v>13</v>
      </c>
      <c r="F1343" s="12" t="s">
        <v>14</v>
      </c>
      <c r="G1343" s="14">
        <v>45407</v>
      </c>
      <c r="H1343" s="12" t="s">
        <v>18</v>
      </c>
      <c r="I1343" s="12" t="s">
        <v>20</v>
      </c>
      <c r="J1343" s="12" t="s">
        <v>63</v>
      </c>
      <c r="K1343" s="12">
        <v>232.017</v>
      </c>
      <c r="L1343" s="12">
        <v>197.91800000000001</v>
      </c>
      <c r="O1343" s="13">
        <f t="shared" si="42"/>
        <v>0.85303232090751979</v>
      </c>
    </row>
    <row r="1344" spans="1:15" x14ac:dyDescent="0.25">
      <c r="A1344" s="12">
        <f t="shared" si="41"/>
        <v>4</v>
      </c>
      <c r="B1344" s="12">
        <v>2024</v>
      </c>
      <c r="C1344" s="12">
        <v>7623</v>
      </c>
      <c r="E1344" s="12" t="s">
        <v>13</v>
      </c>
      <c r="F1344" s="12" t="s">
        <v>14</v>
      </c>
      <c r="G1344" s="14">
        <v>45408</v>
      </c>
      <c r="H1344" s="12" t="s">
        <v>18</v>
      </c>
      <c r="I1344" s="12" t="s">
        <v>20</v>
      </c>
      <c r="J1344" s="12" t="s">
        <v>63</v>
      </c>
      <c r="K1344" s="12">
        <v>232.01900000000001</v>
      </c>
      <c r="L1344" s="12">
        <v>198.91200000000001</v>
      </c>
      <c r="O1344" s="13">
        <f t="shared" si="42"/>
        <v>0.8573090996858016</v>
      </c>
    </row>
    <row r="1345" spans="1:15" x14ac:dyDescent="0.25">
      <c r="A1345" s="12">
        <f t="shared" si="41"/>
        <v>4</v>
      </c>
      <c r="B1345" s="12">
        <v>2024</v>
      </c>
      <c r="C1345" s="12">
        <v>7624</v>
      </c>
      <c r="E1345" s="12" t="s">
        <v>13</v>
      </c>
      <c r="F1345" s="12" t="s">
        <v>14</v>
      </c>
      <c r="G1345" s="14">
        <v>45409</v>
      </c>
      <c r="H1345" s="12" t="s">
        <v>17</v>
      </c>
      <c r="I1345" s="12" t="s">
        <v>20</v>
      </c>
      <c r="J1345" s="12" t="s">
        <v>57</v>
      </c>
      <c r="K1345" s="12">
        <v>236.36699999999999</v>
      </c>
      <c r="L1345" s="12">
        <v>207.447</v>
      </c>
      <c r="O1345" s="13">
        <f t="shared" si="42"/>
        <v>0.87764789501072493</v>
      </c>
    </row>
    <row r="1346" spans="1:15" x14ac:dyDescent="0.25">
      <c r="A1346" s="12">
        <f t="shared" ref="A1346:A1409" si="43">MONTH(G1346)</f>
        <v>4</v>
      </c>
      <c r="B1346" s="12">
        <v>2024</v>
      </c>
      <c r="C1346" s="12">
        <v>7625</v>
      </c>
      <c r="E1346" s="12" t="s">
        <v>13</v>
      </c>
      <c r="F1346" s="12" t="s">
        <v>14</v>
      </c>
      <c r="G1346" s="14">
        <v>45410</v>
      </c>
      <c r="H1346" s="12" t="s">
        <v>17</v>
      </c>
      <c r="I1346" s="12" t="s">
        <v>20</v>
      </c>
      <c r="J1346" s="12" t="s">
        <v>57</v>
      </c>
      <c r="K1346" s="12">
        <v>232.017</v>
      </c>
      <c r="L1346" s="12">
        <v>199.04400000000001</v>
      </c>
      <c r="O1346" s="13">
        <f t="shared" si="42"/>
        <v>0.85788541356883341</v>
      </c>
    </row>
    <row r="1347" spans="1:15" x14ac:dyDescent="0.25">
      <c r="A1347" s="12">
        <f t="shared" si="43"/>
        <v>4</v>
      </c>
      <c r="B1347" s="12">
        <v>2024</v>
      </c>
      <c r="C1347" s="12">
        <v>7626</v>
      </c>
      <c r="E1347" s="12" t="s">
        <v>13</v>
      </c>
      <c r="F1347" s="12" t="s">
        <v>14</v>
      </c>
      <c r="G1347" s="14">
        <v>45411</v>
      </c>
      <c r="H1347" s="12" t="s">
        <v>17</v>
      </c>
      <c r="I1347" s="12" t="s">
        <v>20</v>
      </c>
      <c r="J1347" s="12" t="s">
        <v>57</v>
      </c>
      <c r="K1347" s="12">
        <v>231.94300000000001</v>
      </c>
      <c r="L1347" s="12">
        <v>201.316</v>
      </c>
      <c r="O1347" s="13">
        <f t="shared" si="42"/>
        <v>0.86795462678330448</v>
      </c>
    </row>
    <row r="1348" spans="1:15" x14ac:dyDescent="0.25">
      <c r="A1348" s="12">
        <f t="shared" si="43"/>
        <v>4</v>
      </c>
      <c r="B1348" s="12">
        <v>2024</v>
      </c>
      <c r="C1348" s="12">
        <v>7627</v>
      </c>
      <c r="E1348" s="12" t="s">
        <v>13</v>
      </c>
      <c r="F1348" s="12" t="s">
        <v>14</v>
      </c>
      <c r="G1348" s="14">
        <v>45412</v>
      </c>
      <c r="H1348" s="12" t="s">
        <v>18</v>
      </c>
      <c r="I1348" s="12" t="s">
        <v>20</v>
      </c>
      <c r="J1348" s="12" t="s">
        <v>61</v>
      </c>
      <c r="K1348" s="12">
        <v>232.04300000000001</v>
      </c>
      <c r="L1348" s="12">
        <v>198.613</v>
      </c>
      <c r="O1348" s="13">
        <f t="shared" si="42"/>
        <v>0.85593187469563825</v>
      </c>
    </row>
    <row r="1349" spans="1:15" x14ac:dyDescent="0.25">
      <c r="A1349" s="12">
        <f t="shared" si="43"/>
        <v>5</v>
      </c>
      <c r="B1349" s="12">
        <v>2024</v>
      </c>
      <c r="C1349" s="12">
        <v>7628</v>
      </c>
      <c r="E1349" s="12" t="s">
        <v>13</v>
      </c>
      <c r="F1349" s="12" t="s">
        <v>14</v>
      </c>
      <c r="G1349" s="14">
        <v>45413</v>
      </c>
      <c r="H1349" s="12" t="s">
        <v>18</v>
      </c>
      <c r="I1349" s="12" t="s">
        <v>20</v>
      </c>
      <c r="J1349" s="12" t="s">
        <v>61</v>
      </c>
      <c r="K1349" s="12">
        <v>230.042</v>
      </c>
      <c r="L1349" s="12">
        <v>198.84200000000001</v>
      </c>
      <c r="O1349" s="13">
        <f t="shared" si="42"/>
        <v>0.86437259283087442</v>
      </c>
    </row>
    <row r="1350" spans="1:15" x14ac:dyDescent="0.25">
      <c r="A1350" s="12">
        <f t="shared" si="43"/>
        <v>5</v>
      </c>
      <c r="B1350" s="12">
        <v>2024</v>
      </c>
      <c r="C1350" s="12">
        <v>7629</v>
      </c>
      <c r="E1350" s="12" t="s">
        <v>13</v>
      </c>
      <c r="F1350" s="12" t="s">
        <v>14</v>
      </c>
      <c r="G1350" s="14">
        <v>45413</v>
      </c>
      <c r="H1350" s="12" t="s">
        <v>18</v>
      </c>
      <c r="I1350" s="12" t="s">
        <v>19</v>
      </c>
      <c r="J1350" s="12" t="s">
        <v>67</v>
      </c>
      <c r="K1350" s="12">
        <v>230.01400000000001</v>
      </c>
      <c r="L1350" s="12">
        <v>194.96600000000001</v>
      </c>
      <c r="O1350" s="13">
        <f t="shared" si="42"/>
        <v>0.84762666620292682</v>
      </c>
    </row>
    <row r="1351" spans="1:15" x14ac:dyDescent="0.25">
      <c r="A1351" s="12">
        <f t="shared" si="43"/>
        <v>5</v>
      </c>
      <c r="B1351" s="12">
        <v>2024</v>
      </c>
      <c r="C1351" s="12">
        <v>7630</v>
      </c>
      <c r="E1351" s="12" t="s">
        <v>13</v>
      </c>
      <c r="F1351" s="12" t="s">
        <v>14</v>
      </c>
      <c r="G1351" s="14">
        <v>45414</v>
      </c>
      <c r="H1351" s="12" t="s">
        <v>18</v>
      </c>
      <c r="I1351" s="12" t="s">
        <v>19</v>
      </c>
      <c r="J1351" s="12" t="s">
        <v>67</v>
      </c>
      <c r="K1351" s="12">
        <v>229.99600000000001</v>
      </c>
      <c r="L1351" s="12">
        <v>196.642</v>
      </c>
      <c r="O1351" s="13">
        <f t="shared" si="42"/>
        <v>0.85498008661020186</v>
      </c>
    </row>
    <row r="1352" spans="1:15" x14ac:dyDescent="0.25">
      <c r="A1352" s="12">
        <f t="shared" si="43"/>
        <v>5</v>
      </c>
      <c r="B1352" s="12">
        <v>2024</v>
      </c>
      <c r="C1352" s="12">
        <v>7631</v>
      </c>
      <c r="E1352" s="12" t="s">
        <v>13</v>
      </c>
      <c r="F1352" s="12" t="s">
        <v>14</v>
      </c>
      <c r="G1352" s="14">
        <v>45415</v>
      </c>
      <c r="H1352" s="12" t="s">
        <v>18</v>
      </c>
      <c r="I1352" s="12" t="s">
        <v>19</v>
      </c>
      <c r="J1352" s="12" t="s">
        <v>57</v>
      </c>
      <c r="K1352" s="12">
        <v>230</v>
      </c>
      <c r="L1352" s="12">
        <v>197.803</v>
      </c>
      <c r="O1352" s="13">
        <f t="shared" si="42"/>
        <v>0.86001304347826091</v>
      </c>
    </row>
    <row r="1353" spans="1:15" x14ac:dyDescent="0.25">
      <c r="A1353" s="12">
        <f t="shared" si="43"/>
        <v>5</v>
      </c>
      <c r="B1353" s="12">
        <v>2024</v>
      </c>
      <c r="C1353" s="12">
        <v>7632</v>
      </c>
      <c r="E1353" s="12" t="s">
        <v>13</v>
      </c>
      <c r="F1353" s="12" t="s">
        <v>14</v>
      </c>
      <c r="G1353" s="14">
        <v>45416</v>
      </c>
      <c r="H1353" s="12" t="s">
        <v>18</v>
      </c>
      <c r="I1353" s="12" t="s">
        <v>19</v>
      </c>
      <c r="J1353" s="12" t="s">
        <v>57</v>
      </c>
      <c r="K1353" s="12">
        <v>230.05500000000001</v>
      </c>
      <c r="L1353" s="12">
        <v>201.333</v>
      </c>
      <c r="O1353" s="13">
        <f t="shared" ref="O1353:O1416" si="44">L1353/K1353</f>
        <v>0.87515159418399946</v>
      </c>
    </row>
    <row r="1354" spans="1:15" x14ac:dyDescent="0.25">
      <c r="A1354" s="12">
        <f t="shared" si="43"/>
        <v>5</v>
      </c>
      <c r="B1354" s="12">
        <v>2024</v>
      </c>
      <c r="C1354" s="12">
        <v>7633</v>
      </c>
      <c r="E1354" s="12" t="s">
        <v>13</v>
      </c>
      <c r="F1354" s="12" t="s">
        <v>14</v>
      </c>
      <c r="G1354" s="14">
        <v>45417</v>
      </c>
      <c r="H1354" s="12" t="s">
        <v>18</v>
      </c>
      <c r="I1354" s="12" t="s">
        <v>19</v>
      </c>
      <c r="J1354" s="12" t="s">
        <v>57</v>
      </c>
      <c r="K1354" s="12">
        <v>230</v>
      </c>
      <c r="L1354" s="12">
        <v>194.94399999999999</v>
      </c>
      <c r="O1354" s="13">
        <f t="shared" si="44"/>
        <v>0.84758260869565216</v>
      </c>
    </row>
    <row r="1355" spans="1:15" x14ac:dyDescent="0.25">
      <c r="A1355" s="12">
        <f t="shared" si="43"/>
        <v>5</v>
      </c>
      <c r="B1355" s="12">
        <v>2024</v>
      </c>
      <c r="C1355" s="12">
        <v>7634</v>
      </c>
      <c r="E1355" s="12" t="s">
        <v>13</v>
      </c>
      <c r="F1355" s="12" t="s">
        <v>14</v>
      </c>
      <c r="G1355" s="14">
        <v>45418</v>
      </c>
      <c r="H1355" s="12" t="s">
        <v>18</v>
      </c>
      <c r="I1355" s="12" t="s">
        <v>19</v>
      </c>
      <c r="J1355" s="12" t="s">
        <v>57</v>
      </c>
      <c r="K1355" s="12">
        <v>229.97200000000001</v>
      </c>
      <c r="L1355" s="12">
        <v>195.72</v>
      </c>
      <c r="O1355" s="13">
        <f t="shared" si="44"/>
        <v>0.85106012905918982</v>
      </c>
    </row>
    <row r="1356" spans="1:15" x14ac:dyDescent="0.25">
      <c r="A1356" s="12">
        <f t="shared" si="43"/>
        <v>5</v>
      </c>
      <c r="B1356" s="12">
        <v>2024</v>
      </c>
      <c r="C1356" s="12">
        <v>7635</v>
      </c>
      <c r="E1356" s="12" t="s">
        <v>13</v>
      </c>
      <c r="F1356" s="12" t="s">
        <v>14</v>
      </c>
      <c r="G1356" s="14">
        <v>45419</v>
      </c>
      <c r="H1356" s="12" t="s">
        <v>18</v>
      </c>
      <c r="I1356" s="12" t="s">
        <v>19</v>
      </c>
      <c r="J1356" s="12" t="s">
        <v>57</v>
      </c>
      <c r="K1356" s="12">
        <v>230.00800000000001</v>
      </c>
      <c r="L1356" s="12">
        <v>195.39099999999999</v>
      </c>
      <c r="O1356" s="13">
        <f t="shared" si="44"/>
        <v>0.84949653925080859</v>
      </c>
    </row>
    <row r="1357" spans="1:15" x14ac:dyDescent="0.25">
      <c r="A1357" s="12">
        <f t="shared" si="43"/>
        <v>5</v>
      </c>
      <c r="B1357" s="12">
        <v>2024</v>
      </c>
      <c r="C1357" s="12">
        <v>7636</v>
      </c>
      <c r="E1357" s="12" t="s">
        <v>13</v>
      </c>
      <c r="F1357" s="12" t="s">
        <v>14</v>
      </c>
      <c r="G1357" s="14">
        <v>45420</v>
      </c>
      <c r="H1357" s="12" t="s">
        <v>18</v>
      </c>
      <c r="I1357" s="12" t="s">
        <v>20</v>
      </c>
      <c r="J1357" s="12" t="s">
        <v>61</v>
      </c>
      <c r="K1357" s="12">
        <v>230.012</v>
      </c>
      <c r="L1357" s="12">
        <v>194.21899999999999</v>
      </c>
      <c r="O1357" s="13">
        <f t="shared" si="44"/>
        <v>0.84438637984105169</v>
      </c>
    </row>
    <row r="1358" spans="1:15" x14ac:dyDescent="0.25">
      <c r="A1358" s="12">
        <f t="shared" si="43"/>
        <v>5</v>
      </c>
      <c r="B1358" s="12">
        <v>2024</v>
      </c>
      <c r="C1358" s="12">
        <v>7637</v>
      </c>
      <c r="E1358" s="12" t="s">
        <v>13</v>
      </c>
      <c r="F1358" s="12" t="s">
        <v>14</v>
      </c>
      <c r="G1358" s="14">
        <v>45421</v>
      </c>
      <c r="H1358" s="12" t="s">
        <v>18</v>
      </c>
      <c r="I1358" s="12" t="s">
        <v>20</v>
      </c>
      <c r="J1358" s="12" t="s">
        <v>61</v>
      </c>
      <c r="K1358" s="12">
        <v>230.001</v>
      </c>
      <c r="L1358" s="12">
        <v>196.36500000000001</v>
      </c>
      <c r="O1358" s="13">
        <f t="shared" si="44"/>
        <v>0.85375715757757575</v>
      </c>
    </row>
    <row r="1359" spans="1:15" x14ac:dyDescent="0.25">
      <c r="A1359" s="12">
        <f t="shared" si="43"/>
        <v>5</v>
      </c>
      <c r="B1359" s="12">
        <v>2024</v>
      </c>
      <c r="C1359" s="12">
        <v>7638</v>
      </c>
      <c r="E1359" s="12" t="s">
        <v>13</v>
      </c>
      <c r="F1359" s="12" t="s">
        <v>14</v>
      </c>
      <c r="G1359" s="14">
        <v>45422</v>
      </c>
      <c r="H1359" s="12" t="s">
        <v>18</v>
      </c>
      <c r="I1359" s="12" t="s">
        <v>20</v>
      </c>
      <c r="J1359" s="12" t="s">
        <v>61</v>
      </c>
      <c r="K1359" s="12">
        <v>230.011</v>
      </c>
      <c r="L1359" s="12">
        <v>195.482</v>
      </c>
      <c r="O1359" s="13">
        <f t="shared" si="44"/>
        <v>0.84988109264339529</v>
      </c>
    </row>
    <row r="1360" spans="1:15" x14ac:dyDescent="0.25">
      <c r="A1360" s="12">
        <f t="shared" si="43"/>
        <v>5</v>
      </c>
      <c r="B1360" s="12">
        <v>2024</v>
      </c>
      <c r="C1360" s="12">
        <v>7639</v>
      </c>
      <c r="E1360" s="12" t="s">
        <v>13</v>
      </c>
      <c r="F1360" s="12" t="s">
        <v>14</v>
      </c>
      <c r="G1360" s="14">
        <v>45423</v>
      </c>
      <c r="H1360" s="12" t="s">
        <v>18</v>
      </c>
      <c r="I1360" s="12" t="s">
        <v>20</v>
      </c>
      <c r="J1360" s="12" t="s">
        <v>61</v>
      </c>
      <c r="K1360" s="12">
        <v>230.01599999999999</v>
      </c>
      <c r="L1360" s="12">
        <v>193.40199999999999</v>
      </c>
      <c r="O1360" s="13">
        <f t="shared" si="44"/>
        <v>0.8408197690595437</v>
      </c>
    </row>
    <row r="1361" spans="1:15" x14ac:dyDescent="0.25">
      <c r="A1361" s="12">
        <f t="shared" si="43"/>
        <v>5</v>
      </c>
      <c r="B1361" s="12">
        <v>2024</v>
      </c>
      <c r="C1361" s="12">
        <v>7640</v>
      </c>
      <c r="E1361" s="12" t="s">
        <v>13</v>
      </c>
      <c r="F1361" s="12" t="s">
        <v>14</v>
      </c>
      <c r="G1361" s="14">
        <v>45424</v>
      </c>
      <c r="H1361" s="12" t="s">
        <v>18</v>
      </c>
      <c r="I1361" s="12" t="s">
        <v>20</v>
      </c>
      <c r="J1361" s="12" t="s">
        <v>61</v>
      </c>
      <c r="K1361" s="12">
        <v>230.01400000000001</v>
      </c>
      <c r="L1361" s="12">
        <v>193.85</v>
      </c>
      <c r="O1361" s="13">
        <f t="shared" si="44"/>
        <v>0.84277478762162295</v>
      </c>
    </row>
    <row r="1362" spans="1:15" x14ac:dyDescent="0.25">
      <c r="A1362" s="12">
        <f t="shared" si="43"/>
        <v>5</v>
      </c>
      <c r="B1362" s="12">
        <v>2024</v>
      </c>
      <c r="C1362" s="12">
        <v>7641</v>
      </c>
      <c r="E1362" s="12" t="s">
        <v>13</v>
      </c>
      <c r="F1362" s="12" t="s">
        <v>14</v>
      </c>
      <c r="G1362" s="14">
        <v>45425</v>
      </c>
      <c r="H1362" s="12" t="s">
        <v>18</v>
      </c>
      <c r="I1362" s="12" t="s">
        <v>20</v>
      </c>
      <c r="J1362" s="12" t="s">
        <v>61</v>
      </c>
      <c r="K1362" s="12">
        <v>229.946</v>
      </c>
      <c r="L1362" s="12">
        <v>194.57599999999999</v>
      </c>
      <c r="O1362" s="13">
        <f t="shared" si="44"/>
        <v>0.84618127734337623</v>
      </c>
    </row>
    <row r="1363" spans="1:15" x14ac:dyDescent="0.25">
      <c r="A1363" s="12">
        <f t="shared" si="43"/>
        <v>5</v>
      </c>
      <c r="B1363" s="12">
        <v>2024</v>
      </c>
      <c r="C1363" s="12">
        <v>7642</v>
      </c>
      <c r="E1363" s="12" t="s">
        <v>13</v>
      </c>
      <c r="F1363" s="12" t="s">
        <v>14</v>
      </c>
      <c r="G1363" s="14">
        <v>45426</v>
      </c>
      <c r="H1363" s="12" t="s">
        <v>18</v>
      </c>
      <c r="I1363" s="12" t="s">
        <v>20</v>
      </c>
      <c r="J1363" s="12" t="s">
        <v>61</v>
      </c>
      <c r="K1363" s="12">
        <v>229.94</v>
      </c>
      <c r="L1363" s="12">
        <v>191.76900000000001</v>
      </c>
      <c r="O1363" s="13">
        <f t="shared" si="44"/>
        <v>0.83399582499782554</v>
      </c>
    </row>
    <row r="1364" spans="1:15" x14ac:dyDescent="0.25">
      <c r="A1364" s="12">
        <f t="shared" si="43"/>
        <v>5</v>
      </c>
      <c r="B1364" s="12">
        <v>2024</v>
      </c>
      <c r="C1364" s="12">
        <v>7643</v>
      </c>
      <c r="E1364" s="12" t="s">
        <v>13</v>
      </c>
      <c r="F1364" s="12" t="s">
        <v>14</v>
      </c>
      <c r="G1364" s="14">
        <v>45427</v>
      </c>
      <c r="H1364" s="12" t="s">
        <v>18</v>
      </c>
      <c r="I1364" s="12" t="s">
        <v>20</v>
      </c>
      <c r="J1364" s="12" t="s">
        <v>61</v>
      </c>
      <c r="K1364" s="12">
        <v>229.99799999999999</v>
      </c>
      <c r="L1364" s="12">
        <v>191.84800000000001</v>
      </c>
      <c r="O1364" s="13">
        <f t="shared" si="44"/>
        <v>0.83412899242602123</v>
      </c>
    </row>
    <row r="1365" spans="1:15" x14ac:dyDescent="0.25">
      <c r="A1365" s="12">
        <f t="shared" si="43"/>
        <v>5</v>
      </c>
      <c r="B1365" s="12">
        <v>2024</v>
      </c>
      <c r="C1365" s="12">
        <v>7644</v>
      </c>
      <c r="E1365" s="12" t="s">
        <v>13</v>
      </c>
      <c r="F1365" s="12" t="s">
        <v>14</v>
      </c>
      <c r="G1365" s="14">
        <v>45428</v>
      </c>
      <c r="H1365" s="12" t="s">
        <v>18</v>
      </c>
      <c r="I1365" s="12" t="s">
        <v>20</v>
      </c>
      <c r="J1365" s="12" t="s">
        <v>61</v>
      </c>
      <c r="K1365" s="12">
        <v>230.011</v>
      </c>
      <c r="L1365" s="12">
        <v>196.07400000000001</v>
      </c>
      <c r="O1365" s="13">
        <f t="shared" si="44"/>
        <v>0.85245488259257174</v>
      </c>
    </row>
    <row r="1366" spans="1:15" x14ac:dyDescent="0.25">
      <c r="A1366" s="12">
        <f t="shared" si="43"/>
        <v>5</v>
      </c>
      <c r="B1366" s="12">
        <v>2024</v>
      </c>
      <c r="C1366" s="12">
        <v>7645</v>
      </c>
      <c r="E1366" s="12" t="s">
        <v>13</v>
      </c>
      <c r="F1366" s="12" t="s">
        <v>14</v>
      </c>
      <c r="G1366" s="14">
        <v>45429</v>
      </c>
      <c r="H1366" s="12" t="s">
        <v>18</v>
      </c>
      <c r="I1366" s="12" t="s">
        <v>20</v>
      </c>
      <c r="J1366" s="12" t="s">
        <v>61</v>
      </c>
      <c r="K1366" s="12">
        <v>230.00800000000001</v>
      </c>
      <c r="L1366" s="12">
        <v>193.202</v>
      </c>
      <c r="O1366" s="13">
        <f t="shared" si="44"/>
        <v>0.83997947897464431</v>
      </c>
    </row>
    <row r="1367" spans="1:15" x14ac:dyDescent="0.25">
      <c r="A1367" s="12">
        <f t="shared" si="43"/>
        <v>5</v>
      </c>
      <c r="B1367" s="12">
        <v>2024</v>
      </c>
      <c r="C1367" s="12">
        <v>7646</v>
      </c>
      <c r="E1367" s="12" t="s">
        <v>13</v>
      </c>
      <c r="F1367" s="12" t="s">
        <v>14</v>
      </c>
      <c r="G1367" s="14">
        <v>45430</v>
      </c>
      <c r="H1367" s="12" t="s">
        <v>18</v>
      </c>
      <c r="I1367" s="12" t="s">
        <v>19</v>
      </c>
      <c r="J1367" s="12" t="s">
        <v>57</v>
      </c>
      <c r="K1367" s="12">
        <v>229.995</v>
      </c>
      <c r="L1367" s="12">
        <v>195.29400000000001</v>
      </c>
      <c r="O1367" s="13">
        <f t="shared" si="44"/>
        <v>0.84912280701754395</v>
      </c>
    </row>
    <row r="1368" spans="1:15" x14ac:dyDescent="0.25">
      <c r="A1368" s="12">
        <f t="shared" si="43"/>
        <v>5</v>
      </c>
      <c r="B1368" s="12">
        <v>2024</v>
      </c>
      <c r="C1368" s="12">
        <v>7647</v>
      </c>
      <c r="E1368" s="12" t="s">
        <v>13</v>
      </c>
      <c r="F1368" s="12" t="s">
        <v>14</v>
      </c>
      <c r="G1368" s="14">
        <v>45431</v>
      </c>
      <c r="H1368" s="12" t="s">
        <v>18</v>
      </c>
      <c r="I1368" s="12" t="s">
        <v>19</v>
      </c>
      <c r="J1368" s="12" t="s">
        <v>57</v>
      </c>
      <c r="K1368" s="12">
        <v>229.98599999999999</v>
      </c>
      <c r="L1368" s="12">
        <v>193.99799999999999</v>
      </c>
      <c r="O1368" s="13">
        <f t="shared" si="44"/>
        <v>0.84352090996843287</v>
      </c>
    </row>
    <row r="1369" spans="1:15" x14ac:dyDescent="0.25">
      <c r="A1369" s="12">
        <f t="shared" si="43"/>
        <v>5</v>
      </c>
      <c r="B1369" s="12">
        <v>2024</v>
      </c>
      <c r="C1369" s="12">
        <v>7648</v>
      </c>
      <c r="E1369" s="12" t="s">
        <v>13</v>
      </c>
      <c r="F1369" s="12" t="s">
        <v>14</v>
      </c>
      <c r="G1369" s="14">
        <v>45432</v>
      </c>
      <c r="H1369" s="12" t="s">
        <v>18</v>
      </c>
      <c r="I1369" s="12" t="s">
        <v>19</v>
      </c>
      <c r="J1369" s="12" t="s">
        <v>57</v>
      </c>
      <c r="K1369" s="12">
        <v>229.94300000000001</v>
      </c>
      <c r="L1369" s="12">
        <v>196.40299999999999</v>
      </c>
      <c r="O1369" s="13">
        <f t="shared" si="44"/>
        <v>0.85413776457643842</v>
      </c>
    </row>
    <row r="1370" spans="1:15" x14ac:dyDescent="0.25">
      <c r="A1370" s="12">
        <f t="shared" si="43"/>
        <v>5</v>
      </c>
      <c r="B1370" s="12">
        <v>2024</v>
      </c>
      <c r="C1370" s="12">
        <v>7649</v>
      </c>
      <c r="E1370" s="12" t="s">
        <v>13</v>
      </c>
      <c r="F1370" s="12" t="s">
        <v>14</v>
      </c>
      <c r="G1370" s="14">
        <v>45432</v>
      </c>
      <c r="H1370" s="12" t="s">
        <v>18</v>
      </c>
      <c r="I1370" s="12" t="s">
        <v>19</v>
      </c>
      <c r="J1370" s="12" t="s">
        <v>57</v>
      </c>
      <c r="K1370" s="12">
        <v>229.881</v>
      </c>
      <c r="L1370" s="12">
        <v>194.88200000000001</v>
      </c>
      <c r="O1370" s="13">
        <f t="shared" si="44"/>
        <v>0.84775166281684877</v>
      </c>
    </row>
    <row r="1371" spans="1:15" x14ac:dyDescent="0.25">
      <c r="A1371" s="12">
        <f t="shared" si="43"/>
        <v>5</v>
      </c>
      <c r="B1371" s="12">
        <v>2024</v>
      </c>
      <c r="C1371" s="12">
        <v>7650</v>
      </c>
      <c r="E1371" s="12" t="s">
        <v>13</v>
      </c>
      <c r="F1371" s="12" t="s">
        <v>14</v>
      </c>
      <c r="G1371" s="14">
        <v>45438</v>
      </c>
      <c r="H1371" s="12" t="s">
        <v>18</v>
      </c>
      <c r="I1371" s="12" t="s">
        <v>19</v>
      </c>
      <c r="J1371" s="12" t="s">
        <v>57</v>
      </c>
      <c r="K1371" s="12">
        <v>229.97</v>
      </c>
      <c r="L1371" s="12">
        <v>194.38800000000001</v>
      </c>
      <c r="O1371" s="13">
        <f t="shared" si="44"/>
        <v>0.84527547071357134</v>
      </c>
    </row>
    <row r="1372" spans="1:15" x14ac:dyDescent="0.25">
      <c r="A1372" s="12">
        <f t="shared" si="43"/>
        <v>5</v>
      </c>
      <c r="B1372" s="12">
        <v>2024</v>
      </c>
      <c r="C1372" s="12">
        <v>7651</v>
      </c>
      <c r="E1372" s="12" t="s">
        <v>13</v>
      </c>
      <c r="F1372" s="12" t="s">
        <v>14</v>
      </c>
      <c r="G1372" s="14">
        <v>45439</v>
      </c>
      <c r="H1372" s="12" t="s">
        <v>36</v>
      </c>
      <c r="I1372" s="12" t="s">
        <v>20</v>
      </c>
      <c r="J1372" s="12" t="s">
        <v>61</v>
      </c>
      <c r="K1372" s="12">
        <v>229.999</v>
      </c>
      <c r="L1372" s="12">
        <v>194.62100000000001</v>
      </c>
      <c r="O1372" s="13">
        <f t="shared" si="44"/>
        <v>0.84618193992147794</v>
      </c>
    </row>
    <row r="1373" spans="1:15" x14ac:dyDescent="0.25">
      <c r="A1373" s="12">
        <f t="shared" si="43"/>
        <v>5</v>
      </c>
      <c r="B1373" s="12">
        <v>2024</v>
      </c>
      <c r="C1373" s="12">
        <v>7652</v>
      </c>
      <c r="E1373" s="12" t="s">
        <v>13</v>
      </c>
      <c r="F1373" s="12" t="s">
        <v>14</v>
      </c>
      <c r="G1373" s="14">
        <v>45440</v>
      </c>
      <c r="H1373" s="12" t="s">
        <v>36</v>
      </c>
      <c r="I1373" s="12" t="s">
        <v>20</v>
      </c>
      <c r="J1373" s="12" t="s">
        <v>61</v>
      </c>
      <c r="K1373" s="12">
        <v>229.92699999999999</v>
      </c>
      <c r="L1373" s="12">
        <v>189.90299999999999</v>
      </c>
      <c r="O1373" s="13">
        <f t="shared" si="44"/>
        <v>0.82592735955324947</v>
      </c>
    </row>
    <row r="1374" spans="1:15" x14ac:dyDescent="0.25">
      <c r="A1374" s="12">
        <f t="shared" si="43"/>
        <v>5</v>
      </c>
      <c r="B1374" s="12">
        <v>2024</v>
      </c>
      <c r="C1374" s="12">
        <v>7653</v>
      </c>
      <c r="E1374" s="12" t="s">
        <v>13</v>
      </c>
      <c r="F1374" s="12" t="s">
        <v>14</v>
      </c>
      <c r="G1374" s="14">
        <v>45441</v>
      </c>
      <c r="H1374" s="12" t="s">
        <v>17</v>
      </c>
      <c r="I1374" s="12" t="s">
        <v>19</v>
      </c>
      <c r="J1374" s="12" t="s">
        <v>57</v>
      </c>
      <c r="K1374" s="12">
        <v>230.01300000000001</v>
      </c>
      <c r="L1374" s="12">
        <v>197.80600000000001</v>
      </c>
      <c r="O1374" s="13">
        <f t="shared" si="44"/>
        <v>0.85997747953376547</v>
      </c>
    </row>
    <row r="1375" spans="1:15" x14ac:dyDescent="0.25">
      <c r="A1375" s="12">
        <f t="shared" si="43"/>
        <v>5</v>
      </c>
      <c r="B1375" s="12">
        <v>2024</v>
      </c>
      <c r="C1375" s="12">
        <v>7654</v>
      </c>
      <c r="E1375" s="12" t="s">
        <v>13</v>
      </c>
      <c r="F1375" s="12" t="s">
        <v>14</v>
      </c>
      <c r="G1375" s="14">
        <v>45442</v>
      </c>
      <c r="H1375" s="12" t="s">
        <v>17</v>
      </c>
      <c r="I1375" s="12" t="s">
        <v>19</v>
      </c>
      <c r="J1375" s="12" t="s">
        <v>57</v>
      </c>
      <c r="K1375" s="12">
        <v>229.99199999999999</v>
      </c>
      <c r="L1375" s="12">
        <v>194.11799999999999</v>
      </c>
      <c r="O1375" s="13">
        <f t="shared" si="44"/>
        <v>0.84402066158822919</v>
      </c>
    </row>
    <row r="1376" spans="1:15" x14ac:dyDescent="0.25">
      <c r="A1376" s="12">
        <f t="shared" si="43"/>
        <v>5</v>
      </c>
      <c r="B1376" s="12">
        <v>2024</v>
      </c>
      <c r="C1376" s="12">
        <v>7655</v>
      </c>
      <c r="E1376" s="12" t="s">
        <v>13</v>
      </c>
      <c r="F1376" s="12" t="s">
        <v>14</v>
      </c>
      <c r="G1376" s="14">
        <v>45443</v>
      </c>
      <c r="H1376" s="12" t="s">
        <v>17</v>
      </c>
      <c r="I1376" s="12" t="s">
        <v>19</v>
      </c>
      <c r="J1376" s="12" t="s">
        <v>57</v>
      </c>
      <c r="K1376" s="12">
        <v>230.01400000000001</v>
      </c>
      <c r="L1376" s="12">
        <v>194.21700000000001</v>
      </c>
      <c r="O1376" s="13">
        <f t="shared" si="44"/>
        <v>0.84437034267479372</v>
      </c>
    </row>
    <row r="1377" spans="1:15" x14ac:dyDescent="0.25">
      <c r="A1377" s="12">
        <f t="shared" si="43"/>
        <v>6</v>
      </c>
      <c r="B1377" s="12">
        <v>2024</v>
      </c>
      <c r="C1377" s="12">
        <v>7656</v>
      </c>
      <c r="E1377" s="12" t="s">
        <v>13</v>
      </c>
      <c r="F1377" s="12" t="s">
        <v>14</v>
      </c>
      <c r="G1377" s="14">
        <v>45444</v>
      </c>
      <c r="H1377" s="12" t="s">
        <v>17</v>
      </c>
      <c r="I1377" s="12" t="s">
        <v>19</v>
      </c>
      <c r="J1377" s="12" t="s">
        <v>57</v>
      </c>
      <c r="K1377" s="12">
        <v>230.02199999999999</v>
      </c>
      <c r="L1377" s="12">
        <v>194.858</v>
      </c>
      <c r="O1377" s="13">
        <f t="shared" si="44"/>
        <v>0.84712766604933443</v>
      </c>
    </row>
    <row r="1378" spans="1:15" x14ac:dyDescent="0.25">
      <c r="A1378" s="12">
        <f t="shared" si="43"/>
        <v>6</v>
      </c>
      <c r="B1378" s="12">
        <v>2024</v>
      </c>
      <c r="C1378" s="12">
        <v>7657</v>
      </c>
      <c r="E1378" s="12" t="s">
        <v>13</v>
      </c>
      <c r="F1378" s="12" t="s">
        <v>14</v>
      </c>
      <c r="G1378" s="14">
        <v>45445</v>
      </c>
      <c r="H1378" s="12" t="s">
        <v>17</v>
      </c>
      <c r="I1378" s="12" t="s">
        <v>19</v>
      </c>
      <c r="J1378" s="12" t="s">
        <v>57</v>
      </c>
      <c r="K1378" s="12">
        <v>230.011</v>
      </c>
      <c r="L1378" s="12">
        <v>195.05500000000001</v>
      </c>
      <c r="O1378" s="13">
        <f t="shared" si="44"/>
        <v>0.84802465969018881</v>
      </c>
    </row>
    <row r="1379" spans="1:15" x14ac:dyDescent="0.25">
      <c r="A1379" s="12">
        <f t="shared" si="43"/>
        <v>6</v>
      </c>
      <c r="B1379" s="12">
        <v>2024</v>
      </c>
      <c r="C1379" s="12">
        <v>7658</v>
      </c>
      <c r="E1379" s="12" t="s">
        <v>13</v>
      </c>
      <c r="F1379" s="12" t="s">
        <v>14</v>
      </c>
      <c r="G1379" s="14">
        <v>45446</v>
      </c>
      <c r="H1379" s="12" t="s">
        <v>18</v>
      </c>
      <c r="I1379" s="12" t="s">
        <v>20</v>
      </c>
      <c r="J1379" s="12" t="s">
        <v>62</v>
      </c>
      <c r="K1379" s="12">
        <v>230.005</v>
      </c>
      <c r="L1379" s="12">
        <v>194.904</v>
      </c>
      <c r="O1379" s="13">
        <f t="shared" si="44"/>
        <v>0.84739027412447554</v>
      </c>
    </row>
    <row r="1380" spans="1:15" x14ac:dyDescent="0.25">
      <c r="A1380" s="12">
        <f t="shared" si="43"/>
        <v>6</v>
      </c>
      <c r="B1380" s="12">
        <v>2024</v>
      </c>
      <c r="C1380" s="12">
        <v>7659</v>
      </c>
      <c r="E1380" s="12" t="s">
        <v>13</v>
      </c>
      <c r="F1380" s="12" t="s">
        <v>14</v>
      </c>
      <c r="G1380" s="14">
        <v>45447</v>
      </c>
      <c r="H1380" s="12" t="s">
        <v>18</v>
      </c>
      <c r="I1380" s="12" t="s">
        <v>20</v>
      </c>
      <c r="J1380" s="12" t="s">
        <v>62</v>
      </c>
      <c r="K1380" s="12">
        <v>229.96199999999999</v>
      </c>
      <c r="L1380" s="12">
        <v>194.953</v>
      </c>
      <c r="O1380" s="13">
        <f t="shared" si="44"/>
        <v>0.84776180412415969</v>
      </c>
    </row>
    <row r="1381" spans="1:15" x14ac:dyDescent="0.25">
      <c r="A1381" s="12">
        <f t="shared" si="43"/>
        <v>6</v>
      </c>
      <c r="B1381" s="12">
        <v>2024</v>
      </c>
      <c r="C1381" s="12">
        <v>7660</v>
      </c>
      <c r="E1381" s="12" t="s">
        <v>13</v>
      </c>
      <c r="F1381" s="12" t="s">
        <v>14</v>
      </c>
      <c r="G1381" s="14">
        <v>45448</v>
      </c>
      <c r="H1381" s="12" t="s">
        <v>51</v>
      </c>
      <c r="I1381" s="12" t="s">
        <v>19</v>
      </c>
      <c r="J1381" s="12" t="s">
        <v>57</v>
      </c>
      <c r="K1381" s="12">
        <v>230.01499999999999</v>
      </c>
      <c r="L1381" s="12">
        <v>194.77600000000001</v>
      </c>
      <c r="O1381" s="13">
        <f t="shared" si="44"/>
        <v>0.84679694802512884</v>
      </c>
    </row>
    <row r="1382" spans="1:15" x14ac:dyDescent="0.25">
      <c r="A1382" s="12">
        <f t="shared" si="43"/>
        <v>6</v>
      </c>
      <c r="B1382" s="12">
        <v>2024</v>
      </c>
      <c r="C1382" s="12">
        <v>7661</v>
      </c>
      <c r="E1382" s="12" t="s">
        <v>13</v>
      </c>
      <c r="F1382" s="12" t="s">
        <v>14</v>
      </c>
      <c r="G1382" s="14">
        <v>45449</v>
      </c>
      <c r="H1382" s="12" t="s">
        <v>51</v>
      </c>
      <c r="I1382" s="12" t="s">
        <v>19</v>
      </c>
      <c r="J1382" s="12" t="s">
        <v>57</v>
      </c>
      <c r="K1382" s="12">
        <v>229.958</v>
      </c>
      <c r="L1382" s="12">
        <v>195.98699999999999</v>
      </c>
      <c r="O1382" s="13">
        <f t="shared" si="44"/>
        <v>0.85227302376955794</v>
      </c>
    </row>
    <row r="1383" spans="1:15" x14ac:dyDescent="0.25">
      <c r="A1383" s="12">
        <f t="shared" si="43"/>
        <v>6</v>
      </c>
      <c r="B1383" s="12">
        <v>2024</v>
      </c>
      <c r="C1383" s="12">
        <v>7662</v>
      </c>
      <c r="E1383" s="12" t="s">
        <v>13</v>
      </c>
      <c r="F1383" s="12" t="s">
        <v>14</v>
      </c>
      <c r="G1383" s="14">
        <v>45450</v>
      </c>
      <c r="H1383" s="12" t="s">
        <v>51</v>
      </c>
      <c r="I1383" s="12" t="s">
        <v>19</v>
      </c>
      <c r="J1383" s="12" t="s">
        <v>57</v>
      </c>
      <c r="K1383" s="12">
        <v>230.005</v>
      </c>
      <c r="L1383" s="12">
        <v>195.93899999999999</v>
      </c>
      <c r="O1383" s="13">
        <f t="shared" si="44"/>
        <v>0.85189017630051522</v>
      </c>
    </row>
    <row r="1384" spans="1:15" x14ac:dyDescent="0.25">
      <c r="A1384" s="12">
        <f t="shared" si="43"/>
        <v>6</v>
      </c>
      <c r="B1384" s="12">
        <v>2024</v>
      </c>
      <c r="C1384" s="12">
        <v>7663</v>
      </c>
      <c r="E1384" s="12" t="s">
        <v>13</v>
      </c>
      <c r="F1384" s="12" t="s">
        <v>14</v>
      </c>
      <c r="G1384" s="14">
        <v>45451</v>
      </c>
      <c r="H1384" s="12" t="s">
        <v>51</v>
      </c>
      <c r="I1384" s="12" t="s">
        <v>19</v>
      </c>
      <c r="J1384" s="12" t="s">
        <v>57</v>
      </c>
      <c r="K1384" s="12">
        <v>229.982</v>
      </c>
      <c r="L1384" s="12">
        <v>196.89099999999999</v>
      </c>
      <c r="O1384" s="13">
        <f t="shared" si="44"/>
        <v>0.85611482637771652</v>
      </c>
    </row>
    <row r="1385" spans="1:15" x14ac:dyDescent="0.25">
      <c r="A1385" s="12">
        <f t="shared" si="43"/>
        <v>6</v>
      </c>
      <c r="B1385" s="12">
        <v>2024</v>
      </c>
      <c r="C1385" s="12">
        <v>7664</v>
      </c>
      <c r="E1385" s="12" t="s">
        <v>13</v>
      </c>
      <c r="F1385" s="12" t="s">
        <v>14</v>
      </c>
      <c r="G1385" s="14">
        <v>45452</v>
      </c>
      <c r="H1385" s="12" t="s">
        <v>51</v>
      </c>
      <c r="I1385" s="12" t="s">
        <v>19</v>
      </c>
      <c r="J1385" s="12" t="s">
        <v>57</v>
      </c>
      <c r="K1385" s="12">
        <v>229.92699999999999</v>
      </c>
      <c r="L1385" s="12">
        <v>195.178</v>
      </c>
      <c r="O1385" s="13">
        <f t="shared" si="44"/>
        <v>0.8488694237736325</v>
      </c>
    </row>
    <row r="1386" spans="1:15" x14ac:dyDescent="0.25">
      <c r="A1386" s="12">
        <f t="shared" si="43"/>
        <v>6</v>
      </c>
      <c r="B1386" s="12">
        <v>2024</v>
      </c>
      <c r="C1386" s="12">
        <v>7665</v>
      </c>
      <c r="E1386" s="12" t="s">
        <v>13</v>
      </c>
      <c r="F1386" s="12" t="s">
        <v>14</v>
      </c>
      <c r="G1386" s="14">
        <v>45452</v>
      </c>
      <c r="H1386" s="12" t="s">
        <v>18</v>
      </c>
      <c r="I1386" s="12" t="s">
        <v>20</v>
      </c>
      <c r="J1386" s="12" t="s">
        <v>61</v>
      </c>
      <c r="K1386" s="12">
        <v>229.935</v>
      </c>
      <c r="L1386" s="12">
        <v>194.90199999999999</v>
      </c>
      <c r="O1386" s="13">
        <f t="shared" si="44"/>
        <v>0.84763955030769556</v>
      </c>
    </row>
    <row r="1387" spans="1:15" x14ac:dyDescent="0.25">
      <c r="A1387" s="12">
        <f t="shared" si="43"/>
        <v>6</v>
      </c>
      <c r="B1387" s="12">
        <v>2024</v>
      </c>
      <c r="C1387" s="12">
        <v>7666</v>
      </c>
      <c r="E1387" s="12" t="s">
        <v>13</v>
      </c>
      <c r="F1387" s="12" t="s">
        <v>14</v>
      </c>
      <c r="G1387" s="14">
        <v>45453</v>
      </c>
      <c r="H1387" s="12" t="s">
        <v>18</v>
      </c>
      <c r="I1387" s="12" t="s">
        <v>20</v>
      </c>
      <c r="J1387" s="12" t="s">
        <v>61</v>
      </c>
      <c r="K1387" s="12">
        <v>230.006</v>
      </c>
      <c r="L1387" s="12">
        <v>192.209</v>
      </c>
      <c r="O1387" s="13">
        <f t="shared" si="44"/>
        <v>0.8356695042738016</v>
      </c>
    </row>
    <row r="1388" spans="1:15" x14ac:dyDescent="0.25">
      <c r="A1388" s="12">
        <f t="shared" si="43"/>
        <v>6</v>
      </c>
      <c r="B1388" s="12">
        <v>2024</v>
      </c>
      <c r="C1388" s="12">
        <v>7667</v>
      </c>
      <c r="E1388" s="12" t="s">
        <v>13</v>
      </c>
      <c r="F1388" s="12" t="s">
        <v>14</v>
      </c>
      <c r="G1388" s="14">
        <v>45454</v>
      </c>
      <c r="H1388" s="12" t="s">
        <v>18</v>
      </c>
      <c r="I1388" s="12" t="s">
        <v>19</v>
      </c>
      <c r="J1388" s="12" t="s">
        <v>67</v>
      </c>
      <c r="K1388" s="12">
        <v>230.95400000000001</v>
      </c>
      <c r="L1388" s="12">
        <v>199.786</v>
      </c>
      <c r="O1388" s="13">
        <f t="shared" si="44"/>
        <v>0.86504671926011234</v>
      </c>
    </row>
    <row r="1389" spans="1:15" x14ac:dyDescent="0.25">
      <c r="A1389" s="12">
        <f t="shared" si="43"/>
        <v>6</v>
      </c>
      <c r="B1389" s="12">
        <v>2024</v>
      </c>
      <c r="C1389" s="12">
        <v>7668</v>
      </c>
      <c r="E1389" s="12" t="s">
        <v>13</v>
      </c>
      <c r="F1389" s="12" t="s">
        <v>14</v>
      </c>
      <c r="G1389" s="14">
        <v>45455</v>
      </c>
      <c r="H1389" s="12" t="s">
        <v>18</v>
      </c>
      <c r="I1389" s="12" t="s">
        <v>19</v>
      </c>
      <c r="J1389" s="12" t="s">
        <v>67</v>
      </c>
      <c r="K1389" s="12">
        <v>230.017</v>
      </c>
      <c r="L1389" s="12">
        <v>198.35300000000001</v>
      </c>
      <c r="O1389" s="13">
        <f t="shared" si="44"/>
        <v>0.862340609607116</v>
      </c>
    </row>
    <row r="1390" spans="1:15" x14ac:dyDescent="0.25">
      <c r="A1390" s="12">
        <f t="shared" si="43"/>
        <v>6</v>
      </c>
      <c r="B1390" s="12">
        <v>2024</v>
      </c>
      <c r="C1390" s="12">
        <v>7669</v>
      </c>
      <c r="E1390" s="12" t="s">
        <v>13</v>
      </c>
      <c r="F1390" s="12" t="s">
        <v>14</v>
      </c>
      <c r="G1390" s="14">
        <v>45456</v>
      </c>
      <c r="H1390" s="12" t="s">
        <v>17</v>
      </c>
      <c r="I1390" s="12" t="s">
        <v>19</v>
      </c>
      <c r="J1390" s="12" t="s">
        <v>57</v>
      </c>
      <c r="K1390" s="12">
        <v>229.99799999999999</v>
      </c>
      <c r="L1390" s="12">
        <v>199.76900000000001</v>
      </c>
      <c r="O1390" s="13">
        <f t="shared" si="44"/>
        <v>0.86856842233410736</v>
      </c>
    </row>
    <row r="1391" spans="1:15" x14ac:dyDescent="0.25">
      <c r="A1391" s="12">
        <f t="shared" si="43"/>
        <v>6</v>
      </c>
      <c r="B1391" s="12">
        <v>2024</v>
      </c>
      <c r="C1391" s="12">
        <v>7670</v>
      </c>
      <c r="E1391" s="12" t="s">
        <v>13</v>
      </c>
      <c r="F1391" s="12" t="s">
        <v>14</v>
      </c>
      <c r="G1391" s="14">
        <v>45457</v>
      </c>
      <c r="H1391" s="12" t="s">
        <v>17</v>
      </c>
      <c r="I1391" s="12" t="s">
        <v>19</v>
      </c>
      <c r="J1391" s="12" t="s">
        <v>57</v>
      </c>
      <c r="K1391" s="12">
        <v>230.01</v>
      </c>
      <c r="L1391" s="12">
        <v>197.06700000000001</v>
      </c>
      <c r="O1391" s="13">
        <f t="shared" si="44"/>
        <v>0.85677579235685408</v>
      </c>
    </row>
    <row r="1392" spans="1:15" x14ac:dyDescent="0.25">
      <c r="A1392" s="12">
        <f t="shared" si="43"/>
        <v>6</v>
      </c>
      <c r="B1392" s="12">
        <v>2024</v>
      </c>
      <c r="C1392" s="12">
        <v>7671</v>
      </c>
      <c r="E1392" s="12" t="s">
        <v>13</v>
      </c>
      <c r="F1392" s="12" t="s">
        <v>14</v>
      </c>
      <c r="G1392" s="14">
        <v>45458</v>
      </c>
      <c r="H1392" s="12" t="s">
        <v>17</v>
      </c>
      <c r="I1392" s="12" t="s">
        <v>19</v>
      </c>
      <c r="J1392" s="12" t="s">
        <v>57</v>
      </c>
      <c r="K1392" s="12">
        <v>230.00399999999999</v>
      </c>
      <c r="L1392" s="12">
        <v>196.81</v>
      </c>
      <c r="O1392" s="13">
        <f t="shared" si="44"/>
        <v>0.85568077076920401</v>
      </c>
    </row>
    <row r="1393" spans="1:15" x14ac:dyDescent="0.25">
      <c r="A1393" s="12">
        <f t="shared" si="43"/>
        <v>6</v>
      </c>
      <c r="B1393" s="12">
        <v>2024</v>
      </c>
      <c r="C1393" s="12">
        <v>7672</v>
      </c>
      <c r="E1393" s="12" t="s">
        <v>13</v>
      </c>
      <c r="F1393" s="12" t="s">
        <v>14</v>
      </c>
      <c r="G1393" s="14">
        <v>45459</v>
      </c>
      <c r="H1393" s="12" t="s">
        <v>17</v>
      </c>
      <c r="I1393" s="12" t="s">
        <v>19</v>
      </c>
      <c r="J1393" s="12" t="s">
        <v>57</v>
      </c>
      <c r="K1393" s="12">
        <v>230.10300000000001</v>
      </c>
      <c r="L1393" s="12">
        <v>198.34700000000001</v>
      </c>
      <c r="O1393" s="13">
        <f t="shared" si="44"/>
        <v>0.86199223825851901</v>
      </c>
    </row>
    <row r="1394" spans="1:15" x14ac:dyDescent="0.25">
      <c r="A1394" s="12">
        <f t="shared" si="43"/>
        <v>6</v>
      </c>
      <c r="B1394" s="12">
        <v>2024</v>
      </c>
      <c r="C1394" s="12">
        <v>7673</v>
      </c>
      <c r="E1394" s="12" t="s">
        <v>13</v>
      </c>
      <c r="F1394" s="12" t="s">
        <v>14</v>
      </c>
      <c r="G1394" s="14">
        <v>45460</v>
      </c>
      <c r="H1394" s="12" t="s">
        <v>17</v>
      </c>
      <c r="I1394" s="12" t="s">
        <v>19</v>
      </c>
      <c r="J1394" s="12" t="s">
        <v>57</v>
      </c>
      <c r="K1394" s="12">
        <v>230.083</v>
      </c>
      <c r="L1394" s="12">
        <v>199.71700000000001</v>
      </c>
      <c r="O1394" s="13">
        <f t="shared" si="44"/>
        <v>0.86802154005293752</v>
      </c>
    </row>
    <row r="1395" spans="1:15" x14ac:dyDescent="0.25">
      <c r="A1395" s="12">
        <f t="shared" si="43"/>
        <v>6</v>
      </c>
      <c r="B1395" s="12">
        <v>2024</v>
      </c>
      <c r="C1395" s="12">
        <v>7674</v>
      </c>
      <c r="E1395" s="12" t="s">
        <v>13</v>
      </c>
      <c r="F1395" s="12" t="s">
        <v>14</v>
      </c>
      <c r="G1395" s="14">
        <v>45461</v>
      </c>
      <c r="H1395" s="12" t="s">
        <v>18</v>
      </c>
      <c r="I1395" s="12" t="s">
        <v>19</v>
      </c>
      <c r="J1395" s="12" t="s">
        <v>57</v>
      </c>
      <c r="K1395" s="12">
        <v>230.011</v>
      </c>
      <c r="L1395" s="12">
        <v>195.64099999999999</v>
      </c>
      <c r="O1395" s="13">
        <f t="shared" si="44"/>
        <v>0.85057236393042068</v>
      </c>
    </row>
    <row r="1396" spans="1:15" x14ac:dyDescent="0.25">
      <c r="A1396" s="12">
        <f t="shared" si="43"/>
        <v>6</v>
      </c>
      <c r="B1396" s="12">
        <v>2024</v>
      </c>
      <c r="C1396" s="12">
        <v>7675</v>
      </c>
      <c r="E1396" s="12" t="s">
        <v>13</v>
      </c>
      <c r="F1396" s="12" t="s">
        <v>14</v>
      </c>
      <c r="G1396" s="14">
        <v>45462</v>
      </c>
      <c r="H1396" s="12" t="s">
        <v>18</v>
      </c>
      <c r="I1396" s="12" t="s">
        <v>19</v>
      </c>
      <c r="J1396" s="12" t="s">
        <v>57</v>
      </c>
      <c r="K1396" s="12">
        <v>229.93199999999999</v>
      </c>
      <c r="L1396" s="12">
        <v>193.613</v>
      </c>
      <c r="O1396" s="13">
        <f t="shared" si="44"/>
        <v>0.84204460449176277</v>
      </c>
    </row>
    <row r="1397" spans="1:15" x14ac:dyDescent="0.25">
      <c r="A1397" s="12">
        <f t="shared" si="43"/>
        <v>6</v>
      </c>
      <c r="B1397" s="12">
        <v>2024</v>
      </c>
      <c r="C1397" s="12">
        <v>7676</v>
      </c>
      <c r="E1397" s="12" t="s">
        <v>13</v>
      </c>
      <c r="F1397" s="12" t="s">
        <v>14</v>
      </c>
      <c r="G1397" s="14">
        <v>45463</v>
      </c>
      <c r="H1397" s="12" t="s">
        <v>18</v>
      </c>
      <c r="I1397" s="12" t="s">
        <v>19</v>
      </c>
      <c r="J1397" s="12" t="s">
        <v>67</v>
      </c>
      <c r="K1397" s="12">
        <v>230.00899999999999</v>
      </c>
      <c r="L1397" s="12">
        <v>193.45699999999999</v>
      </c>
      <c r="O1397" s="13">
        <f t="shared" si="44"/>
        <v>0.8410844793029838</v>
      </c>
    </row>
    <row r="1398" spans="1:15" x14ac:dyDescent="0.25">
      <c r="A1398" s="12">
        <f t="shared" si="43"/>
        <v>6</v>
      </c>
      <c r="B1398" s="12">
        <v>2024</v>
      </c>
      <c r="C1398" s="12">
        <v>7677</v>
      </c>
      <c r="E1398" s="12" t="s">
        <v>13</v>
      </c>
      <c r="F1398" s="12" t="s">
        <v>14</v>
      </c>
      <c r="G1398" s="14">
        <v>45464</v>
      </c>
      <c r="H1398" s="12" t="s">
        <v>18</v>
      </c>
      <c r="I1398" s="12" t="s">
        <v>19</v>
      </c>
      <c r="J1398" s="12" t="s">
        <v>67</v>
      </c>
      <c r="K1398" s="12">
        <v>230.01900000000001</v>
      </c>
      <c r="L1398" s="12">
        <v>192.613</v>
      </c>
      <c r="O1398" s="13">
        <f t="shared" si="44"/>
        <v>0.83737865132880329</v>
      </c>
    </row>
    <row r="1399" spans="1:15" x14ac:dyDescent="0.25">
      <c r="A1399" s="12">
        <f t="shared" si="43"/>
        <v>6</v>
      </c>
      <c r="B1399" s="12">
        <v>2024</v>
      </c>
      <c r="C1399" s="12">
        <v>7678</v>
      </c>
      <c r="E1399" s="12" t="s">
        <v>13</v>
      </c>
      <c r="F1399" s="12" t="s">
        <v>14</v>
      </c>
      <c r="G1399" s="14">
        <v>45466</v>
      </c>
      <c r="H1399" s="12" t="s">
        <v>18</v>
      </c>
      <c r="I1399" s="12" t="s">
        <v>19</v>
      </c>
      <c r="J1399" s="12" t="s">
        <v>67</v>
      </c>
      <c r="K1399" s="12">
        <v>229.952</v>
      </c>
      <c r="L1399" s="12">
        <v>192.76</v>
      </c>
      <c r="O1399" s="13">
        <f t="shared" si="44"/>
        <v>0.83826189813526297</v>
      </c>
    </row>
    <row r="1400" spans="1:15" x14ac:dyDescent="0.25">
      <c r="A1400" s="12">
        <f t="shared" si="43"/>
        <v>6</v>
      </c>
      <c r="B1400" s="12">
        <v>2024</v>
      </c>
      <c r="C1400" s="12">
        <v>7679</v>
      </c>
      <c r="E1400" s="12" t="s">
        <v>13</v>
      </c>
      <c r="F1400" s="12" t="s">
        <v>14</v>
      </c>
      <c r="G1400" s="14">
        <v>45466</v>
      </c>
      <c r="H1400" s="12" t="s">
        <v>18</v>
      </c>
      <c r="I1400" s="12" t="s">
        <v>19</v>
      </c>
      <c r="J1400" s="12" t="s">
        <v>67</v>
      </c>
      <c r="K1400" s="12">
        <v>229.97200000000001</v>
      </c>
      <c r="L1400" s="12">
        <v>192.309</v>
      </c>
      <c r="O1400" s="13">
        <f t="shared" si="44"/>
        <v>0.83622788861252673</v>
      </c>
    </row>
    <row r="1401" spans="1:15" x14ac:dyDescent="0.25">
      <c r="A1401" s="12">
        <f t="shared" si="43"/>
        <v>6</v>
      </c>
      <c r="B1401" s="12">
        <v>2024</v>
      </c>
      <c r="C1401" s="12">
        <v>7680</v>
      </c>
      <c r="E1401" s="12" t="s">
        <v>13</v>
      </c>
      <c r="F1401" s="12" t="s">
        <v>14</v>
      </c>
      <c r="G1401" s="14">
        <v>45468</v>
      </c>
      <c r="H1401" s="12" t="s">
        <v>18</v>
      </c>
      <c r="I1401" s="12" t="s">
        <v>19</v>
      </c>
      <c r="J1401" s="12" t="s">
        <v>67</v>
      </c>
      <c r="K1401" s="12">
        <v>230.01499999999999</v>
      </c>
      <c r="L1401" s="12">
        <v>191.86799999999999</v>
      </c>
      <c r="O1401" s="13">
        <f t="shared" si="44"/>
        <v>0.83415429428515531</v>
      </c>
    </row>
    <row r="1402" spans="1:15" x14ac:dyDescent="0.25">
      <c r="A1402" s="12">
        <f t="shared" si="43"/>
        <v>6</v>
      </c>
      <c r="B1402" s="12">
        <v>2024</v>
      </c>
      <c r="C1402" s="12">
        <v>7681</v>
      </c>
      <c r="E1402" s="12" t="s">
        <v>13</v>
      </c>
      <c r="F1402" s="12" t="s">
        <v>14</v>
      </c>
      <c r="G1402" s="14">
        <v>45469</v>
      </c>
      <c r="H1402" s="12" t="s">
        <v>18</v>
      </c>
      <c r="I1402" s="12" t="s">
        <v>20</v>
      </c>
      <c r="J1402" s="12" t="s">
        <v>61</v>
      </c>
      <c r="K1402" s="12">
        <v>230.01400000000001</v>
      </c>
      <c r="L1402" s="12">
        <v>191.423</v>
      </c>
      <c r="O1402" s="13">
        <f t="shared" si="44"/>
        <v>0.83222325597572322</v>
      </c>
    </row>
    <row r="1403" spans="1:15" x14ac:dyDescent="0.25">
      <c r="A1403" s="12">
        <f t="shared" si="43"/>
        <v>6</v>
      </c>
      <c r="B1403" s="12">
        <v>2024</v>
      </c>
      <c r="C1403" s="12">
        <v>7683</v>
      </c>
      <c r="E1403" s="12" t="s">
        <v>13</v>
      </c>
      <c r="F1403" s="12" t="s">
        <v>14</v>
      </c>
      <c r="G1403" s="14">
        <v>45470</v>
      </c>
      <c r="H1403" s="12" t="s">
        <v>17</v>
      </c>
      <c r="I1403" s="12" t="s">
        <v>19</v>
      </c>
      <c r="J1403" s="12" t="s">
        <v>57</v>
      </c>
      <c r="K1403" s="12">
        <v>229.99799999999999</v>
      </c>
      <c r="L1403" s="12">
        <v>199.07499999999999</v>
      </c>
      <c r="O1403" s="13">
        <f t="shared" si="44"/>
        <v>0.86555100479134595</v>
      </c>
    </row>
    <row r="1404" spans="1:15" x14ac:dyDescent="0.25">
      <c r="A1404" s="12">
        <f t="shared" si="43"/>
        <v>6</v>
      </c>
      <c r="B1404" s="12">
        <v>2024</v>
      </c>
      <c r="C1404" s="12">
        <v>7682</v>
      </c>
      <c r="E1404" s="12" t="s">
        <v>13</v>
      </c>
      <c r="F1404" s="12" t="s">
        <v>14</v>
      </c>
      <c r="G1404" s="14">
        <v>45471</v>
      </c>
      <c r="H1404" s="12" t="s">
        <v>18</v>
      </c>
      <c r="I1404" s="12" t="s">
        <v>20</v>
      </c>
      <c r="J1404" s="12" t="s">
        <v>61</v>
      </c>
      <c r="K1404" s="12">
        <v>230.03399999999999</v>
      </c>
      <c r="L1404" s="12">
        <v>187.21100000000001</v>
      </c>
      <c r="O1404" s="13">
        <f t="shared" si="44"/>
        <v>0.81384056269942717</v>
      </c>
    </row>
    <row r="1405" spans="1:15" x14ac:dyDescent="0.25">
      <c r="A1405" s="12">
        <f t="shared" si="43"/>
        <v>6</v>
      </c>
      <c r="B1405" s="12">
        <v>2024</v>
      </c>
      <c r="C1405" s="12">
        <v>7684</v>
      </c>
      <c r="E1405" s="12" t="s">
        <v>13</v>
      </c>
      <c r="F1405" s="12" t="s">
        <v>14</v>
      </c>
      <c r="G1405" s="14">
        <v>45472</v>
      </c>
      <c r="H1405" s="12" t="s">
        <v>17</v>
      </c>
      <c r="I1405" s="12" t="s">
        <v>19</v>
      </c>
      <c r="J1405" s="12" t="s">
        <v>57</v>
      </c>
      <c r="K1405" s="12">
        <v>230.006</v>
      </c>
      <c r="L1405" s="12">
        <v>191.01599999999999</v>
      </c>
      <c r="O1405" s="13">
        <f t="shared" si="44"/>
        <v>0.83048268306044182</v>
      </c>
    </row>
    <row r="1406" spans="1:15" x14ac:dyDescent="0.25">
      <c r="A1406" s="12">
        <f t="shared" si="43"/>
        <v>6</v>
      </c>
      <c r="B1406" s="12">
        <v>2024</v>
      </c>
      <c r="C1406" s="12">
        <v>7685</v>
      </c>
      <c r="E1406" s="12" t="s">
        <v>13</v>
      </c>
      <c r="F1406" s="12" t="s">
        <v>14</v>
      </c>
      <c r="G1406" s="14">
        <v>45473</v>
      </c>
      <c r="H1406" s="12" t="s">
        <v>17</v>
      </c>
      <c r="I1406" s="12" t="s">
        <v>19</v>
      </c>
      <c r="J1406" s="12" t="s">
        <v>57</v>
      </c>
      <c r="K1406" s="12">
        <v>230.02600000000001</v>
      </c>
      <c r="L1406" s="12">
        <v>191.58099999999999</v>
      </c>
      <c r="O1406" s="13">
        <f t="shared" si="44"/>
        <v>0.83286671941432699</v>
      </c>
    </row>
    <row r="1407" spans="1:15" x14ac:dyDescent="0.25">
      <c r="A1407" s="12">
        <f t="shared" si="43"/>
        <v>7</v>
      </c>
      <c r="B1407" s="12">
        <v>2024</v>
      </c>
      <c r="C1407" s="12">
        <v>7686</v>
      </c>
      <c r="E1407" s="12" t="s">
        <v>13</v>
      </c>
      <c r="F1407" s="12" t="s">
        <v>14</v>
      </c>
      <c r="G1407" s="14">
        <v>45474</v>
      </c>
      <c r="H1407" s="12" t="s">
        <v>17</v>
      </c>
      <c r="I1407" s="12" t="s">
        <v>19</v>
      </c>
      <c r="J1407" s="12" t="s">
        <v>57</v>
      </c>
      <c r="K1407" s="12">
        <v>230.02199999999999</v>
      </c>
      <c r="L1407" s="12">
        <v>195.34299999999999</v>
      </c>
      <c r="O1407" s="13">
        <f t="shared" si="44"/>
        <v>0.84923616001947644</v>
      </c>
    </row>
    <row r="1408" spans="1:15" x14ac:dyDescent="0.25">
      <c r="A1408" s="12">
        <f t="shared" si="43"/>
        <v>7</v>
      </c>
      <c r="B1408" s="12">
        <v>2024</v>
      </c>
      <c r="C1408" s="12">
        <v>7687</v>
      </c>
      <c r="E1408" s="12" t="s">
        <v>13</v>
      </c>
      <c r="F1408" s="12" t="s">
        <v>14</v>
      </c>
      <c r="G1408" s="14">
        <v>45475</v>
      </c>
      <c r="H1408" s="12" t="s">
        <v>17</v>
      </c>
      <c r="I1408" s="12" t="s">
        <v>19</v>
      </c>
      <c r="J1408" s="12" t="s">
        <v>57</v>
      </c>
      <c r="K1408" s="12">
        <v>229.983</v>
      </c>
      <c r="L1408" s="12">
        <v>194.67400000000001</v>
      </c>
      <c r="O1408" s="13">
        <f t="shared" si="44"/>
        <v>0.84647126091928537</v>
      </c>
    </row>
    <row r="1409" spans="1:15" x14ac:dyDescent="0.25">
      <c r="A1409" s="12">
        <f t="shared" si="43"/>
        <v>7</v>
      </c>
      <c r="B1409" s="12">
        <v>2024</v>
      </c>
      <c r="C1409" s="12">
        <v>7688</v>
      </c>
      <c r="E1409" s="12" t="s">
        <v>13</v>
      </c>
      <c r="F1409" s="12" t="s">
        <v>14</v>
      </c>
      <c r="G1409" s="14">
        <v>45476</v>
      </c>
      <c r="H1409" s="12" t="s">
        <v>37</v>
      </c>
      <c r="I1409" s="12" t="s">
        <v>70</v>
      </c>
      <c r="J1409" s="12" t="s">
        <v>71</v>
      </c>
      <c r="K1409" s="12">
        <v>229.934</v>
      </c>
      <c r="L1409" s="12">
        <v>194.53800000000001</v>
      </c>
      <c r="O1409" s="13">
        <f t="shared" si="44"/>
        <v>0.84606017378900034</v>
      </c>
    </row>
    <row r="1410" spans="1:15" x14ac:dyDescent="0.25">
      <c r="A1410" s="12">
        <f t="shared" ref="A1410:A1474" si="45">MONTH(G1410)</f>
        <v>7</v>
      </c>
      <c r="B1410" s="12">
        <v>2024</v>
      </c>
      <c r="C1410" s="12">
        <v>7689</v>
      </c>
      <c r="E1410" s="12" t="s">
        <v>13</v>
      </c>
      <c r="F1410" s="12" t="s">
        <v>14</v>
      </c>
      <c r="G1410" s="14">
        <v>45477</v>
      </c>
      <c r="H1410" s="12" t="s">
        <v>18</v>
      </c>
      <c r="I1410" s="12" t="s">
        <v>19</v>
      </c>
      <c r="J1410" s="12" t="s">
        <v>67</v>
      </c>
      <c r="K1410" s="12">
        <v>230.09200000000001</v>
      </c>
      <c r="L1410" s="12">
        <v>195.41200000000001</v>
      </c>
      <c r="O1410" s="13">
        <f t="shared" si="44"/>
        <v>0.84927768023225492</v>
      </c>
    </row>
    <row r="1411" spans="1:15" x14ac:dyDescent="0.25">
      <c r="A1411" s="12">
        <f t="shared" si="45"/>
        <v>7</v>
      </c>
      <c r="B1411" s="12">
        <v>2024</v>
      </c>
      <c r="C1411" s="12">
        <v>7690</v>
      </c>
      <c r="E1411" s="12" t="s">
        <v>13</v>
      </c>
      <c r="F1411" s="12" t="s">
        <v>14</v>
      </c>
      <c r="G1411" s="14">
        <v>45478</v>
      </c>
      <c r="H1411" s="12" t="s">
        <v>18</v>
      </c>
      <c r="I1411" s="12" t="s">
        <v>19</v>
      </c>
      <c r="J1411" s="12" t="s">
        <v>67</v>
      </c>
      <c r="K1411" s="12">
        <v>230.08099999999999</v>
      </c>
      <c r="L1411" s="12">
        <v>198.352</v>
      </c>
      <c r="O1411" s="13">
        <f t="shared" si="44"/>
        <v>0.86209639214015943</v>
      </c>
    </row>
    <row r="1412" spans="1:15" x14ac:dyDescent="0.25">
      <c r="A1412" s="12">
        <f t="shared" si="45"/>
        <v>7</v>
      </c>
      <c r="B1412" s="12">
        <v>2024</v>
      </c>
      <c r="C1412" s="12">
        <v>7691</v>
      </c>
      <c r="E1412" s="12" t="s">
        <v>13</v>
      </c>
      <c r="F1412" s="12" t="s">
        <v>14</v>
      </c>
      <c r="G1412" s="14">
        <v>45479</v>
      </c>
      <c r="H1412" s="12" t="s">
        <v>18</v>
      </c>
      <c r="I1412" s="12" t="s">
        <v>19</v>
      </c>
      <c r="J1412" s="12" t="s">
        <v>67</v>
      </c>
      <c r="K1412" s="12">
        <v>230</v>
      </c>
      <c r="L1412" s="12">
        <v>197.624</v>
      </c>
      <c r="O1412" s="13">
        <f t="shared" si="44"/>
        <v>0.85923478260869568</v>
      </c>
    </row>
    <row r="1413" spans="1:15" x14ac:dyDescent="0.25">
      <c r="A1413" s="12">
        <f t="shared" si="45"/>
        <v>7</v>
      </c>
      <c r="B1413" s="12">
        <v>2024</v>
      </c>
      <c r="C1413" s="12">
        <v>7692</v>
      </c>
      <c r="E1413" s="12" t="s">
        <v>13</v>
      </c>
      <c r="F1413" s="12" t="s">
        <v>14</v>
      </c>
      <c r="G1413" s="14">
        <v>45480</v>
      </c>
      <c r="H1413" s="12" t="s">
        <v>18</v>
      </c>
      <c r="I1413" s="12" t="s">
        <v>19</v>
      </c>
      <c r="J1413" s="12" t="s">
        <v>67</v>
      </c>
      <c r="K1413" s="12">
        <v>229.88</v>
      </c>
      <c r="L1413" s="12">
        <v>191.93899999999999</v>
      </c>
      <c r="O1413" s="13">
        <f t="shared" si="44"/>
        <v>0.83495301896641727</v>
      </c>
    </row>
    <row r="1414" spans="1:15" x14ac:dyDescent="0.25">
      <c r="A1414" s="12">
        <f t="shared" si="45"/>
        <v>7</v>
      </c>
      <c r="B1414" s="12">
        <v>2024</v>
      </c>
      <c r="C1414" s="12">
        <v>7693</v>
      </c>
      <c r="E1414" s="12" t="s">
        <v>13</v>
      </c>
      <c r="F1414" s="12" t="s">
        <v>14</v>
      </c>
      <c r="G1414" s="14">
        <v>45481</v>
      </c>
      <c r="H1414" s="12" t="s">
        <v>18</v>
      </c>
      <c r="I1414" s="12" t="s">
        <v>70</v>
      </c>
      <c r="J1414" s="12" t="s">
        <v>67</v>
      </c>
      <c r="K1414" s="12">
        <v>229.959</v>
      </c>
      <c r="L1414" s="12">
        <v>195.28</v>
      </c>
      <c r="O1414" s="13">
        <f t="shared" si="44"/>
        <v>0.84919485647441495</v>
      </c>
    </row>
    <row r="1415" spans="1:15" x14ac:dyDescent="0.25">
      <c r="A1415" s="12">
        <f t="shared" si="45"/>
        <v>7</v>
      </c>
      <c r="B1415" s="12">
        <v>2024</v>
      </c>
      <c r="C1415" s="12">
        <v>7694</v>
      </c>
      <c r="E1415" s="12" t="s">
        <v>13</v>
      </c>
      <c r="F1415" s="12" t="s">
        <v>14</v>
      </c>
      <c r="G1415" s="14">
        <v>45482</v>
      </c>
      <c r="H1415" s="12" t="s">
        <v>18</v>
      </c>
      <c r="I1415" s="12" t="s">
        <v>19</v>
      </c>
      <c r="J1415" s="12" t="s">
        <v>57</v>
      </c>
      <c r="K1415" s="12">
        <v>229.99799999999999</v>
      </c>
      <c r="L1415" s="12">
        <v>197.03899999999999</v>
      </c>
      <c r="O1415" s="13">
        <f t="shared" si="44"/>
        <v>0.85669875390220784</v>
      </c>
    </row>
    <row r="1416" spans="1:15" x14ac:dyDescent="0.25">
      <c r="A1416" s="12">
        <f t="shared" si="45"/>
        <v>7</v>
      </c>
      <c r="B1416" s="12">
        <v>2024</v>
      </c>
      <c r="C1416" s="12">
        <v>7695</v>
      </c>
      <c r="E1416" s="12" t="s">
        <v>13</v>
      </c>
      <c r="F1416" s="12" t="s">
        <v>14</v>
      </c>
      <c r="G1416" s="14">
        <v>45483</v>
      </c>
      <c r="H1416" s="12" t="s">
        <v>18</v>
      </c>
      <c r="I1416" s="12" t="s">
        <v>19</v>
      </c>
      <c r="J1416" s="12" t="s">
        <v>57</v>
      </c>
      <c r="K1416" s="12">
        <v>230.005</v>
      </c>
      <c r="L1416" s="12">
        <v>197.066</v>
      </c>
      <c r="O1416" s="13">
        <f t="shared" si="44"/>
        <v>0.85679006978109173</v>
      </c>
    </row>
    <row r="1417" spans="1:15" x14ac:dyDescent="0.25">
      <c r="A1417" s="12">
        <f t="shared" si="45"/>
        <v>7</v>
      </c>
      <c r="B1417" s="12">
        <v>2024</v>
      </c>
      <c r="C1417" s="12">
        <v>7696</v>
      </c>
      <c r="E1417" s="12" t="s">
        <v>13</v>
      </c>
      <c r="F1417" s="12" t="s">
        <v>14</v>
      </c>
      <c r="G1417" s="14">
        <v>45483</v>
      </c>
      <c r="H1417" s="12" t="s">
        <v>18</v>
      </c>
      <c r="I1417" s="12" t="s">
        <v>19</v>
      </c>
      <c r="J1417" s="12" t="s">
        <v>57</v>
      </c>
      <c r="K1417" s="12">
        <v>230.01300000000001</v>
      </c>
      <c r="L1417" s="12">
        <v>194.56100000000001</v>
      </c>
      <c r="O1417" s="13">
        <f t="shared" ref="O1417:O1474" si="46">L1417/K1417</f>
        <v>0.84586958128453615</v>
      </c>
    </row>
    <row r="1418" spans="1:15" x14ac:dyDescent="0.25">
      <c r="A1418" s="12">
        <f t="shared" si="45"/>
        <v>7</v>
      </c>
      <c r="B1418" s="12">
        <v>2024</v>
      </c>
      <c r="C1418" s="12">
        <v>7697</v>
      </c>
      <c r="E1418" s="12" t="s">
        <v>13</v>
      </c>
      <c r="F1418" s="12" t="s">
        <v>14</v>
      </c>
      <c r="G1418" s="14">
        <v>45484</v>
      </c>
      <c r="H1418" s="12" t="s">
        <v>18</v>
      </c>
      <c r="I1418" s="12" t="s">
        <v>19</v>
      </c>
      <c r="J1418" s="12" t="s">
        <v>57</v>
      </c>
      <c r="K1418" s="12">
        <v>229.999</v>
      </c>
      <c r="L1418" s="12">
        <v>197.21299999999999</v>
      </c>
      <c r="O1418" s="13">
        <f t="shared" si="46"/>
        <v>0.85745155413719187</v>
      </c>
    </row>
    <row r="1419" spans="1:15" x14ac:dyDescent="0.25">
      <c r="A1419" s="12">
        <f t="shared" si="45"/>
        <v>7</v>
      </c>
      <c r="B1419" s="12">
        <v>2024</v>
      </c>
      <c r="C1419" s="12">
        <v>7698</v>
      </c>
      <c r="E1419" s="12" t="s">
        <v>13</v>
      </c>
      <c r="F1419" s="12" t="s">
        <v>14</v>
      </c>
      <c r="G1419" s="14">
        <v>45485</v>
      </c>
      <c r="H1419" s="12" t="s">
        <v>18</v>
      </c>
      <c r="I1419" s="12" t="s">
        <v>19</v>
      </c>
      <c r="J1419" s="12" t="s">
        <v>57</v>
      </c>
      <c r="K1419" s="12">
        <v>230.00299999999999</v>
      </c>
      <c r="L1419" s="12">
        <v>194.78700000000001</v>
      </c>
      <c r="O1419" s="13">
        <f t="shared" si="46"/>
        <v>0.84688895362234418</v>
      </c>
    </row>
    <row r="1420" spans="1:15" x14ac:dyDescent="0.25">
      <c r="A1420" s="12">
        <f t="shared" si="45"/>
        <v>7</v>
      </c>
      <c r="B1420" s="12">
        <v>2024</v>
      </c>
      <c r="C1420" s="12">
        <v>7699</v>
      </c>
      <c r="E1420" s="12" t="s">
        <v>13</v>
      </c>
      <c r="F1420" s="12" t="s">
        <v>14</v>
      </c>
      <c r="G1420" s="14">
        <v>45486</v>
      </c>
      <c r="H1420" s="12" t="s">
        <v>17</v>
      </c>
      <c r="I1420" s="12" t="s">
        <v>19</v>
      </c>
      <c r="J1420" s="12" t="s">
        <v>57</v>
      </c>
      <c r="K1420" s="12">
        <v>229.96899999999999</v>
      </c>
      <c r="L1420" s="12">
        <v>194.005</v>
      </c>
      <c r="O1420" s="13">
        <f t="shared" si="46"/>
        <v>0.84361370445581796</v>
      </c>
    </row>
    <row r="1421" spans="1:15" x14ac:dyDescent="0.25">
      <c r="A1421" s="12">
        <f t="shared" si="45"/>
        <v>7</v>
      </c>
      <c r="B1421" s="12">
        <v>2024</v>
      </c>
      <c r="C1421" s="12">
        <v>7700</v>
      </c>
      <c r="E1421" s="12" t="s">
        <v>13</v>
      </c>
      <c r="F1421" s="12" t="s">
        <v>14</v>
      </c>
      <c r="G1421" s="14">
        <v>45487</v>
      </c>
      <c r="H1421" s="12" t="s">
        <v>17</v>
      </c>
      <c r="I1421" s="12" t="s">
        <v>19</v>
      </c>
      <c r="J1421" s="12" t="s">
        <v>57</v>
      </c>
      <c r="K1421" s="12">
        <v>229.982</v>
      </c>
      <c r="L1421" s="12">
        <v>194.863</v>
      </c>
      <c r="O1421" s="13">
        <f t="shared" si="46"/>
        <v>0.84729674496264928</v>
      </c>
    </row>
    <row r="1422" spans="1:15" x14ac:dyDescent="0.25">
      <c r="A1422" s="12">
        <f t="shared" si="45"/>
        <v>7</v>
      </c>
      <c r="B1422" s="12">
        <v>2024</v>
      </c>
      <c r="C1422" s="12">
        <v>7701</v>
      </c>
      <c r="E1422" s="12" t="s">
        <v>13</v>
      </c>
      <c r="F1422" s="12" t="s">
        <v>14</v>
      </c>
      <c r="G1422" s="14">
        <v>45488</v>
      </c>
      <c r="H1422" s="12" t="s">
        <v>17</v>
      </c>
      <c r="I1422" s="12" t="s">
        <v>19</v>
      </c>
      <c r="J1422" s="12" t="s">
        <v>57</v>
      </c>
      <c r="K1422" s="12">
        <v>230.011</v>
      </c>
      <c r="L1422" s="12">
        <v>195.43600000000001</v>
      </c>
      <c r="O1422" s="13">
        <f t="shared" si="46"/>
        <v>0.84968110220815529</v>
      </c>
    </row>
    <row r="1423" spans="1:15" x14ac:dyDescent="0.25">
      <c r="A1423" s="12">
        <f t="shared" si="45"/>
        <v>7</v>
      </c>
      <c r="B1423" s="12">
        <v>2024</v>
      </c>
      <c r="C1423" s="12">
        <v>7702</v>
      </c>
      <c r="E1423" s="12" t="s">
        <v>13</v>
      </c>
      <c r="F1423" s="12" t="s">
        <v>14</v>
      </c>
      <c r="G1423" s="14">
        <v>45489</v>
      </c>
      <c r="H1423" s="12" t="s">
        <v>17</v>
      </c>
      <c r="I1423" s="12" t="s">
        <v>19</v>
      </c>
      <c r="J1423" s="12" t="s">
        <v>57</v>
      </c>
      <c r="K1423" s="12">
        <v>229.988</v>
      </c>
      <c r="L1423" s="12">
        <v>194.25399999999999</v>
      </c>
      <c r="O1423" s="13">
        <f t="shared" si="46"/>
        <v>0.84462667617440901</v>
      </c>
    </row>
    <row r="1424" spans="1:15" x14ac:dyDescent="0.25">
      <c r="A1424" s="12">
        <f t="shared" si="45"/>
        <v>7</v>
      </c>
      <c r="B1424" s="12">
        <v>2024</v>
      </c>
      <c r="C1424" s="12">
        <v>7703</v>
      </c>
      <c r="E1424" s="12" t="s">
        <v>13</v>
      </c>
      <c r="F1424" s="12" t="s">
        <v>14</v>
      </c>
      <c r="G1424" s="14">
        <v>45490</v>
      </c>
      <c r="H1424" s="12" t="s">
        <v>17</v>
      </c>
      <c r="I1424" s="12" t="s">
        <v>19</v>
      </c>
      <c r="J1424" s="12" t="s">
        <v>57</v>
      </c>
      <c r="K1424" s="12">
        <v>229.916</v>
      </c>
      <c r="L1424" s="12">
        <v>198.24700000000001</v>
      </c>
      <c r="O1424" s="13">
        <f t="shared" si="46"/>
        <v>0.86225839002070326</v>
      </c>
    </row>
    <row r="1425" spans="1:15" x14ac:dyDescent="0.25">
      <c r="A1425" s="12">
        <f t="shared" si="45"/>
        <v>7</v>
      </c>
      <c r="B1425" s="12">
        <v>2024</v>
      </c>
      <c r="C1425" s="12">
        <v>7704</v>
      </c>
      <c r="E1425" s="12" t="s">
        <v>13</v>
      </c>
      <c r="F1425" s="12" t="s">
        <v>14</v>
      </c>
      <c r="G1425" s="14">
        <v>45491</v>
      </c>
      <c r="H1425" s="12" t="s">
        <v>18</v>
      </c>
      <c r="I1425" s="12" t="s">
        <v>20</v>
      </c>
      <c r="J1425" s="12" t="s">
        <v>61</v>
      </c>
      <c r="K1425" s="12">
        <v>229.93700000000001</v>
      </c>
      <c r="L1425" s="12">
        <v>193.678</v>
      </c>
      <c r="O1425" s="13">
        <f t="shared" si="46"/>
        <v>0.8423089802859044</v>
      </c>
    </row>
    <row r="1426" spans="1:15" x14ac:dyDescent="0.25">
      <c r="A1426" s="12">
        <f t="shared" si="45"/>
        <v>7</v>
      </c>
      <c r="B1426" s="12">
        <v>2024</v>
      </c>
      <c r="C1426" s="12">
        <v>7705</v>
      </c>
      <c r="E1426" s="12" t="s">
        <v>13</v>
      </c>
      <c r="F1426" s="12" t="s">
        <v>14</v>
      </c>
      <c r="G1426" s="14">
        <v>45492</v>
      </c>
      <c r="H1426" s="12" t="s">
        <v>18</v>
      </c>
      <c r="I1426" s="12" t="s">
        <v>20</v>
      </c>
      <c r="J1426" s="12" t="s">
        <v>61</v>
      </c>
      <c r="K1426" s="12">
        <v>229.92500000000001</v>
      </c>
      <c r="O1426" s="13">
        <f t="shared" si="46"/>
        <v>0</v>
      </c>
    </row>
    <row r="1427" spans="1:15" x14ac:dyDescent="0.25">
      <c r="A1427" s="12">
        <f t="shared" si="45"/>
        <v>7</v>
      </c>
      <c r="B1427" s="12">
        <v>2024</v>
      </c>
      <c r="C1427" s="12">
        <v>7706</v>
      </c>
      <c r="E1427" s="12" t="s">
        <v>13</v>
      </c>
      <c r="F1427" s="12" t="s">
        <v>14</v>
      </c>
      <c r="G1427" s="14">
        <v>45493</v>
      </c>
      <c r="H1427" s="12" t="s">
        <v>18</v>
      </c>
      <c r="I1427" s="12" t="s">
        <v>19</v>
      </c>
      <c r="J1427" s="12" t="s">
        <v>57</v>
      </c>
      <c r="K1427" s="12">
        <v>230.01300000000001</v>
      </c>
      <c r="O1427" s="13">
        <f t="shared" si="46"/>
        <v>0</v>
      </c>
    </row>
    <row r="1428" spans="1:15" x14ac:dyDescent="0.25">
      <c r="A1428" s="12">
        <f t="shared" si="45"/>
        <v>7</v>
      </c>
      <c r="B1428" s="12">
        <v>2024</v>
      </c>
      <c r="C1428" s="12">
        <v>7707</v>
      </c>
      <c r="E1428" s="12" t="s">
        <v>13</v>
      </c>
      <c r="F1428" s="12" t="s">
        <v>14</v>
      </c>
      <c r="G1428" s="14">
        <v>45494</v>
      </c>
      <c r="H1428" s="12" t="s">
        <v>18</v>
      </c>
      <c r="I1428" s="12" t="s">
        <v>19</v>
      </c>
      <c r="J1428" s="12" t="s">
        <v>57</v>
      </c>
      <c r="K1428" s="12">
        <v>229.989</v>
      </c>
      <c r="O1428" s="13">
        <f t="shared" si="46"/>
        <v>0</v>
      </c>
    </row>
    <row r="1429" spans="1:15" x14ac:dyDescent="0.25">
      <c r="A1429" s="12">
        <f t="shared" si="45"/>
        <v>7</v>
      </c>
      <c r="B1429" s="12">
        <v>2024</v>
      </c>
      <c r="C1429" s="12">
        <v>7708</v>
      </c>
      <c r="E1429" s="12" t="s">
        <v>13</v>
      </c>
      <c r="F1429" s="12" t="s">
        <v>14</v>
      </c>
      <c r="G1429" s="14">
        <v>45495</v>
      </c>
      <c r="H1429" s="12" t="s">
        <v>18</v>
      </c>
      <c r="I1429" s="12" t="s">
        <v>19</v>
      </c>
      <c r="J1429" s="12" t="s">
        <v>57</v>
      </c>
      <c r="K1429" s="12">
        <v>230</v>
      </c>
      <c r="O1429" s="13">
        <f t="shared" si="46"/>
        <v>0</v>
      </c>
    </row>
    <row r="1430" spans="1:15" x14ac:dyDescent="0.25">
      <c r="A1430" s="12">
        <f t="shared" si="45"/>
        <v>7</v>
      </c>
      <c r="B1430" s="12">
        <v>2024</v>
      </c>
      <c r="C1430" s="12">
        <v>7709</v>
      </c>
      <c r="E1430" s="12" t="s">
        <v>13</v>
      </c>
      <c r="F1430" s="12" t="s">
        <v>14</v>
      </c>
      <c r="G1430" s="14">
        <v>45496</v>
      </c>
      <c r="H1430" s="12" t="s">
        <v>18</v>
      </c>
      <c r="I1430" s="12" t="s">
        <v>19</v>
      </c>
      <c r="J1430" s="12" t="s">
        <v>57</v>
      </c>
      <c r="K1430" s="12">
        <v>229.98699999999999</v>
      </c>
      <c r="O1430" s="13">
        <f t="shared" si="46"/>
        <v>0</v>
      </c>
    </row>
    <row r="1431" spans="1:15" x14ac:dyDescent="0.25">
      <c r="A1431" s="12">
        <f t="shared" si="45"/>
        <v>7</v>
      </c>
      <c r="B1431" s="12">
        <v>2024</v>
      </c>
      <c r="C1431" s="12">
        <v>7710</v>
      </c>
      <c r="E1431" s="12" t="s">
        <v>13</v>
      </c>
      <c r="F1431" s="12" t="s">
        <v>14</v>
      </c>
      <c r="G1431" s="14">
        <v>45497</v>
      </c>
      <c r="H1431" s="12" t="s">
        <v>18</v>
      </c>
      <c r="I1431" s="12" t="s">
        <v>19</v>
      </c>
      <c r="J1431" s="12" t="s">
        <v>57</v>
      </c>
      <c r="K1431" s="12">
        <v>229.947</v>
      </c>
      <c r="O1431" s="13">
        <f t="shared" si="46"/>
        <v>0</v>
      </c>
    </row>
    <row r="1432" spans="1:15" x14ac:dyDescent="0.25">
      <c r="A1432" s="12">
        <f t="shared" si="45"/>
        <v>7</v>
      </c>
      <c r="B1432" s="12">
        <v>2024</v>
      </c>
      <c r="C1432" s="12">
        <v>7711</v>
      </c>
      <c r="E1432" s="12" t="s">
        <v>13</v>
      </c>
      <c r="F1432" s="12" t="s">
        <v>14</v>
      </c>
      <c r="G1432" s="14">
        <v>45498</v>
      </c>
      <c r="H1432" s="12" t="s">
        <v>17</v>
      </c>
      <c r="I1432" s="12" t="s">
        <v>20</v>
      </c>
      <c r="J1432" s="12" t="s">
        <v>66</v>
      </c>
      <c r="K1432" s="12">
        <v>230.00299999999999</v>
      </c>
      <c r="O1432" s="13">
        <f t="shared" si="46"/>
        <v>0</v>
      </c>
    </row>
    <row r="1433" spans="1:15" x14ac:dyDescent="0.25">
      <c r="A1433" s="12">
        <f t="shared" si="45"/>
        <v>7</v>
      </c>
      <c r="B1433" s="12">
        <v>2024</v>
      </c>
      <c r="C1433" s="12">
        <v>7712</v>
      </c>
      <c r="E1433" s="12" t="s">
        <v>13</v>
      </c>
      <c r="F1433" s="12" t="s">
        <v>14</v>
      </c>
      <c r="G1433" s="14">
        <v>45499</v>
      </c>
      <c r="H1433" s="12" t="s">
        <v>17</v>
      </c>
      <c r="I1433" s="12" t="s">
        <v>20</v>
      </c>
      <c r="J1433" s="12" t="s">
        <v>66</v>
      </c>
      <c r="K1433" s="12">
        <v>230.00899999999999</v>
      </c>
      <c r="O1433" s="13">
        <f t="shared" si="46"/>
        <v>0</v>
      </c>
    </row>
    <row r="1434" spans="1:15" x14ac:dyDescent="0.25">
      <c r="A1434" s="12">
        <f t="shared" si="45"/>
        <v>7</v>
      </c>
      <c r="B1434" s="12">
        <v>2024</v>
      </c>
      <c r="C1434" s="12">
        <v>7713</v>
      </c>
      <c r="E1434" s="12" t="s">
        <v>13</v>
      </c>
      <c r="F1434" s="12" t="s">
        <v>14</v>
      </c>
      <c r="G1434" s="14">
        <v>45500</v>
      </c>
      <c r="H1434" s="12" t="s">
        <v>17</v>
      </c>
      <c r="I1434" s="12" t="s">
        <v>19</v>
      </c>
      <c r="J1434" s="12" t="s">
        <v>67</v>
      </c>
      <c r="K1434" s="12">
        <v>229.881</v>
      </c>
      <c r="O1434" s="13">
        <f t="shared" si="46"/>
        <v>0</v>
      </c>
    </row>
    <row r="1435" spans="1:15" x14ac:dyDescent="0.25">
      <c r="A1435" s="12">
        <f t="shared" si="45"/>
        <v>7</v>
      </c>
      <c r="B1435" s="12">
        <v>2024</v>
      </c>
      <c r="C1435" s="12">
        <v>7714</v>
      </c>
      <c r="E1435" s="12" t="s">
        <v>13</v>
      </c>
      <c r="F1435" s="12" t="s">
        <v>14</v>
      </c>
      <c r="G1435" s="14">
        <v>45501</v>
      </c>
      <c r="H1435" s="12" t="s">
        <v>17</v>
      </c>
      <c r="I1435" s="12" t="s">
        <v>19</v>
      </c>
      <c r="J1435" s="12" t="s">
        <v>67</v>
      </c>
      <c r="K1435" s="12">
        <v>230.01900000000001</v>
      </c>
      <c r="O1435" s="13">
        <f t="shared" si="46"/>
        <v>0</v>
      </c>
    </row>
    <row r="1436" spans="1:15" x14ac:dyDescent="0.25">
      <c r="A1436" s="12">
        <f t="shared" si="45"/>
        <v>7</v>
      </c>
      <c r="B1436" s="12">
        <v>2024</v>
      </c>
      <c r="C1436" s="12">
        <v>7715</v>
      </c>
      <c r="E1436" s="12" t="s">
        <v>13</v>
      </c>
      <c r="F1436" s="12" t="s">
        <v>14</v>
      </c>
      <c r="G1436" s="14">
        <v>45502</v>
      </c>
      <c r="H1436" s="12" t="s">
        <v>17</v>
      </c>
      <c r="I1436" s="12" t="s">
        <v>19</v>
      </c>
      <c r="J1436" s="12" t="s">
        <v>67</v>
      </c>
      <c r="K1436" s="12">
        <v>229.98500000000001</v>
      </c>
      <c r="O1436" s="13">
        <f t="shared" si="46"/>
        <v>0</v>
      </c>
    </row>
    <row r="1437" spans="1:15" x14ac:dyDescent="0.25">
      <c r="A1437" s="12">
        <f t="shared" si="45"/>
        <v>7</v>
      </c>
      <c r="B1437" s="12">
        <v>2024</v>
      </c>
      <c r="C1437" s="12">
        <v>7716</v>
      </c>
      <c r="E1437" s="12" t="s">
        <v>13</v>
      </c>
      <c r="F1437" s="12" t="s">
        <v>14</v>
      </c>
      <c r="G1437" s="14">
        <v>45503</v>
      </c>
      <c r="H1437" s="12" t="s">
        <v>17</v>
      </c>
      <c r="I1437" s="12" t="s">
        <v>19</v>
      </c>
      <c r="J1437" s="12" t="s">
        <v>67</v>
      </c>
      <c r="K1437" s="12">
        <v>229.94</v>
      </c>
      <c r="O1437" s="13">
        <f t="shared" si="46"/>
        <v>0</v>
      </c>
    </row>
    <row r="1438" spans="1:15" x14ac:dyDescent="0.25">
      <c r="A1438" s="12">
        <f t="shared" si="45"/>
        <v>7</v>
      </c>
      <c r="B1438" s="12">
        <v>2024</v>
      </c>
      <c r="C1438" s="12">
        <v>7717</v>
      </c>
      <c r="E1438" s="12" t="s">
        <v>13</v>
      </c>
      <c r="F1438" s="12" t="s">
        <v>14</v>
      </c>
      <c r="G1438" s="14">
        <v>45504</v>
      </c>
      <c r="H1438" s="12" t="s">
        <v>17</v>
      </c>
      <c r="I1438" s="12" t="s">
        <v>19</v>
      </c>
      <c r="J1438" s="12" t="s">
        <v>67</v>
      </c>
      <c r="K1438" s="12">
        <v>229.98099999999999</v>
      </c>
      <c r="O1438" s="13">
        <f t="shared" si="46"/>
        <v>0</v>
      </c>
    </row>
    <row r="1439" spans="1:15" x14ac:dyDescent="0.25">
      <c r="A1439" s="12">
        <f t="shared" si="45"/>
        <v>8</v>
      </c>
      <c r="B1439" s="12">
        <v>2024</v>
      </c>
      <c r="C1439" s="12">
        <v>7718</v>
      </c>
      <c r="E1439" s="12" t="s">
        <v>13</v>
      </c>
      <c r="F1439" s="12" t="s">
        <v>14</v>
      </c>
      <c r="G1439" s="14">
        <v>45505</v>
      </c>
      <c r="H1439" s="12" t="s">
        <v>18</v>
      </c>
      <c r="I1439" s="12" t="s">
        <v>20</v>
      </c>
      <c r="J1439" s="12" t="s">
        <v>61</v>
      </c>
      <c r="K1439" s="17">
        <v>230</v>
      </c>
      <c r="O1439" s="13">
        <f t="shared" si="46"/>
        <v>0</v>
      </c>
    </row>
    <row r="1440" spans="1:15" x14ac:dyDescent="0.25">
      <c r="A1440" s="12">
        <f t="shared" si="45"/>
        <v>8</v>
      </c>
      <c r="B1440" s="12">
        <v>2024</v>
      </c>
      <c r="C1440" s="12">
        <v>7719</v>
      </c>
      <c r="E1440" s="12" t="s">
        <v>13</v>
      </c>
      <c r="F1440" s="12" t="s">
        <v>14</v>
      </c>
      <c r="G1440" s="14">
        <v>45506</v>
      </c>
      <c r="H1440" s="12" t="s">
        <v>18</v>
      </c>
      <c r="I1440" s="12" t="s">
        <v>20</v>
      </c>
      <c r="J1440" s="12" t="s">
        <v>61</v>
      </c>
      <c r="K1440" s="17">
        <v>230</v>
      </c>
      <c r="O1440" s="13">
        <f t="shared" si="46"/>
        <v>0</v>
      </c>
    </row>
    <row r="1441" spans="1:15" x14ac:dyDescent="0.25">
      <c r="A1441" s="12">
        <f t="shared" si="45"/>
        <v>8</v>
      </c>
      <c r="B1441" s="12">
        <v>2024</v>
      </c>
      <c r="C1441" s="12">
        <v>7720</v>
      </c>
      <c r="E1441" s="12" t="s">
        <v>13</v>
      </c>
      <c r="F1441" s="12" t="s">
        <v>14</v>
      </c>
      <c r="G1441" s="14">
        <v>45505</v>
      </c>
      <c r="H1441" s="12" t="s">
        <v>73</v>
      </c>
      <c r="I1441" s="12" t="s">
        <v>19</v>
      </c>
      <c r="J1441" s="12" t="s">
        <v>57</v>
      </c>
      <c r="K1441" s="17">
        <v>230</v>
      </c>
      <c r="O1441" s="13">
        <f t="shared" si="46"/>
        <v>0</v>
      </c>
    </row>
    <row r="1442" spans="1:15" x14ac:dyDescent="0.25">
      <c r="A1442" s="12">
        <f t="shared" si="45"/>
        <v>8</v>
      </c>
      <c r="B1442" s="12">
        <v>2024</v>
      </c>
      <c r="C1442" s="12">
        <v>7721</v>
      </c>
      <c r="E1442" s="12" t="s">
        <v>13</v>
      </c>
      <c r="F1442" s="12" t="s">
        <v>14</v>
      </c>
      <c r="G1442" s="14">
        <v>45506</v>
      </c>
      <c r="H1442" s="12" t="s">
        <v>73</v>
      </c>
      <c r="I1442" s="12" t="s">
        <v>19</v>
      </c>
      <c r="J1442" s="12" t="s">
        <v>57</v>
      </c>
      <c r="K1442" s="17">
        <v>230</v>
      </c>
      <c r="O1442" s="13">
        <f t="shared" si="46"/>
        <v>0</v>
      </c>
    </row>
    <row r="1443" spans="1:15" x14ac:dyDescent="0.25">
      <c r="A1443" s="12">
        <f t="shared" si="45"/>
        <v>8</v>
      </c>
      <c r="B1443" s="12">
        <v>2024</v>
      </c>
      <c r="C1443" s="12">
        <v>7722</v>
      </c>
      <c r="E1443" s="12" t="s">
        <v>13</v>
      </c>
      <c r="F1443" s="12" t="s">
        <v>14</v>
      </c>
      <c r="G1443" s="14">
        <v>45507</v>
      </c>
      <c r="H1443" s="12" t="s">
        <v>73</v>
      </c>
      <c r="I1443" s="12" t="s">
        <v>19</v>
      </c>
      <c r="J1443" s="12" t="s">
        <v>57</v>
      </c>
      <c r="K1443" s="17">
        <v>230</v>
      </c>
      <c r="O1443" s="13">
        <f t="shared" si="46"/>
        <v>0</v>
      </c>
    </row>
    <row r="1444" spans="1:15" x14ac:dyDescent="0.25">
      <c r="A1444" s="12">
        <f t="shared" si="45"/>
        <v>8</v>
      </c>
      <c r="B1444" s="12">
        <v>2024</v>
      </c>
      <c r="C1444" s="12">
        <v>7723</v>
      </c>
      <c r="E1444" s="12" t="s">
        <v>13</v>
      </c>
      <c r="F1444" s="12" t="s">
        <v>14</v>
      </c>
      <c r="G1444" s="14">
        <v>45508</v>
      </c>
      <c r="H1444" s="12" t="s">
        <v>73</v>
      </c>
      <c r="I1444" s="12" t="s">
        <v>19</v>
      </c>
      <c r="J1444" s="12" t="s">
        <v>57</v>
      </c>
      <c r="K1444" s="17">
        <v>230</v>
      </c>
      <c r="O1444" s="13">
        <f t="shared" si="46"/>
        <v>0</v>
      </c>
    </row>
    <row r="1445" spans="1:15" x14ac:dyDescent="0.25">
      <c r="A1445" s="12">
        <f t="shared" si="45"/>
        <v>8</v>
      </c>
      <c r="B1445" s="12">
        <v>2024</v>
      </c>
      <c r="C1445" s="12">
        <v>7724</v>
      </c>
      <c r="E1445" s="12" t="s">
        <v>13</v>
      </c>
      <c r="F1445" s="12" t="s">
        <v>14</v>
      </c>
      <c r="G1445" s="14">
        <v>45509</v>
      </c>
      <c r="H1445" s="12" t="s">
        <v>73</v>
      </c>
      <c r="I1445" s="12" t="s">
        <v>19</v>
      </c>
      <c r="J1445" s="12" t="s">
        <v>57</v>
      </c>
      <c r="K1445" s="17">
        <v>230</v>
      </c>
      <c r="O1445" s="13">
        <f t="shared" si="46"/>
        <v>0</v>
      </c>
    </row>
    <row r="1446" spans="1:15" x14ac:dyDescent="0.25">
      <c r="A1446" s="12">
        <f t="shared" si="45"/>
        <v>8</v>
      </c>
      <c r="B1446" s="12">
        <v>2024</v>
      </c>
      <c r="C1446" s="12">
        <v>7725</v>
      </c>
      <c r="E1446" s="12" t="s">
        <v>13</v>
      </c>
      <c r="F1446" s="12" t="s">
        <v>14</v>
      </c>
      <c r="G1446" s="14">
        <v>45510</v>
      </c>
      <c r="H1446" s="12" t="s">
        <v>17</v>
      </c>
      <c r="I1446" s="12" t="s">
        <v>20</v>
      </c>
      <c r="J1446" s="12" t="s">
        <v>62</v>
      </c>
      <c r="K1446" s="17">
        <v>230</v>
      </c>
      <c r="O1446" s="13">
        <f t="shared" si="46"/>
        <v>0</v>
      </c>
    </row>
    <row r="1447" spans="1:15" x14ac:dyDescent="0.25">
      <c r="A1447" s="12">
        <f t="shared" si="45"/>
        <v>8</v>
      </c>
      <c r="B1447" s="12">
        <v>2024</v>
      </c>
      <c r="C1447" s="12">
        <v>7726</v>
      </c>
      <c r="E1447" s="12" t="s">
        <v>13</v>
      </c>
      <c r="F1447" s="12" t="s">
        <v>14</v>
      </c>
      <c r="G1447" s="14">
        <v>45511</v>
      </c>
      <c r="H1447" s="12" t="s">
        <v>17</v>
      </c>
      <c r="I1447" s="12" t="s">
        <v>20</v>
      </c>
      <c r="J1447" s="12" t="s">
        <v>62</v>
      </c>
      <c r="K1447" s="17">
        <v>230</v>
      </c>
      <c r="O1447" s="13">
        <f t="shared" si="46"/>
        <v>0</v>
      </c>
    </row>
    <row r="1448" spans="1:15" x14ac:dyDescent="0.25">
      <c r="A1448" s="12">
        <f t="shared" si="45"/>
        <v>8</v>
      </c>
      <c r="B1448" s="12">
        <v>2024</v>
      </c>
      <c r="C1448" s="12">
        <v>7727</v>
      </c>
      <c r="E1448" s="12" t="s">
        <v>13</v>
      </c>
      <c r="F1448" s="12" t="s">
        <v>14</v>
      </c>
      <c r="G1448" s="14">
        <v>45512</v>
      </c>
      <c r="H1448" s="12" t="s">
        <v>17</v>
      </c>
      <c r="I1448" s="12" t="s">
        <v>20</v>
      </c>
      <c r="J1448" s="12" t="s">
        <v>62</v>
      </c>
      <c r="K1448" s="17">
        <v>230</v>
      </c>
      <c r="O1448" s="13">
        <f t="shared" si="46"/>
        <v>0</v>
      </c>
    </row>
    <row r="1449" spans="1:15" x14ac:dyDescent="0.25">
      <c r="A1449" s="12">
        <f t="shared" si="45"/>
        <v>8</v>
      </c>
      <c r="B1449" s="12">
        <v>2024</v>
      </c>
      <c r="C1449" s="12">
        <v>7728</v>
      </c>
      <c r="E1449" s="12" t="s">
        <v>13</v>
      </c>
      <c r="F1449" s="12" t="s">
        <v>14</v>
      </c>
      <c r="G1449" s="14">
        <v>45513</v>
      </c>
      <c r="H1449" s="12" t="s">
        <v>73</v>
      </c>
      <c r="I1449" s="12" t="s">
        <v>19</v>
      </c>
      <c r="J1449" s="12" t="s">
        <v>57</v>
      </c>
      <c r="K1449" s="17">
        <v>230</v>
      </c>
      <c r="O1449" s="13">
        <f t="shared" si="46"/>
        <v>0</v>
      </c>
    </row>
    <row r="1450" spans="1:15" x14ac:dyDescent="0.25">
      <c r="A1450" s="12">
        <f t="shared" si="45"/>
        <v>8</v>
      </c>
      <c r="B1450" s="12">
        <v>2024</v>
      </c>
      <c r="C1450" s="12">
        <v>7729</v>
      </c>
      <c r="E1450" s="12" t="s">
        <v>13</v>
      </c>
      <c r="F1450" s="12" t="s">
        <v>14</v>
      </c>
      <c r="G1450" s="14">
        <v>45514</v>
      </c>
      <c r="H1450" s="12" t="s">
        <v>73</v>
      </c>
      <c r="I1450" s="12" t="s">
        <v>20</v>
      </c>
      <c r="J1450" s="12" t="s">
        <v>74</v>
      </c>
      <c r="K1450" s="17">
        <v>230</v>
      </c>
      <c r="O1450" s="13">
        <f t="shared" si="46"/>
        <v>0</v>
      </c>
    </row>
    <row r="1451" spans="1:15" x14ac:dyDescent="0.25">
      <c r="A1451" s="12">
        <f t="shared" si="45"/>
        <v>8</v>
      </c>
      <c r="B1451" s="12">
        <v>2024</v>
      </c>
      <c r="C1451" s="12">
        <v>7730</v>
      </c>
      <c r="E1451" s="12" t="s">
        <v>13</v>
      </c>
      <c r="F1451" s="12" t="s">
        <v>14</v>
      </c>
      <c r="G1451" s="14">
        <v>45515</v>
      </c>
      <c r="H1451" s="12" t="s">
        <v>17</v>
      </c>
      <c r="I1451" s="12" t="s">
        <v>19</v>
      </c>
      <c r="J1451" s="12" t="s">
        <v>71</v>
      </c>
      <c r="K1451" s="17">
        <v>230</v>
      </c>
      <c r="O1451" s="13">
        <f t="shared" si="46"/>
        <v>0</v>
      </c>
    </row>
    <row r="1452" spans="1:15" x14ac:dyDescent="0.25">
      <c r="A1452" s="12">
        <f t="shared" si="45"/>
        <v>8</v>
      </c>
      <c r="B1452" s="12">
        <v>2024</v>
      </c>
      <c r="C1452" s="12">
        <v>7731</v>
      </c>
      <c r="E1452" s="12" t="s">
        <v>13</v>
      </c>
      <c r="F1452" s="12" t="s">
        <v>14</v>
      </c>
      <c r="G1452" s="14">
        <v>45516</v>
      </c>
      <c r="H1452" s="12" t="s">
        <v>73</v>
      </c>
      <c r="I1452" s="12" t="s">
        <v>19</v>
      </c>
      <c r="J1452" s="12" t="s">
        <v>57</v>
      </c>
      <c r="K1452" s="17">
        <v>230</v>
      </c>
      <c r="O1452" s="13">
        <f t="shared" si="46"/>
        <v>0</v>
      </c>
    </row>
    <row r="1453" spans="1:15" x14ac:dyDescent="0.25">
      <c r="A1453" s="12">
        <f t="shared" si="45"/>
        <v>8</v>
      </c>
      <c r="B1453" s="12">
        <v>2024</v>
      </c>
      <c r="C1453" s="12">
        <v>7732</v>
      </c>
      <c r="E1453" s="12" t="s">
        <v>13</v>
      </c>
      <c r="F1453" s="12" t="s">
        <v>14</v>
      </c>
      <c r="G1453" s="14">
        <v>45517</v>
      </c>
      <c r="H1453" s="12" t="s">
        <v>18</v>
      </c>
      <c r="I1453" s="12" t="s">
        <v>19</v>
      </c>
      <c r="J1453" s="12" t="s">
        <v>57</v>
      </c>
      <c r="K1453" s="17">
        <v>230</v>
      </c>
      <c r="O1453" s="13">
        <f t="shared" si="46"/>
        <v>0</v>
      </c>
    </row>
    <row r="1454" spans="1:15" x14ac:dyDescent="0.25">
      <c r="A1454" s="12">
        <f t="shared" si="45"/>
        <v>8</v>
      </c>
      <c r="B1454" s="12">
        <v>2024</v>
      </c>
      <c r="C1454" s="12">
        <v>7733</v>
      </c>
      <c r="E1454" s="12" t="s">
        <v>13</v>
      </c>
      <c r="F1454" s="12" t="s">
        <v>14</v>
      </c>
      <c r="G1454" s="14">
        <v>45518</v>
      </c>
      <c r="H1454" s="12" t="s">
        <v>18</v>
      </c>
      <c r="I1454" s="12" t="s">
        <v>19</v>
      </c>
      <c r="J1454" s="12" t="s">
        <v>57</v>
      </c>
      <c r="K1454" s="17">
        <v>230</v>
      </c>
      <c r="O1454" s="13">
        <f t="shared" si="46"/>
        <v>0</v>
      </c>
    </row>
    <row r="1455" spans="1:15" x14ac:dyDescent="0.25">
      <c r="A1455" s="12">
        <f t="shared" si="45"/>
        <v>8</v>
      </c>
      <c r="B1455" s="12">
        <v>2024</v>
      </c>
      <c r="C1455" s="12">
        <v>7734</v>
      </c>
      <c r="E1455" s="12" t="s">
        <v>13</v>
      </c>
      <c r="F1455" s="12" t="s">
        <v>14</v>
      </c>
      <c r="G1455" s="14">
        <v>45519</v>
      </c>
      <c r="H1455" s="12" t="s">
        <v>18</v>
      </c>
      <c r="I1455" s="12" t="s">
        <v>19</v>
      </c>
      <c r="J1455" s="12" t="s">
        <v>57</v>
      </c>
      <c r="K1455" s="17">
        <v>230</v>
      </c>
      <c r="O1455" s="13">
        <f t="shared" si="46"/>
        <v>0</v>
      </c>
    </row>
    <row r="1456" spans="1:15" x14ac:dyDescent="0.25">
      <c r="A1456" s="12">
        <f t="shared" si="45"/>
        <v>8</v>
      </c>
      <c r="B1456" s="12">
        <v>2024</v>
      </c>
      <c r="C1456" s="12">
        <v>7735</v>
      </c>
      <c r="E1456" s="12" t="s">
        <v>13</v>
      </c>
      <c r="F1456" s="12" t="s">
        <v>14</v>
      </c>
      <c r="G1456" s="14">
        <v>45520</v>
      </c>
      <c r="H1456" s="12" t="s">
        <v>18</v>
      </c>
      <c r="I1456" s="12" t="s">
        <v>19</v>
      </c>
      <c r="J1456" s="12" t="s">
        <v>57</v>
      </c>
      <c r="K1456" s="17">
        <v>230</v>
      </c>
      <c r="O1456" s="13">
        <f t="shared" si="46"/>
        <v>0</v>
      </c>
    </row>
    <row r="1457" spans="1:15" x14ac:dyDescent="0.25">
      <c r="A1457" s="12">
        <f t="shared" si="45"/>
        <v>8</v>
      </c>
      <c r="B1457" s="12">
        <v>2024</v>
      </c>
      <c r="C1457" s="12">
        <v>7736</v>
      </c>
      <c r="E1457" s="12" t="s">
        <v>13</v>
      </c>
      <c r="F1457" s="12" t="s">
        <v>14</v>
      </c>
      <c r="G1457" s="14">
        <v>45521</v>
      </c>
      <c r="H1457" s="12" t="s">
        <v>18</v>
      </c>
      <c r="I1457" s="12" t="s">
        <v>19</v>
      </c>
      <c r="J1457" s="12" t="s">
        <v>67</v>
      </c>
      <c r="K1457" s="17">
        <v>230</v>
      </c>
      <c r="O1457" s="13">
        <f t="shared" si="46"/>
        <v>0</v>
      </c>
    </row>
    <row r="1458" spans="1:15" x14ac:dyDescent="0.25">
      <c r="A1458" s="12">
        <f t="shared" si="45"/>
        <v>8</v>
      </c>
      <c r="B1458" s="12">
        <v>2024</v>
      </c>
      <c r="C1458" s="12">
        <v>7737</v>
      </c>
      <c r="E1458" s="12" t="s">
        <v>13</v>
      </c>
      <c r="F1458" s="12" t="s">
        <v>14</v>
      </c>
      <c r="G1458" s="14">
        <v>45522</v>
      </c>
      <c r="H1458" s="12" t="s">
        <v>18</v>
      </c>
      <c r="I1458" s="12" t="s">
        <v>19</v>
      </c>
      <c r="J1458" s="12" t="s">
        <v>67</v>
      </c>
      <c r="K1458" s="17">
        <v>230</v>
      </c>
      <c r="O1458" s="13">
        <f t="shared" si="46"/>
        <v>0</v>
      </c>
    </row>
    <row r="1459" spans="1:15" x14ac:dyDescent="0.25">
      <c r="A1459" s="12">
        <f t="shared" si="45"/>
        <v>8</v>
      </c>
      <c r="B1459" s="12">
        <v>2024</v>
      </c>
      <c r="C1459" s="12">
        <v>7738</v>
      </c>
      <c r="E1459" s="12" t="s">
        <v>13</v>
      </c>
      <c r="F1459" s="12" t="s">
        <v>14</v>
      </c>
      <c r="G1459" s="14">
        <v>45523</v>
      </c>
      <c r="H1459" s="12" t="s">
        <v>18</v>
      </c>
      <c r="I1459" s="12" t="s">
        <v>19</v>
      </c>
      <c r="J1459" s="12" t="s">
        <v>67</v>
      </c>
      <c r="K1459" s="17">
        <v>230</v>
      </c>
      <c r="O1459" s="13">
        <f t="shared" si="46"/>
        <v>0</v>
      </c>
    </row>
    <row r="1460" spans="1:15" x14ac:dyDescent="0.25">
      <c r="A1460" s="12">
        <f t="shared" si="45"/>
        <v>8</v>
      </c>
      <c r="B1460" s="12">
        <v>2024</v>
      </c>
      <c r="C1460" s="12">
        <v>7739</v>
      </c>
      <c r="E1460" s="12" t="s">
        <v>13</v>
      </c>
      <c r="F1460" s="12" t="s">
        <v>14</v>
      </c>
      <c r="G1460" s="14">
        <v>45524</v>
      </c>
      <c r="H1460" s="12" t="s">
        <v>73</v>
      </c>
      <c r="I1460" s="12" t="s">
        <v>20</v>
      </c>
      <c r="J1460" s="12" t="s">
        <v>74</v>
      </c>
      <c r="K1460" s="17">
        <v>230</v>
      </c>
      <c r="O1460" s="13">
        <f t="shared" si="46"/>
        <v>0</v>
      </c>
    </row>
    <row r="1461" spans="1:15" x14ac:dyDescent="0.25">
      <c r="A1461" s="12">
        <f t="shared" si="45"/>
        <v>8</v>
      </c>
      <c r="B1461" s="12">
        <v>2024</v>
      </c>
      <c r="C1461" s="12">
        <v>7740</v>
      </c>
      <c r="E1461" s="12" t="s">
        <v>13</v>
      </c>
      <c r="F1461" s="12" t="s">
        <v>14</v>
      </c>
      <c r="G1461" s="14">
        <v>45525</v>
      </c>
      <c r="H1461" s="12" t="s">
        <v>73</v>
      </c>
      <c r="I1461" s="12" t="s">
        <v>20</v>
      </c>
      <c r="J1461" s="12" t="s">
        <v>74</v>
      </c>
      <c r="K1461" s="17">
        <v>230</v>
      </c>
      <c r="O1461" s="13">
        <f t="shared" si="46"/>
        <v>0</v>
      </c>
    </row>
    <row r="1462" spans="1:15" x14ac:dyDescent="0.25">
      <c r="A1462" s="12">
        <f t="shared" si="45"/>
        <v>8</v>
      </c>
      <c r="B1462" s="12">
        <v>2024</v>
      </c>
      <c r="C1462" s="12">
        <v>7741</v>
      </c>
      <c r="E1462" s="12" t="s">
        <v>13</v>
      </c>
      <c r="F1462" s="12" t="s">
        <v>14</v>
      </c>
      <c r="G1462" s="14">
        <v>45526</v>
      </c>
      <c r="H1462" s="12" t="s">
        <v>73</v>
      </c>
      <c r="I1462" s="12" t="s">
        <v>20</v>
      </c>
      <c r="J1462" s="12" t="s">
        <v>74</v>
      </c>
      <c r="K1462" s="17">
        <v>230</v>
      </c>
      <c r="O1462" s="13">
        <f t="shared" si="46"/>
        <v>0</v>
      </c>
    </row>
    <row r="1463" spans="1:15" x14ac:dyDescent="0.25">
      <c r="A1463" s="12">
        <f t="shared" si="45"/>
        <v>8</v>
      </c>
      <c r="B1463" s="12">
        <v>2024</v>
      </c>
      <c r="C1463" s="12">
        <v>7742</v>
      </c>
      <c r="E1463" s="12" t="s">
        <v>13</v>
      </c>
      <c r="F1463" s="12" t="s">
        <v>14</v>
      </c>
      <c r="G1463" s="14">
        <v>45527</v>
      </c>
      <c r="H1463" s="12" t="s">
        <v>73</v>
      </c>
      <c r="I1463" s="12" t="s">
        <v>20</v>
      </c>
      <c r="J1463" s="12" t="s">
        <v>74</v>
      </c>
      <c r="K1463" s="17">
        <v>230</v>
      </c>
      <c r="O1463" s="13">
        <f t="shared" si="46"/>
        <v>0</v>
      </c>
    </row>
    <row r="1464" spans="1:15" x14ac:dyDescent="0.25">
      <c r="A1464" s="12">
        <f t="shared" si="45"/>
        <v>8</v>
      </c>
      <c r="B1464" s="12">
        <v>2024</v>
      </c>
      <c r="C1464" s="12">
        <v>7743</v>
      </c>
      <c r="E1464" s="12" t="s">
        <v>13</v>
      </c>
      <c r="F1464" s="12" t="s">
        <v>14</v>
      </c>
      <c r="G1464" s="14">
        <v>45528</v>
      </c>
      <c r="H1464" s="12" t="s">
        <v>73</v>
      </c>
      <c r="I1464" s="12" t="s">
        <v>20</v>
      </c>
      <c r="J1464" s="12" t="s">
        <v>74</v>
      </c>
      <c r="K1464" s="17">
        <v>230</v>
      </c>
      <c r="O1464" s="13">
        <f t="shared" si="46"/>
        <v>0</v>
      </c>
    </row>
    <row r="1465" spans="1:15" x14ac:dyDescent="0.25">
      <c r="A1465" s="12">
        <f t="shared" si="45"/>
        <v>8</v>
      </c>
      <c r="B1465" s="12">
        <v>2024</v>
      </c>
      <c r="C1465" s="12">
        <v>7744</v>
      </c>
      <c r="E1465" s="12" t="s">
        <v>13</v>
      </c>
      <c r="F1465" s="12" t="s">
        <v>14</v>
      </c>
      <c r="G1465" s="14">
        <v>45529</v>
      </c>
      <c r="H1465" s="12" t="s">
        <v>18</v>
      </c>
      <c r="I1465" s="12" t="s">
        <v>19</v>
      </c>
      <c r="J1465" s="12" t="s">
        <v>75</v>
      </c>
      <c r="K1465" s="17">
        <v>230</v>
      </c>
      <c r="O1465" s="13">
        <f t="shared" si="46"/>
        <v>0</v>
      </c>
    </row>
    <row r="1466" spans="1:15" x14ac:dyDescent="0.25">
      <c r="A1466" s="12">
        <f t="shared" si="45"/>
        <v>8</v>
      </c>
      <c r="B1466" s="12">
        <v>2024</v>
      </c>
      <c r="C1466" s="12">
        <v>7745</v>
      </c>
      <c r="E1466" s="12" t="s">
        <v>13</v>
      </c>
      <c r="F1466" s="12" t="s">
        <v>14</v>
      </c>
      <c r="G1466" s="14">
        <v>45530</v>
      </c>
      <c r="H1466" s="12" t="s">
        <v>17</v>
      </c>
      <c r="I1466" s="12" t="s">
        <v>19</v>
      </c>
      <c r="J1466" s="12" t="s">
        <v>57</v>
      </c>
      <c r="K1466" s="17">
        <v>230</v>
      </c>
      <c r="O1466" s="13">
        <f t="shared" si="46"/>
        <v>0</v>
      </c>
    </row>
    <row r="1467" spans="1:15" x14ac:dyDescent="0.25">
      <c r="A1467" s="12">
        <f t="shared" si="45"/>
        <v>8</v>
      </c>
      <c r="B1467" s="12">
        <v>2024</v>
      </c>
      <c r="C1467" s="12">
        <v>7746</v>
      </c>
      <c r="E1467" s="12" t="s">
        <v>13</v>
      </c>
      <c r="F1467" s="12" t="s">
        <v>14</v>
      </c>
      <c r="G1467" s="14">
        <v>45531</v>
      </c>
      <c r="H1467" s="12" t="s">
        <v>17</v>
      </c>
      <c r="I1467" s="12" t="s">
        <v>19</v>
      </c>
      <c r="J1467" s="12" t="s">
        <v>57</v>
      </c>
      <c r="K1467" s="17">
        <v>230</v>
      </c>
      <c r="O1467" s="13">
        <f t="shared" si="46"/>
        <v>0</v>
      </c>
    </row>
    <row r="1468" spans="1:15" x14ac:dyDescent="0.25">
      <c r="A1468" s="12">
        <f t="shared" si="45"/>
        <v>8</v>
      </c>
      <c r="B1468" s="12">
        <v>2024</v>
      </c>
      <c r="C1468" s="12">
        <v>7747</v>
      </c>
      <c r="E1468" s="12" t="s">
        <v>13</v>
      </c>
      <c r="F1468" s="12" t="s">
        <v>14</v>
      </c>
      <c r="G1468" s="14">
        <v>45532</v>
      </c>
      <c r="H1468" s="12" t="s">
        <v>17</v>
      </c>
      <c r="I1468" s="12" t="s">
        <v>19</v>
      </c>
      <c r="J1468" s="12" t="s">
        <v>57</v>
      </c>
      <c r="K1468" s="17">
        <v>230</v>
      </c>
      <c r="O1468" s="13">
        <f t="shared" si="46"/>
        <v>0</v>
      </c>
    </row>
    <row r="1469" spans="1:15" x14ac:dyDescent="0.25">
      <c r="A1469" s="12">
        <f t="shared" si="45"/>
        <v>8</v>
      </c>
      <c r="B1469" s="12">
        <v>2024</v>
      </c>
      <c r="C1469" s="12">
        <v>7748</v>
      </c>
      <c r="E1469" s="12" t="s">
        <v>13</v>
      </c>
      <c r="F1469" s="12" t="s">
        <v>14</v>
      </c>
      <c r="G1469" s="14">
        <v>45533</v>
      </c>
      <c r="H1469" s="12" t="s">
        <v>17</v>
      </c>
      <c r="I1469" s="12" t="s">
        <v>19</v>
      </c>
      <c r="J1469" s="12" t="s">
        <v>57</v>
      </c>
      <c r="K1469" s="17">
        <v>230</v>
      </c>
      <c r="O1469" s="13">
        <f t="shared" si="46"/>
        <v>0</v>
      </c>
    </row>
    <row r="1470" spans="1:15" x14ac:dyDescent="0.25">
      <c r="A1470" s="12">
        <f t="shared" si="45"/>
        <v>8</v>
      </c>
      <c r="B1470" s="12">
        <v>2024</v>
      </c>
      <c r="C1470" s="12">
        <v>7749</v>
      </c>
      <c r="E1470" s="12" t="s">
        <v>13</v>
      </c>
      <c r="F1470" s="12" t="s">
        <v>14</v>
      </c>
      <c r="G1470" s="14">
        <v>45534</v>
      </c>
      <c r="H1470" s="12" t="s">
        <v>17</v>
      </c>
      <c r="I1470" s="12" t="s">
        <v>19</v>
      </c>
      <c r="J1470" s="12" t="s">
        <v>57</v>
      </c>
      <c r="K1470" s="17">
        <v>230</v>
      </c>
      <c r="O1470" s="13">
        <f t="shared" si="46"/>
        <v>0</v>
      </c>
    </row>
    <row r="1471" spans="1:15" x14ac:dyDescent="0.25">
      <c r="A1471" s="12">
        <f t="shared" si="45"/>
        <v>8</v>
      </c>
      <c r="B1471" s="12">
        <v>2024</v>
      </c>
      <c r="C1471" s="12">
        <v>7750</v>
      </c>
      <c r="E1471" s="12" t="s">
        <v>13</v>
      </c>
      <c r="F1471" s="12" t="s">
        <v>14</v>
      </c>
      <c r="G1471" s="14">
        <v>45535</v>
      </c>
      <c r="H1471" s="12" t="s">
        <v>18</v>
      </c>
      <c r="I1471" s="12" t="s">
        <v>20</v>
      </c>
      <c r="J1471" s="12" t="s">
        <v>76</v>
      </c>
      <c r="K1471" s="17">
        <v>230</v>
      </c>
      <c r="O1471" s="13">
        <f t="shared" si="46"/>
        <v>0</v>
      </c>
    </row>
    <row r="1472" spans="1:15" x14ac:dyDescent="0.25">
      <c r="A1472" s="12">
        <f t="shared" si="45"/>
        <v>9</v>
      </c>
      <c r="B1472" s="12">
        <v>2024</v>
      </c>
      <c r="C1472" s="12">
        <v>7751</v>
      </c>
      <c r="E1472" s="12" t="s">
        <v>13</v>
      </c>
      <c r="F1472" s="12" t="s">
        <v>14</v>
      </c>
      <c r="G1472" s="14">
        <v>45536</v>
      </c>
      <c r="H1472" s="12" t="s">
        <v>18</v>
      </c>
      <c r="I1472" s="12" t="s">
        <v>19</v>
      </c>
      <c r="J1472" s="12" t="s">
        <v>67</v>
      </c>
      <c r="K1472" s="17">
        <v>230</v>
      </c>
      <c r="O1472" s="13">
        <f t="shared" si="46"/>
        <v>0</v>
      </c>
    </row>
    <row r="1473" spans="1:15" x14ac:dyDescent="0.25">
      <c r="A1473" s="12">
        <f t="shared" si="45"/>
        <v>9</v>
      </c>
      <c r="B1473" s="12">
        <v>2024</v>
      </c>
      <c r="C1473" s="12">
        <v>7752</v>
      </c>
      <c r="E1473" s="12" t="s">
        <v>13</v>
      </c>
      <c r="F1473" s="12" t="s">
        <v>14</v>
      </c>
      <c r="G1473" s="14">
        <v>45537</v>
      </c>
      <c r="H1473" s="12" t="s">
        <v>18</v>
      </c>
      <c r="I1473" s="12" t="s">
        <v>19</v>
      </c>
      <c r="J1473" s="12" t="s">
        <v>67</v>
      </c>
      <c r="K1473" s="17">
        <v>230</v>
      </c>
      <c r="O1473" s="13">
        <f t="shared" si="46"/>
        <v>0</v>
      </c>
    </row>
    <row r="1474" spans="1:15" x14ac:dyDescent="0.25">
      <c r="A1474" s="12">
        <f t="shared" si="45"/>
        <v>9</v>
      </c>
      <c r="B1474" s="12">
        <v>2024</v>
      </c>
      <c r="C1474" s="12">
        <v>7753</v>
      </c>
      <c r="E1474" s="12" t="s">
        <v>13</v>
      </c>
      <c r="F1474" s="12" t="s">
        <v>14</v>
      </c>
      <c r="G1474" s="14">
        <v>45538</v>
      </c>
      <c r="H1474" s="12" t="s">
        <v>17</v>
      </c>
      <c r="I1474" s="12" t="s">
        <v>19</v>
      </c>
      <c r="J1474" s="12" t="s">
        <v>75</v>
      </c>
      <c r="K1474" s="17">
        <v>230</v>
      </c>
      <c r="O1474" s="13">
        <f t="shared" si="46"/>
        <v>0</v>
      </c>
    </row>
  </sheetData>
  <autoFilter ref="A1:O1474" xr:uid="{1E77CE36-3CB8-4864-8E54-11BC5244A69D}">
    <sortState xmlns:xlrd2="http://schemas.microsoft.com/office/spreadsheetml/2017/richdata2" ref="A2:O1474">
      <sortCondition ref="B1:B1474"/>
    </sortState>
  </autoFilter>
  <phoneticPr fontId="8" type="noConversion"/>
  <conditionalFormatting sqref="A1:O1109 A1110:B1474 E1110:F1474">
    <cfRule type="containsBlanks" dxfId="16" priority="1">
      <formula>LEN(TRIM(A1))=0</formula>
    </cfRule>
  </conditionalFormatting>
  <conditionalFormatting sqref="C1:F1">
    <cfRule type="duplicateValues" dxfId="15" priority="3"/>
  </conditionalFormatting>
  <conditionalFormatting sqref="Q1">
    <cfRule type="duplicateValues" dxfId="14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BC74-A4E2-4C96-B3D7-0AC441FDEF65}">
  <sheetPr>
    <tabColor theme="0" tint="-4.9989318521683403E-2"/>
  </sheetPr>
  <dimension ref="A1:S1474"/>
  <sheetViews>
    <sheetView zoomScale="90" zoomScaleNormal="90" workbookViewId="0">
      <pane ySplit="1" topLeftCell="A11" activePane="bottomLeft" state="frozen"/>
      <selection activeCell="E1" sqref="E1"/>
      <selection pane="bottomLeft" activeCell="D25" sqref="D25"/>
    </sheetView>
  </sheetViews>
  <sheetFormatPr baseColWidth="10" defaultColWidth="11.5703125" defaultRowHeight="15" x14ac:dyDescent="0.25"/>
  <cols>
    <col min="1" max="2" width="11.5703125" style="12"/>
    <col min="3" max="3" width="13.85546875" style="12" bestFit="1" customWidth="1"/>
    <col min="4" max="5" width="10.85546875" style="12" customWidth="1"/>
    <col min="6" max="8" width="18.5703125" style="12" customWidth="1"/>
    <col min="9" max="9" width="23.5703125" style="14" customWidth="1"/>
    <col min="10" max="10" width="17.140625" style="12" customWidth="1"/>
    <col min="11" max="11" width="16" style="12" bestFit="1" customWidth="1"/>
    <col min="12" max="12" width="12.7109375" style="12" bestFit="1" customWidth="1"/>
    <col min="13" max="13" width="14.140625" style="12" customWidth="1"/>
    <col min="14" max="14" width="13.85546875" style="12" customWidth="1"/>
    <col min="15" max="15" width="18.85546875" style="12" customWidth="1"/>
    <col min="16" max="16" width="13.140625" style="12" bestFit="1" customWidth="1"/>
    <col min="17" max="17" width="13.140625" style="13" customWidth="1"/>
    <col min="18" max="18" width="11.5703125" style="12"/>
    <col min="19" max="19" width="28.85546875" style="12" bestFit="1" customWidth="1"/>
    <col min="20" max="16384" width="11.5703125" style="12"/>
  </cols>
  <sheetData>
    <row r="1" spans="1:19" x14ac:dyDescent="0.25">
      <c r="A1" s="3" t="s">
        <v>16</v>
      </c>
      <c r="B1" s="3" t="s">
        <v>15</v>
      </c>
      <c r="C1" s="4" t="s">
        <v>6</v>
      </c>
      <c r="D1" s="4" t="s">
        <v>77</v>
      </c>
      <c r="E1" s="5" t="s">
        <v>11</v>
      </c>
      <c r="F1" s="5" t="s">
        <v>12</v>
      </c>
      <c r="G1" s="4"/>
      <c r="H1" s="4"/>
      <c r="I1" s="6" t="s">
        <v>2</v>
      </c>
      <c r="J1" s="5" t="s">
        <v>3</v>
      </c>
      <c r="K1" s="7" t="s">
        <v>7</v>
      </c>
      <c r="L1" s="7" t="s">
        <v>8</v>
      </c>
      <c r="M1" s="8" t="s">
        <v>0</v>
      </c>
      <c r="N1" s="9" t="s">
        <v>1</v>
      </c>
      <c r="O1" s="10" t="s">
        <v>82</v>
      </c>
      <c r="P1" s="5" t="s">
        <v>5</v>
      </c>
      <c r="Q1" s="11" t="s">
        <v>28</v>
      </c>
      <c r="S1" s="5" t="s">
        <v>9</v>
      </c>
    </row>
    <row r="2" spans="1:19" x14ac:dyDescent="0.25">
      <c r="A2" s="12">
        <f>MONTH(I2)</f>
        <v>9</v>
      </c>
      <c r="B2" s="12">
        <v>2020</v>
      </c>
      <c r="C2" s="24">
        <v>6281</v>
      </c>
      <c r="D2" s="24">
        <v>18850556</v>
      </c>
      <c r="E2" s="12" t="s">
        <v>13</v>
      </c>
      <c r="F2" s="12" t="s">
        <v>14</v>
      </c>
      <c r="I2" s="26">
        <v>44075</v>
      </c>
      <c r="J2" s="12" t="s">
        <v>17</v>
      </c>
      <c r="K2" s="12" t="s">
        <v>19</v>
      </c>
      <c r="L2" s="12" t="s">
        <v>21</v>
      </c>
      <c r="M2" s="12">
        <v>230.011</v>
      </c>
      <c r="N2" s="12">
        <v>199.86799999999999</v>
      </c>
      <c r="Q2" s="13">
        <f t="shared" ref="Q2:Q65" si="0">N2/M2</f>
        <v>0.86894974588171869</v>
      </c>
      <c r="S2" s="7" t="s">
        <v>10</v>
      </c>
    </row>
    <row r="3" spans="1:19" x14ac:dyDescent="0.25">
      <c r="A3" s="12">
        <f t="shared" ref="A3:A66" si="1">MONTH(I3)</f>
        <v>9</v>
      </c>
      <c r="B3" s="12">
        <v>2020</v>
      </c>
      <c r="C3" s="24">
        <v>6282</v>
      </c>
      <c r="D3" s="24">
        <v>18850572</v>
      </c>
      <c r="E3" s="12" t="s">
        <v>13</v>
      </c>
      <c r="F3" s="12" t="s">
        <v>14</v>
      </c>
      <c r="I3" s="26">
        <v>44076</v>
      </c>
      <c r="J3" s="12" t="s">
        <v>17</v>
      </c>
      <c r="K3" s="12" t="s">
        <v>19</v>
      </c>
      <c r="L3" s="12" t="s">
        <v>21</v>
      </c>
      <c r="M3" s="12">
        <v>230.023</v>
      </c>
      <c r="N3" s="12">
        <v>195.13800000000001</v>
      </c>
      <c r="Q3" s="13">
        <f t="shared" si="0"/>
        <v>0.84834125283123862</v>
      </c>
    </row>
    <row r="4" spans="1:19" x14ac:dyDescent="0.25">
      <c r="A4" s="12">
        <f>MONTH(I4)</f>
        <v>9</v>
      </c>
      <c r="B4" s="12">
        <v>2020</v>
      </c>
      <c r="C4" s="24">
        <v>6283</v>
      </c>
      <c r="D4" s="24">
        <v>18855357</v>
      </c>
      <c r="E4" s="12" t="s">
        <v>13</v>
      </c>
      <c r="F4" s="12" t="s">
        <v>14</v>
      </c>
      <c r="I4" s="26">
        <v>44077</v>
      </c>
      <c r="J4" s="12" t="s">
        <v>17</v>
      </c>
      <c r="K4" s="12" t="s">
        <v>19</v>
      </c>
      <c r="L4" s="12" t="s">
        <v>21</v>
      </c>
      <c r="M4" s="12">
        <v>230.00800000000001</v>
      </c>
      <c r="N4" s="12">
        <v>198.46700000000001</v>
      </c>
      <c r="Q4" s="13">
        <f t="shared" si="0"/>
        <v>0.86286998713088248</v>
      </c>
      <c r="S4" s="28" t="s">
        <v>83</v>
      </c>
    </row>
    <row r="5" spans="1:19" x14ac:dyDescent="0.25">
      <c r="A5" s="12">
        <f t="shared" si="1"/>
        <v>9</v>
      </c>
      <c r="B5" s="12">
        <v>2020</v>
      </c>
      <c r="C5" s="24">
        <v>6284</v>
      </c>
      <c r="D5" s="24">
        <v>18857651</v>
      </c>
      <c r="E5" s="12" t="s">
        <v>13</v>
      </c>
      <c r="F5" s="12" t="s">
        <v>14</v>
      </c>
      <c r="I5" s="26">
        <v>44078</v>
      </c>
      <c r="J5" s="12" t="s">
        <v>17</v>
      </c>
      <c r="K5" s="12" t="s">
        <v>19</v>
      </c>
      <c r="L5" s="12" t="s">
        <v>21</v>
      </c>
      <c r="M5" s="12">
        <v>230.00899999999999</v>
      </c>
      <c r="N5" s="12">
        <v>195.02500000000001</v>
      </c>
      <c r="Q5" s="13">
        <f t="shared" si="0"/>
        <v>0.84790160385028424</v>
      </c>
      <c r="S5" s="27" t="s">
        <v>84</v>
      </c>
    </row>
    <row r="6" spans="1:19" x14ac:dyDescent="0.25">
      <c r="A6" s="12">
        <f t="shared" si="1"/>
        <v>9</v>
      </c>
      <c r="B6" s="12">
        <v>2020</v>
      </c>
      <c r="C6" s="24">
        <v>6285</v>
      </c>
      <c r="D6" s="24">
        <v>18861212</v>
      </c>
      <c r="E6" s="12" t="s">
        <v>13</v>
      </c>
      <c r="F6" s="12" t="s">
        <v>14</v>
      </c>
      <c r="I6" s="26">
        <v>44079</v>
      </c>
      <c r="J6" s="12" t="s">
        <v>17</v>
      </c>
      <c r="K6" s="12" t="s">
        <v>19</v>
      </c>
      <c r="L6" s="12" t="s">
        <v>22</v>
      </c>
      <c r="M6" s="12">
        <v>230</v>
      </c>
      <c r="N6" s="12">
        <v>197.167</v>
      </c>
      <c r="Q6" s="13">
        <f t="shared" si="0"/>
        <v>0.85724782608695649</v>
      </c>
      <c r="S6" s="34"/>
    </row>
    <row r="7" spans="1:19" x14ac:dyDescent="0.25">
      <c r="A7" s="12">
        <f t="shared" si="1"/>
        <v>9</v>
      </c>
      <c r="B7" s="12">
        <v>2020</v>
      </c>
      <c r="C7" s="24">
        <v>6286</v>
      </c>
      <c r="D7" s="24">
        <v>18865571</v>
      </c>
      <c r="E7" s="12" t="s">
        <v>13</v>
      </c>
      <c r="F7" s="12" t="s">
        <v>14</v>
      </c>
      <c r="I7" s="26">
        <v>44080</v>
      </c>
      <c r="J7" s="12" t="s">
        <v>17</v>
      </c>
      <c r="K7" s="12" t="s">
        <v>19</v>
      </c>
      <c r="L7" s="12" t="s">
        <v>22</v>
      </c>
      <c r="M7" s="12">
        <v>230</v>
      </c>
      <c r="N7" s="12">
        <v>192.66800000000001</v>
      </c>
      <c r="Q7" s="13">
        <f t="shared" si="0"/>
        <v>0.83768695652173919</v>
      </c>
    </row>
    <row r="8" spans="1:19" x14ac:dyDescent="0.25">
      <c r="A8" s="12">
        <f t="shared" si="1"/>
        <v>9</v>
      </c>
      <c r="B8" s="12">
        <v>2020</v>
      </c>
      <c r="C8" s="24">
        <v>6287</v>
      </c>
      <c r="D8" s="24">
        <v>18865580</v>
      </c>
      <c r="E8" s="12" t="s">
        <v>13</v>
      </c>
      <c r="F8" s="12" t="s">
        <v>14</v>
      </c>
      <c r="I8" s="26">
        <v>44081</v>
      </c>
      <c r="J8" s="12" t="s">
        <v>18</v>
      </c>
      <c r="K8" s="12" t="s">
        <v>20</v>
      </c>
      <c r="L8" s="12" t="s">
        <v>23</v>
      </c>
      <c r="M8" s="12">
        <v>231.99700000000001</v>
      </c>
      <c r="N8" s="12">
        <v>194.036</v>
      </c>
      <c r="Q8" s="13">
        <f t="shared" si="0"/>
        <v>0.83637288413212241</v>
      </c>
    </row>
    <row r="9" spans="1:19" x14ac:dyDescent="0.25">
      <c r="A9" s="12">
        <f t="shared" si="1"/>
        <v>9</v>
      </c>
      <c r="B9" s="12">
        <v>2020</v>
      </c>
      <c r="C9" s="24">
        <v>6288</v>
      </c>
      <c r="D9" s="24">
        <v>18869572</v>
      </c>
      <c r="E9" s="12" t="s">
        <v>13</v>
      </c>
      <c r="F9" s="12" t="s">
        <v>14</v>
      </c>
      <c r="I9" s="26">
        <v>44082</v>
      </c>
      <c r="J9" s="12" t="s">
        <v>18</v>
      </c>
      <c r="K9" s="12" t="s">
        <v>20</v>
      </c>
      <c r="L9" s="12" t="s">
        <v>23</v>
      </c>
      <c r="M9" s="12">
        <v>231.99799999999999</v>
      </c>
      <c r="N9" s="12">
        <v>197.00399999999999</v>
      </c>
      <c r="Q9" s="13">
        <f t="shared" si="0"/>
        <v>0.84916249278011013</v>
      </c>
    </row>
    <row r="10" spans="1:19" x14ac:dyDescent="0.25">
      <c r="A10" s="12">
        <f t="shared" si="1"/>
        <v>9</v>
      </c>
      <c r="B10" s="12">
        <v>2020</v>
      </c>
      <c r="C10" s="24">
        <v>6289</v>
      </c>
      <c r="D10" s="24">
        <v>18869601</v>
      </c>
      <c r="E10" s="12" t="s">
        <v>13</v>
      </c>
      <c r="F10" s="12" t="s">
        <v>14</v>
      </c>
      <c r="I10" s="26">
        <v>44083</v>
      </c>
      <c r="J10" s="12" t="s">
        <v>18</v>
      </c>
      <c r="K10" s="12" t="s">
        <v>20</v>
      </c>
      <c r="L10" s="12" t="s">
        <v>24</v>
      </c>
      <c r="M10" s="12">
        <v>235.005</v>
      </c>
      <c r="N10" s="12">
        <v>200.32400000000001</v>
      </c>
      <c r="Q10" s="13">
        <f t="shared" si="0"/>
        <v>0.85242441650177658</v>
      </c>
    </row>
    <row r="11" spans="1:19" x14ac:dyDescent="0.25">
      <c r="A11" s="12">
        <f t="shared" si="1"/>
        <v>9</v>
      </c>
      <c r="B11" s="12">
        <v>2020</v>
      </c>
      <c r="C11" s="24">
        <v>6290</v>
      </c>
      <c r="D11" s="24">
        <v>18874785</v>
      </c>
      <c r="E11" s="12" t="s">
        <v>13</v>
      </c>
      <c r="F11" s="12" t="s">
        <v>14</v>
      </c>
      <c r="I11" s="26">
        <v>44084</v>
      </c>
      <c r="J11" s="12" t="s">
        <v>18</v>
      </c>
      <c r="K11" s="12" t="s">
        <v>20</v>
      </c>
      <c r="L11" s="12" t="s">
        <v>24</v>
      </c>
      <c r="M11" s="12">
        <v>235.006</v>
      </c>
      <c r="N11" s="12">
        <v>203.63</v>
      </c>
      <c r="Q11" s="13">
        <f t="shared" si="0"/>
        <v>0.86648851518684622</v>
      </c>
    </row>
    <row r="12" spans="1:19" x14ac:dyDescent="0.25">
      <c r="A12" s="12">
        <f t="shared" si="1"/>
        <v>9</v>
      </c>
      <c r="B12" s="12">
        <v>2020</v>
      </c>
      <c r="C12" s="24">
        <v>6291</v>
      </c>
      <c r="D12" s="24">
        <v>18878559</v>
      </c>
      <c r="E12" s="12" t="s">
        <v>13</v>
      </c>
      <c r="F12" s="12" t="s">
        <v>14</v>
      </c>
      <c r="I12" s="26">
        <v>44085</v>
      </c>
      <c r="J12" s="12" t="s">
        <v>17</v>
      </c>
      <c r="K12" s="12" t="s">
        <v>19</v>
      </c>
      <c r="L12" s="12" t="s">
        <v>21</v>
      </c>
      <c r="M12" s="12">
        <v>230.00700000000001</v>
      </c>
      <c r="N12" s="12">
        <v>198.50800000000001</v>
      </c>
      <c r="Q12" s="13">
        <f t="shared" si="0"/>
        <v>0.86305199406974575</v>
      </c>
    </row>
    <row r="13" spans="1:19" x14ac:dyDescent="0.25">
      <c r="A13" s="12">
        <f t="shared" si="1"/>
        <v>9</v>
      </c>
      <c r="B13" s="12">
        <v>2020</v>
      </c>
      <c r="C13" s="24">
        <v>6292</v>
      </c>
      <c r="D13" s="24">
        <v>18881521</v>
      </c>
      <c r="E13" s="12" t="s">
        <v>13</v>
      </c>
      <c r="F13" s="12" t="s">
        <v>14</v>
      </c>
      <c r="I13" s="26">
        <v>44086</v>
      </c>
      <c r="J13" s="12" t="s">
        <v>17</v>
      </c>
      <c r="K13" s="12" t="s">
        <v>19</v>
      </c>
      <c r="L13" s="12" t="s">
        <v>21</v>
      </c>
      <c r="M13" s="12">
        <v>230.00200000000001</v>
      </c>
      <c r="N13" s="12">
        <v>200.893</v>
      </c>
      <c r="Q13" s="13">
        <f t="shared" si="0"/>
        <v>0.8734402309545134</v>
      </c>
    </row>
    <row r="14" spans="1:19" x14ac:dyDescent="0.25">
      <c r="A14" s="12">
        <f t="shared" si="1"/>
        <v>9</v>
      </c>
      <c r="B14" s="12">
        <v>2020</v>
      </c>
      <c r="C14" s="24">
        <v>6293</v>
      </c>
      <c r="D14" s="24">
        <v>18887076</v>
      </c>
      <c r="E14" s="12" t="s">
        <v>13</v>
      </c>
      <c r="F14" s="12" t="s">
        <v>14</v>
      </c>
      <c r="I14" s="26">
        <v>44087</v>
      </c>
      <c r="J14" s="12" t="s">
        <v>17</v>
      </c>
      <c r="K14" s="12" t="s">
        <v>19</v>
      </c>
      <c r="L14" s="12" t="s">
        <v>21</v>
      </c>
      <c r="M14" s="12">
        <v>230.00200000000001</v>
      </c>
      <c r="N14" s="12">
        <v>192.64699999999999</v>
      </c>
      <c r="Q14" s="13">
        <f t="shared" si="0"/>
        <v>0.83758836879679299</v>
      </c>
    </row>
    <row r="15" spans="1:19" x14ac:dyDescent="0.25">
      <c r="A15" s="12">
        <f t="shared" si="1"/>
        <v>9</v>
      </c>
      <c r="B15" s="12">
        <v>2020</v>
      </c>
      <c r="C15" s="24">
        <v>6294</v>
      </c>
      <c r="D15" s="24">
        <v>18887113</v>
      </c>
      <c r="E15" s="12" t="s">
        <v>13</v>
      </c>
      <c r="F15" s="12" t="s">
        <v>14</v>
      </c>
      <c r="I15" s="26">
        <v>44088</v>
      </c>
      <c r="J15" s="12" t="s">
        <v>17</v>
      </c>
      <c r="K15" s="12" t="s">
        <v>19</v>
      </c>
      <c r="L15" s="12" t="s">
        <v>21</v>
      </c>
      <c r="M15" s="12">
        <v>229.99799999999999</v>
      </c>
      <c r="N15" s="12">
        <v>199.358</v>
      </c>
      <c r="Q15" s="13">
        <f t="shared" si="0"/>
        <v>0.86678145027348075</v>
      </c>
    </row>
    <row r="16" spans="1:19" x14ac:dyDescent="0.25">
      <c r="A16" s="12">
        <f t="shared" si="1"/>
        <v>9</v>
      </c>
      <c r="B16" s="12">
        <v>2020</v>
      </c>
      <c r="C16" s="24">
        <v>6295</v>
      </c>
      <c r="D16" s="24">
        <v>18887130</v>
      </c>
      <c r="E16" s="12" t="s">
        <v>13</v>
      </c>
      <c r="F16" s="12" t="s">
        <v>14</v>
      </c>
      <c r="I16" s="26">
        <v>44089</v>
      </c>
      <c r="J16" s="12" t="s">
        <v>17</v>
      </c>
      <c r="K16" s="12" t="s">
        <v>19</v>
      </c>
      <c r="L16" s="12" t="s">
        <v>21</v>
      </c>
      <c r="M16" s="12">
        <v>229.999</v>
      </c>
      <c r="N16" s="12">
        <v>189.666</v>
      </c>
      <c r="Q16" s="13">
        <f t="shared" si="0"/>
        <v>0.82463836799290435</v>
      </c>
    </row>
    <row r="17" spans="1:17" x14ac:dyDescent="0.25">
      <c r="A17" s="12">
        <f t="shared" si="1"/>
        <v>9</v>
      </c>
      <c r="B17" s="12">
        <v>2020</v>
      </c>
      <c r="C17" s="24">
        <v>6296</v>
      </c>
      <c r="D17" s="24">
        <v>18890283</v>
      </c>
      <c r="E17" s="12" t="s">
        <v>13</v>
      </c>
      <c r="F17" s="12" t="s">
        <v>14</v>
      </c>
      <c r="I17" s="26">
        <v>44090</v>
      </c>
      <c r="J17" s="12" t="s">
        <v>17</v>
      </c>
      <c r="K17" s="12" t="s">
        <v>19</v>
      </c>
      <c r="L17" s="12" t="s">
        <v>22</v>
      </c>
      <c r="M17" s="12">
        <v>230.017</v>
      </c>
      <c r="N17" s="12">
        <v>195.25800000000001</v>
      </c>
      <c r="Q17" s="13">
        <f t="shared" si="0"/>
        <v>0.8488850824069526</v>
      </c>
    </row>
    <row r="18" spans="1:17" x14ac:dyDescent="0.25">
      <c r="A18" s="12">
        <f t="shared" si="1"/>
        <v>9</v>
      </c>
      <c r="B18" s="12">
        <v>2020</v>
      </c>
      <c r="C18" s="24">
        <v>6297</v>
      </c>
      <c r="D18" s="24">
        <v>18894436</v>
      </c>
      <c r="E18" s="12" t="s">
        <v>13</v>
      </c>
      <c r="F18" s="12" t="s">
        <v>14</v>
      </c>
      <c r="I18" s="26">
        <v>44091</v>
      </c>
      <c r="J18" s="12" t="s">
        <v>17</v>
      </c>
      <c r="K18" s="12" t="s">
        <v>19</v>
      </c>
      <c r="L18" s="12" t="s">
        <v>22</v>
      </c>
      <c r="M18" s="12">
        <v>230.00800000000001</v>
      </c>
      <c r="N18" s="12">
        <v>199.65199999999999</v>
      </c>
      <c r="Q18" s="13">
        <f t="shared" si="0"/>
        <v>0.86802198184410972</v>
      </c>
    </row>
    <row r="19" spans="1:17" x14ac:dyDescent="0.25">
      <c r="A19" s="12">
        <f t="shared" si="1"/>
        <v>9</v>
      </c>
      <c r="B19" s="12">
        <v>2020</v>
      </c>
      <c r="C19" s="24">
        <v>6298</v>
      </c>
      <c r="D19" s="24">
        <v>18897995</v>
      </c>
      <c r="E19" s="12" t="s">
        <v>13</v>
      </c>
      <c r="F19" s="12" t="s">
        <v>14</v>
      </c>
      <c r="I19" s="26">
        <v>44092</v>
      </c>
      <c r="J19" s="12" t="s">
        <v>17</v>
      </c>
      <c r="K19" s="12" t="s">
        <v>19</v>
      </c>
      <c r="L19" s="12" t="s">
        <v>22</v>
      </c>
      <c r="M19" s="12">
        <v>230.00800000000001</v>
      </c>
      <c r="N19" s="12">
        <v>188</v>
      </c>
      <c r="Q19" s="13">
        <f t="shared" si="0"/>
        <v>0.8173628743348057</v>
      </c>
    </row>
    <row r="20" spans="1:17" x14ac:dyDescent="0.25">
      <c r="A20" s="12">
        <f t="shared" si="1"/>
        <v>9</v>
      </c>
      <c r="B20" s="12">
        <v>2020</v>
      </c>
      <c r="C20" s="24">
        <v>6299</v>
      </c>
      <c r="D20" s="24">
        <v>18902432</v>
      </c>
      <c r="E20" s="12" t="s">
        <v>13</v>
      </c>
      <c r="F20" s="12" t="s">
        <v>14</v>
      </c>
      <c r="I20" s="26">
        <v>44093</v>
      </c>
      <c r="J20" s="12" t="s">
        <v>17</v>
      </c>
      <c r="K20" s="12" t="s">
        <v>19</v>
      </c>
      <c r="L20" s="12" t="s">
        <v>25</v>
      </c>
      <c r="M20" s="12">
        <v>229.99299999999999</v>
      </c>
      <c r="N20" s="12">
        <v>200.83500000000001</v>
      </c>
      <c r="Q20" s="13">
        <f t="shared" si="0"/>
        <v>0.87322222850260667</v>
      </c>
    </row>
    <row r="21" spans="1:17" x14ac:dyDescent="0.25">
      <c r="A21" s="12">
        <f t="shared" si="1"/>
        <v>9</v>
      </c>
      <c r="B21" s="12">
        <v>2020</v>
      </c>
      <c r="C21" s="24">
        <v>6300</v>
      </c>
      <c r="D21" s="24">
        <v>18907612</v>
      </c>
      <c r="E21" s="12" t="s">
        <v>13</v>
      </c>
      <c r="F21" s="12" t="s">
        <v>14</v>
      </c>
      <c r="I21" s="26">
        <v>44094</v>
      </c>
      <c r="J21" s="12" t="s">
        <v>17</v>
      </c>
      <c r="K21" s="12" t="s">
        <v>19</v>
      </c>
      <c r="L21" s="12" t="s">
        <v>25</v>
      </c>
      <c r="M21" s="12">
        <v>229.994</v>
      </c>
      <c r="N21" s="12">
        <v>189.56700000000001</v>
      </c>
      <c r="Q21" s="13">
        <f t="shared" si="0"/>
        <v>0.82422584936998355</v>
      </c>
    </row>
    <row r="22" spans="1:17" x14ac:dyDescent="0.25">
      <c r="A22" s="12">
        <f t="shared" si="1"/>
        <v>9</v>
      </c>
      <c r="B22" s="12">
        <v>2020</v>
      </c>
      <c r="C22" s="24">
        <v>6301</v>
      </c>
      <c r="D22" s="24">
        <v>18915487</v>
      </c>
      <c r="E22" s="12" t="s">
        <v>13</v>
      </c>
      <c r="F22" s="12" t="s">
        <v>14</v>
      </c>
      <c r="I22" s="26">
        <v>44095</v>
      </c>
      <c r="J22" s="12" t="s">
        <v>17</v>
      </c>
      <c r="K22" s="12" t="s">
        <v>19</v>
      </c>
      <c r="L22" s="12" t="s">
        <v>26</v>
      </c>
      <c r="M22" s="12">
        <v>230.001</v>
      </c>
      <c r="N22" s="12">
        <v>191.02199999999999</v>
      </c>
      <c r="Q22" s="13">
        <f t="shared" si="0"/>
        <v>0.83052682379641818</v>
      </c>
    </row>
    <row r="23" spans="1:17" x14ac:dyDescent="0.25">
      <c r="A23" s="12">
        <f t="shared" si="1"/>
        <v>9</v>
      </c>
      <c r="B23" s="12">
        <v>2020</v>
      </c>
      <c r="C23" s="24">
        <v>6302</v>
      </c>
      <c r="D23" s="24">
        <v>18930505</v>
      </c>
      <c r="E23" s="12" t="s">
        <v>13</v>
      </c>
      <c r="F23" s="12" t="s">
        <v>14</v>
      </c>
      <c r="I23" s="26">
        <v>44096</v>
      </c>
      <c r="J23" s="12" t="s">
        <v>18</v>
      </c>
      <c r="K23" s="12" t="s">
        <v>20</v>
      </c>
      <c r="L23" s="12" t="s">
        <v>23</v>
      </c>
      <c r="M23" s="12">
        <v>229.99299999999999</v>
      </c>
      <c r="N23" s="12">
        <v>195.96799999999999</v>
      </c>
      <c r="Q23" s="13">
        <f t="shared" si="0"/>
        <v>0.85206071489132273</v>
      </c>
    </row>
    <row r="24" spans="1:17" x14ac:dyDescent="0.25">
      <c r="A24" s="12">
        <f t="shared" si="1"/>
        <v>9</v>
      </c>
      <c r="B24" s="12">
        <v>2020</v>
      </c>
      <c r="C24" s="24">
        <v>6303</v>
      </c>
      <c r="D24" s="24">
        <v>18930548</v>
      </c>
      <c r="E24" s="12" t="s">
        <v>13</v>
      </c>
      <c r="F24" s="12" t="s">
        <v>14</v>
      </c>
      <c r="I24" s="26">
        <v>44097</v>
      </c>
      <c r="J24" s="12" t="s">
        <v>18</v>
      </c>
      <c r="K24" s="12" t="s">
        <v>20</v>
      </c>
      <c r="L24" s="12" t="s">
        <v>23</v>
      </c>
      <c r="M24" s="12">
        <v>229.99299999999999</v>
      </c>
      <c r="N24" s="12">
        <v>191.64099999999999</v>
      </c>
      <c r="Q24" s="13">
        <f t="shared" si="0"/>
        <v>0.83324709882474679</v>
      </c>
    </row>
    <row r="25" spans="1:17" x14ac:dyDescent="0.25">
      <c r="A25" s="12">
        <f t="shared" si="1"/>
        <v>9</v>
      </c>
      <c r="B25" s="12">
        <v>2020</v>
      </c>
      <c r="C25" s="24">
        <v>6304</v>
      </c>
      <c r="D25" s="24">
        <v>18930716</v>
      </c>
      <c r="E25" s="12" t="s">
        <v>13</v>
      </c>
      <c r="F25" s="12" t="s">
        <v>14</v>
      </c>
      <c r="I25" s="26">
        <v>44098</v>
      </c>
      <c r="J25" s="12" t="s">
        <v>18</v>
      </c>
      <c r="K25" s="12" t="s">
        <v>20</v>
      </c>
      <c r="L25" s="12" t="s">
        <v>23</v>
      </c>
      <c r="M25" s="12">
        <v>230.001</v>
      </c>
      <c r="N25" s="12">
        <v>198.292</v>
      </c>
      <c r="Q25" s="13">
        <f t="shared" si="0"/>
        <v>0.86213538202007811</v>
      </c>
    </row>
    <row r="26" spans="1:17" x14ac:dyDescent="0.25">
      <c r="A26" s="12">
        <f t="shared" si="1"/>
        <v>9</v>
      </c>
      <c r="B26" s="12">
        <v>2020</v>
      </c>
      <c r="C26" s="24">
        <v>6305</v>
      </c>
      <c r="D26" s="24">
        <v>18930767</v>
      </c>
      <c r="E26" s="12" t="s">
        <v>13</v>
      </c>
      <c r="F26" s="12" t="s">
        <v>14</v>
      </c>
      <c r="I26" s="26">
        <v>44099</v>
      </c>
      <c r="J26" s="12" t="s">
        <v>18</v>
      </c>
      <c r="K26" s="12" t="s">
        <v>20</v>
      </c>
      <c r="L26" s="12" t="s">
        <v>23</v>
      </c>
      <c r="M26" s="12">
        <v>230.001</v>
      </c>
      <c r="N26" s="12">
        <v>191.44800000000001</v>
      </c>
      <c r="Q26" s="13">
        <f t="shared" si="0"/>
        <v>0.83237898965656676</v>
      </c>
    </row>
    <row r="27" spans="1:17" x14ac:dyDescent="0.25">
      <c r="A27" s="12">
        <f t="shared" si="1"/>
        <v>9</v>
      </c>
      <c r="B27" s="12">
        <v>2020</v>
      </c>
      <c r="C27" s="24">
        <v>6306</v>
      </c>
      <c r="D27" s="24">
        <v>18930783</v>
      </c>
      <c r="E27" s="12" t="s">
        <v>13</v>
      </c>
      <c r="F27" s="12" t="s">
        <v>14</v>
      </c>
      <c r="I27" s="26">
        <v>44100</v>
      </c>
      <c r="J27" s="12" t="s">
        <v>17</v>
      </c>
      <c r="K27" s="12" t="s">
        <v>19</v>
      </c>
      <c r="L27" s="12" t="s">
        <v>25</v>
      </c>
      <c r="M27" s="12">
        <v>230.005</v>
      </c>
      <c r="N27" s="12">
        <v>201.358</v>
      </c>
      <c r="Q27" s="13">
        <f t="shared" si="0"/>
        <v>0.87545053368405035</v>
      </c>
    </row>
    <row r="28" spans="1:17" x14ac:dyDescent="0.25">
      <c r="A28" s="12">
        <f t="shared" si="1"/>
        <v>9</v>
      </c>
      <c r="B28" s="12">
        <v>2020</v>
      </c>
      <c r="C28" s="24">
        <v>6307</v>
      </c>
      <c r="D28" s="24">
        <v>18930880</v>
      </c>
      <c r="E28" s="12" t="s">
        <v>13</v>
      </c>
      <c r="F28" s="12" t="s">
        <v>14</v>
      </c>
      <c r="I28" s="26">
        <v>44101</v>
      </c>
      <c r="J28" s="12" t="s">
        <v>17</v>
      </c>
      <c r="K28" s="12" t="s">
        <v>19</v>
      </c>
      <c r="L28" s="12" t="s">
        <v>25</v>
      </c>
      <c r="M28" s="12">
        <v>230.005</v>
      </c>
      <c r="N28" s="12">
        <v>191.732</v>
      </c>
      <c r="Q28" s="13">
        <f t="shared" si="0"/>
        <v>0.83359926958109609</v>
      </c>
    </row>
    <row r="29" spans="1:17" x14ac:dyDescent="0.25">
      <c r="A29" s="12">
        <f t="shared" si="1"/>
        <v>9</v>
      </c>
      <c r="B29" s="12">
        <v>2020</v>
      </c>
      <c r="C29" s="24">
        <v>6308</v>
      </c>
      <c r="D29" s="24">
        <v>18930935</v>
      </c>
      <c r="E29" s="12" t="s">
        <v>13</v>
      </c>
      <c r="F29" s="12" t="s">
        <v>14</v>
      </c>
      <c r="I29" s="26">
        <v>44102</v>
      </c>
      <c r="J29" s="12" t="s">
        <v>17</v>
      </c>
      <c r="K29" s="12" t="s">
        <v>19</v>
      </c>
      <c r="L29" s="12" t="s">
        <v>27</v>
      </c>
      <c r="M29" s="12">
        <v>230.01499999999999</v>
      </c>
      <c r="N29" s="12">
        <v>198.458</v>
      </c>
      <c r="Q29" s="13">
        <f t="shared" si="0"/>
        <v>0.86280459970001966</v>
      </c>
    </row>
    <row r="30" spans="1:17" x14ac:dyDescent="0.25">
      <c r="A30" s="12">
        <f t="shared" si="1"/>
        <v>9</v>
      </c>
      <c r="B30" s="12">
        <v>2020</v>
      </c>
      <c r="C30" s="24">
        <v>6309</v>
      </c>
      <c r="D30" s="24">
        <v>18930943</v>
      </c>
      <c r="E30" s="12" t="s">
        <v>13</v>
      </c>
      <c r="F30" s="12" t="s">
        <v>14</v>
      </c>
      <c r="I30" s="26">
        <v>44103</v>
      </c>
      <c r="J30" s="12" t="s">
        <v>17</v>
      </c>
      <c r="K30" s="12" t="s">
        <v>19</v>
      </c>
      <c r="L30" s="12" t="s">
        <v>27</v>
      </c>
      <c r="M30" s="12">
        <v>230.01599999999999</v>
      </c>
      <c r="N30" s="12">
        <v>189.62700000000001</v>
      </c>
      <c r="Q30" s="13">
        <f t="shared" si="0"/>
        <v>0.82440786727879811</v>
      </c>
    </row>
    <row r="31" spans="1:17" x14ac:dyDescent="0.25">
      <c r="A31" s="12">
        <f t="shared" si="1"/>
        <v>9</v>
      </c>
      <c r="B31" s="12">
        <v>2020</v>
      </c>
      <c r="C31" s="24">
        <v>6310</v>
      </c>
      <c r="D31" s="24">
        <v>18930978</v>
      </c>
      <c r="E31" s="12" t="s">
        <v>13</v>
      </c>
      <c r="F31" s="12" t="s">
        <v>14</v>
      </c>
      <c r="I31" s="26">
        <v>44104</v>
      </c>
      <c r="J31" s="12" t="s">
        <v>18</v>
      </c>
      <c r="K31" s="12" t="s">
        <v>19</v>
      </c>
      <c r="L31" s="12" t="s">
        <v>22</v>
      </c>
      <c r="M31" s="12">
        <v>229.97800000000001</v>
      </c>
      <c r="N31" s="12">
        <v>195.09</v>
      </c>
      <c r="Q31" s="13">
        <f t="shared" si="0"/>
        <v>0.84829853290314727</v>
      </c>
    </row>
    <row r="32" spans="1:17" x14ac:dyDescent="0.25">
      <c r="A32" s="12">
        <f t="shared" si="1"/>
        <v>10</v>
      </c>
      <c r="B32" s="12">
        <v>2020</v>
      </c>
      <c r="C32" s="12">
        <v>6311</v>
      </c>
      <c r="D32" s="12">
        <v>18935226</v>
      </c>
      <c r="E32" s="12" t="s">
        <v>13</v>
      </c>
      <c r="F32" s="12" t="s">
        <v>14</v>
      </c>
      <c r="I32" s="14">
        <v>44105</v>
      </c>
      <c r="J32" s="12" t="s">
        <v>18</v>
      </c>
      <c r="K32" s="12" t="s">
        <v>19</v>
      </c>
      <c r="L32" s="12" t="s">
        <v>22</v>
      </c>
      <c r="M32" s="12">
        <v>230.03100000000001</v>
      </c>
      <c r="N32" s="12">
        <v>194.16800000000001</v>
      </c>
      <c r="Q32" s="13">
        <f t="shared" si="0"/>
        <v>0.84409492633601557</v>
      </c>
    </row>
    <row r="33" spans="1:17" x14ac:dyDescent="0.25">
      <c r="A33" s="12">
        <f t="shared" si="1"/>
        <v>10</v>
      </c>
      <c r="B33" s="12">
        <v>2020</v>
      </c>
      <c r="C33" s="12">
        <v>6312</v>
      </c>
      <c r="D33" s="12">
        <v>18942936</v>
      </c>
      <c r="E33" s="12" t="s">
        <v>13</v>
      </c>
      <c r="F33" s="12" t="s">
        <v>14</v>
      </c>
      <c r="I33" s="14">
        <v>44106</v>
      </c>
      <c r="J33" s="12" t="s">
        <v>17</v>
      </c>
      <c r="K33" s="12" t="s">
        <v>19</v>
      </c>
      <c r="L33" s="12" t="s">
        <v>25</v>
      </c>
      <c r="M33" s="12">
        <v>230.001</v>
      </c>
      <c r="N33" s="12">
        <v>194.17599999999999</v>
      </c>
      <c r="Q33" s="13">
        <f t="shared" si="0"/>
        <v>0.8442398076530101</v>
      </c>
    </row>
    <row r="34" spans="1:17" x14ac:dyDescent="0.25">
      <c r="A34" s="12">
        <f t="shared" si="1"/>
        <v>10</v>
      </c>
      <c r="B34" s="12">
        <v>2020</v>
      </c>
      <c r="C34" s="12">
        <v>6313</v>
      </c>
      <c r="D34" s="12">
        <v>18942952</v>
      </c>
      <c r="E34" s="12" t="s">
        <v>13</v>
      </c>
      <c r="F34" s="12" t="s">
        <v>14</v>
      </c>
      <c r="I34" s="14">
        <v>44107</v>
      </c>
      <c r="J34" s="12" t="s">
        <v>17</v>
      </c>
      <c r="K34" s="12" t="s">
        <v>19</v>
      </c>
      <c r="L34" s="12" t="s">
        <v>25</v>
      </c>
      <c r="M34" s="12">
        <v>230.001</v>
      </c>
      <c r="N34" s="12">
        <v>187.744</v>
      </c>
      <c r="Q34" s="13">
        <f t="shared" si="0"/>
        <v>0.81627471184907885</v>
      </c>
    </row>
    <row r="35" spans="1:17" x14ac:dyDescent="0.25">
      <c r="A35" s="12">
        <f t="shared" si="1"/>
        <v>10</v>
      </c>
      <c r="B35" s="12">
        <v>2020</v>
      </c>
      <c r="C35" s="12">
        <v>6314</v>
      </c>
      <c r="D35" s="12">
        <v>18948182</v>
      </c>
      <c r="E35" s="12" t="s">
        <v>13</v>
      </c>
      <c r="F35" s="12" t="s">
        <v>14</v>
      </c>
      <c r="I35" s="14">
        <v>44108</v>
      </c>
      <c r="J35" s="12" t="s">
        <v>17</v>
      </c>
      <c r="K35" s="12" t="s">
        <v>19</v>
      </c>
      <c r="L35" s="12" t="s">
        <v>22</v>
      </c>
      <c r="M35" s="12">
        <v>230.006</v>
      </c>
      <c r="N35" s="12">
        <v>199.83199999999999</v>
      </c>
      <c r="Q35" s="13">
        <f t="shared" si="0"/>
        <v>0.86881211794474922</v>
      </c>
    </row>
    <row r="36" spans="1:17" x14ac:dyDescent="0.25">
      <c r="A36" s="12">
        <f t="shared" si="1"/>
        <v>10</v>
      </c>
      <c r="B36" s="12">
        <v>2020</v>
      </c>
      <c r="C36" s="12">
        <v>6315</v>
      </c>
      <c r="D36" s="12">
        <v>18948203</v>
      </c>
      <c r="E36" s="12" t="s">
        <v>13</v>
      </c>
      <c r="F36" s="12" t="s">
        <v>14</v>
      </c>
      <c r="I36" s="14">
        <v>44109</v>
      </c>
      <c r="J36" s="12" t="s">
        <v>17</v>
      </c>
      <c r="K36" s="12" t="s">
        <v>19</v>
      </c>
      <c r="L36" s="12" t="s">
        <v>22</v>
      </c>
      <c r="M36" s="12">
        <v>230.006</v>
      </c>
      <c r="N36" s="12">
        <v>186.90299999999999</v>
      </c>
      <c r="Q36" s="13">
        <f t="shared" si="0"/>
        <v>0.81260054085545586</v>
      </c>
    </row>
    <row r="37" spans="1:17" x14ac:dyDescent="0.25">
      <c r="A37" s="12">
        <f t="shared" si="1"/>
        <v>10</v>
      </c>
      <c r="B37" s="12">
        <v>2020</v>
      </c>
      <c r="C37" s="12">
        <v>6316</v>
      </c>
      <c r="D37" s="12">
        <v>18951138</v>
      </c>
      <c r="E37" s="12" t="s">
        <v>13</v>
      </c>
      <c r="F37" s="12" t="s">
        <v>14</v>
      </c>
      <c r="I37" s="14">
        <v>44110</v>
      </c>
      <c r="J37" s="12" t="s">
        <v>17</v>
      </c>
      <c r="K37" s="12" t="s">
        <v>20</v>
      </c>
      <c r="L37" s="12" t="s">
        <v>29</v>
      </c>
      <c r="M37" s="12">
        <v>235.00399999999999</v>
      </c>
      <c r="N37" s="12">
        <v>199.809</v>
      </c>
      <c r="P37" s="12">
        <v>10.6</v>
      </c>
      <c r="Q37" s="13">
        <f t="shared" si="0"/>
        <v>0.85023659171758781</v>
      </c>
    </row>
    <row r="38" spans="1:17" x14ac:dyDescent="0.25">
      <c r="A38" s="12">
        <f t="shared" si="1"/>
        <v>10</v>
      </c>
      <c r="B38" s="12">
        <v>2020</v>
      </c>
      <c r="C38" s="12">
        <v>6317</v>
      </c>
      <c r="D38" s="12">
        <v>18951189</v>
      </c>
      <c r="E38" s="12" t="s">
        <v>13</v>
      </c>
      <c r="F38" s="12" t="s">
        <v>14</v>
      </c>
      <c r="I38" s="14">
        <v>44111</v>
      </c>
      <c r="J38" s="12" t="s">
        <v>18</v>
      </c>
      <c r="K38" s="12" t="s">
        <v>20</v>
      </c>
      <c r="L38" s="12" t="s">
        <v>24</v>
      </c>
      <c r="M38" s="12">
        <v>235.00200000000001</v>
      </c>
      <c r="N38" s="12">
        <v>199.017</v>
      </c>
      <c r="Q38" s="13">
        <f t="shared" si="0"/>
        <v>0.84687364362856477</v>
      </c>
    </row>
    <row r="39" spans="1:17" x14ac:dyDescent="0.25">
      <c r="A39" s="12">
        <f t="shared" si="1"/>
        <v>10</v>
      </c>
      <c r="B39" s="12">
        <v>2020</v>
      </c>
      <c r="C39" s="12">
        <v>6318</v>
      </c>
      <c r="D39" s="12">
        <v>18955323</v>
      </c>
      <c r="E39" s="12" t="s">
        <v>13</v>
      </c>
      <c r="F39" s="12" t="s">
        <v>14</v>
      </c>
      <c r="I39" s="14">
        <v>44112</v>
      </c>
      <c r="J39" s="12" t="s">
        <v>18</v>
      </c>
      <c r="K39" s="12" t="s">
        <v>20</v>
      </c>
      <c r="L39" s="12" t="s">
        <v>24</v>
      </c>
      <c r="M39" s="12">
        <v>235.00299999999999</v>
      </c>
      <c r="N39" s="12">
        <v>208.32599999999999</v>
      </c>
      <c r="Q39" s="13">
        <f t="shared" si="0"/>
        <v>0.88648230022595453</v>
      </c>
    </row>
    <row r="40" spans="1:17" x14ac:dyDescent="0.25">
      <c r="A40" s="12">
        <f t="shared" si="1"/>
        <v>10</v>
      </c>
      <c r="B40" s="12">
        <v>2020</v>
      </c>
      <c r="C40" s="12">
        <v>6319</v>
      </c>
      <c r="D40" s="12">
        <v>18960704</v>
      </c>
      <c r="E40" s="12" t="s">
        <v>13</v>
      </c>
      <c r="F40" s="12" t="s">
        <v>14</v>
      </c>
      <c r="I40" s="14">
        <v>44113</v>
      </c>
      <c r="J40" s="12" t="s">
        <v>17</v>
      </c>
      <c r="K40" s="12" t="s">
        <v>19</v>
      </c>
      <c r="L40" s="12" t="s">
        <v>25</v>
      </c>
      <c r="M40" s="12">
        <v>230.01</v>
      </c>
      <c r="N40" s="12">
        <v>189.351</v>
      </c>
      <c r="Q40" s="13">
        <f t="shared" si="0"/>
        <v>0.82322942480761707</v>
      </c>
    </row>
    <row r="41" spans="1:17" x14ac:dyDescent="0.25">
      <c r="A41" s="12">
        <f t="shared" si="1"/>
        <v>10</v>
      </c>
      <c r="B41" s="12">
        <v>2020</v>
      </c>
      <c r="C41" s="12">
        <v>6320</v>
      </c>
      <c r="D41" s="12">
        <v>18964385</v>
      </c>
      <c r="E41" s="12" t="s">
        <v>13</v>
      </c>
      <c r="F41" s="12" t="s">
        <v>14</v>
      </c>
      <c r="I41" s="14">
        <v>44114</v>
      </c>
      <c r="J41" s="12" t="s">
        <v>17</v>
      </c>
      <c r="K41" s="12" t="s">
        <v>19</v>
      </c>
      <c r="L41" s="12" t="s">
        <v>25</v>
      </c>
      <c r="M41" s="12">
        <v>230.01</v>
      </c>
      <c r="N41" s="12">
        <v>199.15799999999999</v>
      </c>
      <c r="Q41" s="13">
        <f t="shared" si="0"/>
        <v>0.86586670144776312</v>
      </c>
    </row>
    <row r="42" spans="1:17" x14ac:dyDescent="0.25">
      <c r="A42" s="12">
        <f t="shared" si="1"/>
        <v>10</v>
      </c>
      <c r="B42" s="12">
        <v>2020</v>
      </c>
      <c r="C42" s="12">
        <v>6321</v>
      </c>
      <c r="D42" s="12">
        <v>18968108</v>
      </c>
      <c r="E42" s="12" t="s">
        <v>13</v>
      </c>
      <c r="F42" s="12" t="s">
        <v>14</v>
      </c>
      <c r="I42" s="14">
        <v>44115</v>
      </c>
      <c r="J42" s="12" t="s">
        <v>17</v>
      </c>
      <c r="K42" s="12" t="s">
        <v>19</v>
      </c>
      <c r="L42" s="12" t="s">
        <v>25</v>
      </c>
      <c r="M42" s="12">
        <v>229.99100000000001</v>
      </c>
      <c r="N42" s="12">
        <v>192.971</v>
      </c>
      <c r="Q42" s="13">
        <f t="shared" si="0"/>
        <v>0.839037179715728</v>
      </c>
    </row>
    <row r="43" spans="1:17" x14ac:dyDescent="0.25">
      <c r="A43" s="12">
        <f t="shared" si="1"/>
        <v>10</v>
      </c>
      <c r="B43" s="12">
        <v>2020</v>
      </c>
      <c r="C43" s="12">
        <v>6322</v>
      </c>
      <c r="D43" s="12">
        <v>18968124</v>
      </c>
      <c r="E43" s="12" t="s">
        <v>13</v>
      </c>
      <c r="F43" s="12" t="s">
        <v>14</v>
      </c>
      <c r="I43" s="14">
        <v>44116</v>
      </c>
      <c r="J43" s="12" t="s">
        <v>17</v>
      </c>
      <c r="K43" s="12" t="s">
        <v>19</v>
      </c>
      <c r="L43" s="12" t="s">
        <v>25</v>
      </c>
      <c r="M43" s="12">
        <v>230.00899999999999</v>
      </c>
      <c r="N43" s="12">
        <v>187.28299999999999</v>
      </c>
      <c r="Q43" s="13">
        <f t="shared" si="0"/>
        <v>0.81424205139798878</v>
      </c>
    </row>
    <row r="44" spans="1:17" x14ac:dyDescent="0.25">
      <c r="A44" s="12">
        <f t="shared" si="1"/>
        <v>10</v>
      </c>
      <c r="B44" s="12">
        <v>2020</v>
      </c>
      <c r="C44" s="12">
        <v>6323</v>
      </c>
      <c r="D44" s="12">
        <v>18968159</v>
      </c>
      <c r="E44" s="12" t="s">
        <v>13</v>
      </c>
      <c r="F44" s="12" t="s">
        <v>14</v>
      </c>
      <c r="I44" s="14">
        <v>44117</v>
      </c>
      <c r="J44" s="12" t="s">
        <v>17</v>
      </c>
      <c r="K44" s="12" t="s">
        <v>19</v>
      </c>
      <c r="L44" s="12" t="s">
        <v>25</v>
      </c>
      <c r="M44" s="12">
        <v>230.00899999999999</v>
      </c>
      <c r="N44" s="12">
        <v>204.29300000000001</v>
      </c>
      <c r="Q44" s="13">
        <f t="shared" si="0"/>
        <v>0.88819567929950571</v>
      </c>
    </row>
    <row r="45" spans="1:17" x14ac:dyDescent="0.25">
      <c r="A45" s="12">
        <f t="shared" si="1"/>
        <v>10</v>
      </c>
      <c r="B45" s="12">
        <v>2020</v>
      </c>
      <c r="C45" s="12">
        <v>6324</v>
      </c>
      <c r="D45" s="12">
        <v>18971921</v>
      </c>
      <c r="E45" s="12" t="s">
        <v>13</v>
      </c>
      <c r="F45" s="12" t="s">
        <v>14</v>
      </c>
      <c r="I45" s="14">
        <v>44118</v>
      </c>
      <c r="J45" s="12" t="s">
        <v>18</v>
      </c>
      <c r="K45" s="12" t="s">
        <v>19</v>
      </c>
      <c r="L45" s="12" t="s">
        <v>22</v>
      </c>
      <c r="M45" s="12">
        <v>230.00899999999999</v>
      </c>
      <c r="N45" s="12">
        <v>195.77099999999999</v>
      </c>
      <c r="Q45" s="13">
        <f t="shared" si="0"/>
        <v>0.8511449551974053</v>
      </c>
    </row>
    <row r="46" spans="1:17" x14ac:dyDescent="0.25">
      <c r="A46" s="12">
        <f t="shared" si="1"/>
        <v>10</v>
      </c>
      <c r="B46" s="12">
        <v>2020</v>
      </c>
      <c r="C46" s="12">
        <v>6325</v>
      </c>
      <c r="D46" s="12">
        <v>18975869</v>
      </c>
      <c r="E46" s="12" t="s">
        <v>13</v>
      </c>
      <c r="F46" s="12" t="s">
        <v>14</v>
      </c>
      <c r="I46" s="14">
        <v>44119</v>
      </c>
      <c r="J46" s="12" t="s">
        <v>18</v>
      </c>
      <c r="K46" s="12" t="s">
        <v>19</v>
      </c>
      <c r="L46" s="12" t="s">
        <v>22</v>
      </c>
      <c r="M46" s="12">
        <v>230.01</v>
      </c>
      <c r="N46" s="12">
        <v>194.88</v>
      </c>
      <c r="Q46" s="13">
        <f t="shared" si="0"/>
        <v>0.84726751010825618</v>
      </c>
    </row>
    <row r="47" spans="1:17" x14ac:dyDescent="0.25">
      <c r="A47" s="12">
        <f t="shared" si="1"/>
        <v>10</v>
      </c>
      <c r="B47" s="12">
        <v>2020</v>
      </c>
      <c r="C47" s="12">
        <v>6326</v>
      </c>
      <c r="D47" s="12">
        <v>18979579</v>
      </c>
      <c r="E47" s="12" t="s">
        <v>13</v>
      </c>
      <c r="F47" s="12" t="s">
        <v>14</v>
      </c>
      <c r="I47" s="14">
        <v>44120</v>
      </c>
      <c r="J47" s="12" t="s">
        <v>18</v>
      </c>
      <c r="K47" s="12" t="s">
        <v>20</v>
      </c>
      <c r="L47" s="12" t="s">
        <v>29</v>
      </c>
      <c r="M47" s="12">
        <v>234.999</v>
      </c>
      <c r="N47" s="12">
        <v>201.489</v>
      </c>
      <c r="Q47" s="13">
        <f t="shared" si="0"/>
        <v>0.85740364852616402</v>
      </c>
    </row>
    <row r="48" spans="1:17" x14ac:dyDescent="0.25">
      <c r="A48" s="12">
        <f t="shared" si="1"/>
        <v>10</v>
      </c>
      <c r="B48" s="12">
        <v>2020</v>
      </c>
      <c r="C48" s="12">
        <v>6327</v>
      </c>
      <c r="D48" s="12">
        <v>18983113</v>
      </c>
      <c r="E48" s="12" t="s">
        <v>13</v>
      </c>
      <c r="F48" s="12" t="s">
        <v>14</v>
      </c>
      <c r="I48" s="14">
        <v>44121</v>
      </c>
      <c r="J48" s="12" t="s">
        <v>18</v>
      </c>
      <c r="K48" s="12" t="s">
        <v>20</v>
      </c>
      <c r="L48" s="12" t="s">
        <v>29</v>
      </c>
      <c r="M48" s="12">
        <v>235</v>
      </c>
      <c r="N48" s="12">
        <v>201.56</v>
      </c>
      <c r="Q48" s="13">
        <f t="shared" si="0"/>
        <v>0.85770212765957443</v>
      </c>
    </row>
    <row r="49" spans="1:17" x14ac:dyDescent="0.25">
      <c r="A49" s="12">
        <f t="shared" si="1"/>
        <v>10</v>
      </c>
      <c r="B49" s="12">
        <v>2020</v>
      </c>
      <c r="C49" s="12">
        <v>6328</v>
      </c>
      <c r="D49" s="12">
        <v>18988213</v>
      </c>
      <c r="E49" s="12" t="s">
        <v>13</v>
      </c>
      <c r="F49" s="12" t="s">
        <v>14</v>
      </c>
      <c r="I49" s="14">
        <v>44122</v>
      </c>
      <c r="J49" s="12" t="s">
        <v>17</v>
      </c>
      <c r="K49" s="12" t="s">
        <v>20</v>
      </c>
      <c r="L49" s="12" t="s">
        <v>24</v>
      </c>
      <c r="M49" s="12">
        <v>235.00700000000001</v>
      </c>
      <c r="N49" s="12">
        <v>202.59100000000001</v>
      </c>
      <c r="Q49" s="13">
        <f t="shared" si="0"/>
        <v>0.86206368320943638</v>
      </c>
    </row>
    <row r="50" spans="1:17" x14ac:dyDescent="0.25">
      <c r="A50" s="12">
        <f t="shared" si="1"/>
        <v>10</v>
      </c>
      <c r="B50" s="12">
        <v>2020</v>
      </c>
      <c r="C50" s="12">
        <v>6329</v>
      </c>
      <c r="D50" s="12">
        <v>18988820</v>
      </c>
      <c r="E50" s="12" t="s">
        <v>13</v>
      </c>
      <c r="F50" s="12" t="s">
        <v>14</v>
      </c>
      <c r="I50" s="14">
        <v>44123</v>
      </c>
      <c r="J50" s="12" t="s">
        <v>17</v>
      </c>
      <c r="K50" s="12" t="s">
        <v>20</v>
      </c>
      <c r="L50" s="12" t="s">
        <v>24</v>
      </c>
      <c r="M50" s="12">
        <v>235.00800000000001</v>
      </c>
      <c r="N50" s="12">
        <v>207.125</v>
      </c>
      <c r="Q50" s="13">
        <f t="shared" si="0"/>
        <v>0.88135297521786493</v>
      </c>
    </row>
    <row r="51" spans="1:17" x14ac:dyDescent="0.25">
      <c r="A51" s="12">
        <f t="shared" si="1"/>
        <v>10</v>
      </c>
      <c r="B51" s="12">
        <v>2020</v>
      </c>
      <c r="C51" s="12">
        <v>6330</v>
      </c>
      <c r="D51" s="12">
        <v>18988977</v>
      </c>
      <c r="E51" s="12" t="s">
        <v>13</v>
      </c>
      <c r="F51" s="12" t="s">
        <v>14</v>
      </c>
      <c r="I51" s="14">
        <v>44124</v>
      </c>
      <c r="J51" s="12" t="s">
        <v>17</v>
      </c>
      <c r="K51" s="12" t="s">
        <v>19</v>
      </c>
      <c r="L51" s="12" t="s">
        <v>22</v>
      </c>
      <c r="M51" s="12">
        <v>229.98099999999999</v>
      </c>
      <c r="N51" s="12">
        <v>192.39099999999999</v>
      </c>
      <c r="Q51" s="13">
        <f t="shared" si="0"/>
        <v>0.83655171514168558</v>
      </c>
    </row>
    <row r="52" spans="1:17" x14ac:dyDescent="0.25">
      <c r="A52" s="12">
        <f t="shared" si="1"/>
        <v>10</v>
      </c>
      <c r="B52" s="12">
        <v>2020</v>
      </c>
      <c r="C52" s="12">
        <v>6331</v>
      </c>
      <c r="D52" s="12">
        <v>18992298</v>
      </c>
      <c r="E52" s="12" t="s">
        <v>13</v>
      </c>
      <c r="F52" s="12" t="s">
        <v>14</v>
      </c>
      <c r="I52" s="14">
        <v>44125</v>
      </c>
      <c r="J52" s="12" t="s">
        <v>17</v>
      </c>
      <c r="K52" s="12" t="s">
        <v>19</v>
      </c>
      <c r="L52" s="12" t="s">
        <v>22</v>
      </c>
      <c r="M52" s="12">
        <v>230.005</v>
      </c>
      <c r="N52" s="12">
        <v>203.28</v>
      </c>
      <c r="Q52" s="13">
        <f t="shared" si="0"/>
        <v>0.88380687376361389</v>
      </c>
    </row>
    <row r="53" spans="1:17" x14ac:dyDescent="0.25">
      <c r="A53" s="12">
        <f t="shared" si="1"/>
        <v>10</v>
      </c>
      <c r="B53" s="12">
        <v>2020</v>
      </c>
      <c r="C53" s="12">
        <v>6332</v>
      </c>
      <c r="D53" s="12">
        <v>18996310</v>
      </c>
      <c r="E53" s="12" t="s">
        <v>13</v>
      </c>
      <c r="F53" s="12" t="s">
        <v>14</v>
      </c>
      <c r="I53" s="14">
        <v>44126</v>
      </c>
      <c r="J53" s="12" t="s">
        <v>17</v>
      </c>
      <c r="K53" s="12" t="s">
        <v>19</v>
      </c>
      <c r="L53" s="12" t="s">
        <v>22</v>
      </c>
      <c r="M53" s="12">
        <v>230.006</v>
      </c>
      <c r="N53" s="12">
        <v>192.63900000000001</v>
      </c>
      <c r="Q53" s="13">
        <f t="shared" si="0"/>
        <v>0.83753902072119857</v>
      </c>
    </row>
    <row r="54" spans="1:17" x14ac:dyDescent="0.25">
      <c r="A54" s="12">
        <f t="shared" si="1"/>
        <v>10</v>
      </c>
      <c r="B54" s="12">
        <v>2020</v>
      </c>
      <c r="C54" s="12">
        <v>6333</v>
      </c>
      <c r="D54" s="12">
        <v>19000166</v>
      </c>
      <c r="E54" s="12" t="s">
        <v>13</v>
      </c>
      <c r="F54" s="12" t="s">
        <v>14</v>
      </c>
      <c r="I54" s="14">
        <v>44127</v>
      </c>
      <c r="J54" s="12" t="s">
        <v>17</v>
      </c>
      <c r="K54" s="12" t="s">
        <v>19</v>
      </c>
      <c r="L54" s="12" t="s">
        <v>22</v>
      </c>
      <c r="M54" s="12">
        <v>229.99700000000001</v>
      </c>
      <c r="N54" s="12">
        <v>193.95400000000001</v>
      </c>
      <c r="Q54" s="13">
        <f t="shared" si="0"/>
        <v>0.84328926029469953</v>
      </c>
    </row>
    <row r="55" spans="1:17" x14ac:dyDescent="0.25">
      <c r="A55" s="12">
        <f t="shared" si="1"/>
        <v>10</v>
      </c>
      <c r="B55" s="12">
        <v>2020</v>
      </c>
      <c r="C55" s="12">
        <v>6334</v>
      </c>
      <c r="D55" s="12">
        <v>19004141</v>
      </c>
      <c r="E55" s="12" t="s">
        <v>13</v>
      </c>
      <c r="F55" s="12" t="s">
        <v>14</v>
      </c>
      <c r="I55" s="14">
        <v>44128</v>
      </c>
      <c r="J55" s="12" t="s">
        <v>17</v>
      </c>
      <c r="K55" s="12" t="s">
        <v>19</v>
      </c>
      <c r="L55" s="12" t="s">
        <v>22</v>
      </c>
      <c r="M55" s="12">
        <v>229.99799999999999</v>
      </c>
      <c r="N55" s="12">
        <v>197.22</v>
      </c>
      <c r="Q55" s="13">
        <f t="shared" si="0"/>
        <v>0.85748571726710665</v>
      </c>
    </row>
    <row r="56" spans="1:17" x14ac:dyDescent="0.25">
      <c r="A56" s="12">
        <f t="shared" si="1"/>
        <v>10</v>
      </c>
      <c r="B56" s="12">
        <v>2020</v>
      </c>
      <c r="C56" s="12">
        <v>6335</v>
      </c>
      <c r="D56" s="12">
        <v>19007940</v>
      </c>
      <c r="E56" s="12" t="s">
        <v>13</v>
      </c>
      <c r="F56" s="12" t="s">
        <v>14</v>
      </c>
      <c r="I56" s="14">
        <v>44129</v>
      </c>
      <c r="J56" s="12" t="s">
        <v>17</v>
      </c>
      <c r="K56" s="12" t="s">
        <v>20</v>
      </c>
      <c r="L56" s="12" t="s">
        <v>29</v>
      </c>
      <c r="M56" s="12">
        <v>234.994</v>
      </c>
      <c r="N56" s="12">
        <v>198.47200000000001</v>
      </c>
      <c r="Q56" s="13">
        <f t="shared" si="0"/>
        <v>0.84458326595572653</v>
      </c>
    </row>
    <row r="57" spans="1:17" x14ac:dyDescent="0.25">
      <c r="A57" s="12">
        <f t="shared" si="1"/>
        <v>10</v>
      </c>
      <c r="B57" s="12">
        <v>2020</v>
      </c>
      <c r="C57" s="12">
        <v>6336</v>
      </c>
      <c r="D57" s="12">
        <v>19008002</v>
      </c>
      <c r="E57" s="12" t="s">
        <v>13</v>
      </c>
      <c r="F57" s="12" t="s">
        <v>14</v>
      </c>
      <c r="I57" s="14">
        <v>44130</v>
      </c>
      <c r="J57" s="12" t="s">
        <v>17</v>
      </c>
      <c r="K57" s="12" t="s">
        <v>20</v>
      </c>
      <c r="L57" s="12" t="s">
        <v>29</v>
      </c>
      <c r="M57" s="12">
        <v>234.99299999999999</v>
      </c>
      <c r="N57" s="12">
        <v>191.65</v>
      </c>
      <c r="Q57" s="13">
        <f t="shared" si="0"/>
        <v>0.81555620805726137</v>
      </c>
    </row>
    <row r="58" spans="1:17" x14ac:dyDescent="0.25">
      <c r="A58" s="12">
        <f t="shared" si="1"/>
        <v>10</v>
      </c>
      <c r="B58" s="12">
        <v>2020</v>
      </c>
      <c r="C58" s="12">
        <v>6337</v>
      </c>
      <c r="D58" s="12">
        <v>19008061</v>
      </c>
      <c r="E58" s="12" t="s">
        <v>13</v>
      </c>
      <c r="F58" s="12" t="s">
        <v>14</v>
      </c>
      <c r="I58" s="14">
        <v>44131</v>
      </c>
      <c r="J58" s="12" t="s">
        <v>18</v>
      </c>
      <c r="K58" s="12" t="s">
        <v>19</v>
      </c>
      <c r="L58" s="12" t="s">
        <v>22</v>
      </c>
      <c r="M58" s="12">
        <v>229.99199999999999</v>
      </c>
      <c r="N58" s="12">
        <v>189.5</v>
      </c>
      <c r="Q58" s="13">
        <f t="shared" si="0"/>
        <v>0.82394170232008068</v>
      </c>
    </row>
    <row r="59" spans="1:17" x14ac:dyDescent="0.25">
      <c r="A59" s="12">
        <f t="shared" si="1"/>
        <v>10</v>
      </c>
      <c r="B59" s="12">
        <v>2020</v>
      </c>
      <c r="C59" s="12">
        <v>6338</v>
      </c>
      <c r="D59" s="12">
        <v>19013371</v>
      </c>
      <c r="E59" s="12" t="s">
        <v>13</v>
      </c>
      <c r="F59" s="12" t="s">
        <v>14</v>
      </c>
      <c r="I59" s="14">
        <v>44132</v>
      </c>
      <c r="J59" s="12" t="s">
        <v>18</v>
      </c>
      <c r="K59" s="12" t="s">
        <v>19</v>
      </c>
      <c r="L59" s="12" t="s">
        <v>22</v>
      </c>
      <c r="M59" s="12">
        <v>230.00299999999999</v>
      </c>
      <c r="N59" s="12">
        <v>197.67699999999999</v>
      </c>
      <c r="Q59" s="13">
        <f t="shared" si="0"/>
        <v>0.85945400712164621</v>
      </c>
    </row>
    <row r="60" spans="1:17" x14ac:dyDescent="0.25">
      <c r="A60" s="12">
        <f t="shared" si="1"/>
        <v>10</v>
      </c>
      <c r="B60" s="12">
        <v>2020</v>
      </c>
      <c r="C60" s="12">
        <v>6339</v>
      </c>
      <c r="D60" s="12">
        <v>19017179</v>
      </c>
      <c r="E60" s="12" t="s">
        <v>13</v>
      </c>
      <c r="F60" s="12" t="s">
        <v>14</v>
      </c>
      <c r="I60" s="14">
        <v>44133</v>
      </c>
      <c r="J60" s="12" t="s">
        <v>18</v>
      </c>
      <c r="K60" s="12" t="s">
        <v>19</v>
      </c>
      <c r="L60" s="12" t="s">
        <v>22</v>
      </c>
      <c r="M60" s="12">
        <v>230.00299999999999</v>
      </c>
      <c r="N60" s="12">
        <v>197.977</v>
      </c>
      <c r="Q60" s="13">
        <f t="shared" si="0"/>
        <v>0.86075833793472267</v>
      </c>
    </row>
    <row r="61" spans="1:17" x14ac:dyDescent="0.25">
      <c r="A61" s="12">
        <f t="shared" si="1"/>
        <v>10</v>
      </c>
      <c r="B61" s="12">
        <v>2020</v>
      </c>
      <c r="C61" s="12">
        <v>6340</v>
      </c>
      <c r="D61" s="12">
        <v>19024985</v>
      </c>
      <c r="E61" s="12" t="s">
        <v>13</v>
      </c>
      <c r="F61" s="12" t="s">
        <v>14</v>
      </c>
      <c r="I61" s="14">
        <v>44134</v>
      </c>
      <c r="J61" s="12" t="s">
        <v>18</v>
      </c>
      <c r="K61" s="12" t="s">
        <v>19</v>
      </c>
      <c r="L61" s="12" t="s">
        <v>22</v>
      </c>
      <c r="M61" s="12">
        <v>230.00399999999999</v>
      </c>
      <c r="N61" s="12">
        <v>195</v>
      </c>
      <c r="Q61" s="13">
        <f t="shared" si="0"/>
        <v>0.84781134241143641</v>
      </c>
    </row>
    <row r="62" spans="1:17" x14ac:dyDescent="0.25">
      <c r="A62" s="12">
        <f t="shared" si="1"/>
        <v>10</v>
      </c>
      <c r="B62" s="12">
        <v>2020</v>
      </c>
      <c r="C62" s="12">
        <v>6341</v>
      </c>
      <c r="D62" s="12">
        <v>19025005</v>
      </c>
      <c r="E62" s="12" t="s">
        <v>13</v>
      </c>
      <c r="F62" s="12" t="s">
        <v>14</v>
      </c>
      <c r="I62" s="14">
        <v>44135</v>
      </c>
      <c r="J62" s="12" t="s">
        <v>18</v>
      </c>
      <c r="K62" s="12" t="s">
        <v>20</v>
      </c>
      <c r="L62" s="12" t="s">
        <v>24</v>
      </c>
      <c r="M62" s="12">
        <v>235.00700000000001</v>
      </c>
      <c r="N62" s="12">
        <v>205</v>
      </c>
      <c r="Q62" s="13">
        <f t="shared" si="0"/>
        <v>0.87231444169748129</v>
      </c>
    </row>
    <row r="63" spans="1:17" x14ac:dyDescent="0.25">
      <c r="A63" s="12">
        <f t="shared" si="1"/>
        <v>11</v>
      </c>
      <c r="B63" s="12">
        <v>2020</v>
      </c>
      <c r="C63" s="12">
        <v>6342</v>
      </c>
      <c r="D63" s="12">
        <v>19028581</v>
      </c>
      <c r="E63" s="12" t="s">
        <v>13</v>
      </c>
      <c r="F63" s="12" t="s">
        <v>14</v>
      </c>
      <c r="I63" s="14">
        <v>44136</v>
      </c>
      <c r="J63" s="12" t="s">
        <v>18</v>
      </c>
      <c r="K63" s="12" t="s">
        <v>20</v>
      </c>
      <c r="L63" s="12" t="s">
        <v>24</v>
      </c>
      <c r="M63" s="12">
        <v>235.00700000000001</v>
      </c>
      <c r="N63" s="12">
        <v>198.54</v>
      </c>
      <c r="Q63" s="13">
        <f t="shared" si="0"/>
        <v>0.84482589880301429</v>
      </c>
    </row>
    <row r="64" spans="1:17" x14ac:dyDescent="0.25">
      <c r="A64" s="12">
        <f t="shared" si="1"/>
        <v>11</v>
      </c>
      <c r="B64" s="12">
        <v>2020</v>
      </c>
      <c r="C64" s="12">
        <v>6343</v>
      </c>
      <c r="D64" s="12">
        <v>19028599</v>
      </c>
      <c r="E64" s="12" t="s">
        <v>13</v>
      </c>
      <c r="F64" s="12" t="s">
        <v>14</v>
      </c>
      <c r="I64" s="14">
        <v>44137</v>
      </c>
      <c r="J64" s="12" t="s">
        <v>18</v>
      </c>
      <c r="K64" s="12" t="s">
        <v>20</v>
      </c>
      <c r="L64" s="12" t="s">
        <v>29</v>
      </c>
      <c r="M64" s="12">
        <v>235.00200000000001</v>
      </c>
      <c r="N64" s="12">
        <v>195.04599999999999</v>
      </c>
      <c r="Q64" s="13">
        <f t="shared" si="0"/>
        <v>0.82997591509859481</v>
      </c>
    </row>
    <row r="65" spans="1:17" x14ac:dyDescent="0.25">
      <c r="A65" s="12">
        <f t="shared" si="1"/>
        <v>11</v>
      </c>
      <c r="B65" s="12">
        <v>2020</v>
      </c>
      <c r="C65" s="12">
        <v>6344</v>
      </c>
      <c r="D65" s="12">
        <v>19028628</v>
      </c>
      <c r="E65" s="12" t="s">
        <v>13</v>
      </c>
      <c r="F65" s="12" t="s">
        <v>14</v>
      </c>
      <c r="I65" s="14">
        <v>44138</v>
      </c>
      <c r="J65" s="12" t="s">
        <v>18</v>
      </c>
      <c r="K65" s="12" t="s">
        <v>20</v>
      </c>
      <c r="L65" s="12" t="s">
        <v>29</v>
      </c>
      <c r="M65" s="12">
        <v>235.00200000000001</v>
      </c>
      <c r="N65" s="12">
        <v>204.898</v>
      </c>
      <c r="Q65" s="13">
        <f t="shared" si="0"/>
        <v>0.87189896256202071</v>
      </c>
    </row>
    <row r="66" spans="1:17" x14ac:dyDescent="0.25">
      <c r="A66" s="12">
        <f t="shared" si="1"/>
        <v>11</v>
      </c>
      <c r="B66" s="12">
        <v>2020</v>
      </c>
      <c r="C66" s="12">
        <v>6345</v>
      </c>
      <c r="D66" s="12">
        <v>19032424</v>
      </c>
      <c r="E66" s="12" t="s">
        <v>13</v>
      </c>
      <c r="F66" s="12" t="s">
        <v>14</v>
      </c>
      <c r="I66" s="14">
        <v>44139</v>
      </c>
      <c r="J66" s="12" t="s">
        <v>17</v>
      </c>
      <c r="K66" s="12" t="s">
        <v>19</v>
      </c>
      <c r="L66" s="12" t="s">
        <v>25</v>
      </c>
      <c r="M66" s="12">
        <v>230.001</v>
      </c>
      <c r="N66" s="12">
        <v>191.89599999999999</v>
      </c>
      <c r="Q66" s="13">
        <f t="shared" ref="Q66:Q129" si="2">N66/M66</f>
        <v>0.83432680727475095</v>
      </c>
    </row>
    <row r="67" spans="1:17" x14ac:dyDescent="0.25">
      <c r="A67" s="12">
        <f t="shared" ref="A67:A130" si="3">MONTH(I67)</f>
        <v>11</v>
      </c>
      <c r="B67" s="12">
        <v>2020</v>
      </c>
      <c r="C67" s="12">
        <v>6346</v>
      </c>
      <c r="D67" s="12">
        <v>19037313</v>
      </c>
      <c r="E67" s="12" t="s">
        <v>13</v>
      </c>
      <c r="F67" s="12" t="s">
        <v>14</v>
      </c>
      <c r="I67" s="14">
        <v>44140</v>
      </c>
      <c r="J67" s="12" t="s">
        <v>17</v>
      </c>
      <c r="K67" s="12" t="s">
        <v>19</v>
      </c>
      <c r="L67" s="12" t="s">
        <v>25</v>
      </c>
      <c r="M67" s="12">
        <v>230</v>
      </c>
      <c r="N67" s="12">
        <v>196.505</v>
      </c>
      <c r="Q67" s="13">
        <f t="shared" si="2"/>
        <v>0.85436956521739127</v>
      </c>
    </row>
    <row r="68" spans="1:17" x14ac:dyDescent="0.25">
      <c r="A68" s="12">
        <f t="shared" si="3"/>
        <v>11</v>
      </c>
      <c r="B68" s="12">
        <v>2020</v>
      </c>
      <c r="C68" s="12">
        <v>6347</v>
      </c>
      <c r="D68" s="12">
        <v>19041099</v>
      </c>
      <c r="E68" s="12" t="s">
        <v>13</v>
      </c>
      <c r="F68" s="12" t="s">
        <v>14</v>
      </c>
      <c r="I68" s="14">
        <v>44141</v>
      </c>
      <c r="J68" s="12" t="s">
        <v>17</v>
      </c>
      <c r="K68" s="12" t="s">
        <v>19</v>
      </c>
      <c r="L68" s="12" t="s">
        <v>25</v>
      </c>
      <c r="M68" s="12">
        <v>230</v>
      </c>
      <c r="N68" s="12">
        <v>189.619</v>
      </c>
      <c r="Q68" s="13">
        <f t="shared" si="2"/>
        <v>0.82443043478260869</v>
      </c>
    </row>
    <row r="69" spans="1:17" x14ac:dyDescent="0.25">
      <c r="A69" s="12">
        <f t="shared" si="3"/>
        <v>11</v>
      </c>
      <c r="B69" s="12">
        <v>2020</v>
      </c>
      <c r="C69" s="12">
        <v>6348</v>
      </c>
      <c r="D69" s="12">
        <v>19045778</v>
      </c>
      <c r="E69" s="12" t="s">
        <v>13</v>
      </c>
      <c r="F69" s="12" t="s">
        <v>14</v>
      </c>
      <c r="I69" s="14">
        <v>44142</v>
      </c>
      <c r="J69" s="12" t="s">
        <v>17</v>
      </c>
      <c r="K69" s="12" t="s">
        <v>19</v>
      </c>
      <c r="L69" s="12" t="s">
        <v>25</v>
      </c>
      <c r="M69" s="12">
        <v>230.00800000000001</v>
      </c>
      <c r="N69" s="12">
        <v>199.18600000000001</v>
      </c>
      <c r="Q69" s="13">
        <f t="shared" si="2"/>
        <v>0.86599596535772672</v>
      </c>
    </row>
    <row r="70" spans="1:17" x14ac:dyDescent="0.25">
      <c r="A70" s="12">
        <f t="shared" si="3"/>
        <v>11</v>
      </c>
      <c r="B70" s="12">
        <v>2020</v>
      </c>
      <c r="C70" s="12">
        <v>6349</v>
      </c>
      <c r="D70" s="12">
        <v>19049331</v>
      </c>
      <c r="E70" s="12" t="s">
        <v>13</v>
      </c>
      <c r="F70" s="12" t="s">
        <v>14</v>
      </c>
      <c r="I70" s="14">
        <v>44143</v>
      </c>
      <c r="J70" s="12" t="s">
        <v>17</v>
      </c>
      <c r="K70" s="12" t="s">
        <v>19</v>
      </c>
      <c r="L70" s="12" t="s">
        <v>25</v>
      </c>
      <c r="M70" s="12">
        <v>230.00800000000001</v>
      </c>
      <c r="N70" s="12">
        <v>196.00899999999999</v>
      </c>
      <c r="Q70" s="13">
        <f t="shared" si="2"/>
        <v>0.85218340231644107</v>
      </c>
    </row>
    <row r="71" spans="1:17" x14ac:dyDescent="0.25">
      <c r="A71" s="12">
        <f t="shared" si="3"/>
        <v>11</v>
      </c>
      <c r="B71" s="12">
        <v>2020</v>
      </c>
      <c r="C71" s="12">
        <v>6350</v>
      </c>
      <c r="D71" s="12">
        <v>19049365</v>
      </c>
      <c r="E71" s="12" t="s">
        <v>13</v>
      </c>
      <c r="F71" s="12" t="s">
        <v>14</v>
      </c>
      <c r="I71" s="14">
        <v>44144</v>
      </c>
      <c r="J71" s="12" t="s">
        <v>18</v>
      </c>
      <c r="K71" s="12" t="s">
        <v>20</v>
      </c>
      <c r="L71" s="12" t="s">
        <v>29</v>
      </c>
      <c r="M71" s="12">
        <v>235</v>
      </c>
      <c r="N71" s="12">
        <v>205.67599999999999</v>
      </c>
      <c r="Q71" s="13">
        <f t="shared" si="2"/>
        <v>0.87521702127659573</v>
      </c>
    </row>
    <row r="72" spans="1:17" x14ac:dyDescent="0.25">
      <c r="A72" s="12">
        <f t="shared" si="3"/>
        <v>11</v>
      </c>
      <c r="B72" s="12">
        <v>2020</v>
      </c>
      <c r="C72" s="12">
        <v>6351</v>
      </c>
      <c r="D72" s="12">
        <v>19054631</v>
      </c>
      <c r="E72" s="12" t="s">
        <v>13</v>
      </c>
      <c r="F72" s="12" t="s">
        <v>14</v>
      </c>
      <c r="I72" s="14">
        <v>44145</v>
      </c>
      <c r="J72" s="12" t="s">
        <v>18</v>
      </c>
      <c r="K72" s="12" t="s">
        <v>20</v>
      </c>
      <c r="L72" s="12" t="s">
        <v>29</v>
      </c>
      <c r="M72" s="12">
        <v>235.001</v>
      </c>
      <c r="N72" s="12">
        <v>198.02699999999999</v>
      </c>
      <c r="Q72" s="13">
        <f t="shared" si="2"/>
        <v>0.84266449930000287</v>
      </c>
    </row>
    <row r="73" spans="1:17" x14ac:dyDescent="0.25">
      <c r="A73" s="12">
        <f t="shared" si="3"/>
        <v>11</v>
      </c>
      <c r="B73" s="12">
        <v>2020</v>
      </c>
      <c r="C73" s="12">
        <v>6352</v>
      </c>
      <c r="D73" s="12">
        <v>19054818</v>
      </c>
      <c r="E73" s="12" t="s">
        <v>13</v>
      </c>
      <c r="F73" s="12" t="s">
        <v>14</v>
      </c>
      <c r="I73" s="14">
        <v>44146</v>
      </c>
      <c r="J73" s="12" t="s">
        <v>18</v>
      </c>
      <c r="K73" s="12" t="s">
        <v>20</v>
      </c>
      <c r="L73" s="12" t="s">
        <v>24</v>
      </c>
      <c r="M73" s="12">
        <v>234.92</v>
      </c>
      <c r="N73" s="12">
        <v>205.78399999999999</v>
      </c>
      <c r="Q73" s="13">
        <f t="shared" si="2"/>
        <v>0.87597479993189176</v>
      </c>
    </row>
    <row r="74" spans="1:17" x14ac:dyDescent="0.25">
      <c r="A74" s="12">
        <f t="shared" si="3"/>
        <v>11</v>
      </c>
      <c r="B74" s="12">
        <v>2020</v>
      </c>
      <c r="C74" s="12">
        <v>6353</v>
      </c>
      <c r="D74" s="12">
        <v>19058261</v>
      </c>
      <c r="E74" s="12" t="s">
        <v>13</v>
      </c>
      <c r="F74" s="12" t="s">
        <v>14</v>
      </c>
      <c r="I74" s="14">
        <v>44147</v>
      </c>
      <c r="J74" s="12" t="s">
        <v>18</v>
      </c>
      <c r="K74" s="12" t="s">
        <v>20</v>
      </c>
      <c r="L74" s="12" t="s">
        <v>24</v>
      </c>
      <c r="M74" s="12">
        <v>234.92099999999999</v>
      </c>
      <c r="N74" s="12">
        <v>203.785</v>
      </c>
      <c r="Q74" s="13">
        <f t="shared" si="2"/>
        <v>0.86746182759310575</v>
      </c>
    </row>
    <row r="75" spans="1:17" x14ac:dyDescent="0.25">
      <c r="A75" s="12">
        <f t="shared" si="3"/>
        <v>11</v>
      </c>
      <c r="B75" s="12">
        <v>2020</v>
      </c>
      <c r="C75" s="12">
        <v>6354</v>
      </c>
      <c r="D75" s="12">
        <v>19061882</v>
      </c>
      <c r="E75" s="12" t="s">
        <v>13</v>
      </c>
      <c r="F75" s="12" t="s">
        <v>14</v>
      </c>
      <c r="I75" s="14">
        <v>44148</v>
      </c>
      <c r="J75" s="12" t="s">
        <v>17</v>
      </c>
      <c r="K75" s="12" t="s">
        <v>19</v>
      </c>
      <c r="L75" s="12" t="s">
        <v>22</v>
      </c>
      <c r="M75" s="12">
        <v>230.029</v>
      </c>
      <c r="N75" s="12">
        <v>195.61699999999999</v>
      </c>
      <c r="Q75" s="13">
        <f t="shared" si="2"/>
        <v>0.85040147111885889</v>
      </c>
    </row>
    <row r="76" spans="1:17" x14ac:dyDescent="0.25">
      <c r="A76" s="12">
        <f t="shared" si="3"/>
        <v>11</v>
      </c>
      <c r="B76" s="12">
        <v>2020</v>
      </c>
      <c r="C76" s="12">
        <v>6355</v>
      </c>
      <c r="D76" s="12">
        <v>19065955</v>
      </c>
      <c r="E76" s="12" t="s">
        <v>13</v>
      </c>
      <c r="F76" s="12" t="s">
        <v>14</v>
      </c>
      <c r="I76" s="14">
        <v>44149</v>
      </c>
      <c r="J76" s="12" t="s">
        <v>17</v>
      </c>
      <c r="K76" s="12" t="s">
        <v>19</v>
      </c>
      <c r="L76" s="12" t="s">
        <v>22</v>
      </c>
      <c r="M76" s="12">
        <v>230.001</v>
      </c>
      <c r="N76" s="12">
        <v>200.059</v>
      </c>
      <c r="Q76" s="13">
        <f t="shared" si="2"/>
        <v>0.86981795731322908</v>
      </c>
    </row>
    <row r="77" spans="1:17" x14ac:dyDescent="0.25">
      <c r="A77" s="12">
        <f t="shared" si="3"/>
        <v>11</v>
      </c>
      <c r="B77" s="12">
        <v>2020</v>
      </c>
      <c r="C77" s="12">
        <v>6356</v>
      </c>
      <c r="D77" s="12">
        <v>19068996</v>
      </c>
      <c r="E77" s="12" t="s">
        <v>13</v>
      </c>
      <c r="F77" s="12" t="s">
        <v>14</v>
      </c>
      <c r="I77" s="14">
        <v>44150</v>
      </c>
      <c r="J77" s="12" t="s">
        <v>17</v>
      </c>
      <c r="K77" s="12" t="s">
        <v>19</v>
      </c>
      <c r="L77" s="12" t="s">
        <v>22</v>
      </c>
      <c r="M77" s="12">
        <v>230.00200000000001</v>
      </c>
      <c r="N77" s="12">
        <v>190.85400000000001</v>
      </c>
      <c r="Q77" s="13">
        <f t="shared" si="2"/>
        <v>0.82979278441057036</v>
      </c>
    </row>
    <row r="78" spans="1:17" x14ac:dyDescent="0.25">
      <c r="A78" s="12">
        <f t="shared" si="3"/>
        <v>11</v>
      </c>
      <c r="B78" s="12">
        <v>2020</v>
      </c>
      <c r="C78" s="12">
        <v>6357</v>
      </c>
      <c r="D78" s="12">
        <v>19071634</v>
      </c>
      <c r="E78" s="12" t="s">
        <v>13</v>
      </c>
      <c r="F78" s="12" t="s">
        <v>14</v>
      </c>
      <c r="I78" s="14">
        <v>44151</v>
      </c>
      <c r="J78" s="12" t="s">
        <v>17</v>
      </c>
      <c r="K78" s="12" t="s">
        <v>19</v>
      </c>
      <c r="L78" s="12" t="s">
        <v>22</v>
      </c>
      <c r="M78" s="12">
        <v>230.001</v>
      </c>
      <c r="N78" s="12">
        <v>197.751</v>
      </c>
      <c r="Q78" s="13">
        <f t="shared" si="2"/>
        <v>0.85978321833383331</v>
      </c>
    </row>
    <row r="79" spans="1:17" x14ac:dyDescent="0.25">
      <c r="A79" s="12">
        <f t="shared" si="3"/>
        <v>11</v>
      </c>
      <c r="B79" s="12">
        <v>2020</v>
      </c>
      <c r="C79" s="12">
        <v>6358</v>
      </c>
      <c r="D79" s="12">
        <v>19071781</v>
      </c>
      <c r="E79" s="12" t="s">
        <v>13</v>
      </c>
      <c r="F79" s="12" t="s">
        <v>14</v>
      </c>
      <c r="I79" s="14">
        <v>44152</v>
      </c>
      <c r="J79" s="12" t="s">
        <v>17</v>
      </c>
      <c r="K79" s="12" t="s">
        <v>19</v>
      </c>
      <c r="L79" s="12" t="s">
        <v>22</v>
      </c>
      <c r="M79" s="12">
        <v>230.001</v>
      </c>
      <c r="N79" s="12">
        <v>192.84399999999999</v>
      </c>
      <c r="Q79" s="13">
        <f t="shared" si="2"/>
        <v>0.83844852848465867</v>
      </c>
    </row>
    <row r="80" spans="1:17" x14ac:dyDescent="0.25">
      <c r="A80" s="12">
        <f t="shared" si="3"/>
        <v>11</v>
      </c>
      <c r="B80" s="12">
        <v>2020</v>
      </c>
      <c r="C80" s="12">
        <v>6359</v>
      </c>
      <c r="D80" s="12">
        <v>19072354</v>
      </c>
      <c r="E80" s="12" t="s">
        <v>13</v>
      </c>
      <c r="F80" s="12" t="s">
        <v>14</v>
      </c>
      <c r="I80" s="14">
        <v>44153</v>
      </c>
      <c r="J80" s="12" t="s">
        <v>18</v>
      </c>
      <c r="K80" s="12" t="s">
        <v>20</v>
      </c>
      <c r="L80" s="12" t="s">
        <v>29</v>
      </c>
      <c r="M80" s="12">
        <v>235.048</v>
      </c>
      <c r="N80" s="12">
        <v>202.42400000000001</v>
      </c>
      <c r="Q80" s="13">
        <f t="shared" si="2"/>
        <v>0.86120281814778266</v>
      </c>
    </row>
    <row r="81" spans="1:17" x14ac:dyDescent="0.25">
      <c r="A81" s="12">
        <f t="shared" si="3"/>
        <v>11</v>
      </c>
      <c r="B81" s="12">
        <v>2020</v>
      </c>
      <c r="C81" s="12">
        <v>6360</v>
      </c>
      <c r="D81" s="12">
        <v>19077964</v>
      </c>
      <c r="E81" s="12" t="s">
        <v>13</v>
      </c>
      <c r="F81" s="12" t="s">
        <v>14</v>
      </c>
      <c r="I81" s="14">
        <v>44154</v>
      </c>
      <c r="J81" s="12" t="s">
        <v>18</v>
      </c>
      <c r="K81" s="12" t="s">
        <v>20</v>
      </c>
      <c r="L81" s="12" t="s">
        <v>29</v>
      </c>
      <c r="M81" s="12">
        <v>235.048</v>
      </c>
      <c r="N81" s="12">
        <v>199.333</v>
      </c>
      <c r="Q81" s="13">
        <f t="shared" si="2"/>
        <v>0.8480523127191042</v>
      </c>
    </row>
    <row r="82" spans="1:17" x14ac:dyDescent="0.25">
      <c r="A82" s="12">
        <f t="shared" si="3"/>
        <v>11</v>
      </c>
      <c r="B82" s="12">
        <v>2020</v>
      </c>
      <c r="C82" s="12">
        <v>6361</v>
      </c>
      <c r="D82" s="12">
        <v>19082763</v>
      </c>
      <c r="E82" s="12" t="s">
        <v>13</v>
      </c>
      <c r="F82" s="12" t="s">
        <v>14</v>
      </c>
      <c r="I82" s="14">
        <v>44155</v>
      </c>
      <c r="J82" s="12" t="s">
        <v>18</v>
      </c>
      <c r="K82" s="12" t="s">
        <v>20</v>
      </c>
      <c r="L82" s="12" t="s">
        <v>29</v>
      </c>
      <c r="M82" s="12">
        <v>235.02799999999999</v>
      </c>
      <c r="N82" s="12">
        <v>201.67400000000001</v>
      </c>
      <c r="Q82" s="13">
        <f t="shared" si="2"/>
        <v>0.85808499412835926</v>
      </c>
    </row>
    <row r="83" spans="1:17" x14ac:dyDescent="0.25">
      <c r="A83" s="12">
        <f t="shared" si="3"/>
        <v>11</v>
      </c>
      <c r="B83" s="12">
        <v>2020</v>
      </c>
      <c r="C83" s="12">
        <v>6362</v>
      </c>
      <c r="D83" s="12">
        <v>19082798</v>
      </c>
      <c r="E83" s="12" t="s">
        <v>13</v>
      </c>
      <c r="F83" s="12" t="s">
        <v>14</v>
      </c>
      <c r="I83" s="14">
        <v>44156</v>
      </c>
      <c r="J83" s="12" t="s">
        <v>18</v>
      </c>
      <c r="K83" s="12" t="s">
        <v>20</v>
      </c>
      <c r="L83" s="12" t="s">
        <v>29</v>
      </c>
      <c r="M83" s="12">
        <v>235.02799999999999</v>
      </c>
      <c r="N83" s="12">
        <v>201.184</v>
      </c>
      <c r="Q83" s="13">
        <f t="shared" si="2"/>
        <v>0.85600013615399018</v>
      </c>
    </row>
    <row r="84" spans="1:17" x14ac:dyDescent="0.25">
      <c r="A84" s="12">
        <f t="shared" si="3"/>
        <v>11</v>
      </c>
      <c r="B84" s="12">
        <v>2020</v>
      </c>
      <c r="C84" s="12">
        <v>6363</v>
      </c>
      <c r="D84" s="12">
        <v>19087492</v>
      </c>
      <c r="E84" s="12" t="s">
        <v>13</v>
      </c>
      <c r="F84" s="12" t="s">
        <v>14</v>
      </c>
      <c r="I84" s="14">
        <v>44157</v>
      </c>
      <c r="J84" s="12" t="s">
        <v>17</v>
      </c>
      <c r="K84" s="12" t="s">
        <v>19</v>
      </c>
      <c r="L84" s="12" t="s">
        <v>22</v>
      </c>
      <c r="M84" s="12">
        <v>230.012</v>
      </c>
      <c r="N84" s="12">
        <v>195.96100000000001</v>
      </c>
      <c r="P84" s="12">
        <v>12.3</v>
      </c>
      <c r="Q84" s="13">
        <f t="shared" si="2"/>
        <v>0.85195989774446557</v>
      </c>
    </row>
    <row r="85" spans="1:17" x14ac:dyDescent="0.25">
      <c r="A85" s="12">
        <f t="shared" si="3"/>
        <v>11</v>
      </c>
      <c r="B85" s="12">
        <v>2020</v>
      </c>
      <c r="C85" s="12">
        <v>6364</v>
      </c>
      <c r="D85" s="12">
        <v>19091723</v>
      </c>
      <c r="E85" s="12" t="s">
        <v>13</v>
      </c>
      <c r="F85" s="12" t="s">
        <v>14</v>
      </c>
      <c r="I85" s="14">
        <v>44158</v>
      </c>
      <c r="J85" s="12" t="s">
        <v>17</v>
      </c>
      <c r="K85" s="12" t="s">
        <v>19</v>
      </c>
      <c r="L85" s="12" t="s">
        <v>22</v>
      </c>
      <c r="M85" s="12">
        <v>230.01</v>
      </c>
      <c r="N85" s="12">
        <v>193.29</v>
      </c>
      <c r="Q85" s="13">
        <f t="shared" si="2"/>
        <v>0.84035476718403546</v>
      </c>
    </row>
    <row r="86" spans="1:17" x14ac:dyDescent="0.25">
      <c r="A86" s="12">
        <f t="shared" si="3"/>
        <v>11</v>
      </c>
      <c r="B86" s="12">
        <v>2020</v>
      </c>
      <c r="C86" s="12">
        <v>6365</v>
      </c>
      <c r="D86" s="12">
        <v>19091731</v>
      </c>
      <c r="E86" s="12" t="s">
        <v>13</v>
      </c>
      <c r="F86" s="12" t="s">
        <v>14</v>
      </c>
      <c r="I86" s="14">
        <v>44159</v>
      </c>
      <c r="J86" s="12" t="s">
        <v>17</v>
      </c>
      <c r="K86" s="12" t="s">
        <v>19</v>
      </c>
      <c r="L86" s="12" t="s">
        <v>22</v>
      </c>
      <c r="M86" s="12">
        <v>230.01</v>
      </c>
      <c r="N86" s="12">
        <v>194.548</v>
      </c>
      <c r="Q86" s="13">
        <f t="shared" si="2"/>
        <v>0.84582409460458241</v>
      </c>
    </row>
    <row r="87" spans="1:17" x14ac:dyDescent="0.25">
      <c r="A87" s="12">
        <f t="shared" si="3"/>
        <v>11</v>
      </c>
      <c r="B87" s="12">
        <v>2020</v>
      </c>
      <c r="C87" s="12">
        <v>6366</v>
      </c>
      <c r="D87" s="12">
        <v>19091740</v>
      </c>
      <c r="E87" s="12" t="s">
        <v>13</v>
      </c>
      <c r="F87" s="12" t="s">
        <v>14</v>
      </c>
      <c r="I87" s="14">
        <v>44160</v>
      </c>
      <c r="J87" s="12" t="s">
        <v>17</v>
      </c>
      <c r="K87" s="12" t="s">
        <v>19</v>
      </c>
      <c r="L87" s="12" t="s">
        <v>22</v>
      </c>
      <c r="M87" s="12">
        <v>230.01</v>
      </c>
      <c r="N87" s="12">
        <v>200.31399999999999</v>
      </c>
      <c r="Q87" s="13">
        <f t="shared" si="2"/>
        <v>0.87089256988826569</v>
      </c>
    </row>
    <row r="88" spans="1:17" x14ac:dyDescent="0.25">
      <c r="A88" s="12">
        <f t="shared" si="3"/>
        <v>11</v>
      </c>
      <c r="B88" s="12">
        <v>2020</v>
      </c>
      <c r="C88" s="12">
        <v>6367</v>
      </c>
      <c r="D88" s="12">
        <v>19096583</v>
      </c>
      <c r="E88" s="12" t="s">
        <v>13</v>
      </c>
      <c r="F88" s="12" t="s">
        <v>14</v>
      </c>
      <c r="I88" s="14">
        <v>44161</v>
      </c>
      <c r="J88" s="12" t="s">
        <v>17</v>
      </c>
      <c r="K88" s="12" t="s">
        <v>19</v>
      </c>
      <c r="L88" s="12" t="s">
        <v>22</v>
      </c>
      <c r="M88" s="12">
        <v>230.00899999999999</v>
      </c>
      <c r="N88" s="12">
        <v>193.126</v>
      </c>
      <c r="Q88" s="13">
        <f t="shared" si="2"/>
        <v>0.83964540517979736</v>
      </c>
    </row>
    <row r="89" spans="1:17" x14ac:dyDescent="0.25">
      <c r="A89" s="12">
        <f t="shared" si="3"/>
        <v>11</v>
      </c>
      <c r="B89" s="12">
        <v>2020</v>
      </c>
      <c r="C89" s="12">
        <v>6368</v>
      </c>
      <c r="D89" s="12">
        <v>19100431</v>
      </c>
      <c r="E89" s="12" t="s">
        <v>13</v>
      </c>
      <c r="F89" s="12" t="s">
        <v>14</v>
      </c>
      <c r="I89" s="14">
        <v>44162</v>
      </c>
      <c r="J89" s="12" t="s">
        <v>18</v>
      </c>
      <c r="K89" s="12" t="s">
        <v>20</v>
      </c>
      <c r="L89" s="12" t="s">
        <v>30</v>
      </c>
      <c r="M89" s="12">
        <v>231.00700000000001</v>
      </c>
      <c r="N89" s="12">
        <v>194.726</v>
      </c>
      <c r="P89" s="12">
        <v>11.1</v>
      </c>
      <c r="Q89" s="13">
        <f t="shared" si="2"/>
        <v>0.84294415320747851</v>
      </c>
    </row>
    <row r="90" spans="1:17" x14ac:dyDescent="0.25">
      <c r="A90" s="12">
        <f t="shared" si="3"/>
        <v>11</v>
      </c>
      <c r="B90" s="12">
        <v>2020</v>
      </c>
      <c r="C90" s="12">
        <v>6369</v>
      </c>
      <c r="D90" s="12">
        <v>19106454</v>
      </c>
      <c r="E90" s="12" t="s">
        <v>13</v>
      </c>
      <c r="F90" s="12" t="s">
        <v>14</v>
      </c>
      <c r="I90" s="14">
        <v>44163</v>
      </c>
      <c r="J90" s="12" t="s">
        <v>32</v>
      </c>
      <c r="K90" s="12" t="s">
        <v>20</v>
      </c>
      <c r="L90" s="12" t="s">
        <v>31</v>
      </c>
      <c r="M90" s="12">
        <v>230.00899999999999</v>
      </c>
      <c r="N90" s="12">
        <v>197.631</v>
      </c>
      <c r="Q90" s="13">
        <f t="shared" si="2"/>
        <v>0.85923159528540194</v>
      </c>
    </row>
    <row r="91" spans="1:17" x14ac:dyDescent="0.25">
      <c r="A91" s="12">
        <f t="shared" si="3"/>
        <v>11</v>
      </c>
      <c r="B91" s="12">
        <v>2020</v>
      </c>
      <c r="C91" s="12">
        <v>6370</v>
      </c>
      <c r="D91" s="12">
        <v>19108441</v>
      </c>
      <c r="E91" s="12" t="s">
        <v>13</v>
      </c>
      <c r="F91" s="12" t="s">
        <v>14</v>
      </c>
      <c r="I91" s="14">
        <v>44164</v>
      </c>
      <c r="J91" s="12" t="s">
        <v>33</v>
      </c>
      <c r="K91" s="12" t="s">
        <v>19</v>
      </c>
      <c r="L91" s="12" t="s">
        <v>25</v>
      </c>
      <c r="M91" s="12">
        <v>230.00800000000001</v>
      </c>
      <c r="N91" s="12">
        <v>196.37700000000001</v>
      </c>
      <c r="P91" s="12">
        <v>11.1</v>
      </c>
      <c r="Q91" s="13">
        <f t="shared" si="2"/>
        <v>0.85378334666620292</v>
      </c>
    </row>
    <row r="92" spans="1:17" x14ac:dyDescent="0.25">
      <c r="A92" s="12">
        <f t="shared" si="3"/>
        <v>11</v>
      </c>
      <c r="B92" s="12">
        <v>2020</v>
      </c>
      <c r="C92" s="12">
        <v>6371</v>
      </c>
      <c r="D92" s="12">
        <v>19112344</v>
      </c>
      <c r="E92" s="12" t="s">
        <v>13</v>
      </c>
      <c r="F92" s="12" t="s">
        <v>14</v>
      </c>
      <c r="I92" s="14">
        <v>44165</v>
      </c>
      <c r="J92" s="12" t="s">
        <v>18</v>
      </c>
      <c r="K92" s="12" t="s">
        <v>19</v>
      </c>
      <c r="L92" s="12" t="s">
        <v>22</v>
      </c>
      <c r="M92" s="12">
        <v>230.23599999999999</v>
      </c>
      <c r="N92" s="12">
        <v>194.952</v>
      </c>
      <c r="P92" s="12">
        <v>11.9</v>
      </c>
      <c r="Q92" s="13">
        <f t="shared" si="2"/>
        <v>0.84674855365798574</v>
      </c>
    </row>
    <row r="93" spans="1:17" x14ac:dyDescent="0.25">
      <c r="A93" s="12">
        <f t="shared" si="3"/>
        <v>12</v>
      </c>
      <c r="B93" s="12">
        <v>2020</v>
      </c>
      <c r="C93" s="12">
        <v>6372</v>
      </c>
      <c r="D93" s="12">
        <v>19112862</v>
      </c>
      <c r="E93" s="12" t="s">
        <v>13</v>
      </c>
      <c r="F93" s="12" t="s">
        <v>14</v>
      </c>
      <c r="I93" s="14">
        <v>44166</v>
      </c>
      <c r="J93" s="12" t="s">
        <v>18</v>
      </c>
      <c r="K93" s="12" t="s">
        <v>19</v>
      </c>
      <c r="L93" s="12" t="s">
        <v>22</v>
      </c>
      <c r="M93" s="12">
        <v>230.00899999999999</v>
      </c>
      <c r="N93" s="12">
        <v>199.69399999999999</v>
      </c>
      <c r="Q93" s="13">
        <f t="shared" si="2"/>
        <v>0.86820080953353995</v>
      </c>
    </row>
    <row r="94" spans="1:17" x14ac:dyDescent="0.25">
      <c r="A94" s="12">
        <f t="shared" si="3"/>
        <v>12</v>
      </c>
      <c r="B94" s="12">
        <v>2020</v>
      </c>
      <c r="C94" s="12">
        <v>6373</v>
      </c>
      <c r="D94" s="12">
        <v>19112871</v>
      </c>
      <c r="E94" s="12" t="s">
        <v>13</v>
      </c>
      <c r="F94" s="12" t="s">
        <v>14</v>
      </c>
      <c r="I94" s="14">
        <v>44167</v>
      </c>
      <c r="J94" s="12" t="s">
        <v>18</v>
      </c>
      <c r="K94" s="12" t="s">
        <v>19</v>
      </c>
      <c r="L94" s="12" t="s">
        <v>22</v>
      </c>
      <c r="M94" s="12">
        <v>230.00899999999999</v>
      </c>
      <c r="N94" s="12">
        <v>193.863</v>
      </c>
      <c r="P94" s="12">
        <v>11.6</v>
      </c>
      <c r="Q94" s="13">
        <f t="shared" si="2"/>
        <v>0.84284962762326698</v>
      </c>
    </row>
    <row r="95" spans="1:17" x14ac:dyDescent="0.25">
      <c r="A95" s="12">
        <f t="shared" si="3"/>
        <v>12</v>
      </c>
      <c r="B95" s="12">
        <v>2020</v>
      </c>
      <c r="C95" s="12">
        <v>6374</v>
      </c>
      <c r="D95" s="12">
        <v>19117031</v>
      </c>
      <c r="E95" s="12" t="s">
        <v>13</v>
      </c>
      <c r="F95" s="12" t="s">
        <v>14</v>
      </c>
      <c r="I95" s="14">
        <v>44168</v>
      </c>
      <c r="J95" s="12" t="s">
        <v>18</v>
      </c>
      <c r="K95" s="12" t="s">
        <v>19</v>
      </c>
      <c r="L95" s="12" t="s">
        <v>22</v>
      </c>
      <c r="M95" s="12">
        <v>229.93199999999999</v>
      </c>
      <c r="N95" s="12">
        <v>199.07499999999999</v>
      </c>
      <c r="Q95" s="13">
        <f t="shared" si="2"/>
        <v>0.86579945375154388</v>
      </c>
    </row>
    <row r="96" spans="1:17" x14ac:dyDescent="0.25">
      <c r="A96" s="12">
        <f t="shared" si="3"/>
        <v>12</v>
      </c>
      <c r="B96" s="12">
        <v>2020</v>
      </c>
      <c r="C96" s="12">
        <v>6375</v>
      </c>
      <c r="D96" s="12">
        <v>19121451</v>
      </c>
      <c r="E96" s="12" t="s">
        <v>13</v>
      </c>
      <c r="F96" s="12" t="s">
        <v>14</v>
      </c>
      <c r="I96" s="14">
        <v>44169</v>
      </c>
      <c r="J96" s="12" t="s">
        <v>18</v>
      </c>
      <c r="K96" s="12" t="s">
        <v>19</v>
      </c>
      <c r="L96" s="12" t="s">
        <v>22</v>
      </c>
      <c r="M96" s="12">
        <v>229.93299999999999</v>
      </c>
      <c r="N96" s="12">
        <v>199.07499999999999</v>
      </c>
      <c r="Q96" s="13">
        <f t="shared" si="2"/>
        <v>0.86579568830920306</v>
      </c>
    </row>
    <row r="97" spans="1:17" x14ac:dyDescent="0.25">
      <c r="A97" s="12">
        <f t="shared" si="3"/>
        <v>12</v>
      </c>
      <c r="B97" s="12">
        <v>2020</v>
      </c>
      <c r="C97" s="12">
        <v>6376</v>
      </c>
      <c r="D97" s="12">
        <v>19124943</v>
      </c>
      <c r="E97" s="12" t="s">
        <v>13</v>
      </c>
      <c r="F97" s="12" t="s">
        <v>14</v>
      </c>
      <c r="I97" s="14">
        <v>44170</v>
      </c>
      <c r="J97" s="12" t="s">
        <v>17</v>
      </c>
      <c r="K97" s="12" t="s">
        <v>19</v>
      </c>
      <c r="L97" s="12" t="s">
        <v>25</v>
      </c>
      <c r="M97" s="12">
        <v>230.012</v>
      </c>
      <c r="N97" s="12">
        <v>197.21600000000001</v>
      </c>
      <c r="P97" s="12">
        <v>11.1</v>
      </c>
      <c r="Q97" s="13">
        <f t="shared" si="2"/>
        <v>0.85741613481035772</v>
      </c>
    </row>
    <row r="98" spans="1:17" x14ac:dyDescent="0.25">
      <c r="A98" s="12">
        <f t="shared" si="3"/>
        <v>12</v>
      </c>
      <c r="B98" s="12">
        <v>2020</v>
      </c>
      <c r="C98" s="12">
        <v>6377</v>
      </c>
      <c r="D98" s="12">
        <v>19128741</v>
      </c>
      <c r="E98" s="12" t="s">
        <v>13</v>
      </c>
      <c r="F98" s="12" t="s">
        <v>14</v>
      </c>
      <c r="I98" s="14">
        <v>44171</v>
      </c>
      <c r="J98" s="12" t="s">
        <v>17</v>
      </c>
      <c r="K98" s="12" t="s">
        <v>19</v>
      </c>
      <c r="L98" s="12" t="s">
        <v>25</v>
      </c>
      <c r="M98" s="12">
        <v>230.005</v>
      </c>
      <c r="N98" s="12">
        <v>204.21700000000001</v>
      </c>
      <c r="Q98" s="13">
        <f t="shared" si="2"/>
        <v>0.88788069824569038</v>
      </c>
    </row>
    <row r="99" spans="1:17" x14ac:dyDescent="0.25">
      <c r="A99" s="12">
        <f t="shared" si="3"/>
        <v>12</v>
      </c>
      <c r="B99" s="12">
        <v>2020</v>
      </c>
      <c r="C99" s="12">
        <v>6378</v>
      </c>
      <c r="D99" s="12">
        <v>19131422</v>
      </c>
      <c r="E99" s="12" t="s">
        <v>13</v>
      </c>
      <c r="F99" s="12" t="s">
        <v>14</v>
      </c>
      <c r="I99" s="14">
        <v>44172</v>
      </c>
      <c r="J99" s="12" t="s">
        <v>17</v>
      </c>
      <c r="K99" s="12" t="s">
        <v>19</v>
      </c>
      <c r="L99" s="12" t="s">
        <v>25</v>
      </c>
      <c r="M99" s="12">
        <v>230.005</v>
      </c>
      <c r="N99" s="12">
        <v>196.04900000000001</v>
      </c>
      <c r="Q99" s="13">
        <f t="shared" si="2"/>
        <v>0.85236842677333102</v>
      </c>
    </row>
    <row r="100" spans="1:17" x14ac:dyDescent="0.25">
      <c r="A100" s="12">
        <f t="shared" si="3"/>
        <v>12</v>
      </c>
      <c r="B100" s="12">
        <v>2020</v>
      </c>
      <c r="C100" s="12">
        <v>6379</v>
      </c>
      <c r="D100" s="12">
        <v>19131730</v>
      </c>
      <c r="E100" s="12" t="s">
        <v>13</v>
      </c>
      <c r="F100" s="12" t="s">
        <v>14</v>
      </c>
      <c r="I100" s="14">
        <v>44173</v>
      </c>
      <c r="J100" s="12" t="s">
        <v>17</v>
      </c>
      <c r="K100" s="12" t="s">
        <v>19</v>
      </c>
      <c r="L100" s="12" t="s">
        <v>25</v>
      </c>
      <c r="M100" s="12">
        <v>230.00200000000001</v>
      </c>
      <c r="N100" s="12">
        <v>202.179</v>
      </c>
      <c r="Q100" s="13">
        <f t="shared" si="2"/>
        <v>0.87903148668272446</v>
      </c>
    </row>
    <row r="101" spans="1:17" x14ac:dyDescent="0.25">
      <c r="A101" s="12">
        <f t="shared" si="3"/>
        <v>12</v>
      </c>
      <c r="B101" s="12">
        <v>2020</v>
      </c>
      <c r="C101" s="12">
        <v>6380</v>
      </c>
      <c r="D101" s="12">
        <v>19133372</v>
      </c>
      <c r="E101" s="12" t="s">
        <v>13</v>
      </c>
      <c r="F101" s="12" t="s">
        <v>14</v>
      </c>
      <c r="I101" s="14">
        <v>44174</v>
      </c>
      <c r="J101" s="12" t="s">
        <v>17</v>
      </c>
      <c r="K101" s="12" t="s">
        <v>19</v>
      </c>
      <c r="L101" s="12" t="s">
        <v>25</v>
      </c>
      <c r="M101" s="12">
        <v>230.00200000000001</v>
      </c>
      <c r="N101" s="12">
        <v>198.13800000000001</v>
      </c>
      <c r="Q101" s="13">
        <f t="shared" si="2"/>
        <v>0.86146207424283261</v>
      </c>
    </row>
    <row r="102" spans="1:17" x14ac:dyDescent="0.25">
      <c r="A102" s="12">
        <f t="shared" si="3"/>
        <v>12</v>
      </c>
      <c r="B102" s="12">
        <v>2020</v>
      </c>
      <c r="C102" s="12">
        <v>6381</v>
      </c>
      <c r="D102" s="12">
        <v>19137226</v>
      </c>
      <c r="E102" s="12" t="s">
        <v>13</v>
      </c>
      <c r="F102" s="12" t="s">
        <v>14</v>
      </c>
      <c r="I102" s="14">
        <v>44175</v>
      </c>
      <c r="J102" s="12" t="s">
        <v>17</v>
      </c>
      <c r="K102" s="12" t="s">
        <v>19</v>
      </c>
      <c r="L102" s="12" t="s">
        <v>22</v>
      </c>
      <c r="M102" s="12">
        <v>230.006</v>
      </c>
      <c r="N102" s="12">
        <v>195.69200000000001</v>
      </c>
      <c r="P102" s="12">
        <v>11.4</v>
      </c>
      <c r="Q102" s="13">
        <f t="shared" si="2"/>
        <v>0.85081258749771749</v>
      </c>
    </row>
    <row r="103" spans="1:17" x14ac:dyDescent="0.25">
      <c r="A103" s="12">
        <f t="shared" si="3"/>
        <v>12</v>
      </c>
      <c r="B103" s="12">
        <v>2020</v>
      </c>
      <c r="C103" s="12">
        <v>6382</v>
      </c>
      <c r="D103" s="12">
        <v>19140011</v>
      </c>
      <c r="E103" s="12" t="s">
        <v>13</v>
      </c>
      <c r="F103" s="12" t="s">
        <v>14</v>
      </c>
      <c r="I103" s="14">
        <v>44176</v>
      </c>
      <c r="J103" s="12" t="s">
        <v>17</v>
      </c>
      <c r="K103" s="12" t="s">
        <v>19</v>
      </c>
      <c r="L103" s="12" t="s">
        <v>22</v>
      </c>
      <c r="M103" s="12">
        <v>229.99799999999999</v>
      </c>
      <c r="N103" s="12">
        <v>196.78700000000001</v>
      </c>
      <c r="Q103" s="13">
        <f t="shared" si="2"/>
        <v>0.85560309220080177</v>
      </c>
    </row>
    <row r="104" spans="1:17" x14ac:dyDescent="0.25">
      <c r="A104" s="12">
        <f t="shared" si="3"/>
        <v>12</v>
      </c>
      <c r="B104" s="12">
        <v>2020</v>
      </c>
      <c r="C104" s="12">
        <v>6383</v>
      </c>
      <c r="D104" s="12">
        <v>19143600</v>
      </c>
      <c r="E104" s="12" t="s">
        <v>13</v>
      </c>
      <c r="F104" s="12" t="s">
        <v>14</v>
      </c>
      <c r="I104" s="14">
        <v>44177</v>
      </c>
      <c r="J104" s="12" t="s">
        <v>17</v>
      </c>
      <c r="K104" s="12" t="s">
        <v>19</v>
      </c>
      <c r="L104" s="12" t="s">
        <v>22</v>
      </c>
      <c r="M104" s="12">
        <v>229.999</v>
      </c>
      <c r="N104" s="12">
        <v>194.21700000000001</v>
      </c>
      <c r="Q104" s="13">
        <f t="shared" si="2"/>
        <v>0.84442541054526332</v>
      </c>
    </row>
    <row r="105" spans="1:17" x14ac:dyDescent="0.25">
      <c r="A105" s="12">
        <f t="shared" si="3"/>
        <v>12</v>
      </c>
      <c r="B105" s="12">
        <v>2020</v>
      </c>
      <c r="C105" s="12">
        <v>6384</v>
      </c>
      <c r="D105" s="12">
        <v>19148961</v>
      </c>
      <c r="E105" s="12" t="s">
        <v>13</v>
      </c>
      <c r="F105" s="12" t="s">
        <v>14</v>
      </c>
      <c r="I105" s="14">
        <v>44178</v>
      </c>
      <c r="J105" s="12" t="s">
        <v>33</v>
      </c>
      <c r="K105" s="12" t="s">
        <v>20</v>
      </c>
      <c r="L105" s="12" t="s">
        <v>31</v>
      </c>
      <c r="M105" s="12">
        <v>230.03200000000001</v>
      </c>
      <c r="N105" s="12">
        <v>200.64400000000001</v>
      </c>
      <c r="Q105" s="13">
        <f t="shared" si="2"/>
        <v>0.87224386172358626</v>
      </c>
    </row>
    <row r="106" spans="1:17" x14ac:dyDescent="0.25">
      <c r="A106" s="12">
        <f t="shared" si="3"/>
        <v>12</v>
      </c>
      <c r="B106" s="12">
        <v>2020</v>
      </c>
      <c r="C106" s="12">
        <v>6385</v>
      </c>
      <c r="D106" s="12">
        <v>19150797</v>
      </c>
      <c r="E106" s="12" t="s">
        <v>13</v>
      </c>
      <c r="F106" s="12" t="s">
        <v>14</v>
      </c>
      <c r="I106" s="14">
        <v>44179</v>
      </c>
      <c r="J106" s="12" t="s">
        <v>17</v>
      </c>
      <c r="K106" s="12" t="s">
        <v>19</v>
      </c>
      <c r="L106" s="12" t="s">
        <v>22</v>
      </c>
      <c r="M106" s="12">
        <v>229.99299999999999</v>
      </c>
      <c r="N106" s="12">
        <v>200.084</v>
      </c>
      <c r="Q106" s="13">
        <f t="shared" si="2"/>
        <v>0.86995691173209622</v>
      </c>
    </row>
    <row r="107" spans="1:17" x14ac:dyDescent="0.25">
      <c r="A107" s="12">
        <f t="shared" si="3"/>
        <v>12</v>
      </c>
      <c r="B107" s="12">
        <v>2020</v>
      </c>
      <c r="C107" s="12">
        <v>6386</v>
      </c>
      <c r="D107" s="12">
        <v>19150818</v>
      </c>
      <c r="E107" s="12" t="s">
        <v>13</v>
      </c>
      <c r="F107" s="12" t="s">
        <v>14</v>
      </c>
      <c r="I107" s="14">
        <v>44180</v>
      </c>
      <c r="J107" s="12" t="s">
        <v>17</v>
      </c>
      <c r="K107" s="12" t="s">
        <v>19</v>
      </c>
      <c r="L107" s="12" t="s">
        <v>22</v>
      </c>
      <c r="M107" s="12">
        <v>229.99199999999999</v>
      </c>
      <c r="N107" s="12">
        <v>199.999</v>
      </c>
      <c r="Q107" s="13">
        <f t="shared" si="2"/>
        <v>0.86959111621273788</v>
      </c>
    </row>
    <row r="108" spans="1:17" x14ac:dyDescent="0.25">
      <c r="A108" s="12">
        <f t="shared" si="3"/>
        <v>12</v>
      </c>
      <c r="B108" s="12">
        <v>2020</v>
      </c>
      <c r="C108" s="12">
        <v>6387</v>
      </c>
      <c r="D108" s="12">
        <v>19150869</v>
      </c>
      <c r="E108" s="12" t="s">
        <v>13</v>
      </c>
      <c r="F108" s="12" t="s">
        <v>14</v>
      </c>
      <c r="I108" s="14">
        <v>44181</v>
      </c>
      <c r="J108" s="12" t="s">
        <v>17</v>
      </c>
      <c r="K108" s="12" t="s">
        <v>19</v>
      </c>
      <c r="L108" s="12" t="s">
        <v>22</v>
      </c>
      <c r="M108" s="12">
        <v>229.999</v>
      </c>
      <c r="N108" s="12">
        <v>199.26</v>
      </c>
      <c r="P108" s="12">
        <v>12.1</v>
      </c>
      <c r="Q108" s="13">
        <f t="shared" si="2"/>
        <v>0.86635159283301233</v>
      </c>
    </row>
    <row r="109" spans="1:17" x14ac:dyDescent="0.25">
      <c r="A109" s="12">
        <f t="shared" si="3"/>
        <v>12</v>
      </c>
      <c r="B109" s="12">
        <v>2020</v>
      </c>
      <c r="C109" s="12">
        <v>6388</v>
      </c>
      <c r="D109" s="12">
        <v>19154974</v>
      </c>
      <c r="E109" s="12" t="s">
        <v>13</v>
      </c>
      <c r="F109" s="12" t="s">
        <v>14</v>
      </c>
      <c r="I109" s="14">
        <v>44182</v>
      </c>
      <c r="J109" s="12" t="s">
        <v>17</v>
      </c>
      <c r="K109" s="12" t="s">
        <v>19</v>
      </c>
      <c r="L109" s="12" t="s">
        <v>22</v>
      </c>
      <c r="M109" s="12">
        <v>230.005</v>
      </c>
      <c r="N109" s="12">
        <v>195.39599999999999</v>
      </c>
      <c r="Q109" s="13">
        <f t="shared" si="2"/>
        <v>0.84952935805743346</v>
      </c>
    </row>
    <row r="110" spans="1:17" x14ac:dyDescent="0.25">
      <c r="A110" s="12">
        <f t="shared" si="3"/>
        <v>12</v>
      </c>
      <c r="B110" s="12">
        <v>2020</v>
      </c>
      <c r="C110" s="12">
        <v>6389</v>
      </c>
      <c r="D110" s="12">
        <v>19158879</v>
      </c>
      <c r="E110" s="12" t="s">
        <v>13</v>
      </c>
      <c r="F110" s="12" t="s">
        <v>14</v>
      </c>
      <c r="I110" s="14">
        <v>44183</v>
      </c>
      <c r="J110" s="12" t="s">
        <v>17</v>
      </c>
      <c r="K110" s="12" t="s">
        <v>19</v>
      </c>
      <c r="L110" s="12" t="s">
        <v>22</v>
      </c>
      <c r="M110" s="12">
        <v>230.005</v>
      </c>
      <c r="N110" s="12">
        <v>201.44800000000001</v>
      </c>
      <c r="Q110" s="13">
        <f t="shared" si="2"/>
        <v>0.8758418295254452</v>
      </c>
    </row>
    <row r="111" spans="1:17" x14ac:dyDescent="0.25">
      <c r="A111" s="12">
        <f t="shared" si="3"/>
        <v>12</v>
      </c>
      <c r="B111" s="12">
        <v>2020</v>
      </c>
      <c r="C111" s="12">
        <v>6390</v>
      </c>
      <c r="D111" s="12">
        <v>19164208</v>
      </c>
      <c r="E111" s="12" t="s">
        <v>13</v>
      </c>
      <c r="F111" s="12" t="s">
        <v>14</v>
      </c>
      <c r="I111" s="14">
        <v>44184</v>
      </c>
      <c r="J111" s="12" t="s">
        <v>17</v>
      </c>
      <c r="K111" s="12" t="s">
        <v>19</v>
      </c>
      <c r="L111" s="12" t="s">
        <v>22</v>
      </c>
      <c r="M111" s="12">
        <v>229.999</v>
      </c>
      <c r="N111" s="12">
        <v>195.28700000000001</v>
      </c>
      <c r="Q111" s="13">
        <f t="shared" si="2"/>
        <v>0.84907760468523785</v>
      </c>
    </row>
    <row r="112" spans="1:17" x14ac:dyDescent="0.25">
      <c r="A112" s="12">
        <f t="shared" si="3"/>
        <v>12</v>
      </c>
      <c r="B112" s="12">
        <v>2020</v>
      </c>
      <c r="C112" s="12">
        <v>6391</v>
      </c>
      <c r="D112" s="12">
        <v>19166810</v>
      </c>
      <c r="E112" s="12" t="s">
        <v>13</v>
      </c>
      <c r="F112" s="12" t="s">
        <v>14</v>
      </c>
      <c r="I112" s="14">
        <v>44185</v>
      </c>
      <c r="J112" s="12" t="s">
        <v>17</v>
      </c>
      <c r="K112" s="12" t="s">
        <v>19</v>
      </c>
      <c r="L112" s="12" t="s">
        <v>22</v>
      </c>
      <c r="M112" s="12">
        <v>230</v>
      </c>
      <c r="N112" s="12">
        <v>204.27</v>
      </c>
      <c r="Q112" s="13">
        <f t="shared" si="2"/>
        <v>0.88813043478260878</v>
      </c>
    </row>
    <row r="113" spans="1:17" x14ac:dyDescent="0.25">
      <c r="A113" s="12">
        <f t="shared" si="3"/>
        <v>12</v>
      </c>
      <c r="B113" s="12">
        <v>2020</v>
      </c>
      <c r="C113" s="12">
        <v>6392</v>
      </c>
      <c r="D113" s="12">
        <v>19169957</v>
      </c>
      <c r="E113" s="12" t="s">
        <v>13</v>
      </c>
      <c r="F113" s="12" t="s">
        <v>14</v>
      </c>
      <c r="I113" s="14">
        <v>44186</v>
      </c>
      <c r="J113" s="12" t="s">
        <v>17</v>
      </c>
      <c r="K113" s="12" t="s">
        <v>19</v>
      </c>
      <c r="L113" s="12" t="s">
        <v>22</v>
      </c>
      <c r="M113" s="12">
        <v>230.012</v>
      </c>
      <c r="N113" s="12">
        <v>195.26</v>
      </c>
      <c r="P113" s="12">
        <v>12.2</v>
      </c>
      <c r="Q113" s="13">
        <f t="shared" si="2"/>
        <v>0.84891223066622612</v>
      </c>
    </row>
    <row r="114" spans="1:17" x14ac:dyDescent="0.25">
      <c r="A114" s="12">
        <f t="shared" si="3"/>
        <v>12</v>
      </c>
      <c r="B114" s="12">
        <v>2020</v>
      </c>
      <c r="C114" s="12">
        <v>6393</v>
      </c>
      <c r="D114" s="12">
        <v>19170261</v>
      </c>
      <c r="E114" s="12" t="s">
        <v>13</v>
      </c>
      <c r="F114" s="12" t="s">
        <v>14</v>
      </c>
      <c r="I114" s="14">
        <v>44187</v>
      </c>
      <c r="J114" s="12" t="s">
        <v>17</v>
      </c>
      <c r="K114" s="12" t="s">
        <v>19</v>
      </c>
      <c r="L114" s="12" t="s">
        <v>22</v>
      </c>
      <c r="M114" s="12">
        <v>230.00299999999999</v>
      </c>
      <c r="N114" s="12">
        <v>187.04</v>
      </c>
      <c r="Q114" s="13">
        <f t="shared" si="2"/>
        <v>0.81320678425933579</v>
      </c>
    </row>
    <row r="115" spans="1:17" x14ac:dyDescent="0.25">
      <c r="A115" s="12">
        <f t="shared" si="3"/>
        <v>12</v>
      </c>
      <c r="B115" s="12">
        <v>2020</v>
      </c>
      <c r="C115" s="12">
        <v>6394</v>
      </c>
      <c r="D115" s="12">
        <v>19171272</v>
      </c>
      <c r="E115" s="12" t="s">
        <v>13</v>
      </c>
      <c r="F115" s="12" t="s">
        <v>14</v>
      </c>
      <c r="I115" s="14">
        <v>44188</v>
      </c>
      <c r="J115" s="12" t="s">
        <v>17</v>
      </c>
      <c r="K115" s="12" t="s">
        <v>19</v>
      </c>
      <c r="L115" s="12" t="s">
        <v>22</v>
      </c>
      <c r="M115" s="12">
        <v>230.00299999999999</v>
      </c>
      <c r="N115" s="12">
        <v>203.90100000000001</v>
      </c>
      <c r="Q115" s="13">
        <f t="shared" si="2"/>
        <v>0.88651452372360373</v>
      </c>
    </row>
    <row r="116" spans="1:17" x14ac:dyDescent="0.25">
      <c r="A116" s="12">
        <f t="shared" si="3"/>
        <v>12</v>
      </c>
      <c r="B116" s="12">
        <v>2020</v>
      </c>
      <c r="C116" s="12">
        <v>6395</v>
      </c>
      <c r="D116" s="12">
        <v>19175898</v>
      </c>
      <c r="E116" s="12" t="s">
        <v>13</v>
      </c>
      <c r="F116" s="12" t="s">
        <v>14</v>
      </c>
      <c r="I116" s="14">
        <v>44189</v>
      </c>
      <c r="J116" s="12" t="s">
        <v>17</v>
      </c>
      <c r="K116" s="12" t="s">
        <v>19</v>
      </c>
      <c r="L116" s="12" t="s">
        <v>22</v>
      </c>
      <c r="M116" s="12">
        <v>230.00200000000001</v>
      </c>
      <c r="N116" s="12">
        <v>193.67500000000001</v>
      </c>
      <c r="Q116" s="13">
        <f t="shared" si="2"/>
        <v>0.84205789514873786</v>
      </c>
    </row>
    <row r="117" spans="1:17" x14ac:dyDescent="0.25">
      <c r="A117" s="12">
        <f t="shared" si="3"/>
        <v>12</v>
      </c>
      <c r="B117" s="12">
        <v>2020</v>
      </c>
      <c r="C117" s="12">
        <v>6396</v>
      </c>
      <c r="D117" s="12">
        <v>19179231</v>
      </c>
      <c r="E117" s="12" t="s">
        <v>13</v>
      </c>
      <c r="F117" s="12" t="s">
        <v>14</v>
      </c>
      <c r="I117" s="14">
        <v>44190</v>
      </c>
      <c r="J117" s="12" t="s">
        <v>17</v>
      </c>
      <c r="K117" s="12" t="s">
        <v>19</v>
      </c>
      <c r="L117" s="12" t="s">
        <v>22</v>
      </c>
      <c r="M117" s="12">
        <v>230.00200000000001</v>
      </c>
      <c r="N117" s="12">
        <v>193.40799999999999</v>
      </c>
      <c r="Q117" s="13">
        <f t="shared" si="2"/>
        <v>0.84089703567795049</v>
      </c>
    </row>
    <row r="118" spans="1:17" x14ac:dyDescent="0.25">
      <c r="A118" s="12">
        <f t="shared" si="3"/>
        <v>12</v>
      </c>
      <c r="B118" s="12">
        <v>2020</v>
      </c>
      <c r="C118" s="12">
        <v>6397</v>
      </c>
      <c r="D118" s="12">
        <v>19182431</v>
      </c>
      <c r="E118" s="12" t="s">
        <v>13</v>
      </c>
      <c r="F118" s="12" t="s">
        <v>14</v>
      </c>
      <c r="I118" s="14">
        <v>44191</v>
      </c>
      <c r="J118" s="12" t="s">
        <v>34</v>
      </c>
      <c r="K118" s="12" t="s">
        <v>19</v>
      </c>
      <c r="L118" s="12" t="s">
        <v>22</v>
      </c>
      <c r="M118" s="12">
        <v>229.96600000000001</v>
      </c>
      <c r="N118" s="12">
        <v>196.488</v>
      </c>
      <c r="P118" s="12">
        <v>12.2</v>
      </c>
      <c r="Q118" s="13">
        <f t="shared" si="2"/>
        <v>0.85442195802857812</v>
      </c>
    </row>
    <row r="119" spans="1:17" x14ac:dyDescent="0.25">
      <c r="A119" s="12">
        <f t="shared" si="3"/>
        <v>12</v>
      </c>
      <c r="B119" s="12">
        <v>2020</v>
      </c>
      <c r="C119" s="12">
        <v>6398</v>
      </c>
      <c r="D119" s="12">
        <v>19186298</v>
      </c>
      <c r="E119" s="12" t="s">
        <v>13</v>
      </c>
      <c r="F119" s="12" t="s">
        <v>14</v>
      </c>
      <c r="I119" s="14">
        <v>44192</v>
      </c>
      <c r="J119" s="12" t="s">
        <v>34</v>
      </c>
      <c r="K119" s="12" t="s">
        <v>19</v>
      </c>
      <c r="L119" s="12" t="s">
        <v>22</v>
      </c>
      <c r="M119" s="12">
        <v>230</v>
      </c>
      <c r="N119" s="12">
        <v>188.15700000000001</v>
      </c>
      <c r="P119" s="12">
        <v>12.4</v>
      </c>
      <c r="Q119" s="13">
        <f t="shared" si="2"/>
        <v>0.81807391304347832</v>
      </c>
    </row>
    <row r="120" spans="1:17" x14ac:dyDescent="0.25">
      <c r="A120" s="12">
        <f t="shared" si="3"/>
        <v>12</v>
      </c>
      <c r="B120" s="12">
        <v>2020</v>
      </c>
      <c r="C120" s="12">
        <v>6399</v>
      </c>
      <c r="D120" s="12">
        <v>19189915</v>
      </c>
      <c r="E120" s="12" t="s">
        <v>13</v>
      </c>
      <c r="F120" s="12" t="s">
        <v>14</v>
      </c>
      <c r="I120" s="14">
        <v>44193</v>
      </c>
      <c r="J120" s="12" t="s">
        <v>34</v>
      </c>
      <c r="K120" s="12" t="s">
        <v>19</v>
      </c>
      <c r="L120" s="12" t="s">
        <v>22</v>
      </c>
      <c r="M120" s="12">
        <v>230</v>
      </c>
      <c r="N120" s="12">
        <v>198.71600000000001</v>
      </c>
      <c r="Q120" s="13">
        <f t="shared" si="2"/>
        <v>0.86398260869565224</v>
      </c>
    </row>
    <row r="121" spans="1:17" x14ac:dyDescent="0.25">
      <c r="A121" s="12">
        <f t="shared" si="3"/>
        <v>12</v>
      </c>
      <c r="B121" s="12">
        <v>2020</v>
      </c>
      <c r="C121" s="12">
        <v>6400</v>
      </c>
      <c r="D121" s="12">
        <v>19189923</v>
      </c>
      <c r="E121" s="12" t="s">
        <v>13</v>
      </c>
      <c r="F121" s="12" t="s">
        <v>14</v>
      </c>
      <c r="I121" s="14">
        <v>44194</v>
      </c>
      <c r="J121" s="12" t="s">
        <v>34</v>
      </c>
      <c r="K121" s="12" t="s">
        <v>19</v>
      </c>
      <c r="L121" s="12" t="s">
        <v>22</v>
      </c>
      <c r="M121" s="12">
        <v>230</v>
      </c>
      <c r="N121" s="12">
        <v>197.42599999999999</v>
      </c>
      <c r="P121" s="12">
        <v>12.4</v>
      </c>
      <c r="Q121" s="13">
        <f t="shared" si="2"/>
        <v>0.85837391304347821</v>
      </c>
    </row>
    <row r="122" spans="1:17" x14ac:dyDescent="0.25">
      <c r="A122" s="12">
        <f t="shared" si="3"/>
        <v>12</v>
      </c>
      <c r="B122" s="12">
        <v>2020</v>
      </c>
      <c r="C122" s="12">
        <v>6401</v>
      </c>
      <c r="D122" s="12">
        <v>19189931</v>
      </c>
      <c r="E122" s="12" t="s">
        <v>13</v>
      </c>
      <c r="F122" s="12" t="s">
        <v>14</v>
      </c>
      <c r="I122" s="14">
        <v>44195</v>
      </c>
      <c r="J122" s="12" t="s">
        <v>18</v>
      </c>
      <c r="K122" s="12" t="s">
        <v>19</v>
      </c>
      <c r="L122" s="12" t="s">
        <v>22</v>
      </c>
      <c r="M122" s="12">
        <v>230.006</v>
      </c>
      <c r="N122" s="12">
        <v>192.953</v>
      </c>
      <c r="Q122" s="13">
        <f t="shared" si="2"/>
        <v>0.83890420249906528</v>
      </c>
    </row>
    <row r="123" spans="1:17" x14ac:dyDescent="0.25">
      <c r="A123" s="12">
        <f t="shared" si="3"/>
        <v>12</v>
      </c>
      <c r="B123" s="12">
        <v>2020</v>
      </c>
      <c r="C123" s="12">
        <v>6402</v>
      </c>
      <c r="D123" s="12">
        <v>19194950</v>
      </c>
      <c r="E123" s="12" t="s">
        <v>13</v>
      </c>
      <c r="F123" s="12" t="s">
        <v>14</v>
      </c>
      <c r="I123" s="14">
        <v>44196</v>
      </c>
      <c r="J123" s="12" t="s">
        <v>18</v>
      </c>
      <c r="K123" s="12" t="s">
        <v>19</v>
      </c>
      <c r="L123" s="12" t="s">
        <v>22</v>
      </c>
      <c r="M123" s="12">
        <v>230.006</v>
      </c>
      <c r="N123" s="12">
        <v>193</v>
      </c>
      <c r="Q123" s="13">
        <f t="shared" si="2"/>
        <v>0.8391085449944784</v>
      </c>
    </row>
    <row r="124" spans="1:17" x14ac:dyDescent="0.25">
      <c r="A124" s="12">
        <f t="shared" si="3"/>
        <v>1</v>
      </c>
      <c r="B124" s="12">
        <v>2021</v>
      </c>
      <c r="C124" s="12">
        <v>6403</v>
      </c>
      <c r="D124" s="12">
        <v>19198264</v>
      </c>
      <c r="E124" s="12" t="s">
        <v>13</v>
      </c>
      <c r="F124" s="12" t="s">
        <v>14</v>
      </c>
      <c r="I124" s="14">
        <v>44197</v>
      </c>
      <c r="J124" s="12" t="s">
        <v>17</v>
      </c>
      <c r="K124" s="12" t="s">
        <v>19</v>
      </c>
      <c r="L124" s="12" t="s">
        <v>35</v>
      </c>
      <c r="M124" s="12">
        <v>230.04400000000001</v>
      </c>
      <c r="N124" s="12">
        <v>198.982</v>
      </c>
      <c r="P124" s="12">
        <v>12</v>
      </c>
      <c r="Q124" s="13">
        <f t="shared" si="2"/>
        <v>0.86497365721340258</v>
      </c>
    </row>
    <row r="125" spans="1:17" x14ac:dyDescent="0.25">
      <c r="A125" s="12">
        <f t="shared" si="3"/>
        <v>1</v>
      </c>
      <c r="B125" s="12">
        <v>2021</v>
      </c>
      <c r="C125" s="12">
        <v>6404</v>
      </c>
      <c r="D125" s="12">
        <v>19201179</v>
      </c>
      <c r="E125" s="12" t="s">
        <v>13</v>
      </c>
      <c r="F125" s="12" t="s">
        <v>14</v>
      </c>
      <c r="I125" s="14">
        <v>44198</v>
      </c>
      <c r="J125" s="12" t="s">
        <v>17</v>
      </c>
      <c r="K125" s="12" t="s">
        <v>19</v>
      </c>
      <c r="L125" s="12" t="s">
        <v>22</v>
      </c>
      <c r="M125" s="12">
        <v>230.001</v>
      </c>
      <c r="N125" s="12">
        <v>188.113</v>
      </c>
      <c r="Q125" s="13">
        <f t="shared" si="2"/>
        <v>0.8178790526997709</v>
      </c>
    </row>
    <row r="126" spans="1:17" x14ac:dyDescent="0.25">
      <c r="A126" s="12">
        <f t="shared" si="3"/>
        <v>1</v>
      </c>
      <c r="B126" s="12">
        <v>2021</v>
      </c>
      <c r="C126" s="12">
        <v>6405</v>
      </c>
      <c r="D126" s="12">
        <v>19203385</v>
      </c>
      <c r="E126" s="12" t="s">
        <v>13</v>
      </c>
      <c r="F126" s="12" t="s">
        <v>14</v>
      </c>
      <c r="I126" s="14">
        <v>44199</v>
      </c>
      <c r="J126" s="12" t="s">
        <v>17</v>
      </c>
      <c r="K126" s="12" t="s">
        <v>19</v>
      </c>
      <c r="L126" s="12" t="s">
        <v>22</v>
      </c>
      <c r="M126" s="12">
        <v>230.001</v>
      </c>
      <c r="N126" s="12">
        <v>200.8</v>
      </c>
      <c r="Q126" s="13">
        <f t="shared" si="2"/>
        <v>0.87303968243616337</v>
      </c>
    </row>
    <row r="127" spans="1:17" x14ac:dyDescent="0.25">
      <c r="A127" s="12">
        <f t="shared" si="3"/>
        <v>1</v>
      </c>
      <c r="B127" s="12">
        <v>2021</v>
      </c>
      <c r="C127" s="12">
        <v>6406</v>
      </c>
      <c r="D127" s="12">
        <v>19203393</v>
      </c>
      <c r="E127" s="12" t="s">
        <v>13</v>
      </c>
      <c r="F127" s="12" t="s">
        <v>14</v>
      </c>
      <c r="I127" s="14">
        <v>44200</v>
      </c>
      <c r="J127" s="12" t="s">
        <v>17</v>
      </c>
      <c r="K127" s="12" t="s">
        <v>19</v>
      </c>
      <c r="L127" s="12" t="s">
        <v>22</v>
      </c>
      <c r="M127" s="12">
        <v>230.00399999999999</v>
      </c>
      <c r="N127" s="12">
        <v>194.58500000000001</v>
      </c>
      <c r="Q127" s="13">
        <f t="shared" si="2"/>
        <v>0.84600702596476585</v>
      </c>
    </row>
    <row r="128" spans="1:17" x14ac:dyDescent="0.25">
      <c r="A128" s="12">
        <f t="shared" si="3"/>
        <v>1</v>
      </c>
      <c r="B128" s="12">
        <v>2021</v>
      </c>
      <c r="C128" s="12">
        <v>6407</v>
      </c>
      <c r="D128" s="12">
        <v>19203406</v>
      </c>
      <c r="E128" s="12" t="s">
        <v>13</v>
      </c>
      <c r="F128" s="12" t="s">
        <v>14</v>
      </c>
      <c r="I128" s="14">
        <v>44201</v>
      </c>
      <c r="J128" s="12" t="s">
        <v>17</v>
      </c>
      <c r="K128" s="12" t="s">
        <v>19</v>
      </c>
      <c r="L128" s="12" t="s">
        <v>22</v>
      </c>
      <c r="M128" s="12">
        <v>230.00299999999999</v>
      </c>
      <c r="N128" s="12">
        <v>198.06299999999999</v>
      </c>
      <c r="Q128" s="13">
        <f t="shared" si="2"/>
        <v>0.86113224610113781</v>
      </c>
    </row>
    <row r="129" spans="1:17" x14ac:dyDescent="0.25">
      <c r="A129" s="12">
        <f t="shared" si="3"/>
        <v>1</v>
      </c>
      <c r="B129" s="12">
        <v>2021</v>
      </c>
      <c r="C129" s="12">
        <v>6408</v>
      </c>
      <c r="D129" s="12">
        <v>19204581</v>
      </c>
      <c r="E129" s="12" t="s">
        <v>13</v>
      </c>
      <c r="F129" s="12" t="s">
        <v>14</v>
      </c>
      <c r="I129" s="14">
        <v>44202</v>
      </c>
      <c r="J129" s="12" t="s">
        <v>17</v>
      </c>
      <c r="K129" s="12" t="s">
        <v>19</v>
      </c>
      <c r="L129" s="12" t="s">
        <v>22</v>
      </c>
      <c r="M129" s="12">
        <v>230.036</v>
      </c>
      <c r="N129" s="12">
        <v>196.137</v>
      </c>
      <c r="P129" s="12">
        <v>12.6</v>
      </c>
      <c r="Q129" s="13">
        <f t="shared" si="2"/>
        <v>0.85263610913074472</v>
      </c>
    </row>
    <row r="130" spans="1:17" x14ac:dyDescent="0.25">
      <c r="A130" s="12">
        <f t="shared" si="3"/>
        <v>1</v>
      </c>
      <c r="B130" s="12">
        <v>2021</v>
      </c>
      <c r="C130" s="12">
        <v>6409</v>
      </c>
      <c r="D130" s="12">
        <v>19208928</v>
      </c>
      <c r="E130" s="12" t="s">
        <v>13</v>
      </c>
      <c r="F130" s="12" t="s">
        <v>14</v>
      </c>
      <c r="I130" s="14">
        <v>44203</v>
      </c>
      <c r="J130" s="12" t="s">
        <v>34</v>
      </c>
      <c r="K130" s="12" t="s">
        <v>19</v>
      </c>
      <c r="L130" s="12" t="s">
        <v>22</v>
      </c>
      <c r="M130" s="12">
        <v>230.00200000000001</v>
      </c>
      <c r="N130" s="12">
        <v>193.41499999999999</v>
      </c>
      <c r="Q130" s="13">
        <f t="shared" ref="Q130:Q193" si="4">N130/M130</f>
        <v>0.8409274701959113</v>
      </c>
    </row>
    <row r="131" spans="1:17" x14ac:dyDescent="0.25">
      <c r="A131" s="12">
        <f t="shared" ref="A131:A194" si="5">MONTH(I131)</f>
        <v>1</v>
      </c>
      <c r="B131" s="12">
        <v>2021</v>
      </c>
      <c r="C131" s="12">
        <v>6410</v>
      </c>
      <c r="D131" s="12">
        <v>19212206</v>
      </c>
      <c r="E131" s="12" t="s">
        <v>13</v>
      </c>
      <c r="F131" s="12" t="s">
        <v>14</v>
      </c>
      <c r="I131" s="14">
        <v>44204</v>
      </c>
      <c r="J131" s="12" t="s">
        <v>34</v>
      </c>
      <c r="K131" s="12" t="s">
        <v>19</v>
      </c>
      <c r="L131" s="12" t="s">
        <v>22</v>
      </c>
      <c r="M131" s="12">
        <v>230.001</v>
      </c>
      <c r="N131" s="12">
        <v>196.44499999999999</v>
      </c>
      <c r="Q131" s="13">
        <f t="shared" si="4"/>
        <v>0.8541049821522515</v>
      </c>
    </row>
    <row r="132" spans="1:17" x14ac:dyDescent="0.25">
      <c r="A132" s="12">
        <f t="shared" si="5"/>
        <v>1</v>
      </c>
      <c r="B132" s="12">
        <v>2021</v>
      </c>
      <c r="C132" s="12">
        <v>6411</v>
      </c>
      <c r="D132" s="12">
        <v>19215239</v>
      </c>
      <c r="E132" s="12" t="s">
        <v>13</v>
      </c>
      <c r="F132" s="12" t="s">
        <v>14</v>
      </c>
      <c r="I132" s="14">
        <v>44205</v>
      </c>
      <c r="J132" s="12" t="s">
        <v>34</v>
      </c>
      <c r="K132" s="12" t="s">
        <v>19</v>
      </c>
      <c r="L132" s="12" t="s">
        <v>22</v>
      </c>
      <c r="M132" s="12">
        <v>230.00700000000001</v>
      </c>
      <c r="N132" s="12">
        <v>196.637</v>
      </c>
      <c r="Q132" s="13">
        <f t="shared" si="4"/>
        <v>0.85491745903385552</v>
      </c>
    </row>
    <row r="133" spans="1:17" x14ac:dyDescent="0.25">
      <c r="A133" s="12">
        <f t="shared" si="5"/>
        <v>1</v>
      </c>
      <c r="B133" s="12">
        <v>2021</v>
      </c>
      <c r="C133" s="12">
        <v>6412</v>
      </c>
      <c r="D133" s="12">
        <v>19217015</v>
      </c>
      <c r="E133" s="12" t="s">
        <v>13</v>
      </c>
      <c r="F133" s="12" t="s">
        <v>14</v>
      </c>
      <c r="I133" s="14">
        <v>44206</v>
      </c>
      <c r="J133" s="12" t="s">
        <v>34</v>
      </c>
      <c r="K133" s="12" t="s">
        <v>19</v>
      </c>
      <c r="L133" s="12" t="s">
        <v>22</v>
      </c>
      <c r="M133" s="12">
        <v>230.00800000000001</v>
      </c>
      <c r="N133" s="12">
        <v>197.72900000000001</v>
      </c>
      <c r="Q133" s="13">
        <f t="shared" si="4"/>
        <v>0.85966140308163197</v>
      </c>
    </row>
    <row r="134" spans="1:17" x14ac:dyDescent="0.25">
      <c r="A134" s="12">
        <f t="shared" si="5"/>
        <v>1</v>
      </c>
      <c r="B134" s="12">
        <v>2021</v>
      </c>
      <c r="C134" s="12">
        <v>6413</v>
      </c>
      <c r="D134" s="12">
        <v>19217437</v>
      </c>
      <c r="E134" s="12" t="s">
        <v>13</v>
      </c>
      <c r="F134" s="12" t="s">
        <v>14</v>
      </c>
      <c r="I134" s="14">
        <v>44207</v>
      </c>
      <c r="J134" s="12" t="s">
        <v>34</v>
      </c>
      <c r="K134" s="12" t="s">
        <v>19</v>
      </c>
      <c r="L134" s="12" t="s">
        <v>22</v>
      </c>
      <c r="M134" s="12">
        <v>229.999</v>
      </c>
      <c r="N134" s="12">
        <v>196.73099999999999</v>
      </c>
      <c r="P134" s="12">
        <v>12.2</v>
      </c>
      <c r="Q134" s="13">
        <f t="shared" si="4"/>
        <v>0.8553558928517081</v>
      </c>
    </row>
    <row r="135" spans="1:17" x14ac:dyDescent="0.25">
      <c r="A135" s="12">
        <f t="shared" si="5"/>
        <v>1</v>
      </c>
      <c r="B135" s="12">
        <v>2021</v>
      </c>
      <c r="C135" s="12">
        <v>6414</v>
      </c>
      <c r="D135" s="12">
        <v>19217648</v>
      </c>
      <c r="E135" s="12" t="s">
        <v>13</v>
      </c>
      <c r="F135" s="12" t="s">
        <v>14</v>
      </c>
      <c r="I135" s="14">
        <v>44208</v>
      </c>
      <c r="J135" s="12" t="s">
        <v>17</v>
      </c>
      <c r="K135" s="12" t="s">
        <v>19</v>
      </c>
      <c r="L135" s="12" t="s">
        <v>22</v>
      </c>
      <c r="M135" s="12">
        <v>230.005</v>
      </c>
      <c r="N135" s="12">
        <v>192.02199999999999</v>
      </c>
      <c r="Q135" s="13">
        <f t="shared" si="4"/>
        <v>0.83486011173670138</v>
      </c>
    </row>
    <row r="136" spans="1:17" x14ac:dyDescent="0.25">
      <c r="A136" s="12">
        <f t="shared" si="5"/>
        <v>1</v>
      </c>
      <c r="B136" s="12">
        <v>2021</v>
      </c>
      <c r="C136" s="12">
        <v>6415</v>
      </c>
      <c r="D136" s="12">
        <v>19218552</v>
      </c>
      <c r="E136" s="12" t="s">
        <v>13</v>
      </c>
      <c r="F136" s="12" t="s">
        <v>14</v>
      </c>
      <c r="I136" s="14">
        <v>44209</v>
      </c>
      <c r="J136" s="12" t="s">
        <v>17</v>
      </c>
      <c r="K136" s="12" t="s">
        <v>19</v>
      </c>
      <c r="L136" s="12" t="s">
        <v>22</v>
      </c>
      <c r="M136" s="12">
        <v>230.005</v>
      </c>
      <c r="N136" s="12">
        <v>198.94399999999999</v>
      </c>
      <c r="Q136" s="13">
        <f t="shared" si="4"/>
        <v>0.86495510967152889</v>
      </c>
    </row>
    <row r="137" spans="1:17" x14ac:dyDescent="0.25">
      <c r="A137" s="12">
        <f t="shared" si="5"/>
        <v>1</v>
      </c>
      <c r="B137" s="12">
        <v>2021</v>
      </c>
      <c r="C137" s="12">
        <v>6416</v>
      </c>
      <c r="D137" s="12">
        <v>19222893</v>
      </c>
      <c r="E137" s="12" t="s">
        <v>13</v>
      </c>
      <c r="F137" s="12" t="s">
        <v>14</v>
      </c>
      <c r="I137" s="14">
        <v>44210</v>
      </c>
      <c r="J137" s="12" t="s">
        <v>17</v>
      </c>
      <c r="K137" s="12" t="s">
        <v>19</v>
      </c>
      <c r="L137" s="12" t="s">
        <v>22</v>
      </c>
      <c r="M137" s="12">
        <v>229.98699999999999</v>
      </c>
      <c r="N137" s="12">
        <v>192.68100000000001</v>
      </c>
      <c r="Q137" s="13">
        <f t="shared" si="4"/>
        <v>0.83779083165570234</v>
      </c>
    </row>
    <row r="138" spans="1:17" x14ac:dyDescent="0.25">
      <c r="A138" s="12">
        <f t="shared" si="5"/>
        <v>1</v>
      </c>
      <c r="B138" s="12">
        <v>2021</v>
      </c>
      <c r="C138" s="12">
        <v>6417</v>
      </c>
      <c r="D138" s="12">
        <v>19226051</v>
      </c>
      <c r="E138" s="12" t="s">
        <v>13</v>
      </c>
      <c r="F138" s="12" t="s">
        <v>14</v>
      </c>
      <c r="I138" s="14">
        <v>44211</v>
      </c>
      <c r="J138" s="12" t="s">
        <v>17</v>
      </c>
      <c r="K138" s="12" t="s">
        <v>19</v>
      </c>
      <c r="L138" s="12" t="s">
        <v>22</v>
      </c>
      <c r="M138" s="12">
        <v>229.98699999999999</v>
      </c>
      <c r="N138" s="12">
        <v>203.69300000000001</v>
      </c>
      <c r="Q138" s="13">
        <f t="shared" si="4"/>
        <v>0.88567179884080416</v>
      </c>
    </row>
    <row r="139" spans="1:17" x14ac:dyDescent="0.25">
      <c r="A139" s="12">
        <f t="shared" si="5"/>
        <v>1</v>
      </c>
      <c r="B139" s="12">
        <v>2021</v>
      </c>
      <c r="C139" s="12">
        <v>6418</v>
      </c>
      <c r="D139" s="12">
        <v>19229745</v>
      </c>
      <c r="E139" s="12" t="s">
        <v>13</v>
      </c>
      <c r="F139" s="12" t="s">
        <v>14</v>
      </c>
      <c r="I139" s="14">
        <v>44212</v>
      </c>
      <c r="J139" s="12" t="s">
        <v>17</v>
      </c>
      <c r="K139" s="12" t="s">
        <v>19</v>
      </c>
      <c r="L139" s="12" t="s">
        <v>22</v>
      </c>
      <c r="M139" s="12">
        <v>229.999</v>
      </c>
      <c r="N139" s="12">
        <v>196.10300000000001</v>
      </c>
      <c r="P139" s="12">
        <v>12.1</v>
      </c>
      <c r="Q139" s="13">
        <f t="shared" si="4"/>
        <v>0.85262544619759217</v>
      </c>
    </row>
    <row r="140" spans="1:17" x14ac:dyDescent="0.25">
      <c r="A140" s="12">
        <f t="shared" si="5"/>
        <v>1</v>
      </c>
      <c r="B140" s="12">
        <v>2021</v>
      </c>
      <c r="C140" s="12">
        <v>6419</v>
      </c>
      <c r="D140" s="12">
        <v>19234350</v>
      </c>
      <c r="E140" s="12" t="s">
        <v>13</v>
      </c>
      <c r="F140" s="12" t="s">
        <v>14</v>
      </c>
      <c r="I140" s="14">
        <v>44213</v>
      </c>
      <c r="J140" s="12" t="s">
        <v>17</v>
      </c>
      <c r="K140" s="12" t="s">
        <v>19</v>
      </c>
      <c r="L140" s="12" t="s">
        <v>22</v>
      </c>
      <c r="M140" s="12">
        <v>230.00399999999999</v>
      </c>
      <c r="N140" s="12">
        <v>192.995</v>
      </c>
      <c r="Q140" s="13">
        <f t="shared" si="4"/>
        <v>0.83909410271125728</v>
      </c>
    </row>
    <row r="141" spans="1:17" x14ac:dyDescent="0.25">
      <c r="A141" s="12">
        <f t="shared" si="5"/>
        <v>1</v>
      </c>
      <c r="B141" s="12">
        <v>2021</v>
      </c>
      <c r="C141" s="12">
        <v>6420</v>
      </c>
      <c r="D141" s="12">
        <v>19238078</v>
      </c>
      <c r="E141" s="12" t="s">
        <v>13</v>
      </c>
      <c r="F141" s="12" t="s">
        <v>14</v>
      </c>
      <c r="I141" s="14">
        <v>44214</v>
      </c>
      <c r="J141" s="12" t="s">
        <v>17</v>
      </c>
      <c r="K141" s="12" t="s">
        <v>19</v>
      </c>
      <c r="L141" s="12" t="s">
        <v>22</v>
      </c>
      <c r="M141" s="12">
        <v>230.00399999999999</v>
      </c>
      <c r="N141" s="12">
        <v>203.09299999999999</v>
      </c>
      <c r="Q141" s="13">
        <f t="shared" si="4"/>
        <v>0.88299768699674785</v>
      </c>
    </row>
    <row r="142" spans="1:17" x14ac:dyDescent="0.25">
      <c r="A142" s="12">
        <f t="shared" si="5"/>
        <v>1</v>
      </c>
      <c r="B142" s="12">
        <v>2021</v>
      </c>
      <c r="C142" s="12">
        <v>6421</v>
      </c>
      <c r="D142" s="12">
        <v>19238086</v>
      </c>
      <c r="E142" s="12" t="s">
        <v>13</v>
      </c>
      <c r="F142" s="12" t="s">
        <v>14</v>
      </c>
      <c r="I142" s="14">
        <v>44215</v>
      </c>
      <c r="J142" s="12" t="s">
        <v>17</v>
      </c>
      <c r="K142" s="12" t="s">
        <v>19</v>
      </c>
      <c r="L142" s="12" t="s">
        <v>22</v>
      </c>
      <c r="M142" s="12">
        <v>229.98699999999999</v>
      </c>
      <c r="N142" s="12">
        <v>194.62799999999999</v>
      </c>
      <c r="Q142" s="13">
        <f t="shared" si="4"/>
        <v>0.84625652754286107</v>
      </c>
    </row>
    <row r="143" spans="1:17" x14ac:dyDescent="0.25">
      <c r="A143" s="12">
        <f t="shared" si="5"/>
        <v>1</v>
      </c>
      <c r="B143" s="12">
        <v>2021</v>
      </c>
      <c r="C143" s="12">
        <v>6422</v>
      </c>
      <c r="D143" s="12">
        <v>19238094</v>
      </c>
      <c r="E143" s="12" t="s">
        <v>13</v>
      </c>
      <c r="F143" s="12" t="s">
        <v>14</v>
      </c>
      <c r="I143" s="14">
        <v>44216</v>
      </c>
      <c r="J143" s="12" t="s">
        <v>17</v>
      </c>
      <c r="K143" s="12" t="s">
        <v>19</v>
      </c>
      <c r="L143" s="12" t="s">
        <v>35</v>
      </c>
      <c r="M143" s="12">
        <v>230.006</v>
      </c>
      <c r="N143" s="12">
        <v>196.76400000000001</v>
      </c>
      <c r="Q143" s="13">
        <f t="shared" si="4"/>
        <v>0.85547333547820492</v>
      </c>
    </row>
    <row r="144" spans="1:17" x14ac:dyDescent="0.25">
      <c r="A144" s="12">
        <f t="shared" si="5"/>
        <v>1</v>
      </c>
      <c r="B144" s="12">
        <v>2021</v>
      </c>
      <c r="C144" s="12">
        <v>6423</v>
      </c>
      <c r="D144" s="12">
        <v>19242667</v>
      </c>
      <c r="E144" s="12" t="s">
        <v>13</v>
      </c>
      <c r="F144" s="12" t="s">
        <v>14</v>
      </c>
      <c r="I144" s="14">
        <v>44217</v>
      </c>
      <c r="J144" s="12" t="s">
        <v>17</v>
      </c>
      <c r="K144" s="12" t="s">
        <v>19</v>
      </c>
      <c r="L144" s="12" t="s">
        <v>35</v>
      </c>
      <c r="M144" s="12">
        <v>230.005</v>
      </c>
      <c r="N144" s="12">
        <v>192.816</v>
      </c>
      <c r="P144" s="12">
        <v>11.8</v>
      </c>
      <c r="Q144" s="13">
        <f t="shared" si="4"/>
        <v>0.83831221060411731</v>
      </c>
    </row>
    <row r="145" spans="1:17" x14ac:dyDescent="0.25">
      <c r="A145" s="12">
        <f t="shared" si="5"/>
        <v>1</v>
      </c>
      <c r="B145" s="12">
        <v>2021</v>
      </c>
      <c r="C145" s="12">
        <v>6424</v>
      </c>
      <c r="D145" s="12">
        <v>19246617</v>
      </c>
      <c r="E145" s="12" t="s">
        <v>13</v>
      </c>
      <c r="F145" s="12" t="s">
        <v>14</v>
      </c>
      <c r="I145" s="14">
        <v>44218</v>
      </c>
      <c r="J145" s="12" t="s">
        <v>17</v>
      </c>
      <c r="K145" s="12" t="s">
        <v>19</v>
      </c>
      <c r="L145" s="12" t="s">
        <v>22</v>
      </c>
      <c r="M145" s="12">
        <v>229.98699999999999</v>
      </c>
      <c r="N145" s="12">
        <v>189.589</v>
      </c>
      <c r="Q145" s="13">
        <f t="shared" si="4"/>
        <v>0.82434659350311101</v>
      </c>
    </row>
    <row r="146" spans="1:17" x14ac:dyDescent="0.25">
      <c r="A146" s="12">
        <f t="shared" si="5"/>
        <v>1</v>
      </c>
      <c r="B146" s="12">
        <v>2021</v>
      </c>
      <c r="C146" s="12">
        <v>6425</v>
      </c>
      <c r="D146" s="12">
        <v>19251934</v>
      </c>
      <c r="E146" s="12" t="s">
        <v>13</v>
      </c>
      <c r="F146" s="12" t="s">
        <v>14</v>
      </c>
      <c r="I146" s="14">
        <v>44219</v>
      </c>
      <c r="J146" s="12" t="s">
        <v>17</v>
      </c>
      <c r="K146" s="12" t="s">
        <v>19</v>
      </c>
      <c r="L146" s="12" t="s">
        <v>22</v>
      </c>
      <c r="M146" s="12">
        <v>229.988</v>
      </c>
      <c r="N146" s="12">
        <v>202.14699999999999</v>
      </c>
      <c r="Q146" s="13">
        <f t="shared" si="4"/>
        <v>0.87894585804476755</v>
      </c>
    </row>
    <row r="147" spans="1:17" x14ac:dyDescent="0.25">
      <c r="A147" s="12">
        <f t="shared" si="5"/>
        <v>1</v>
      </c>
      <c r="B147" s="12">
        <v>2021</v>
      </c>
      <c r="C147" s="12">
        <v>6426</v>
      </c>
      <c r="D147" s="12">
        <v>19256524</v>
      </c>
      <c r="E147" s="12" t="s">
        <v>13</v>
      </c>
      <c r="F147" s="12" t="s">
        <v>14</v>
      </c>
      <c r="I147" s="14">
        <v>44220</v>
      </c>
      <c r="J147" s="12" t="s">
        <v>17</v>
      </c>
      <c r="K147" s="12" t="s">
        <v>19</v>
      </c>
      <c r="L147" s="12" t="s">
        <v>25</v>
      </c>
      <c r="M147" s="12">
        <v>230</v>
      </c>
      <c r="N147" s="12">
        <v>191.01599999999999</v>
      </c>
      <c r="Q147" s="13">
        <f t="shared" si="4"/>
        <v>0.83050434782608695</v>
      </c>
    </row>
    <row r="148" spans="1:17" x14ac:dyDescent="0.25">
      <c r="A148" s="12">
        <f t="shared" si="5"/>
        <v>1</v>
      </c>
      <c r="B148" s="12">
        <v>2021</v>
      </c>
      <c r="C148" s="12">
        <v>6427</v>
      </c>
      <c r="D148" s="12">
        <v>19259565</v>
      </c>
      <c r="E148" s="12" t="s">
        <v>13</v>
      </c>
      <c r="F148" s="12" t="s">
        <v>14</v>
      </c>
      <c r="I148" s="14">
        <v>44221</v>
      </c>
      <c r="J148" s="12" t="s">
        <v>17</v>
      </c>
      <c r="K148" s="12" t="s">
        <v>19</v>
      </c>
      <c r="L148" s="12" t="s">
        <v>25</v>
      </c>
      <c r="M148" s="12">
        <v>230.001</v>
      </c>
      <c r="N148" s="12">
        <v>200.535</v>
      </c>
      <c r="Q148" s="13">
        <f t="shared" si="4"/>
        <v>0.87188751353254978</v>
      </c>
    </row>
    <row r="149" spans="1:17" x14ac:dyDescent="0.25">
      <c r="A149" s="12">
        <f t="shared" si="5"/>
        <v>1</v>
      </c>
      <c r="B149" s="12">
        <v>2021</v>
      </c>
      <c r="C149" s="12">
        <v>6428</v>
      </c>
      <c r="D149" s="12">
        <v>19259776</v>
      </c>
      <c r="E149" s="12" t="s">
        <v>13</v>
      </c>
      <c r="F149" s="12" t="s">
        <v>14</v>
      </c>
      <c r="I149" s="14">
        <v>44222</v>
      </c>
      <c r="J149" s="12" t="s">
        <v>17</v>
      </c>
      <c r="K149" s="12" t="s">
        <v>19</v>
      </c>
      <c r="L149" s="12" t="s">
        <v>25</v>
      </c>
      <c r="M149" s="12">
        <v>230.047</v>
      </c>
      <c r="N149" s="12">
        <v>192.52500000000001</v>
      </c>
      <c r="P149" s="12">
        <v>11.7</v>
      </c>
      <c r="Q149" s="13">
        <f t="shared" si="4"/>
        <v>0.83689419988089397</v>
      </c>
    </row>
    <row r="150" spans="1:17" x14ac:dyDescent="0.25">
      <c r="A150" s="12">
        <f t="shared" si="5"/>
        <v>1</v>
      </c>
      <c r="B150" s="12">
        <v>2021</v>
      </c>
      <c r="C150" s="12">
        <v>6429</v>
      </c>
      <c r="D150" s="12">
        <v>19261243</v>
      </c>
      <c r="E150" s="12" t="s">
        <v>13</v>
      </c>
      <c r="F150" s="12" t="s">
        <v>14</v>
      </c>
      <c r="I150" s="14">
        <v>44223</v>
      </c>
      <c r="J150" s="12" t="s">
        <v>17</v>
      </c>
      <c r="K150" s="12" t="s">
        <v>19</v>
      </c>
      <c r="L150" s="12" t="s">
        <v>25</v>
      </c>
      <c r="M150" s="12">
        <v>230.006</v>
      </c>
      <c r="N150" s="12">
        <v>191.423</v>
      </c>
      <c r="Q150" s="13">
        <f t="shared" si="4"/>
        <v>0.83225220211646656</v>
      </c>
    </row>
    <row r="151" spans="1:17" x14ac:dyDescent="0.25">
      <c r="A151" s="12">
        <f t="shared" si="5"/>
        <v>1</v>
      </c>
      <c r="B151" s="12">
        <v>2021</v>
      </c>
      <c r="C151" s="12">
        <v>6430</v>
      </c>
      <c r="D151" s="12">
        <v>19266247</v>
      </c>
      <c r="E151" s="12" t="s">
        <v>13</v>
      </c>
      <c r="F151" s="12" t="s">
        <v>14</v>
      </c>
      <c r="I151" s="14">
        <v>44224</v>
      </c>
      <c r="J151" s="12" t="s">
        <v>17</v>
      </c>
      <c r="K151" s="12" t="s">
        <v>19</v>
      </c>
      <c r="L151" s="12" t="s">
        <v>25</v>
      </c>
      <c r="M151" s="12">
        <v>230.006</v>
      </c>
      <c r="N151" s="12">
        <v>195.40600000000001</v>
      </c>
      <c r="Q151" s="13">
        <f t="shared" si="4"/>
        <v>0.84956914167456499</v>
      </c>
    </row>
    <row r="152" spans="1:17" x14ac:dyDescent="0.25">
      <c r="A152" s="12">
        <f t="shared" si="5"/>
        <v>1</v>
      </c>
      <c r="B152" s="12">
        <v>2021</v>
      </c>
      <c r="C152" s="12">
        <v>6431</v>
      </c>
      <c r="D152" s="12">
        <v>19270529</v>
      </c>
      <c r="E152" s="12" t="s">
        <v>13</v>
      </c>
      <c r="F152" s="12" t="s">
        <v>14</v>
      </c>
      <c r="I152" s="14">
        <v>44225</v>
      </c>
      <c r="J152" s="12" t="s">
        <v>17</v>
      </c>
      <c r="K152" s="12" t="s">
        <v>19</v>
      </c>
      <c r="L152" s="12" t="s">
        <v>35</v>
      </c>
      <c r="M152" s="12">
        <v>230.006</v>
      </c>
      <c r="N152" s="12">
        <v>195.506</v>
      </c>
      <c r="Q152" s="13">
        <f t="shared" si="4"/>
        <v>0.85000391294140154</v>
      </c>
    </row>
    <row r="153" spans="1:17" x14ac:dyDescent="0.25">
      <c r="A153" s="12">
        <f t="shared" si="5"/>
        <v>1</v>
      </c>
      <c r="B153" s="12">
        <v>2021</v>
      </c>
      <c r="C153" s="12">
        <v>6432</v>
      </c>
      <c r="D153" s="12">
        <v>19274811</v>
      </c>
      <c r="E153" s="12" t="s">
        <v>13</v>
      </c>
      <c r="F153" s="12" t="s">
        <v>14</v>
      </c>
      <c r="I153" s="14">
        <v>44226</v>
      </c>
      <c r="J153" s="12" t="s">
        <v>17</v>
      </c>
      <c r="K153" s="12" t="s">
        <v>19</v>
      </c>
      <c r="L153" s="12" t="s">
        <v>35</v>
      </c>
      <c r="M153" s="12">
        <v>230.006</v>
      </c>
      <c r="N153" s="12">
        <v>195</v>
      </c>
      <c r="Q153" s="13">
        <f t="shared" si="4"/>
        <v>0.8478039703312088</v>
      </c>
    </row>
    <row r="154" spans="1:17" x14ac:dyDescent="0.25">
      <c r="A154" s="12">
        <f t="shared" si="5"/>
        <v>1</v>
      </c>
      <c r="B154" s="12">
        <v>2021</v>
      </c>
      <c r="C154" s="12">
        <v>6433</v>
      </c>
      <c r="D154" s="12">
        <v>19278985</v>
      </c>
      <c r="E154" s="12" t="s">
        <v>13</v>
      </c>
      <c r="F154" s="12" t="s">
        <v>14</v>
      </c>
      <c r="I154" s="14">
        <v>44227</v>
      </c>
      <c r="J154" s="12" t="s">
        <v>18</v>
      </c>
      <c r="K154" s="12" t="s">
        <v>19</v>
      </c>
      <c r="L154" s="12" t="s">
        <v>22</v>
      </c>
      <c r="M154" s="12">
        <v>229.99700000000001</v>
      </c>
      <c r="N154" s="12">
        <v>195</v>
      </c>
      <c r="P154" s="12">
        <v>12.3</v>
      </c>
      <c r="Q154" s="13">
        <f t="shared" si="4"/>
        <v>0.84783714570190039</v>
      </c>
    </row>
    <row r="155" spans="1:17" x14ac:dyDescent="0.25">
      <c r="A155" s="12">
        <f t="shared" si="5"/>
        <v>2</v>
      </c>
      <c r="B155" s="12">
        <v>2021</v>
      </c>
      <c r="C155" s="12">
        <v>6434</v>
      </c>
      <c r="D155" s="12">
        <v>19281666</v>
      </c>
      <c r="E155" s="12" t="s">
        <v>13</v>
      </c>
      <c r="F155" s="12" t="s">
        <v>14</v>
      </c>
      <c r="I155" s="14">
        <v>44228</v>
      </c>
      <c r="J155" s="12" t="s">
        <v>17</v>
      </c>
      <c r="K155" s="12" t="s">
        <v>19</v>
      </c>
      <c r="L155" s="12" t="s">
        <v>22</v>
      </c>
      <c r="M155" s="12">
        <v>230.005</v>
      </c>
      <c r="N155" s="12">
        <v>189.922</v>
      </c>
      <c r="Q155" s="13">
        <f t="shared" si="4"/>
        <v>0.82572987543749055</v>
      </c>
    </row>
    <row r="156" spans="1:17" x14ac:dyDescent="0.25">
      <c r="A156" s="12">
        <f t="shared" si="5"/>
        <v>2</v>
      </c>
      <c r="B156" s="12">
        <v>2021</v>
      </c>
      <c r="C156" s="12">
        <v>6435</v>
      </c>
      <c r="D156" s="12">
        <v>19281674</v>
      </c>
      <c r="E156" s="12" t="s">
        <v>13</v>
      </c>
      <c r="F156" s="12" t="s">
        <v>14</v>
      </c>
      <c r="I156" s="14">
        <v>44229</v>
      </c>
      <c r="J156" s="12" t="s">
        <v>17</v>
      </c>
      <c r="K156" s="12" t="s">
        <v>19</v>
      </c>
      <c r="L156" s="12" t="s">
        <v>22</v>
      </c>
      <c r="M156" s="12">
        <v>230.00399999999999</v>
      </c>
      <c r="N156" s="12">
        <v>191.66200000000001</v>
      </c>
      <c r="Q156" s="13">
        <f t="shared" si="4"/>
        <v>0.83329855132954211</v>
      </c>
    </row>
    <row r="157" spans="1:17" x14ac:dyDescent="0.25">
      <c r="A157" s="12">
        <f t="shared" si="5"/>
        <v>2</v>
      </c>
      <c r="B157" s="12">
        <v>2021</v>
      </c>
      <c r="C157" s="12">
        <v>6436</v>
      </c>
      <c r="D157" s="12">
        <v>19281682</v>
      </c>
      <c r="E157" s="12" t="s">
        <v>13</v>
      </c>
      <c r="F157" s="12" t="s">
        <v>14</v>
      </c>
      <c r="I157" s="14">
        <v>44230</v>
      </c>
      <c r="J157" s="12" t="s">
        <v>17</v>
      </c>
      <c r="K157" s="12" t="s">
        <v>19</v>
      </c>
      <c r="L157" s="12" t="s">
        <v>22</v>
      </c>
      <c r="M157" s="12">
        <v>230.02</v>
      </c>
      <c r="N157" s="12">
        <v>192.02</v>
      </c>
      <c r="Q157" s="13">
        <f t="shared" si="4"/>
        <v>0.83479697417615861</v>
      </c>
    </row>
    <row r="158" spans="1:17" x14ac:dyDescent="0.25">
      <c r="A158" s="12">
        <f t="shared" si="5"/>
        <v>2</v>
      </c>
      <c r="B158" s="12">
        <v>2021</v>
      </c>
      <c r="C158" s="12">
        <v>6437</v>
      </c>
      <c r="D158" s="12">
        <v>19287591</v>
      </c>
      <c r="E158" s="12" t="s">
        <v>13</v>
      </c>
      <c r="F158" s="12" t="s">
        <v>14</v>
      </c>
      <c r="I158" s="14">
        <v>44231</v>
      </c>
      <c r="J158" s="12" t="s">
        <v>17</v>
      </c>
      <c r="K158" s="12" t="s">
        <v>19</v>
      </c>
      <c r="L158" s="12" t="s">
        <v>22</v>
      </c>
      <c r="M158" s="12">
        <v>230.02</v>
      </c>
      <c r="N158" s="12">
        <v>194.52699999999999</v>
      </c>
      <c r="Q158" s="13">
        <f t="shared" si="4"/>
        <v>0.84569602643248398</v>
      </c>
    </row>
    <row r="159" spans="1:17" x14ac:dyDescent="0.25">
      <c r="A159" s="12">
        <f t="shared" si="5"/>
        <v>2</v>
      </c>
      <c r="B159" s="12">
        <v>2021</v>
      </c>
      <c r="C159" s="12">
        <v>6438</v>
      </c>
      <c r="D159" s="12">
        <v>19291311</v>
      </c>
      <c r="E159" s="12" t="s">
        <v>13</v>
      </c>
      <c r="F159" s="12" t="s">
        <v>14</v>
      </c>
      <c r="I159" s="14">
        <v>44232</v>
      </c>
      <c r="J159" s="12" t="s">
        <v>17</v>
      </c>
      <c r="K159" s="12" t="s">
        <v>19</v>
      </c>
      <c r="L159" s="12" t="s">
        <v>22</v>
      </c>
      <c r="M159" s="12">
        <v>230.03200000000001</v>
      </c>
      <c r="N159" s="12">
        <v>193.74600000000001</v>
      </c>
      <c r="P159" s="12">
        <v>11.9</v>
      </c>
      <c r="Q159" s="13">
        <f t="shared" si="4"/>
        <v>0.84225672949850461</v>
      </c>
    </row>
    <row r="160" spans="1:17" x14ac:dyDescent="0.25">
      <c r="A160" s="12">
        <f t="shared" si="5"/>
        <v>2</v>
      </c>
      <c r="B160" s="12">
        <v>2021</v>
      </c>
      <c r="C160" s="12">
        <v>6439</v>
      </c>
      <c r="D160" s="12">
        <v>19295574</v>
      </c>
      <c r="E160" s="12" t="s">
        <v>13</v>
      </c>
      <c r="F160" s="12" t="s">
        <v>14</v>
      </c>
      <c r="I160" s="14">
        <v>44233</v>
      </c>
      <c r="J160" s="12" t="s">
        <v>34</v>
      </c>
      <c r="K160" s="12" t="s">
        <v>19</v>
      </c>
      <c r="L160" s="12" t="s">
        <v>26</v>
      </c>
      <c r="M160" s="12">
        <v>230.00200000000001</v>
      </c>
      <c r="N160" s="12">
        <v>192.34200000000001</v>
      </c>
      <c r="Q160" s="13">
        <f t="shared" si="4"/>
        <v>0.83626229337136204</v>
      </c>
    </row>
    <row r="161" spans="1:17" x14ac:dyDescent="0.25">
      <c r="A161" s="12">
        <f t="shared" si="5"/>
        <v>2</v>
      </c>
      <c r="B161" s="12">
        <v>2021</v>
      </c>
      <c r="C161" s="12">
        <v>6440</v>
      </c>
      <c r="D161" s="12">
        <v>19299971</v>
      </c>
      <c r="E161" s="12" t="s">
        <v>13</v>
      </c>
      <c r="F161" s="12" t="s">
        <v>14</v>
      </c>
      <c r="I161" s="14">
        <v>44234</v>
      </c>
      <c r="J161" s="12" t="s">
        <v>34</v>
      </c>
      <c r="K161" s="12" t="s">
        <v>19</v>
      </c>
      <c r="L161" s="12" t="s">
        <v>26</v>
      </c>
      <c r="M161" s="12">
        <v>230.001</v>
      </c>
      <c r="N161" s="12">
        <v>200.1</v>
      </c>
      <c r="Q161" s="13">
        <f t="shared" si="4"/>
        <v>0.86999621740775035</v>
      </c>
    </row>
    <row r="162" spans="1:17" x14ac:dyDescent="0.25">
      <c r="A162" s="12">
        <f t="shared" si="5"/>
        <v>2</v>
      </c>
      <c r="B162" s="12">
        <v>2021</v>
      </c>
      <c r="C162" s="12">
        <v>6441</v>
      </c>
      <c r="D162" s="12">
        <v>19299997</v>
      </c>
      <c r="E162" s="12" t="s">
        <v>13</v>
      </c>
      <c r="F162" s="12" t="s">
        <v>14</v>
      </c>
      <c r="I162" s="14">
        <v>44235</v>
      </c>
      <c r="J162" s="12" t="s">
        <v>17</v>
      </c>
      <c r="K162" s="12" t="s">
        <v>19</v>
      </c>
      <c r="L162" s="12" t="s">
        <v>22</v>
      </c>
      <c r="M162" s="12">
        <v>230.00200000000001</v>
      </c>
      <c r="N162" s="12">
        <v>194.239</v>
      </c>
      <c r="Q162" s="13">
        <f t="shared" si="4"/>
        <v>0.8445100477387153</v>
      </c>
    </row>
    <row r="163" spans="1:17" x14ac:dyDescent="0.25">
      <c r="A163" s="12">
        <f t="shared" si="5"/>
        <v>2</v>
      </c>
      <c r="B163" s="12">
        <v>2021</v>
      </c>
      <c r="C163" s="12">
        <v>6442</v>
      </c>
      <c r="D163" s="12">
        <v>19300020</v>
      </c>
      <c r="E163" s="12" t="s">
        <v>13</v>
      </c>
      <c r="F163" s="12" t="s">
        <v>14</v>
      </c>
      <c r="I163" s="14">
        <v>44236</v>
      </c>
      <c r="J163" s="12" t="s">
        <v>17</v>
      </c>
      <c r="K163" s="12" t="s">
        <v>19</v>
      </c>
      <c r="L163" s="12" t="s">
        <v>22</v>
      </c>
      <c r="M163" s="12">
        <v>230.001</v>
      </c>
      <c r="N163" s="12">
        <v>202.316</v>
      </c>
      <c r="Q163" s="13">
        <f t="shared" si="4"/>
        <v>0.87963095812626901</v>
      </c>
    </row>
    <row r="164" spans="1:17" x14ac:dyDescent="0.25">
      <c r="A164" s="12">
        <f t="shared" si="5"/>
        <v>2</v>
      </c>
      <c r="B164" s="12">
        <v>2021</v>
      </c>
      <c r="C164" s="12">
        <v>6443</v>
      </c>
      <c r="D164" s="12">
        <v>19304231</v>
      </c>
      <c r="E164" s="12" t="s">
        <v>13</v>
      </c>
      <c r="F164" s="12" t="s">
        <v>14</v>
      </c>
      <c r="I164" s="14">
        <v>44237</v>
      </c>
      <c r="J164" s="12" t="s">
        <v>17</v>
      </c>
      <c r="K164" s="12" t="s">
        <v>19</v>
      </c>
      <c r="L164" s="12" t="s">
        <v>22</v>
      </c>
      <c r="M164" s="12">
        <v>229.99299999999999</v>
      </c>
      <c r="N164" s="12">
        <v>191.166</v>
      </c>
      <c r="Q164" s="13">
        <f t="shared" si="4"/>
        <v>0.83118181857708717</v>
      </c>
    </row>
    <row r="165" spans="1:17" x14ac:dyDescent="0.25">
      <c r="A165" s="12">
        <f t="shared" si="5"/>
        <v>2</v>
      </c>
      <c r="B165" s="12">
        <v>2021</v>
      </c>
      <c r="C165" s="12">
        <v>6444</v>
      </c>
      <c r="D165" s="12">
        <v>19307897</v>
      </c>
      <c r="E165" s="12" t="s">
        <v>13</v>
      </c>
      <c r="F165" s="12" t="s">
        <v>14</v>
      </c>
      <c r="I165" s="14">
        <v>44238</v>
      </c>
      <c r="J165" s="12" t="s">
        <v>17</v>
      </c>
      <c r="K165" s="12" t="s">
        <v>19</v>
      </c>
      <c r="L165" s="12" t="s">
        <v>22</v>
      </c>
      <c r="M165" s="12">
        <v>229.994</v>
      </c>
      <c r="N165" s="12">
        <v>204.50299999999999</v>
      </c>
      <c r="Q165" s="13">
        <f t="shared" si="4"/>
        <v>0.88916667391323245</v>
      </c>
    </row>
    <row r="166" spans="1:17" x14ac:dyDescent="0.25">
      <c r="A166" s="12">
        <f t="shared" si="5"/>
        <v>2</v>
      </c>
      <c r="B166" s="12">
        <v>2021</v>
      </c>
      <c r="C166" s="12">
        <v>6445</v>
      </c>
      <c r="D166" s="12">
        <v>19312338</v>
      </c>
      <c r="E166" s="12" t="s">
        <v>13</v>
      </c>
      <c r="F166" s="12" t="s">
        <v>14</v>
      </c>
      <c r="I166" s="14">
        <v>44239</v>
      </c>
      <c r="J166" s="12" t="s">
        <v>17</v>
      </c>
      <c r="K166" s="12" t="s">
        <v>19</v>
      </c>
      <c r="L166" s="12" t="s">
        <v>22</v>
      </c>
      <c r="M166" s="12">
        <v>230.03100000000001</v>
      </c>
      <c r="N166" s="12">
        <v>198.80600000000001</v>
      </c>
      <c r="P166" s="12">
        <v>12</v>
      </c>
      <c r="Q166" s="13">
        <f t="shared" si="4"/>
        <v>0.86425742617299406</v>
      </c>
    </row>
    <row r="167" spans="1:17" x14ac:dyDescent="0.25">
      <c r="A167" s="12">
        <f t="shared" si="5"/>
        <v>2</v>
      </c>
      <c r="B167" s="12">
        <v>2021</v>
      </c>
      <c r="C167" s="12">
        <v>6446</v>
      </c>
      <c r="D167" s="12">
        <v>19316443</v>
      </c>
      <c r="E167" s="12" t="s">
        <v>13</v>
      </c>
      <c r="F167" s="12" t="s">
        <v>14</v>
      </c>
      <c r="I167" s="14">
        <v>44240</v>
      </c>
      <c r="J167" s="12" t="s">
        <v>36</v>
      </c>
      <c r="K167" s="12" t="s">
        <v>19</v>
      </c>
      <c r="L167" s="12" t="s">
        <v>22</v>
      </c>
      <c r="M167" s="12">
        <v>229.95699999999999</v>
      </c>
      <c r="N167" s="12">
        <v>184.6</v>
      </c>
      <c r="Q167" s="13">
        <f t="shared" si="4"/>
        <v>0.80275877664085027</v>
      </c>
    </row>
    <row r="168" spans="1:17" x14ac:dyDescent="0.25">
      <c r="A168" s="12">
        <f t="shared" si="5"/>
        <v>2</v>
      </c>
      <c r="B168" s="12">
        <v>2021</v>
      </c>
      <c r="C168" s="12">
        <v>6447</v>
      </c>
      <c r="D168" s="12">
        <v>19320207</v>
      </c>
      <c r="E168" s="12" t="s">
        <v>13</v>
      </c>
      <c r="F168" s="12" t="s">
        <v>14</v>
      </c>
      <c r="I168" s="14">
        <v>44241</v>
      </c>
      <c r="J168" s="12" t="s">
        <v>36</v>
      </c>
      <c r="K168" s="12" t="s">
        <v>19</v>
      </c>
      <c r="L168" s="12" t="s">
        <v>22</v>
      </c>
      <c r="M168" s="12">
        <v>229.95699999999999</v>
      </c>
      <c r="N168" s="12">
        <v>201.089</v>
      </c>
      <c r="Q168" s="13">
        <f t="shared" si="4"/>
        <v>0.87446348665185236</v>
      </c>
    </row>
    <row r="169" spans="1:17" x14ac:dyDescent="0.25">
      <c r="A169" s="12">
        <f t="shared" si="5"/>
        <v>2</v>
      </c>
      <c r="B169" s="12">
        <v>2021</v>
      </c>
      <c r="C169" s="12">
        <v>6448</v>
      </c>
      <c r="D169" s="12">
        <v>19323467</v>
      </c>
      <c r="E169" s="12" t="s">
        <v>13</v>
      </c>
      <c r="F169" s="12" t="s">
        <v>14</v>
      </c>
      <c r="I169" s="14">
        <v>44242</v>
      </c>
      <c r="J169" s="12" t="s">
        <v>17</v>
      </c>
      <c r="K169" s="12" t="s">
        <v>19</v>
      </c>
      <c r="L169" s="12" t="s">
        <v>22</v>
      </c>
      <c r="M169" s="12">
        <v>230</v>
      </c>
      <c r="N169" s="12">
        <v>192.899</v>
      </c>
      <c r="Q169" s="13">
        <f t="shared" si="4"/>
        <v>0.83869130434782613</v>
      </c>
    </row>
    <row r="170" spans="1:17" x14ac:dyDescent="0.25">
      <c r="A170" s="12">
        <f t="shared" si="5"/>
        <v>2</v>
      </c>
      <c r="B170" s="12">
        <v>2021</v>
      </c>
      <c r="C170" s="12">
        <v>6449</v>
      </c>
      <c r="D170" s="12">
        <v>19323580</v>
      </c>
      <c r="E170" s="12" t="s">
        <v>13</v>
      </c>
      <c r="F170" s="12" t="s">
        <v>14</v>
      </c>
      <c r="I170" s="14">
        <v>44243</v>
      </c>
      <c r="J170" s="12" t="s">
        <v>17</v>
      </c>
      <c r="K170" s="12" t="s">
        <v>19</v>
      </c>
      <c r="L170" s="12" t="s">
        <v>22</v>
      </c>
      <c r="M170" s="12">
        <v>229.999</v>
      </c>
      <c r="N170" s="12">
        <v>196.04400000000001</v>
      </c>
      <c r="P170" s="12">
        <v>12.4</v>
      </c>
      <c r="Q170" s="13">
        <f t="shared" si="4"/>
        <v>0.85236892334314507</v>
      </c>
    </row>
    <row r="171" spans="1:17" x14ac:dyDescent="0.25">
      <c r="A171" s="12">
        <f t="shared" si="5"/>
        <v>2</v>
      </c>
      <c r="B171" s="12">
        <v>2021</v>
      </c>
      <c r="C171" s="12">
        <v>6450</v>
      </c>
      <c r="D171" s="12">
        <v>19324953</v>
      </c>
      <c r="E171" s="12" t="s">
        <v>13</v>
      </c>
      <c r="F171" s="12" t="s">
        <v>14</v>
      </c>
      <c r="I171" s="14">
        <v>44244</v>
      </c>
      <c r="J171" s="12" t="s">
        <v>17</v>
      </c>
      <c r="K171" s="12" t="s">
        <v>19</v>
      </c>
      <c r="L171" s="12" t="s">
        <v>22</v>
      </c>
      <c r="M171" s="12">
        <v>229.99100000000001</v>
      </c>
      <c r="N171" s="12">
        <v>190.75700000000001</v>
      </c>
      <c r="Q171" s="13">
        <f t="shared" si="4"/>
        <v>0.82941071607149841</v>
      </c>
    </row>
    <row r="172" spans="1:17" x14ac:dyDescent="0.25">
      <c r="A172" s="12">
        <f t="shared" si="5"/>
        <v>2</v>
      </c>
      <c r="B172" s="12">
        <v>2021</v>
      </c>
      <c r="C172" s="12">
        <v>6451</v>
      </c>
      <c r="D172" s="12">
        <v>19329551</v>
      </c>
      <c r="E172" s="12" t="s">
        <v>13</v>
      </c>
      <c r="F172" s="12" t="s">
        <v>14</v>
      </c>
      <c r="I172" s="14">
        <v>44245</v>
      </c>
      <c r="J172" s="12" t="s">
        <v>17</v>
      </c>
      <c r="K172" s="12" t="s">
        <v>19</v>
      </c>
      <c r="L172" s="12" t="s">
        <v>22</v>
      </c>
      <c r="M172" s="12">
        <v>229.99199999999999</v>
      </c>
      <c r="N172" s="12">
        <v>204.99299999999999</v>
      </c>
      <c r="Q172" s="13">
        <f t="shared" si="4"/>
        <v>0.89130491495356357</v>
      </c>
    </row>
    <row r="173" spans="1:17" x14ac:dyDescent="0.25">
      <c r="A173" s="12">
        <f t="shared" si="5"/>
        <v>2</v>
      </c>
      <c r="B173" s="12">
        <v>2021</v>
      </c>
      <c r="C173" s="12">
        <v>6452</v>
      </c>
      <c r="D173" s="12">
        <v>19333438</v>
      </c>
      <c r="E173" s="12" t="s">
        <v>13</v>
      </c>
      <c r="F173" s="12" t="s">
        <v>14</v>
      </c>
      <c r="I173" s="14">
        <v>44246</v>
      </c>
      <c r="J173" s="12" t="s">
        <v>17</v>
      </c>
      <c r="K173" s="12" t="s">
        <v>19</v>
      </c>
      <c r="L173" s="12" t="s">
        <v>22</v>
      </c>
      <c r="M173" s="12">
        <v>230.00399999999999</v>
      </c>
      <c r="N173" s="12">
        <v>194.23099999999999</v>
      </c>
      <c r="P173" s="12">
        <v>12.7</v>
      </c>
      <c r="Q173" s="13">
        <f t="shared" si="4"/>
        <v>0.84446792229700351</v>
      </c>
    </row>
    <row r="174" spans="1:17" x14ac:dyDescent="0.25">
      <c r="A174" s="12">
        <f t="shared" si="5"/>
        <v>2</v>
      </c>
      <c r="B174" s="12">
        <v>2021</v>
      </c>
      <c r="C174" s="12">
        <v>6453</v>
      </c>
      <c r="D174" s="12">
        <v>19337877</v>
      </c>
      <c r="E174" s="12" t="s">
        <v>13</v>
      </c>
      <c r="F174" s="12" t="s">
        <v>14</v>
      </c>
      <c r="I174" s="14">
        <v>44247</v>
      </c>
      <c r="J174" s="12" t="s">
        <v>17</v>
      </c>
      <c r="K174" s="12" t="s">
        <v>19</v>
      </c>
      <c r="L174" s="12" t="s">
        <v>35</v>
      </c>
      <c r="M174" s="12">
        <v>230.001</v>
      </c>
      <c r="N174" s="12">
        <v>200.33600000000001</v>
      </c>
      <c r="Q174" s="13">
        <f t="shared" si="4"/>
        <v>0.87102229990304392</v>
      </c>
    </row>
    <row r="175" spans="1:17" x14ac:dyDescent="0.25">
      <c r="A175" s="12">
        <f t="shared" si="5"/>
        <v>2</v>
      </c>
      <c r="B175" s="12">
        <v>2021</v>
      </c>
      <c r="C175" s="12">
        <v>6454</v>
      </c>
      <c r="D175" s="12">
        <v>19341104</v>
      </c>
      <c r="E175" s="12" t="s">
        <v>13</v>
      </c>
      <c r="F175" s="12" t="s">
        <v>14</v>
      </c>
      <c r="I175" s="14">
        <v>44248</v>
      </c>
      <c r="J175" s="12" t="s">
        <v>17</v>
      </c>
      <c r="K175" s="12" t="s">
        <v>19</v>
      </c>
      <c r="L175" s="12" t="s">
        <v>35</v>
      </c>
      <c r="M175" s="12">
        <v>230.00200000000001</v>
      </c>
      <c r="N175" s="12">
        <v>192.149</v>
      </c>
      <c r="Q175" s="13">
        <f t="shared" si="4"/>
        <v>0.83542317023330226</v>
      </c>
    </row>
    <row r="176" spans="1:17" x14ac:dyDescent="0.25">
      <c r="A176" s="12">
        <f t="shared" si="5"/>
        <v>2</v>
      </c>
      <c r="B176" s="12">
        <v>2021</v>
      </c>
      <c r="C176" s="12">
        <v>6455</v>
      </c>
      <c r="D176" s="12">
        <v>19344452</v>
      </c>
      <c r="E176" s="12" t="s">
        <v>13</v>
      </c>
      <c r="F176" s="12" t="s">
        <v>14</v>
      </c>
      <c r="I176" s="14">
        <v>44249</v>
      </c>
      <c r="J176" s="12" t="s">
        <v>17</v>
      </c>
      <c r="K176" s="12" t="s">
        <v>19</v>
      </c>
      <c r="L176" s="12" t="s">
        <v>26</v>
      </c>
      <c r="M176" s="12">
        <v>230</v>
      </c>
      <c r="N176" s="12">
        <v>189.751</v>
      </c>
      <c r="Q176" s="13">
        <f t="shared" si="4"/>
        <v>0.825004347826087</v>
      </c>
    </row>
    <row r="177" spans="1:17" x14ac:dyDescent="0.25">
      <c r="A177" s="12">
        <f t="shared" si="5"/>
        <v>2</v>
      </c>
      <c r="B177" s="12">
        <v>2021</v>
      </c>
      <c r="C177" s="12">
        <v>6456</v>
      </c>
      <c r="D177" s="12">
        <v>19344479</v>
      </c>
      <c r="E177" s="12" t="s">
        <v>13</v>
      </c>
      <c r="F177" s="12" t="s">
        <v>14</v>
      </c>
      <c r="I177" s="14">
        <v>44250</v>
      </c>
      <c r="J177" s="12" t="s">
        <v>17</v>
      </c>
      <c r="K177" s="12" t="s">
        <v>19</v>
      </c>
      <c r="L177" s="12" t="s">
        <v>26</v>
      </c>
      <c r="M177" s="12">
        <v>230</v>
      </c>
      <c r="N177" s="12">
        <v>201.94200000000001</v>
      </c>
      <c r="Q177" s="13">
        <f t="shared" si="4"/>
        <v>0.87800869565217399</v>
      </c>
    </row>
    <row r="178" spans="1:17" x14ac:dyDescent="0.25">
      <c r="A178" s="12">
        <f t="shared" si="5"/>
        <v>2</v>
      </c>
      <c r="B178" s="12">
        <v>2021</v>
      </c>
      <c r="C178" s="12">
        <v>6457</v>
      </c>
      <c r="D178" s="12">
        <v>19345164</v>
      </c>
      <c r="E178" s="12" t="s">
        <v>13</v>
      </c>
      <c r="F178" s="12" t="s">
        <v>14</v>
      </c>
      <c r="I178" s="14">
        <v>44251</v>
      </c>
      <c r="J178" s="12" t="s">
        <v>17</v>
      </c>
      <c r="K178" s="12" t="s">
        <v>19</v>
      </c>
      <c r="L178" s="12" t="s">
        <v>22</v>
      </c>
      <c r="M178" s="12">
        <v>230.001</v>
      </c>
      <c r="N178" s="12">
        <v>191.881</v>
      </c>
      <c r="Q178" s="13">
        <f t="shared" si="4"/>
        <v>0.8342615901669993</v>
      </c>
    </row>
    <row r="179" spans="1:17" x14ac:dyDescent="0.25">
      <c r="A179" s="12">
        <f t="shared" si="5"/>
        <v>2</v>
      </c>
      <c r="B179" s="12">
        <v>2021</v>
      </c>
      <c r="C179" s="12">
        <v>6458</v>
      </c>
      <c r="D179" s="12">
        <v>19348672</v>
      </c>
      <c r="E179" s="12" t="s">
        <v>13</v>
      </c>
      <c r="F179" s="12" t="s">
        <v>14</v>
      </c>
      <c r="I179" s="14">
        <v>44252</v>
      </c>
      <c r="J179" s="12" t="s">
        <v>17</v>
      </c>
      <c r="K179" s="12" t="s">
        <v>19</v>
      </c>
      <c r="L179" s="12" t="s">
        <v>22</v>
      </c>
      <c r="M179" s="12">
        <v>230.00200000000001</v>
      </c>
      <c r="N179" s="12">
        <v>196.851</v>
      </c>
      <c r="Q179" s="13">
        <f t="shared" si="4"/>
        <v>0.85586647072634148</v>
      </c>
    </row>
    <row r="180" spans="1:17" x14ac:dyDescent="0.25">
      <c r="A180" s="12">
        <f t="shared" si="5"/>
        <v>2</v>
      </c>
      <c r="B180" s="12">
        <v>2021</v>
      </c>
      <c r="C180" s="12">
        <v>6459</v>
      </c>
      <c r="D180" s="12">
        <v>19352920</v>
      </c>
      <c r="E180" s="12" t="s">
        <v>13</v>
      </c>
      <c r="F180" s="12" t="s">
        <v>14</v>
      </c>
      <c r="I180" s="14">
        <v>44253</v>
      </c>
      <c r="J180" s="12" t="s">
        <v>17</v>
      </c>
      <c r="K180" s="12" t="s">
        <v>19</v>
      </c>
      <c r="L180" s="12" t="s">
        <v>22</v>
      </c>
      <c r="M180" s="12">
        <v>230.01499999999999</v>
      </c>
      <c r="N180" s="12">
        <v>197.15</v>
      </c>
      <c r="P180" s="12">
        <v>11.9</v>
      </c>
      <c r="Q180" s="13">
        <f t="shared" si="4"/>
        <v>0.85711801404256249</v>
      </c>
    </row>
    <row r="181" spans="1:17" x14ac:dyDescent="0.25">
      <c r="A181" s="12">
        <f t="shared" si="5"/>
        <v>2</v>
      </c>
      <c r="B181" s="12">
        <v>2021</v>
      </c>
      <c r="C181" s="12">
        <v>6460</v>
      </c>
      <c r="D181" s="12">
        <v>19356808</v>
      </c>
      <c r="E181" s="12" t="s">
        <v>13</v>
      </c>
      <c r="F181" s="12" t="s">
        <v>14</v>
      </c>
      <c r="I181" s="14">
        <v>44254</v>
      </c>
      <c r="J181" s="12" t="s">
        <v>17</v>
      </c>
      <c r="K181" s="12" t="s">
        <v>19</v>
      </c>
      <c r="L181" s="12" t="s">
        <v>22</v>
      </c>
      <c r="M181" s="12">
        <v>219.989</v>
      </c>
      <c r="N181" s="12">
        <v>195</v>
      </c>
      <c r="Q181" s="13">
        <f t="shared" si="4"/>
        <v>0.88640795676147444</v>
      </c>
    </row>
    <row r="182" spans="1:17" x14ac:dyDescent="0.25">
      <c r="A182" s="12">
        <f t="shared" si="5"/>
        <v>2</v>
      </c>
      <c r="B182" s="12">
        <v>2021</v>
      </c>
      <c r="C182" s="12">
        <v>6461</v>
      </c>
      <c r="D182" s="12">
        <v>19361130</v>
      </c>
      <c r="E182" s="12" t="s">
        <v>13</v>
      </c>
      <c r="F182" s="12" t="s">
        <v>14</v>
      </c>
      <c r="I182" s="14">
        <v>44255</v>
      </c>
      <c r="J182" s="12" t="s">
        <v>17</v>
      </c>
      <c r="K182" s="12" t="s">
        <v>19</v>
      </c>
      <c r="L182" s="12" t="s">
        <v>22</v>
      </c>
      <c r="M182" s="12">
        <v>219.989</v>
      </c>
      <c r="N182" s="12">
        <v>195</v>
      </c>
      <c r="Q182" s="13">
        <f t="shared" si="4"/>
        <v>0.88640795676147444</v>
      </c>
    </row>
    <row r="183" spans="1:17" x14ac:dyDescent="0.25">
      <c r="A183" s="12">
        <f t="shared" si="5"/>
        <v>3</v>
      </c>
      <c r="B183" s="12">
        <v>2021</v>
      </c>
      <c r="C183" s="12">
        <v>6462</v>
      </c>
      <c r="D183" s="12">
        <v>19364373</v>
      </c>
      <c r="E183" s="12" t="s">
        <v>13</v>
      </c>
      <c r="F183" s="12" t="s">
        <v>14</v>
      </c>
      <c r="I183" s="14">
        <v>44256</v>
      </c>
      <c r="J183" s="12" t="s">
        <v>18</v>
      </c>
      <c r="K183" s="12" t="s">
        <v>20</v>
      </c>
      <c r="L183" s="12" t="s">
        <v>30</v>
      </c>
      <c r="M183" s="12">
        <v>234.5</v>
      </c>
      <c r="N183" s="12">
        <v>202.90600000000001</v>
      </c>
      <c r="Q183" s="13">
        <f t="shared" si="4"/>
        <v>0.86527078891258002</v>
      </c>
    </row>
    <row r="184" spans="1:17" x14ac:dyDescent="0.25">
      <c r="A184" s="12">
        <f t="shared" si="5"/>
        <v>3</v>
      </c>
      <c r="B184" s="12">
        <v>2021</v>
      </c>
      <c r="C184" s="12">
        <v>6463</v>
      </c>
      <c r="D184" s="12">
        <v>19364891</v>
      </c>
      <c r="E184" s="12" t="s">
        <v>13</v>
      </c>
      <c r="F184" s="12" t="s">
        <v>14</v>
      </c>
      <c r="I184" s="14">
        <v>44257</v>
      </c>
      <c r="J184" s="12" t="s">
        <v>18</v>
      </c>
      <c r="K184" s="12" t="s">
        <v>20</v>
      </c>
      <c r="L184" s="12" t="s">
        <v>30</v>
      </c>
      <c r="M184" s="12">
        <v>234.5</v>
      </c>
      <c r="N184" s="12">
        <v>203.09</v>
      </c>
      <c r="Q184" s="13">
        <f t="shared" si="4"/>
        <v>0.86605543710021327</v>
      </c>
    </row>
    <row r="185" spans="1:17" x14ac:dyDescent="0.25">
      <c r="A185" s="12">
        <f t="shared" si="5"/>
        <v>3</v>
      </c>
      <c r="B185" s="12">
        <v>2021</v>
      </c>
      <c r="C185" s="12">
        <v>6464</v>
      </c>
      <c r="D185" s="12">
        <v>19366096</v>
      </c>
      <c r="E185" s="12" t="s">
        <v>13</v>
      </c>
      <c r="F185" s="12" t="s">
        <v>14</v>
      </c>
      <c r="I185" s="14">
        <v>44258</v>
      </c>
      <c r="J185" s="12" t="s">
        <v>37</v>
      </c>
      <c r="K185" s="12" t="s">
        <v>19</v>
      </c>
      <c r="L185" s="12" t="s">
        <v>22</v>
      </c>
      <c r="M185" s="12">
        <v>229.965</v>
      </c>
      <c r="N185" s="12">
        <v>194.065</v>
      </c>
      <c r="P185" s="12">
        <v>11</v>
      </c>
      <c r="Q185" s="13">
        <f t="shared" si="4"/>
        <v>0.84388928750027181</v>
      </c>
    </row>
    <row r="186" spans="1:17" x14ac:dyDescent="0.25">
      <c r="A186" s="12">
        <f t="shared" si="5"/>
        <v>3</v>
      </c>
      <c r="B186" s="12">
        <v>2021</v>
      </c>
      <c r="C186" s="12">
        <v>6465</v>
      </c>
      <c r="D186" s="12">
        <v>19369748</v>
      </c>
      <c r="E186" s="12" t="s">
        <v>13</v>
      </c>
      <c r="F186" s="12" t="s">
        <v>14</v>
      </c>
      <c r="I186" s="14">
        <v>44259</v>
      </c>
      <c r="J186" s="12" t="s">
        <v>37</v>
      </c>
      <c r="K186" s="12" t="s">
        <v>19</v>
      </c>
      <c r="L186" s="12" t="s">
        <v>22</v>
      </c>
      <c r="M186" s="12">
        <v>229.99700000000001</v>
      </c>
      <c r="N186" s="12">
        <v>194.59399999999999</v>
      </c>
      <c r="Q186" s="13">
        <f t="shared" si="4"/>
        <v>0.84607190528572107</v>
      </c>
    </row>
    <row r="187" spans="1:17" x14ac:dyDescent="0.25">
      <c r="A187" s="12">
        <f t="shared" si="5"/>
        <v>3</v>
      </c>
      <c r="B187" s="12">
        <v>2021</v>
      </c>
      <c r="C187" s="12">
        <v>6466</v>
      </c>
      <c r="D187" s="12">
        <v>19373309</v>
      </c>
      <c r="E187" s="12" t="s">
        <v>13</v>
      </c>
      <c r="F187" s="12" t="s">
        <v>14</v>
      </c>
      <c r="I187" s="14">
        <v>44260</v>
      </c>
      <c r="J187" s="12" t="s">
        <v>37</v>
      </c>
      <c r="K187" s="12" t="s">
        <v>19</v>
      </c>
      <c r="L187" s="12" t="s">
        <v>22</v>
      </c>
      <c r="M187" s="12">
        <v>229.99799999999999</v>
      </c>
      <c r="N187" s="12">
        <v>193.70599999999999</v>
      </c>
      <c r="Q187" s="13">
        <f t="shared" si="4"/>
        <v>0.84220732354194383</v>
      </c>
    </row>
    <row r="188" spans="1:17" x14ac:dyDescent="0.25">
      <c r="A188" s="12">
        <f t="shared" si="5"/>
        <v>3</v>
      </c>
      <c r="B188" s="12">
        <v>2021</v>
      </c>
      <c r="C188" s="12">
        <v>6467</v>
      </c>
      <c r="D188" s="12">
        <v>19376841</v>
      </c>
      <c r="E188" s="12" t="s">
        <v>13</v>
      </c>
      <c r="F188" s="12" t="s">
        <v>14</v>
      </c>
      <c r="I188" s="14">
        <v>44261</v>
      </c>
      <c r="J188" s="12" t="s">
        <v>37</v>
      </c>
      <c r="K188" s="12" t="s">
        <v>19</v>
      </c>
      <c r="L188" s="12" t="s">
        <v>22</v>
      </c>
      <c r="M188" s="12">
        <v>230.01599999999999</v>
      </c>
      <c r="N188" s="12">
        <v>197.27099999999999</v>
      </c>
      <c r="Q188" s="13">
        <f t="shared" si="4"/>
        <v>0.85764033806343909</v>
      </c>
    </row>
    <row r="189" spans="1:17" x14ac:dyDescent="0.25">
      <c r="A189" s="12">
        <f t="shared" si="5"/>
        <v>3</v>
      </c>
      <c r="B189" s="12">
        <v>2021</v>
      </c>
      <c r="C189" s="12">
        <v>6468</v>
      </c>
      <c r="D189" s="12">
        <v>19380736</v>
      </c>
      <c r="E189" s="12" t="s">
        <v>13</v>
      </c>
      <c r="F189" s="12" t="s">
        <v>14</v>
      </c>
      <c r="I189" s="14">
        <v>44262</v>
      </c>
      <c r="J189" s="12" t="s">
        <v>37</v>
      </c>
      <c r="K189" s="12" t="s">
        <v>19</v>
      </c>
      <c r="L189" s="12" t="s">
        <v>22</v>
      </c>
      <c r="M189" s="12">
        <v>230.01599999999999</v>
      </c>
      <c r="N189" s="12">
        <v>197.08600000000001</v>
      </c>
      <c r="Q189" s="13">
        <f t="shared" si="4"/>
        <v>0.85683604618809139</v>
      </c>
    </row>
    <row r="190" spans="1:17" x14ac:dyDescent="0.25">
      <c r="A190" s="12">
        <f t="shared" si="5"/>
        <v>3</v>
      </c>
      <c r="B190" s="12">
        <v>2021</v>
      </c>
      <c r="C190" s="12">
        <v>6469</v>
      </c>
      <c r="D190" s="12">
        <v>19383283</v>
      </c>
      <c r="E190" s="12" t="s">
        <v>13</v>
      </c>
      <c r="F190" s="12" t="s">
        <v>14</v>
      </c>
      <c r="I190" s="14">
        <v>44263</v>
      </c>
      <c r="J190" s="12" t="s">
        <v>37</v>
      </c>
      <c r="K190" s="12" t="s">
        <v>20</v>
      </c>
      <c r="L190" s="12" t="s">
        <v>31</v>
      </c>
      <c r="M190" s="12">
        <v>235.00200000000001</v>
      </c>
      <c r="N190" s="12">
        <v>200.78399999999999</v>
      </c>
      <c r="Q190" s="13">
        <f t="shared" si="4"/>
        <v>0.85439272857252269</v>
      </c>
    </row>
    <row r="191" spans="1:17" x14ac:dyDescent="0.25">
      <c r="A191" s="12">
        <f t="shared" si="5"/>
        <v>3</v>
      </c>
      <c r="B191" s="12">
        <v>2021</v>
      </c>
      <c r="C191" s="12">
        <v>6470</v>
      </c>
      <c r="D191" s="12">
        <v>19383380</v>
      </c>
      <c r="E191" s="12" t="s">
        <v>13</v>
      </c>
      <c r="F191" s="12" t="s">
        <v>14</v>
      </c>
      <c r="I191" s="14">
        <v>44264</v>
      </c>
      <c r="J191" s="12" t="s">
        <v>37</v>
      </c>
      <c r="K191" s="12" t="s">
        <v>20</v>
      </c>
      <c r="L191" s="12" t="s">
        <v>31</v>
      </c>
      <c r="M191" s="12">
        <v>235.00299999999999</v>
      </c>
      <c r="N191" s="12">
        <v>204.12200000000001</v>
      </c>
      <c r="Q191" s="13">
        <f t="shared" si="4"/>
        <v>0.86859316689574184</v>
      </c>
    </row>
    <row r="192" spans="1:17" x14ac:dyDescent="0.25">
      <c r="A192" s="12">
        <f t="shared" si="5"/>
        <v>3</v>
      </c>
      <c r="B192" s="12">
        <v>2021</v>
      </c>
      <c r="C192" s="12">
        <v>6471</v>
      </c>
      <c r="D192" s="12">
        <v>19386450</v>
      </c>
      <c r="E192" s="12" t="s">
        <v>13</v>
      </c>
      <c r="F192" s="12" t="s">
        <v>14</v>
      </c>
      <c r="I192" s="14">
        <v>44265</v>
      </c>
      <c r="J192" s="12" t="s">
        <v>37</v>
      </c>
      <c r="K192" s="12" t="s">
        <v>20</v>
      </c>
      <c r="L192" s="12" t="s">
        <v>29</v>
      </c>
      <c r="M192" s="12">
        <v>229.999</v>
      </c>
      <c r="N192" s="12">
        <v>197.88200000000001</v>
      </c>
      <c r="Q192" s="13">
        <f t="shared" si="4"/>
        <v>0.86036026243592367</v>
      </c>
    </row>
    <row r="193" spans="1:17" x14ac:dyDescent="0.25">
      <c r="A193" s="12">
        <f t="shared" si="5"/>
        <v>3</v>
      </c>
      <c r="B193" s="12">
        <v>2021</v>
      </c>
      <c r="C193" s="12">
        <v>6472</v>
      </c>
      <c r="D193" s="12">
        <v>19391347</v>
      </c>
      <c r="E193" s="12" t="s">
        <v>13</v>
      </c>
      <c r="F193" s="12" t="s">
        <v>14</v>
      </c>
      <c r="I193" s="14">
        <v>44266</v>
      </c>
      <c r="J193" s="12" t="s">
        <v>37</v>
      </c>
      <c r="K193" s="12" t="s">
        <v>20</v>
      </c>
      <c r="L193" s="12" t="s">
        <v>29</v>
      </c>
      <c r="M193" s="12">
        <v>230</v>
      </c>
      <c r="N193" s="12">
        <v>193.06700000000001</v>
      </c>
      <c r="Q193" s="13">
        <f t="shared" si="4"/>
        <v>0.83942173913043483</v>
      </c>
    </row>
    <row r="194" spans="1:17" x14ac:dyDescent="0.25">
      <c r="A194" s="12">
        <f t="shared" si="5"/>
        <v>3</v>
      </c>
      <c r="B194" s="12">
        <v>2021</v>
      </c>
      <c r="C194" s="12">
        <v>6473</v>
      </c>
      <c r="D194" s="12">
        <v>19393852</v>
      </c>
      <c r="E194" s="12" t="s">
        <v>13</v>
      </c>
      <c r="F194" s="12" t="s">
        <v>14</v>
      </c>
      <c r="I194" s="14">
        <v>44267</v>
      </c>
      <c r="J194" s="12" t="s">
        <v>17</v>
      </c>
      <c r="K194" s="12" t="s">
        <v>19</v>
      </c>
      <c r="L194" s="12" t="s">
        <v>25</v>
      </c>
      <c r="M194" s="12">
        <v>230.01400000000001</v>
      </c>
      <c r="N194" s="12">
        <v>193.37299999999999</v>
      </c>
      <c r="P194" s="12">
        <v>12</v>
      </c>
      <c r="Q194" s="13">
        <f t="shared" ref="Q194:Q257" si="6">N194/M194</f>
        <v>0.8407010008086464</v>
      </c>
    </row>
    <row r="195" spans="1:17" x14ac:dyDescent="0.25">
      <c r="A195" s="12">
        <f t="shared" ref="A195:A258" si="7">MONTH(I195)</f>
        <v>3</v>
      </c>
      <c r="B195" s="12">
        <v>2021</v>
      </c>
      <c r="C195" s="12">
        <v>6474</v>
      </c>
      <c r="D195" s="12">
        <v>19396789</v>
      </c>
      <c r="E195" s="12" t="s">
        <v>13</v>
      </c>
      <c r="F195" s="12" t="s">
        <v>14</v>
      </c>
      <c r="I195" s="14">
        <v>44268</v>
      </c>
      <c r="J195" s="12" t="s">
        <v>17</v>
      </c>
      <c r="K195" s="12" t="s">
        <v>19</v>
      </c>
      <c r="L195" s="12" t="s">
        <v>25</v>
      </c>
      <c r="M195" s="12">
        <v>230.00299999999999</v>
      </c>
      <c r="N195" s="12">
        <v>191.05799999999999</v>
      </c>
      <c r="Q195" s="13">
        <f t="shared" si="6"/>
        <v>0.83067612161580506</v>
      </c>
    </row>
    <row r="196" spans="1:17" x14ac:dyDescent="0.25">
      <c r="A196" s="12">
        <f t="shared" si="7"/>
        <v>3</v>
      </c>
      <c r="B196" s="12">
        <v>2021</v>
      </c>
      <c r="C196" s="12">
        <v>6475</v>
      </c>
      <c r="D196" s="12">
        <v>19400848</v>
      </c>
      <c r="E196" s="12" t="s">
        <v>13</v>
      </c>
      <c r="F196" s="12" t="s">
        <v>14</v>
      </c>
      <c r="I196" s="14">
        <v>44269</v>
      </c>
      <c r="J196" s="12" t="s">
        <v>17</v>
      </c>
      <c r="K196" s="12" t="s">
        <v>19</v>
      </c>
      <c r="L196" s="12" t="s">
        <v>25</v>
      </c>
      <c r="M196" s="12">
        <v>230.00200000000001</v>
      </c>
      <c r="N196" s="12">
        <v>191.81299999999999</v>
      </c>
      <c r="Q196" s="13">
        <f t="shared" si="6"/>
        <v>0.83396231337118798</v>
      </c>
    </row>
    <row r="197" spans="1:17" x14ac:dyDescent="0.25">
      <c r="A197" s="12">
        <f t="shared" si="7"/>
        <v>3</v>
      </c>
      <c r="B197" s="12">
        <v>2021</v>
      </c>
      <c r="C197" s="12">
        <v>6476</v>
      </c>
      <c r="D197" s="12">
        <v>19403660</v>
      </c>
      <c r="E197" s="12" t="s">
        <v>13</v>
      </c>
      <c r="F197" s="12" t="s">
        <v>14</v>
      </c>
      <c r="I197" s="14">
        <v>44270</v>
      </c>
      <c r="J197" s="12" t="s">
        <v>17</v>
      </c>
      <c r="K197" s="12" t="s">
        <v>19</v>
      </c>
      <c r="L197" s="12" t="s">
        <v>25</v>
      </c>
      <c r="M197" s="12">
        <v>229.98500000000001</v>
      </c>
      <c r="N197" s="12">
        <v>189.74</v>
      </c>
      <c r="Q197" s="13">
        <f t="shared" si="6"/>
        <v>0.82501032676044084</v>
      </c>
    </row>
    <row r="198" spans="1:17" x14ac:dyDescent="0.25">
      <c r="A198" s="12">
        <f t="shared" si="7"/>
        <v>3</v>
      </c>
      <c r="B198" s="12">
        <v>2021</v>
      </c>
      <c r="C198" s="12">
        <v>6477</v>
      </c>
      <c r="D198" s="12">
        <v>19403686</v>
      </c>
      <c r="E198" s="12" t="s">
        <v>13</v>
      </c>
      <c r="F198" s="12" t="s">
        <v>14</v>
      </c>
      <c r="I198" s="14">
        <v>44271</v>
      </c>
      <c r="J198" s="12" t="s">
        <v>17</v>
      </c>
      <c r="K198" s="12" t="s">
        <v>19</v>
      </c>
      <c r="L198" s="12" t="s">
        <v>25</v>
      </c>
      <c r="M198" s="12">
        <v>229.98500000000001</v>
      </c>
      <c r="N198" s="12">
        <v>196.24799999999999</v>
      </c>
      <c r="Q198" s="13">
        <f t="shared" si="6"/>
        <v>0.85330782442333186</v>
      </c>
    </row>
    <row r="199" spans="1:17" x14ac:dyDescent="0.25">
      <c r="A199" s="12">
        <f t="shared" si="7"/>
        <v>3</v>
      </c>
      <c r="B199" s="12">
        <v>2021</v>
      </c>
      <c r="C199" s="12">
        <v>6478</v>
      </c>
      <c r="D199" s="12">
        <v>19405104</v>
      </c>
      <c r="E199" s="12" t="s">
        <v>13</v>
      </c>
      <c r="F199" s="12" t="s">
        <v>14</v>
      </c>
      <c r="I199" s="14">
        <v>44272</v>
      </c>
      <c r="J199" s="12" t="s">
        <v>34</v>
      </c>
      <c r="K199" s="12" t="s">
        <v>19</v>
      </c>
      <c r="L199" s="12" t="s">
        <v>26</v>
      </c>
      <c r="M199" s="12">
        <v>230.006</v>
      </c>
      <c r="N199" s="12">
        <v>197.52199999999999</v>
      </c>
      <c r="Q199" s="13">
        <f t="shared" si="6"/>
        <v>0.85876890168082565</v>
      </c>
    </row>
    <row r="200" spans="1:17" x14ac:dyDescent="0.25">
      <c r="A200" s="12">
        <f t="shared" si="7"/>
        <v>3</v>
      </c>
      <c r="B200" s="12">
        <v>2021</v>
      </c>
      <c r="C200" s="12">
        <v>6479</v>
      </c>
      <c r="D200" s="12">
        <v>19408073</v>
      </c>
      <c r="E200" s="12" t="s">
        <v>13</v>
      </c>
      <c r="F200" s="12" t="s">
        <v>14</v>
      </c>
      <c r="I200" s="14">
        <v>44273</v>
      </c>
      <c r="J200" s="12" t="s">
        <v>34</v>
      </c>
      <c r="K200" s="12" t="s">
        <v>19</v>
      </c>
      <c r="L200" s="12" t="s">
        <v>26</v>
      </c>
      <c r="M200" s="12">
        <v>230.005</v>
      </c>
      <c r="N200" s="12">
        <v>186.852</v>
      </c>
      <c r="Q200" s="13">
        <f t="shared" si="6"/>
        <v>0.81238233951435845</v>
      </c>
    </row>
    <row r="201" spans="1:17" x14ac:dyDescent="0.25">
      <c r="A201" s="12">
        <f t="shared" si="7"/>
        <v>3</v>
      </c>
      <c r="B201" s="12">
        <v>2021</v>
      </c>
      <c r="C201" s="12">
        <v>6480</v>
      </c>
      <c r="D201" s="12">
        <v>19413112</v>
      </c>
      <c r="E201" s="12" t="s">
        <v>13</v>
      </c>
      <c r="F201" s="12" t="s">
        <v>14</v>
      </c>
      <c r="I201" s="14">
        <v>44274</v>
      </c>
      <c r="J201" s="12" t="s">
        <v>34</v>
      </c>
      <c r="K201" s="12" t="s">
        <v>19</v>
      </c>
      <c r="L201" s="12" t="s">
        <v>22</v>
      </c>
      <c r="M201" s="12">
        <v>220.00200000000001</v>
      </c>
      <c r="N201" s="12">
        <v>183.72499999999999</v>
      </c>
      <c r="Q201" s="13">
        <f t="shared" si="6"/>
        <v>0.83510604449050452</v>
      </c>
    </row>
    <row r="202" spans="1:17" x14ac:dyDescent="0.25">
      <c r="A202" s="12">
        <f t="shared" si="7"/>
        <v>3</v>
      </c>
      <c r="B202" s="12">
        <v>2021</v>
      </c>
      <c r="C202" s="12">
        <v>6481</v>
      </c>
      <c r="D202" s="12">
        <v>19416778</v>
      </c>
      <c r="E202" s="12" t="s">
        <v>13</v>
      </c>
      <c r="F202" s="12" t="s">
        <v>14</v>
      </c>
      <c r="I202" s="14">
        <v>44275</v>
      </c>
      <c r="J202" s="12" t="s">
        <v>34</v>
      </c>
      <c r="K202" s="12" t="s">
        <v>19</v>
      </c>
      <c r="L202" s="12" t="s">
        <v>22</v>
      </c>
      <c r="M202" s="12">
        <v>220.00200000000001</v>
      </c>
      <c r="N202" s="12">
        <v>181.131</v>
      </c>
      <c r="Q202" s="13">
        <f t="shared" si="6"/>
        <v>0.8233152425887037</v>
      </c>
    </row>
    <row r="203" spans="1:17" x14ac:dyDescent="0.25">
      <c r="A203" s="12">
        <f t="shared" si="7"/>
        <v>3</v>
      </c>
      <c r="B203" s="12">
        <v>2021</v>
      </c>
      <c r="C203" s="12">
        <v>6482</v>
      </c>
      <c r="D203" s="12">
        <v>19420742</v>
      </c>
      <c r="E203" s="12" t="s">
        <v>13</v>
      </c>
      <c r="F203" s="12" t="s">
        <v>14</v>
      </c>
      <c r="I203" s="14">
        <v>44276</v>
      </c>
      <c r="J203" s="12" t="s">
        <v>37</v>
      </c>
      <c r="K203" s="12" t="s">
        <v>20</v>
      </c>
      <c r="L203" s="12" t="s">
        <v>29</v>
      </c>
      <c r="M203" s="12">
        <v>230</v>
      </c>
      <c r="N203" s="12">
        <v>189.64699999999999</v>
      </c>
      <c r="Q203" s="13">
        <f t="shared" si="6"/>
        <v>0.82455217391304347</v>
      </c>
    </row>
    <row r="204" spans="1:17" x14ac:dyDescent="0.25">
      <c r="A204" s="12">
        <f t="shared" si="7"/>
        <v>3</v>
      </c>
      <c r="B204" s="12">
        <v>2021</v>
      </c>
      <c r="C204" s="12">
        <v>6483</v>
      </c>
      <c r="D204" s="12">
        <v>19424330</v>
      </c>
      <c r="E204" s="12" t="s">
        <v>13</v>
      </c>
      <c r="F204" s="12" t="s">
        <v>14</v>
      </c>
      <c r="I204" s="14">
        <v>44277</v>
      </c>
      <c r="J204" s="12" t="s">
        <v>37</v>
      </c>
      <c r="K204" s="12" t="s">
        <v>20</v>
      </c>
      <c r="L204" s="12" t="s">
        <v>29</v>
      </c>
      <c r="M204" s="12">
        <v>230.001</v>
      </c>
      <c r="N204" s="12">
        <v>192.59</v>
      </c>
      <c r="Q204" s="13">
        <f t="shared" si="6"/>
        <v>0.83734418546006317</v>
      </c>
    </row>
    <row r="205" spans="1:17" x14ac:dyDescent="0.25">
      <c r="A205" s="12">
        <f t="shared" si="7"/>
        <v>3</v>
      </c>
      <c r="B205" s="12">
        <v>2021</v>
      </c>
      <c r="C205" s="12">
        <v>6484</v>
      </c>
      <c r="D205" s="12">
        <v>19424461</v>
      </c>
      <c r="E205" s="12" t="s">
        <v>13</v>
      </c>
      <c r="F205" s="12" t="s">
        <v>14</v>
      </c>
      <c r="I205" s="14">
        <v>44278</v>
      </c>
      <c r="J205" s="12" t="s">
        <v>17</v>
      </c>
      <c r="K205" s="12" t="s">
        <v>19</v>
      </c>
      <c r="L205" s="12" t="s">
        <v>22</v>
      </c>
      <c r="M205" s="12">
        <v>230.00700000000001</v>
      </c>
      <c r="N205" s="12">
        <v>192.52699999999999</v>
      </c>
      <c r="P205" s="12">
        <v>11.7</v>
      </c>
      <c r="Q205" s="13">
        <f t="shared" si="6"/>
        <v>0.83704843765624515</v>
      </c>
    </row>
    <row r="206" spans="1:17" x14ac:dyDescent="0.25">
      <c r="A206" s="12">
        <f t="shared" si="7"/>
        <v>3</v>
      </c>
      <c r="B206" s="12">
        <v>2021</v>
      </c>
      <c r="C206" s="12">
        <v>6485</v>
      </c>
      <c r="D206" s="12">
        <v>19426159</v>
      </c>
      <c r="E206" s="12" t="s">
        <v>13</v>
      </c>
      <c r="F206" s="12" t="s">
        <v>14</v>
      </c>
      <c r="I206" s="14">
        <v>44279</v>
      </c>
      <c r="J206" s="12" t="s">
        <v>17</v>
      </c>
      <c r="K206" s="12" t="s">
        <v>19</v>
      </c>
      <c r="L206" s="12" t="s">
        <v>22</v>
      </c>
      <c r="M206" s="12">
        <v>230.00399999999999</v>
      </c>
      <c r="N206" s="12">
        <v>191.398</v>
      </c>
      <c r="Q206" s="13">
        <f t="shared" si="6"/>
        <v>0.83215074520443122</v>
      </c>
    </row>
    <row r="207" spans="1:17" x14ac:dyDescent="0.25">
      <c r="A207" s="12">
        <f t="shared" si="7"/>
        <v>3</v>
      </c>
      <c r="B207" s="12">
        <v>2021</v>
      </c>
      <c r="C207" s="12">
        <v>6486</v>
      </c>
      <c r="D207" s="12">
        <v>19429982</v>
      </c>
      <c r="E207" s="12" t="s">
        <v>13</v>
      </c>
      <c r="F207" s="12" t="s">
        <v>14</v>
      </c>
      <c r="I207" s="14">
        <v>44280</v>
      </c>
      <c r="J207" s="12" t="s">
        <v>17</v>
      </c>
      <c r="K207" s="12" t="s">
        <v>19</v>
      </c>
      <c r="L207" s="12" t="s">
        <v>22</v>
      </c>
      <c r="M207" s="12">
        <v>230.005</v>
      </c>
      <c r="N207" s="12">
        <v>191.86</v>
      </c>
      <c r="Q207" s="13">
        <f t="shared" si="6"/>
        <v>0.83415577922219086</v>
      </c>
    </row>
    <row r="208" spans="1:17" x14ac:dyDescent="0.25">
      <c r="A208" s="12">
        <f t="shared" si="7"/>
        <v>3</v>
      </c>
      <c r="B208" s="12">
        <v>2021</v>
      </c>
      <c r="C208" s="12">
        <v>6487</v>
      </c>
      <c r="D208" s="12">
        <v>19435346</v>
      </c>
      <c r="E208" s="12" t="s">
        <v>13</v>
      </c>
      <c r="F208" s="12" t="s">
        <v>14</v>
      </c>
      <c r="I208" s="14">
        <v>44281</v>
      </c>
      <c r="J208" s="12" t="s">
        <v>17</v>
      </c>
      <c r="K208" s="12" t="s">
        <v>19</v>
      </c>
      <c r="L208" s="12" t="s">
        <v>22</v>
      </c>
      <c r="M208" s="12">
        <v>230.00700000000001</v>
      </c>
      <c r="N208" s="12">
        <v>190.16300000000001</v>
      </c>
      <c r="Q208" s="13">
        <f t="shared" si="6"/>
        <v>0.82677048959379495</v>
      </c>
    </row>
    <row r="209" spans="1:17" x14ac:dyDescent="0.25">
      <c r="A209" s="12">
        <f t="shared" si="7"/>
        <v>3</v>
      </c>
      <c r="B209" s="12">
        <v>2021</v>
      </c>
      <c r="C209" s="12">
        <v>6488</v>
      </c>
      <c r="D209" s="12">
        <v>19440399</v>
      </c>
      <c r="E209" s="12" t="s">
        <v>13</v>
      </c>
      <c r="F209" s="12" t="s">
        <v>14</v>
      </c>
      <c r="I209" s="14">
        <v>44282</v>
      </c>
      <c r="J209" s="12" t="s">
        <v>17</v>
      </c>
      <c r="K209" s="12" t="s">
        <v>19</v>
      </c>
      <c r="L209" s="12" t="s">
        <v>22</v>
      </c>
      <c r="M209" s="12">
        <v>230.00800000000001</v>
      </c>
      <c r="N209" s="12">
        <v>190.96199999999999</v>
      </c>
      <c r="Q209" s="13">
        <f t="shared" si="6"/>
        <v>0.83024068728044231</v>
      </c>
    </row>
    <row r="210" spans="1:17" x14ac:dyDescent="0.25">
      <c r="A210" s="12">
        <f t="shared" si="7"/>
        <v>3</v>
      </c>
      <c r="B210" s="12">
        <v>2021</v>
      </c>
      <c r="C210" s="12">
        <v>6489</v>
      </c>
      <c r="D210" s="12">
        <v>19444103</v>
      </c>
      <c r="E210" s="12" t="s">
        <v>13</v>
      </c>
      <c r="F210" s="12" t="s">
        <v>14</v>
      </c>
      <c r="I210" s="14">
        <v>44283</v>
      </c>
      <c r="J210" s="12" t="s">
        <v>34</v>
      </c>
      <c r="K210" s="12" t="s">
        <v>19</v>
      </c>
      <c r="L210" s="12" t="s">
        <v>22</v>
      </c>
      <c r="M210" s="12">
        <v>230.00700000000001</v>
      </c>
      <c r="N210" s="12">
        <v>189.64</v>
      </c>
      <c r="P210" s="12">
        <v>11.9</v>
      </c>
      <c r="Q210" s="13">
        <f t="shared" si="6"/>
        <v>0.82449664575425963</v>
      </c>
    </row>
    <row r="211" spans="1:17" x14ac:dyDescent="0.25">
      <c r="A211" s="12">
        <f t="shared" si="7"/>
        <v>3</v>
      </c>
      <c r="B211" s="12">
        <v>2021</v>
      </c>
      <c r="C211" s="12">
        <v>6490</v>
      </c>
      <c r="D211" s="12">
        <v>19449537</v>
      </c>
      <c r="E211" s="12" t="s">
        <v>13</v>
      </c>
      <c r="F211" s="12" t="s">
        <v>14</v>
      </c>
      <c r="I211" s="14">
        <v>44284</v>
      </c>
      <c r="J211" s="12" t="s">
        <v>18</v>
      </c>
      <c r="K211" s="12" t="s">
        <v>20</v>
      </c>
      <c r="L211" s="12" t="s">
        <v>31</v>
      </c>
      <c r="M211" s="12">
        <v>235.00299999999999</v>
      </c>
      <c r="N211" s="12">
        <v>196.363</v>
      </c>
      <c r="Q211" s="13">
        <f t="shared" si="6"/>
        <v>0.83557656710765404</v>
      </c>
    </row>
    <row r="212" spans="1:17" x14ac:dyDescent="0.25">
      <c r="A212" s="12">
        <f t="shared" si="7"/>
        <v>3</v>
      </c>
      <c r="B212" s="12">
        <v>2021</v>
      </c>
      <c r="C212" s="12">
        <v>6491</v>
      </c>
      <c r="D212" s="12">
        <v>19449633</v>
      </c>
      <c r="E212" s="12" t="s">
        <v>13</v>
      </c>
      <c r="F212" s="12" t="s">
        <v>14</v>
      </c>
      <c r="I212" s="14">
        <v>44285</v>
      </c>
      <c r="J212" s="12" t="s">
        <v>18</v>
      </c>
      <c r="K212" s="12" t="s">
        <v>20</v>
      </c>
      <c r="L212" s="12" t="s">
        <v>31</v>
      </c>
      <c r="M212" s="12">
        <v>235.00200000000001</v>
      </c>
      <c r="N212" s="12">
        <v>198.04900000000001</v>
      </c>
      <c r="Q212" s="13">
        <f t="shared" si="6"/>
        <v>0.84275452974868303</v>
      </c>
    </row>
    <row r="213" spans="1:17" x14ac:dyDescent="0.25">
      <c r="A213" s="12">
        <f t="shared" si="7"/>
        <v>3</v>
      </c>
      <c r="B213" s="12">
        <v>2021</v>
      </c>
      <c r="C213" s="12">
        <v>6492</v>
      </c>
      <c r="D213" s="12">
        <v>19449650</v>
      </c>
      <c r="E213" s="12" t="s">
        <v>13</v>
      </c>
      <c r="F213" s="12" t="s">
        <v>14</v>
      </c>
      <c r="I213" s="14">
        <v>44286</v>
      </c>
      <c r="J213" s="12" t="s">
        <v>37</v>
      </c>
      <c r="K213" s="12" t="s">
        <v>19</v>
      </c>
      <c r="L213" s="12" t="s">
        <v>22</v>
      </c>
      <c r="M213" s="12">
        <v>229.994</v>
      </c>
      <c r="N213" s="12">
        <v>187.749</v>
      </c>
      <c r="Q213" s="13">
        <f t="shared" si="6"/>
        <v>0.81632129533813924</v>
      </c>
    </row>
    <row r="214" spans="1:17" x14ac:dyDescent="0.25">
      <c r="A214" s="12">
        <f t="shared" si="7"/>
        <v>4</v>
      </c>
      <c r="B214" s="12">
        <v>2021</v>
      </c>
      <c r="C214" s="12">
        <v>6493</v>
      </c>
      <c r="D214" s="12">
        <v>19452251</v>
      </c>
      <c r="E214" s="12" t="s">
        <v>13</v>
      </c>
      <c r="F214" s="12" t="s">
        <v>14</v>
      </c>
      <c r="I214" s="14">
        <v>44287</v>
      </c>
      <c r="J214" s="12" t="s">
        <v>37</v>
      </c>
      <c r="K214" s="12" t="s">
        <v>19</v>
      </c>
      <c r="L214" s="12" t="s">
        <v>22</v>
      </c>
      <c r="M214" s="12">
        <v>229.99299999999999</v>
      </c>
      <c r="N214" s="12">
        <v>197.60599999999999</v>
      </c>
      <c r="Q214" s="13">
        <f t="shared" si="6"/>
        <v>0.85918267077693666</v>
      </c>
    </row>
    <row r="215" spans="1:17" x14ac:dyDescent="0.25">
      <c r="A215" s="12">
        <f t="shared" si="7"/>
        <v>4</v>
      </c>
      <c r="B215" s="12">
        <v>2021</v>
      </c>
      <c r="C215" s="12">
        <v>6494</v>
      </c>
      <c r="D215" s="12">
        <v>19456112</v>
      </c>
      <c r="E215" s="12" t="s">
        <v>13</v>
      </c>
      <c r="F215" s="12" t="s">
        <v>14</v>
      </c>
      <c r="I215" s="14">
        <v>44288</v>
      </c>
      <c r="J215" s="12" t="s">
        <v>37</v>
      </c>
      <c r="K215" s="12" t="s">
        <v>19</v>
      </c>
      <c r="L215" s="12" t="s">
        <v>22</v>
      </c>
      <c r="M215" s="12">
        <v>229.96700000000001</v>
      </c>
      <c r="N215" s="12">
        <v>191.29400000000001</v>
      </c>
      <c r="P215" s="12">
        <v>12.5</v>
      </c>
      <c r="Q215" s="13">
        <f t="shared" si="6"/>
        <v>0.83183239334339276</v>
      </c>
    </row>
    <row r="216" spans="1:17" x14ac:dyDescent="0.25">
      <c r="A216" s="12">
        <f t="shared" si="7"/>
        <v>4</v>
      </c>
      <c r="B216" s="12">
        <v>2021</v>
      </c>
      <c r="C216" s="12">
        <v>6495</v>
      </c>
      <c r="D216" s="12">
        <v>19460103</v>
      </c>
      <c r="E216" s="12" t="s">
        <v>13</v>
      </c>
      <c r="F216" s="12" t="s">
        <v>14</v>
      </c>
      <c r="I216" s="14">
        <v>44289</v>
      </c>
      <c r="J216" s="12" t="s">
        <v>37</v>
      </c>
      <c r="K216" s="12" t="s">
        <v>19</v>
      </c>
      <c r="L216" s="12" t="s">
        <v>22</v>
      </c>
      <c r="M216" s="12">
        <v>229.99700000000001</v>
      </c>
      <c r="N216" s="12">
        <v>190.446</v>
      </c>
      <c r="Q216" s="13">
        <f t="shared" si="6"/>
        <v>0.82803688743766213</v>
      </c>
    </row>
    <row r="217" spans="1:17" x14ac:dyDescent="0.25">
      <c r="A217" s="12">
        <f t="shared" si="7"/>
        <v>4</v>
      </c>
      <c r="B217" s="12">
        <v>2021</v>
      </c>
      <c r="C217" s="12">
        <v>6496</v>
      </c>
      <c r="D217" s="12">
        <v>19464340</v>
      </c>
      <c r="E217" s="12" t="s">
        <v>13</v>
      </c>
      <c r="F217" s="12" t="s">
        <v>14</v>
      </c>
      <c r="I217" s="14">
        <v>44290</v>
      </c>
      <c r="J217" s="12" t="s">
        <v>37</v>
      </c>
      <c r="K217" s="12" t="s">
        <v>19</v>
      </c>
      <c r="L217" s="12" t="s">
        <v>22</v>
      </c>
      <c r="M217" s="12">
        <v>229.99799999999999</v>
      </c>
      <c r="N217" s="12">
        <v>185.90899999999999</v>
      </c>
      <c r="Q217" s="13">
        <f t="shared" si="6"/>
        <v>0.80830702875677185</v>
      </c>
    </row>
    <row r="218" spans="1:17" x14ac:dyDescent="0.25">
      <c r="A218" s="12">
        <f t="shared" si="7"/>
        <v>4</v>
      </c>
      <c r="B218" s="12">
        <v>2021</v>
      </c>
      <c r="C218" s="12">
        <v>6497</v>
      </c>
      <c r="D218" s="12">
        <v>19467014</v>
      </c>
      <c r="E218" s="12" t="s">
        <v>13</v>
      </c>
      <c r="F218" s="12" t="s">
        <v>14</v>
      </c>
      <c r="I218" s="14">
        <v>44291</v>
      </c>
      <c r="J218" s="12" t="s">
        <v>37</v>
      </c>
      <c r="K218" s="12" t="s">
        <v>20</v>
      </c>
      <c r="L218" s="12" t="s">
        <v>29</v>
      </c>
      <c r="M218" s="12">
        <v>230.03</v>
      </c>
      <c r="N218" s="12">
        <v>191.03800000000001</v>
      </c>
      <c r="Q218" s="13">
        <f t="shared" si="6"/>
        <v>0.83049167499891319</v>
      </c>
    </row>
    <row r="219" spans="1:17" x14ac:dyDescent="0.25">
      <c r="A219" s="12">
        <f t="shared" si="7"/>
        <v>4</v>
      </c>
      <c r="B219" s="12">
        <v>2021</v>
      </c>
      <c r="C219" s="12">
        <v>6498</v>
      </c>
      <c r="D219" s="12">
        <v>19468682</v>
      </c>
      <c r="E219" s="12" t="s">
        <v>13</v>
      </c>
      <c r="F219" s="12" t="s">
        <v>14</v>
      </c>
      <c r="I219" s="14">
        <v>44292</v>
      </c>
      <c r="J219" s="12" t="s">
        <v>37</v>
      </c>
      <c r="K219" s="12" t="s">
        <v>20</v>
      </c>
      <c r="L219" s="12" t="s">
        <v>29</v>
      </c>
      <c r="M219" s="12">
        <v>230.03</v>
      </c>
      <c r="N219" s="12">
        <v>192.60499999999999</v>
      </c>
      <c r="Q219" s="13">
        <f t="shared" si="6"/>
        <v>0.83730382993522579</v>
      </c>
    </row>
    <row r="220" spans="1:17" x14ac:dyDescent="0.25">
      <c r="A220" s="12">
        <f t="shared" si="7"/>
        <v>4</v>
      </c>
      <c r="B220" s="12">
        <v>2021</v>
      </c>
      <c r="C220" s="12">
        <v>6499</v>
      </c>
      <c r="D220" s="12">
        <v>19468746</v>
      </c>
      <c r="E220" s="12" t="s">
        <v>13</v>
      </c>
      <c r="F220" s="12" t="s">
        <v>14</v>
      </c>
      <c r="I220" s="14">
        <v>44293</v>
      </c>
      <c r="J220" s="12" t="s">
        <v>37</v>
      </c>
      <c r="K220" s="12" t="s">
        <v>20</v>
      </c>
      <c r="L220" s="12" t="s">
        <v>29</v>
      </c>
      <c r="M220" s="12">
        <v>229.982</v>
      </c>
      <c r="N220" s="12">
        <v>191.56899999999999</v>
      </c>
      <c r="Q220" s="13">
        <f t="shared" si="6"/>
        <v>0.83297388491273228</v>
      </c>
    </row>
    <row r="221" spans="1:17" x14ac:dyDescent="0.25">
      <c r="A221" s="12">
        <f t="shared" si="7"/>
        <v>4</v>
      </c>
      <c r="B221" s="12">
        <v>2021</v>
      </c>
      <c r="C221" s="12">
        <v>6500</v>
      </c>
      <c r="D221" s="12">
        <v>19472366</v>
      </c>
      <c r="E221" s="12" t="s">
        <v>13</v>
      </c>
      <c r="F221" s="12" t="s">
        <v>14</v>
      </c>
      <c r="I221" s="14">
        <v>44294</v>
      </c>
      <c r="J221" s="12" t="s">
        <v>37</v>
      </c>
      <c r="K221" s="12" t="s">
        <v>20</v>
      </c>
      <c r="L221" s="12" t="s">
        <v>29</v>
      </c>
      <c r="M221" s="12">
        <v>230</v>
      </c>
      <c r="N221" s="12">
        <v>194.34200000000001</v>
      </c>
      <c r="Q221" s="13">
        <f t="shared" si="6"/>
        <v>0.84496521739130437</v>
      </c>
    </row>
    <row r="222" spans="1:17" x14ac:dyDescent="0.25">
      <c r="A222" s="12">
        <f t="shared" si="7"/>
        <v>4</v>
      </c>
      <c r="B222" s="12">
        <v>2021</v>
      </c>
      <c r="C222" s="12">
        <v>6501</v>
      </c>
      <c r="D222" s="12">
        <v>19477141</v>
      </c>
      <c r="E222" s="12" t="s">
        <v>13</v>
      </c>
      <c r="F222" s="12" t="s">
        <v>14</v>
      </c>
      <c r="I222" s="14">
        <v>44295</v>
      </c>
      <c r="J222" s="12" t="s">
        <v>37</v>
      </c>
      <c r="K222" s="12" t="s">
        <v>20</v>
      </c>
      <c r="L222" s="12" t="s">
        <v>29</v>
      </c>
      <c r="M222" s="12">
        <v>230</v>
      </c>
      <c r="N222" s="12">
        <v>188.5</v>
      </c>
      <c r="Q222" s="13">
        <f t="shared" si="6"/>
        <v>0.81956521739130439</v>
      </c>
    </row>
    <row r="223" spans="1:17" x14ac:dyDescent="0.25">
      <c r="A223" s="12">
        <f t="shared" si="7"/>
        <v>4</v>
      </c>
      <c r="B223" s="12">
        <v>2021</v>
      </c>
      <c r="C223" s="12">
        <v>6502</v>
      </c>
      <c r="D223" s="12">
        <v>19481051</v>
      </c>
      <c r="E223" s="12" t="s">
        <v>13</v>
      </c>
      <c r="F223" s="12" t="s">
        <v>14</v>
      </c>
      <c r="I223" s="14">
        <v>44296</v>
      </c>
      <c r="J223" s="12" t="s">
        <v>17</v>
      </c>
      <c r="K223" s="12" t="s">
        <v>20</v>
      </c>
      <c r="L223" s="12" t="s">
        <v>30</v>
      </c>
      <c r="M223" s="12">
        <v>232.99600000000001</v>
      </c>
      <c r="N223" s="12">
        <v>195.446</v>
      </c>
      <c r="Q223" s="13">
        <f t="shared" si="6"/>
        <v>0.8388384349945921</v>
      </c>
    </row>
    <row r="224" spans="1:17" x14ac:dyDescent="0.25">
      <c r="A224" s="12">
        <f t="shared" si="7"/>
        <v>4</v>
      </c>
      <c r="B224" s="12">
        <v>2021</v>
      </c>
      <c r="C224" s="12">
        <v>6503</v>
      </c>
      <c r="D224" s="12">
        <v>19484691</v>
      </c>
      <c r="E224" s="12" t="s">
        <v>13</v>
      </c>
      <c r="F224" s="12" t="s">
        <v>14</v>
      </c>
      <c r="I224" s="14">
        <v>44297</v>
      </c>
      <c r="J224" s="12" t="s">
        <v>17</v>
      </c>
      <c r="K224" s="12" t="s">
        <v>20</v>
      </c>
      <c r="L224" s="12" t="s">
        <v>30</v>
      </c>
      <c r="M224" s="12">
        <v>232.99600000000001</v>
      </c>
      <c r="N224" s="12">
        <v>195.78899999999999</v>
      </c>
      <c r="Q224" s="13">
        <f t="shared" si="6"/>
        <v>0.84031056327147235</v>
      </c>
    </row>
    <row r="225" spans="1:17" x14ac:dyDescent="0.25">
      <c r="A225" s="12">
        <f t="shared" si="7"/>
        <v>4</v>
      </c>
      <c r="B225" s="12">
        <v>2021</v>
      </c>
      <c r="C225" s="12">
        <v>6504</v>
      </c>
      <c r="D225" s="12">
        <v>19488309</v>
      </c>
      <c r="E225" s="12" t="s">
        <v>13</v>
      </c>
      <c r="F225" s="12" t="s">
        <v>14</v>
      </c>
      <c r="I225" s="14">
        <v>44298</v>
      </c>
      <c r="J225" s="12" t="s">
        <v>17</v>
      </c>
      <c r="K225" s="12" t="s">
        <v>19</v>
      </c>
      <c r="L225" s="12" t="s">
        <v>22</v>
      </c>
      <c r="M225" s="12">
        <v>230.001</v>
      </c>
      <c r="N225" s="12">
        <v>188.28200000000001</v>
      </c>
      <c r="P225" s="12">
        <v>11.1</v>
      </c>
      <c r="Q225" s="13">
        <f t="shared" si="6"/>
        <v>0.81861383211377348</v>
      </c>
    </row>
    <row r="226" spans="1:17" x14ac:dyDescent="0.25">
      <c r="A226" s="12">
        <f t="shared" si="7"/>
        <v>4</v>
      </c>
      <c r="B226" s="12">
        <v>2021</v>
      </c>
      <c r="C226" s="12">
        <v>6505</v>
      </c>
      <c r="D226" s="12">
        <v>19488317</v>
      </c>
      <c r="E226" s="12" t="s">
        <v>13</v>
      </c>
      <c r="F226" s="12" t="s">
        <v>14</v>
      </c>
      <c r="I226" s="14">
        <v>44299</v>
      </c>
      <c r="J226" s="12" t="s">
        <v>17</v>
      </c>
      <c r="K226" s="12" t="s">
        <v>19</v>
      </c>
      <c r="L226" s="12" t="s">
        <v>22</v>
      </c>
      <c r="M226" s="12">
        <v>229.98099999999999</v>
      </c>
      <c r="N226" s="12">
        <v>187.85499999999999</v>
      </c>
      <c r="Q226" s="13">
        <f t="shared" si="6"/>
        <v>0.8168283466895091</v>
      </c>
    </row>
    <row r="227" spans="1:17" x14ac:dyDescent="0.25">
      <c r="A227" s="12">
        <f t="shared" si="7"/>
        <v>4</v>
      </c>
      <c r="B227" s="12">
        <v>2021</v>
      </c>
      <c r="C227" s="12">
        <v>6506</v>
      </c>
      <c r="D227" s="12">
        <v>19488325</v>
      </c>
      <c r="E227" s="12" t="s">
        <v>13</v>
      </c>
      <c r="F227" s="12" t="s">
        <v>14</v>
      </c>
      <c r="I227" s="14">
        <v>44300</v>
      </c>
      <c r="J227" s="12" t="s">
        <v>17</v>
      </c>
      <c r="K227" s="12" t="s">
        <v>19</v>
      </c>
      <c r="L227" s="12" t="s">
        <v>22</v>
      </c>
      <c r="M227" s="12">
        <v>229.98099999999999</v>
      </c>
      <c r="N227" s="12">
        <v>188.65899999999999</v>
      </c>
      <c r="Q227" s="13">
        <f t="shared" si="6"/>
        <v>0.8203242876585457</v>
      </c>
    </row>
    <row r="228" spans="1:17" x14ac:dyDescent="0.25">
      <c r="A228" s="12">
        <f t="shared" si="7"/>
        <v>4</v>
      </c>
      <c r="B228" s="12">
        <v>2021</v>
      </c>
      <c r="C228" s="12">
        <v>6507</v>
      </c>
      <c r="D228" s="12">
        <v>19488333</v>
      </c>
      <c r="E228" s="12" t="s">
        <v>13</v>
      </c>
      <c r="F228" s="12" t="s">
        <v>14</v>
      </c>
      <c r="I228" s="14">
        <v>44301</v>
      </c>
      <c r="J228" s="12" t="s">
        <v>18</v>
      </c>
      <c r="K228" s="12" t="s">
        <v>20</v>
      </c>
      <c r="L228" s="12" t="s">
        <v>31</v>
      </c>
      <c r="M228" s="12">
        <v>232.999</v>
      </c>
      <c r="N228" s="12">
        <v>195.34800000000001</v>
      </c>
      <c r="Q228" s="13">
        <f t="shared" si="6"/>
        <v>0.83840703178983611</v>
      </c>
    </row>
    <row r="229" spans="1:17" x14ac:dyDescent="0.25">
      <c r="A229" s="12">
        <f t="shared" si="7"/>
        <v>4</v>
      </c>
      <c r="B229" s="12">
        <v>2021</v>
      </c>
      <c r="C229" s="12">
        <v>6508</v>
      </c>
      <c r="D229" s="12">
        <v>19493431</v>
      </c>
      <c r="E229" s="12" t="s">
        <v>13</v>
      </c>
      <c r="F229" s="12" t="s">
        <v>14</v>
      </c>
      <c r="I229" s="14">
        <v>44302</v>
      </c>
      <c r="J229" s="12" t="s">
        <v>18</v>
      </c>
      <c r="K229" s="12" t="s">
        <v>20</v>
      </c>
      <c r="L229" s="12" t="s">
        <v>31</v>
      </c>
      <c r="M229" s="12">
        <v>232.999</v>
      </c>
      <c r="N229" s="12">
        <v>201.977</v>
      </c>
      <c r="Q229" s="13">
        <f t="shared" si="6"/>
        <v>0.86685779767295146</v>
      </c>
    </row>
    <row r="230" spans="1:17" x14ac:dyDescent="0.25">
      <c r="A230" s="12">
        <f t="shared" si="7"/>
        <v>4</v>
      </c>
      <c r="B230" s="12">
        <v>2021</v>
      </c>
      <c r="C230" s="12">
        <v>6509</v>
      </c>
      <c r="D230" s="12">
        <v>19498401</v>
      </c>
      <c r="E230" s="12" t="s">
        <v>13</v>
      </c>
      <c r="F230" s="12" t="s">
        <v>14</v>
      </c>
      <c r="I230" s="14">
        <v>44303</v>
      </c>
      <c r="J230" s="12" t="s">
        <v>18</v>
      </c>
      <c r="K230" s="12" t="s">
        <v>20</v>
      </c>
      <c r="L230" s="12" t="s">
        <v>31</v>
      </c>
      <c r="M230" s="12">
        <v>233.00299999999999</v>
      </c>
      <c r="N230" s="12">
        <v>195.69800000000001</v>
      </c>
      <c r="P230" s="12">
        <v>11.8</v>
      </c>
      <c r="Q230" s="13">
        <f t="shared" si="6"/>
        <v>0.83989476530345109</v>
      </c>
    </row>
    <row r="231" spans="1:17" x14ac:dyDescent="0.25">
      <c r="A231" s="12">
        <f t="shared" si="7"/>
        <v>4</v>
      </c>
      <c r="B231" s="12">
        <v>2021</v>
      </c>
      <c r="C231" s="12">
        <v>6510</v>
      </c>
      <c r="D231" s="12">
        <v>19503011</v>
      </c>
      <c r="E231" s="12" t="s">
        <v>13</v>
      </c>
      <c r="F231" s="12" t="s">
        <v>14</v>
      </c>
      <c r="I231" s="14">
        <v>44304</v>
      </c>
      <c r="J231" s="12" t="s">
        <v>18</v>
      </c>
      <c r="K231" s="12" t="s">
        <v>20</v>
      </c>
      <c r="L231" s="12" t="s">
        <v>31</v>
      </c>
      <c r="M231" s="12">
        <v>233.017</v>
      </c>
      <c r="N231" s="12">
        <v>200.3</v>
      </c>
      <c r="Q231" s="13">
        <f t="shared" si="6"/>
        <v>0.85959393520644423</v>
      </c>
    </row>
    <row r="232" spans="1:17" x14ac:dyDescent="0.25">
      <c r="A232" s="12">
        <f t="shared" si="7"/>
        <v>4</v>
      </c>
      <c r="B232" s="12">
        <v>2021</v>
      </c>
      <c r="C232" s="12">
        <v>6511</v>
      </c>
      <c r="D232" s="12">
        <v>19506861</v>
      </c>
      <c r="E232" s="12" t="s">
        <v>13</v>
      </c>
      <c r="F232" s="12" t="s">
        <v>14</v>
      </c>
      <c r="I232" s="14">
        <v>44305</v>
      </c>
      <c r="J232" s="12" t="s">
        <v>18</v>
      </c>
      <c r="K232" s="12" t="s">
        <v>20</v>
      </c>
      <c r="L232" s="12" t="s">
        <v>31</v>
      </c>
      <c r="M232" s="12">
        <v>233.018</v>
      </c>
      <c r="N232" s="12">
        <v>198.489</v>
      </c>
      <c r="Q232" s="13">
        <f t="shared" si="6"/>
        <v>0.85181831446497702</v>
      </c>
    </row>
    <row r="233" spans="1:17" x14ac:dyDescent="0.25">
      <c r="A233" s="12">
        <f t="shared" si="7"/>
        <v>4</v>
      </c>
      <c r="B233" s="12">
        <v>2021</v>
      </c>
      <c r="C233" s="12">
        <v>6512</v>
      </c>
      <c r="D233" s="12">
        <v>19506870</v>
      </c>
      <c r="E233" s="12" t="s">
        <v>13</v>
      </c>
      <c r="F233" s="12" t="s">
        <v>14</v>
      </c>
      <c r="I233" s="14">
        <v>44306</v>
      </c>
      <c r="J233" s="12" t="s">
        <v>34</v>
      </c>
      <c r="K233" s="12" t="s">
        <v>19</v>
      </c>
      <c r="L233" s="12" t="s">
        <v>22</v>
      </c>
      <c r="M233" s="12">
        <v>230.00299999999999</v>
      </c>
      <c r="N233" s="12">
        <v>185.73</v>
      </c>
      <c r="Q233" s="13">
        <f t="shared" si="6"/>
        <v>0.80751120637556906</v>
      </c>
    </row>
    <row r="234" spans="1:17" x14ac:dyDescent="0.25">
      <c r="A234" s="12">
        <f t="shared" si="7"/>
        <v>4</v>
      </c>
      <c r="B234" s="12">
        <v>2021</v>
      </c>
      <c r="C234" s="12">
        <v>6513</v>
      </c>
      <c r="D234" s="12">
        <v>19507768</v>
      </c>
      <c r="E234" s="12" t="s">
        <v>13</v>
      </c>
      <c r="F234" s="12" t="s">
        <v>14</v>
      </c>
      <c r="I234" s="14">
        <v>44307</v>
      </c>
      <c r="J234" s="12" t="s">
        <v>34</v>
      </c>
      <c r="K234" s="12" t="s">
        <v>19</v>
      </c>
      <c r="L234" s="12" t="s">
        <v>22</v>
      </c>
      <c r="M234" s="12">
        <v>230.00299999999999</v>
      </c>
      <c r="N234" s="12">
        <v>196.03200000000001</v>
      </c>
      <c r="Q234" s="13">
        <f t="shared" si="6"/>
        <v>0.85230192649661096</v>
      </c>
    </row>
    <row r="235" spans="1:17" x14ac:dyDescent="0.25">
      <c r="A235" s="12">
        <f t="shared" si="7"/>
        <v>4</v>
      </c>
      <c r="B235" s="12">
        <v>2021</v>
      </c>
      <c r="C235" s="12">
        <v>6514</v>
      </c>
      <c r="D235" s="12">
        <v>19512920</v>
      </c>
      <c r="E235" s="12" t="s">
        <v>13</v>
      </c>
      <c r="F235" s="12" t="s">
        <v>14</v>
      </c>
      <c r="I235" s="14">
        <v>44308</v>
      </c>
      <c r="J235" s="12" t="s">
        <v>34</v>
      </c>
      <c r="K235" s="12" t="s">
        <v>19</v>
      </c>
      <c r="L235" s="12" t="s">
        <v>22</v>
      </c>
      <c r="M235" s="12">
        <v>230.02</v>
      </c>
      <c r="N235" s="12">
        <v>190.11</v>
      </c>
      <c r="P235" s="12">
        <v>12.7</v>
      </c>
      <c r="Q235" s="13">
        <f t="shared" si="6"/>
        <v>0.82649334840448663</v>
      </c>
    </row>
    <row r="236" spans="1:17" x14ac:dyDescent="0.25">
      <c r="A236" s="12">
        <f t="shared" si="7"/>
        <v>4</v>
      </c>
      <c r="B236" s="12">
        <v>2021</v>
      </c>
      <c r="C236" s="12">
        <v>6515</v>
      </c>
      <c r="D236" s="12">
        <v>19517528</v>
      </c>
      <c r="E236" s="12" t="s">
        <v>13</v>
      </c>
      <c r="F236" s="12" t="s">
        <v>14</v>
      </c>
      <c r="I236" s="14">
        <v>44309</v>
      </c>
      <c r="J236" s="12" t="s">
        <v>34</v>
      </c>
      <c r="K236" s="12" t="s">
        <v>19</v>
      </c>
      <c r="L236" s="12" t="s">
        <v>22</v>
      </c>
      <c r="M236" s="12">
        <v>229.99700000000001</v>
      </c>
      <c r="N236" s="12">
        <v>190.96899999999999</v>
      </c>
      <c r="Q236" s="13">
        <f t="shared" si="6"/>
        <v>0.83031083014126261</v>
      </c>
    </row>
    <row r="237" spans="1:17" x14ac:dyDescent="0.25">
      <c r="A237" s="12">
        <f t="shared" si="7"/>
        <v>4</v>
      </c>
      <c r="B237" s="12">
        <v>2021</v>
      </c>
      <c r="C237" s="12">
        <v>6516</v>
      </c>
      <c r="D237" s="12">
        <v>19520436</v>
      </c>
      <c r="E237" s="12" t="s">
        <v>13</v>
      </c>
      <c r="F237" s="12" t="s">
        <v>14</v>
      </c>
      <c r="I237" s="14">
        <v>44310</v>
      </c>
      <c r="J237" s="12" t="s">
        <v>34</v>
      </c>
      <c r="K237" s="12" t="s">
        <v>19</v>
      </c>
      <c r="L237" s="12" t="s">
        <v>22</v>
      </c>
      <c r="M237" s="12">
        <v>229.99799999999999</v>
      </c>
      <c r="N237" s="12">
        <v>190.64599999999999</v>
      </c>
      <c r="Q237" s="13">
        <f t="shared" si="6"/>
        <v>0.82890286002486979</v>
      </c>
    </row>
    <row r="238" spans="1:17" x14ac:dyDescent="0.25">
      <c r="A238" s="12">
        <f t="shared" si="7"/>
        <v>4</v>
      </c>
      <c r="B238" s="12">
        <v>2021</v>
      </c>
      <c r="C238" s="12">
        <v>6517</v>
      </c>
      <c r="D238" s="12">
        <v>19524904</v>
      </c>
      <c r="E238" s="12" t="s">
        <v>13</v>
      </c>
      <c r="F238" s="12" t="s">
        <v>14</v>
      </c>
      <c r="I238" s="14">
        <v>44311</v>
      </c>
      <c r="J238" s="12" t="s">
        <v>18</v>
      </c>
      <c r="K238" s="12" t="s">
        <v>20</v>
      </c>
      <c r="L238" s="12" t="s">
        <v>30</v>
      </c>
      <c r="M238" s="12">
        <v>233.01300000000001</v>
      </c>
      <c r="N238" s="12">
        <v>190.25399999999999</v>
      </c>
      <c r="Q238" s="13">
        <f t="shared" si="6"/>
        <v>0.81649521700505978</v>
      </c>
    </row>
    <row r="239" spans="1:17" x14ac:dyDescent="0.25">
      <c r="A239" s="12">
        <f t="shared" si="7"/>
        <v>4</v>
      </c>
      <c r="B239" s="12">
        <v>2021</v>
      </c>
      <c r="C239" s="12">
        <v>6518</v>
      </c>
      <c r="D239" s="12">
        <v>19529326</v>
      </c>
      <c r="E239" s="12" t="s">
        <v>13</v>
      </c>
      <c r="F239" s="12" t="s">
        <v>14</v>
      </c>
      <c r="I239" s="14">
        <v>44312</v>
      </c>
      <c r="J239" s="12" t="s">
        <v>18</v>
      </c>
      <c r="K239" s="12" t="s">
        <v>20</v>
      </c>
      <c r="L239" s="12" t="s">
        <v>30</v>
      </c>
      <c r="M239" s="12">
        <v>233.01300000000001</v>
      </c>
      <c r="N239" s="12">
        <v>199.67500000000001</v>
      </c>
      <c r="Q239" s="13">
        <f t="shared" si="6"/>
        <v>0.85692643758073583</v>
      </c>
    </row>
    <row r="240" spans="1:17" x14ac:dyDescent="0.25">
      <c r="A240" s="12">
        <f t="shared" si="7"/>
        <v>4</v>
      </c>
      <c r="B240" s="12">
        <v>2021</v>
      </c>
      <c r="C240" s="12">
        <v>6519</v>
      </c>
      <c r="D240" s="12">
        <v>19529334</v>
      </c>
      <c r="E240" s="12" t="s">
        <v>13</v>
      </c>
      <c r="F240" s="12" t="s">
        <v>14</v>
      </c>
      <c r="I240" s="14">
        <v>44313</v>
      </c>
      <c r="J240" s="12" t="s">
        <v>17</v>
      </c>
      <c r="K240" s="12" t="s">
        <v>20</v>
      </c>
      <c r="L240" s="12" t="s">
        <v>29</v>
      </c>
      <c r="M240" s="12">
        <v>232.999</v>
      </c>
      <c r="N240" s="12">
        <v>195.952</v>
      </c>
      <c r="Q240" s="13">
        <f t="shared" si="6"/>
        <v>0.84099931759363777</v>
      </c>
    </row>
    <row r="241" spans="1:17" x14ac:dyDescent="0.25">
      <c r="A241" s="12">
        <f t="shared" si="7"/>
        <v>4</v>
      </c>
      <c r="B241" s="12">
        <v>2021</v>
      </c>
      <c r="C241" s="12">
        <v>6520</v>
      </c>
      <c r="D241" s="12">
        <v>19530933</v>
      </c>
      <c r="E241" s="12" t="s">
        <v>13</v>
      </c>
      <c r="F241" s="12" t="s">
        <v>14</v>
      </c>
      <c r="I241" s="14">
        <v>44314</v>
      </c>
      <c r="J241" s="12" t="s">
        <v>17</v>
      </c>
      <c r="K241" s="12" t="s">
        <v>20</v>
      </c>
      <c r="L241" s="12" t="s">
        <v>29</v>
      </c>
      <c r="M241" s="12">
        <v>233</v>
      </c>
      <c r="N241" s="12">
        <v>198.536</v>
      </c>
      <c r="Q241" s="13">
        <f t="shared" si="6"/>
        <v>0.85208583690987127</v>
      </c>
    </row>
    <row r="242" spans="1:17" x14ac:dyDescent="0.25">
      <c r="A242" s="12">
        <f t="shared" si="7"/>
        <v>4</v>
      </c>
      <c r="B242" s="12">
        <v>2021</v>
      </c>
      <c r="C242" s="12">
        <v>6521</v>
      </c>
      <c r="D242" s="12">
        <v>19535427</v>
      </c>
      <c r="E242" s="12" t="s">
        <v>13</v>
      </c>
      <c r="F242" s="12" t="s">
        <v>14</v>
      </c>
      <c r="I242" s="14">
        <v>44315</v>
      </c>
      <c r="J242" s="12" t="s">
        <v>17</v>
      </c>
      <c r="K242" s="12" t="s">
        <v>19</v>
      </c>
      <c r="L242" s="12" t="s">
        <v>26</v>
      </c>
      <c r="M242" s="12">
        <v>230.00200000000001</v>
      </c>
      <c r="N242" s="12">
        <v>200.3</v>
      </c>
      <c r="Q242" s="13">
        <f t="shared" si="6"/>
        <v>0.87086199250441299</v>
      </c>
    </row>
    <row r="243" spans="1:17" x14ac:dyDescent="0.25">
      <c r="A243" s="12">
        <f t="shared" si="7"/>
        <v>4</v>
      </c>
      <c r="B243" s="12">
        <v>2021</v>
      </c>
      <c r="C243" s="12">
        <v>6522</v>
      </c>
      <c r="D243" s="12">
        <v>19538556</v>
      </c>
      <c r="E243" s="12" t="s">
        <v>13</v>
      </c>
      <c r="F243" s="12" t="s">
        <v>14</v>
      </c>
      <c r="I243" s="14">
        <v>44316</v>
      </c>
      <c r="J243" s="12" t="s">
        <v>17</v>
      </c>
      <c r="K243" s="12" t="s">
        <v>19</v>
      </c>
      <c r="L243" s="12" t="s">
        <v>26</v>
      </c>
      <c r="M243" s="12">
        <v>230.00200000000001</v>
      </c>
      <c r="N243" s="12">
        <v>194.88200000000001</v>
      </c>
      <c r="Q243" s="13">
        <f t="shared" si="6"/>
        <v>0.84730567560282088</v>
      </c>
    </row>
    <row r="244" spans="1:17" x14ac:dyDescent="0.25">
      <c r="A244" s="12">
        <f t="shared" si="7"/>
        <v>5</v>
      </c>
      <c r="B244" s="12">
        <v>2021</v>
      </c>
      <c r="C244" s="12">
        <v>6523</v>
      </c>
      <c r="D244" s="12">
        <v>19542846</v>
      </c>
      <c r="E244" s="12" t="s">
        <v>13</v>
      </c>
      <c r="F244" s="12" t="s">
        <v>14</v>
      </c>
      <c r="I244" s="14">
        <v>44317</v>
      </c>
      <c r="J244" s="12" t="s">
        <v>18</v>
      </c>
      <c r="K244" s="12" t="s">
        <v>20</v>
      </c>
      <c r="L244" s="12" t="s">
        <v>30</v>
      </c>
      <c r="M244" s="12">
        <v>232.00800000000001</v>
      </c>
      <c r="N244" s="12">
        <v>193.142</v>
      </c>
      <c r="Q244" s="13">
        <f t="shared" si="6"/>
        <v>0.83247991448570735</v>
      </c>
    </row>
    <row r="245" spans="1:17" x14ac:dyDescent="0.25">
      <c r="A245" s="12">
        <f t="shared" si="7"/>
        <v>5</v>
      </c>
      <c r="B245" s="12">
        <v>2021</v>
      </c>
      <c r="C245" s="12">
        <v>6524</v>
      </c>
      <c r="D245" s="12">
        <v>19547583</v>
      </c>
      <c r="E245" s="12" t="s">
        <v>13</v>
      </c>
      <c r="F245" s="12" t="s">
        <v>14</v>
      </c>
      <c r="I245" s="14">
        <v>44318</v>
      </c>
      <c r="J245" s="12" t="s">
        <v>18</v>
      </c>
      <c r="K245" s="12" t="s">
        <v>20</v>
      </c>
      <c r="L245" s="12" t="s">
        <v>30</v>
      </c>
      <c r="M245" s="12">
        <v>232.00800000000001</v>
      </c>
      <c r="N245" s="12">
        <v>193.76900000000001</v>
      </c>
      <c r="Q245" s="13">
        <f t="shared" si="6"/>
        <v>0.83518240750318951</v>
      </c>
    </row>
    <row r="246" spans="1:17" x14ac:dyDescent="0.25">
      <c r="A246" s="12">
        <f t="shared" si="7"/>
        <v>5</v>
      </c>
      <c r="B246" s="12">
        <v>2021</v>
      </c>
      <c r="C246" s="12">
        <v>6525</v>
      </c>
      <c r="D246" s="12">
        <v>19550601</v>
      </c>
      <c r="E246" s="12" t="s">
        <v>13</v>
      </c>
      <c r="F246" s="12" t="s">
        <v>14</v>
      </c>
      <c r="I246" s="14">
        <v>44319</v>
      </c>
      <c r="J246" s="12" t="s">
        <v>18</v>
      </c>
      <c r="K246" s="12" t="s">
        <v>20</v>
      </c>
      <c r="L246" s="12" t="s">
        <v>29</v>
      </c>
      <c r="M246" s="12">
        <v>232.029</v>
      </c>
      <c r="N246" s="12">
        <v>195.05600000000001</v>
      </c>
      <c r="Q246" s="13">
        <f t="shared" si="6"/>
        <v>0.84065353899728057</v>
      </c>
    </row>
    <row r="247" spans="1:17" x14ac:dyDescent="0.25">
      <c r="A247" s="12">
        <f t="shared" si="7"/>
        <v>5</v>
      </c>
      <c r="B247" s="12">
        <v>2021</v>
      </c>
      <c r="C247" s="12">
        <v>6526</v>
      </c>
      <c r="D247" s="12">
        <v>19550619</v>
      </c>
      <c r="E247" s="12" t="s">
        <v>13</v>
      </c>
      <c r="F247" s="12" t="s">
        <v>14</v>
      </c>
      <c r="I247" s="14">
        <v>44320</v>
      </c>
      <c r="J247" s="12" t="s">
        <v>18</v>
      </c>
      <c r="K247" s="12" t="s">
        <v>20</v>
      </c>
      <c r="L247" s="12" t="s">
        <v>29</v>
      </c>
      <c r="M247" s="12">
        <v>232.02799999999999</v>
      </c>
      <c r="N247" s="12">
        <v>193.19800000000001</v>
      </c>
      <c r="Q247" s="13">
        <f t="shared" si="6"/>
        <v>0.83264950781802205</v>
      </c>
    </row>
    <row r="248" spans="1:17" x14ac:dyDescent="0.25">
      <c r="A248" s="12">
        <f t="shared" si="7"/>
        <v>5</v>
      </c>
      <c r="B248" s="12">
        <v>2021</v>
      </c>
      <c r="C248" s="12">
        <v>6527</v>
      </c>
      <c r="D248" s="12">
        <v>19550686</v>
      </c>
      <c r="E248" s="12" t="s">
        <v>13</v>
      </c>
      <c r="F248" s="12" t="s">
        <v>14</v>
      </c>
      <c r="I248" s="14">
        <v>44321</v>
      </c>
      <c r="J248" s="12" t="s">
        <v>17</v>
      </c>
      <c r="K248" s="12" t="s">
        <v>19</v>
      </c>
      <c r="L248" s="12" t="s">
        <v>25</v>
      </c>
      <c r="M248" s="12">
        <v>230.00399999999999</v>
      </c>
      <c r="N248" s="12">
        <v>191.88399999999999</v>
      </c>
      <c r="Q248" s="13">
        <f t="shared" si="6"/>
        <v>0.83426375193474889</v>
      </c>
    </row>
    <row r="249" spans="1:17" x14ac:dyDescent="0.25">
      <c r="A249" s="12">
        <f t="shared" si="7"/>
        <v>5</v>
      </c>
      <c r="B249" s="12">
        <v>2021</v>
      </c>
      <c r="C249" s="12">
        <v>6528</v>
      </c>
      <c r="D249" s="12">
        <v>19554898</v>
      </c>
      <c r="E249" s="12" t="s">
        <v>13</v>
      </c>
      <c r="F249" s="12" t="s">
        <v>14</v>
      </c>
      <c r="I249" s="14">
        <v>44322</v>
      </c>
      <c r="J249" s="12" t="s">
        <v>17</v>
      </c>
      <c r="K249" s="12" t="s">
        <v>19</v>
      </c>
      <c r="L249" s="12" t="s">
        <v>25</v>
      </c>
      <c r="M249" s="12">
        <v>230</v>
      </c>
      <c r="N249" s="12">
        <v>192.095</v>
      </c>
      <c r="Q249" s="13">
        <f t="shared" si="6"/>
        <v>0.83519565217391301</v>
      </c>
    </row>
    <row r="250" spans="1:17" x14ac:dyDescent="0.25">
      <c r="A250" s="12">
        <f t="shared" si="7"/>
        <v>5</v>
      </c>
      <c r="B250" s="12">
        <v>2021</v>
      </c>
      <c r="C250" s="12">
        <v>6529</v>
      </c>
      <c r="D250" s="12">
        <v>19559120</v>
      </c>
      <c r="E250" s="12" t="s">
        <v>13</v>
      </c>
      <c r="F250" s="12" t="s">
        <v>14</v>
      </c>
      <c r="I250" s="14">
        <v>44323</v>
      </c>
      <c r="J250" s="12" t="s">
        <v>17</v>
      </c>
      <c r="K250" s="12" t="s">
        <v>19</v>
      </c>
      <c r="L250" s="12" t="s">
        <v>25</v>
      </c>
      <c r="M250" s="12">
        <v>230</v>
      </c>
      <c r="N250" s="12">
        <v>194.55699999999999</v>
      </c>
      <c r="Q250" s="13">
        <f t="shared" si="6"/>
        <v>0.84589999999999999</v>
      </c>
    </row>
    <row r="251" spans="1:17" x14ac:dyDescent="0.25">
      <c r="A251" s="12">
        <f t="shared" si="7"/>
        <v>5</v>
      </c>
      <c r="B251" s="12">
        <v>2021</v>
      </c>
      <c r="C251" s="12">
        <v>6530</v>
      </c>
      <c r="D251" s="12">
        <v>19563719</v>
      </c>
      <c r="E251" s="12" t="s">
        <v>13</v>
      </c>
      <c r="F251" s="12" t="s">
        <v>14</v>
      </c>
      <c r="I251" s="14">
        <v>44324</v>
      </c>
      <c r="J251" s="12" t="s">
        <v>17</v>
      </c>
      <c r="K251" s="12" t="s">
        <v>19</v>
      </c>
      <c r="L251" s="12" t="s">
        <v>25</v>
      </c>
      <c r="M251" s="12">
        <v>230</v>
      </c>
      <c r="N251" s="12">
        <v>187.90799999999999</v>
      </c>
      <c r="Q251" s="13">
        <f t="shared" si="6"/>
        <v>0.81699130434782608</v>
      </c>
    </row>
    <row r="252" spans="1:17" x14ac:dyDescent="0.25">
      <c r="A252" s="12">
        <f t="shared" si="7"/>
        <v>5</v>
      </c>
      <c r="B252" s="12">
        <v>2021</v>
      </c>
      <c r="C252" s="12">
        <v>6531</v>
      </c>
      <c r="D252" s="12">
        <v>19567795</v>
      </c>
      <c r="E252" s="12" t="s">
        <v>13</v>
      </c>
      <c r="F252" s="12" t="s">
        <v>14</v>
      </c>
      <c r="I252" s="14">
        <v>44325</v>
      </c>
      <c r="J252" s="12" t="s">
        <v>17</v>
      </c>
      <c r="K252" s="12" t="s">
        <v>19</v>
      </c>
      <c r="L252" s="12" t="s">
        <v>25</v>
      </c>
      <c r="M252" s="12">
        <v>230.001</v>
      </c>
      <c r="N252" s="12">
        <v>190.30799999999999</v>
      </c>
      <c r="Q252" s="13">
        <f t="shared" si="6"/>
        <v>0.82742248946743702</v>
      </c>
    </row>
    <row r="253" spans="1:17" x14ac:dyDescent="0.25">
      <c r="A253" s="12">
        <f t="shared" si="7"/>
        <v>5</v>
      </c>
      <c r="B253" s="12">
        <v>2021</v>
      </c>
      <c r="C253" s="12">
        <v>6532</v>
      </c>
      <c r="D253" s="12">
        <v>19571815</v>
      </c>
      <c r="E253" s="12" t="s">
        <v>13</v>
      </c>
      <c r="F253" s="12" t="s">
        <v>14</v>
      </c>
      <c r="I253" s="14">
        <v>44326</v>
      </c>
      <c r="J253" s="12" t="s">
        <v>18</v>
      </c>
      <c r="K253" s="12" t="s">
        <v>20</v>
      </c>
      <c r="L253" s="12" t="s">
        <v>30</v>
      </c>
      <c r="M253" s="12">
        <v>232.00299999999999</v>
      </c>
      <c r="N253" s="12">
        <v>189.453</v>
      </c>
      <c r="Q253" s="13">
        <f t="shared" si="6"/>
        <v>0.81659719917414864</v>
      </c>
    </row>
    <row r="254" spans="1:17" x14ac:dyDescent="0.25">
      <c r="A254" s="12">
        <f t="shared" si="7"/>
        <v>5</v>
      </c>
      <c r="B254" s="12">
        <v>2021</v>
      </c>
      <c r="C254" s="12">
        <v>6533</v>
      </c>
      <c r="D254" s="12">
        <v>19572076</v>
      </c>
      <c r="E254" s="12" t="s">
        <v>13</v>
      </c>
      <c r="F254" s="12" t="s">
        <v>14</v>
      </c>
      <c r="I254" s="14">
        <v>44327</v>
      </c>
      <c r="J254" s="12" t="s">
        <v>18</v>
      </c>
      <c r="K254" s="12" t="s">
        <v>20</v>
      </c>
      <c r="L254" s="12" t="s">
        <v>30</v>
      </c>
      <c r="M254" s="12">
        <v>232.00200000000001</v>
      </c>
      <c r="N254" s="12">
        <v>187.68899999999999</v>
      </c>
      <c r="Q254" s="13">
        <f t="shared" si="6"/>
        <v>0.80899733622986003</v>
      </c>
    </row>
    <row r="255" spans="1:17" x14ac:dyDescent="0.25">
      <c r="A255" s="12">
        <f t="shared" si="7"/>
        <v>5</v>
      </c>
      <c r="B255" s="12">
        <v>2021</v>
      </c>
      <c r="C255" s="12">
        <v>6534</v>
      </c>
      <c r="D255" s="12">
        <v>19572682</v>
      </c>
      <c r="E255" s="12" t="s">
        <v>13</v>
      </c>
      <c r="F255" s="12" t="s">
        <v>14</v>
      </c>
      <c r="I255" s="14">
        <v>44328</v>
      </c>
      <c r="J255" s="12" t="s">
        <v>37</v>
      </c>
      <c r="K255" s="12" t="s">
        <v>19</v>
      </c>
      <c r="L255" s="12" t="s">
        <v>22</v>
      </c>
      <c r="M255" s="12">
        <v>230.011</v>
      </c>
      <c r="N255" s="12">
        <v>190.352</v>
      </c>
      <c r="P255" s="12">
        <v>11.4</v>
      </c>
      <c r="Q255" s="13">
        <f t="shared" si="6"/>
        <v>0.82757781149597198</v>
      </c>
    </row>
    <row r="256" spans="1:17" x14ac:dyDescent="0.25">
      <c r="A256" s="12">
        <f t="shared" si="7"/>
        <v>5</v>
      </c>
      <c r="B256" s="12">
        <v>2021</v>
      </c>
      <c r="C256" s="12">
        <v>6535</v>
      </c>
      <c r="D256" s="12">
        <v>19576181</v>
      </c>
      <c r="E256" s="12" t="s">
        <v>13</v>
      </c>
      <c r="F256" s="12" t="s">
        <v>14</v>
      </c>
      <c r="I256" s="14">
        <v>44329</v>
      </c>
      <c r="J256" s="12" t="s">
        <v>37</v>
      </c>
      <c r="K256" s="12" t="s">
        <v>19</v>
      </c>
      <c r="L256" s="12" t="s">
        <v>22</v>
      </c>
      <c r="M256" s="12">
        <v>230</v>
      </c>
      <c r="N256" s="12">
        <v>189.42099999999999</v>
      </c>
      <c r="Q256" s="13">
        <f t="shared" si="6"/>
        <v>0.82356956521739122</v>
      </c>
    </row>
    <row r="257" spans="1:17" x14ac:dyDescent="0.25">
      <c r="A257" s="12">
        <f t="shared" si="7"/>
        <v>5</v>
      </c>
      <c r="B257" s="12">
        <v>2021</v>
      </c>
      <c r="C257" s="12">
        <v>6536</v>
      </c>
      <c r="D257" s="12">
        <v>19579964</v>
      </c>
      <c r="E257" s="12" t="s">
        <v>13</v>
      </c>
      <c r="F257" s="12" t="s">
        <v>14</v>
      </c>
      <c r="I257" s="14">
        <v>44330</v>
      </c>
      <c r="J257" s="12" t="s">
        <v>37</v>
      </c>
      <c r="K257" s="12" t="s">
        <v>19</v>
      </c>
      <c r="L257" s="12" t="s">
        <v>22</v>
      </c>
      <c r="M257" s="12">
        <v>230</v>
      </c>
      <c r="N257" s="12">
        <v>189.55</v>
      </c>
      <c r="Q257" s="13">
        <f t="shared" si="6"/>
        <v>0.82413043478260872</v>
      </c>
    </row>
    <row r="258" spans="1:17" x14ac:dyDescent="0.25">
      <c r="A258" s="12">
        <f t="shared" si="7"/>
        <v>5</v>
      </c>
      <c r="B258" s="12">
        <v>2021</v>
      </c>
      <c r="C258" s="12">
        <v>6537</v>
      </c>
      <c r="D258" s="12">
        <v>19582995</v>
      </c>
      <c r="E258" s="12" t="s">
        <v>13</v>
      </c>
      <c r="F258" s="12" t="s">
        <v>14</v>
      </c>
      <c r="I258" s="14">
        <v>44331</v>
      </c>
      <c r="J258" s="12" t="s">
        <v>37</v>
      </c>
      <c r="K258" s="12" t="s">
        <v>19</v>
      </c>
      <c r="L258" s="12" t="s">
        <v>22</v>
      </c>
      <c r="M258" s="12">
        <v>229.99600000000001</v>
      </c>
      <c r="N258" s="12">
        <v>194.18</v>
      </c>
      <c r="Q258" s="13">
        <f t="shared" ref="Q258:Q321" si="8">N258/M258</f>
        <v>0.84427555261830645</v>
      </c>
    </row>
    <row r="259" spans="1:17" x14ac:dyDescent="0.25">
      <c r="A259" s="12">
        <f t="shared" ref="A259:A322" si="9">MONTH(I259)</f>
        <v>5</v>
      </c>
      <c r="B259" s="12">
        <v>2021</v>
      </c>
      <c r="C259" s="12">
        <v>6538</v>
      </c>
      <c r="D259" s="12">
        <v>19587260</v>
      </c>
      <c r="E259" s="12" t="s">
        <v>13</v>
      </c>
      <c r="F259" s="12" t="s">
        <v>14</v>
      </c>
      <c r="I259" s="14">
        <v>44332</v>
      </c>
      <c r="J259" s="12" t="s">
        <v>37</v>
      </c>
      <c r="K259" s="12" t="s">
        <v>19</v>
      </c>
      <c r="L259" s="12" t="s">
        <v>22</v>
      </c>
      <c r="M259" s="12">
        <v>229.995</v>
      </c>
      <c r="N259" s="12">
        <v>185.96199999999999</v>
      </c>
      <c r="Q259" s="13">
        <f t="shared" si="8"/>
        <v>0.80854801191330239</v>
      </c>
    </row>
    <row r="260" spans="1:17" x14ac:dyDescent="0.25">
      <c r="A260" s="12">
        <f t="shared" si="9"/>
        <v>5</v>
      </c>
      <c r="B260" s="12">
        <v>2021</v>
      </c>
      <c r="C260" s="12">
        <v>6539</v>
      </c>
      <c r="D260" s="12">
        <v>19591103</v>
      </c>
      <c r="E260" s="12" t="s">
        <v>13</v>
      </c>
      <c r="F260" s="12" t="s">
        <v>14</v>
      </c>
      <c r="I260" s="14">
        <v>44333</v>
      </c>
      <c r="J260" s="12" t="s">
        <v>36</v>
      </c>
      <c r="K260" s="12" t="s">
        <v>20</v>
      </c>
      <c r="L260" s="12" t="s">
        <v>30</v>
      </c>
      <c r="M260" s="12">
        <v>232.00299999999999</v>
      </c>
      <c r="N260" s="12">
        <v>190.9</v>
      </c>
      <c r="Q260" s="13">
        <f t="shared" si="8"/>
        <v>0.82283418748895498</v>
      </c>
    </row>
    <row r="261" spans="1:17" x14ac:dyDescent="0.25">
      <c r="A261" s="12">
        <f t="shared" si="9"/>
        <v>5</v>
      </c>
      <c r="B261" s="12">
        <v>2021</v>
      </c>
      <c r="C261" s="12">
        <v>6540</v>
      </c>
      <c r="D261" s="12">
        <v>19591111</v>
      </c>
      <c r="E261" s="12" t="s">
        <v>13</v>
      </c>
      <c r="F261" s="12" t="s">
        <v>14</v>
      </c>
      <c r="I261" s="14">
        <v>44334</v>
      </c>
      <c r="J261" s="12" t="s">
        <v>36</v>
      </c>
      <c r="K261" s="12" t="s">
        <v>20</v>
      </c>
      <c r="L261" s="12" t="s">
        <v>30</v>
      </c>
      <c r="M261" s="12">
        <v>232.00299999999999</v>
      </c>
      <c r="N261" s="12">
        <v>186.64</v>
      </c>
      <c r="Q261" s="13">
        <f t="shared" si="8"/>
        <v>0.80447235596091426</v>
      </c>
    </row>
    <row r="262" spans="1:17" x14ac:dyDescent="0.25">
      <c r="A262" s="12">
        <f t="shared" si="9"/>
        <v>5</v>
      </c>
      <c r="B262" s="12">
        <v>2021</v>
      </c>
      <c r="C262" s="12">
        <v>6541</v>
      </c>
      <c r="D262" s="12">
        <v>19591138</v>
      </c>
      <c r="E262" s="12" t="s">
        <v>13</v>
      </c>
      <c r="F262" s="12" t="s">
        <v>14</v>
      </c>
      <c r="I262" s="14">
        <v>44335</v>
      </c>
      <c r="J262" s="12" t="s">
        <v>18</v>
      </c>
      <c r="K262" s="12" t="s">
        <v>20</v>
      </c>
      <c r="L262" s="12" t="s">
        <v>31</v>
      </c>
      <c r="M262" s="12">
        <v>232.00299999999999</v>
      </c>
      <c r="N262" s="12">
        <v>196.327</v>
      </c>
      <c r="Q262" s="13">
        <f t="shared" si="8"/>
        <v>0.8462261263862968</v>
      </c>
    </row>
    <row r="263" spans="1:17" x14ac:dyDescent="0.25">
      <c r="A263" s="12">
        <f t="shared" si="9"/>
        <v>5</v>
      </c>
      <c r="B263" s="12">
        <v>2021</v>
      </c>
      <c r="C263" s="12">
        <v>6542</v>
      </c>
      <c r="D263" s="12">
        <v>19596529</v>
      </c>
      <c r="E263" s="12" t="s">
        <v>13</v>
      </c>
      <c r="F263" s="12" t="s">
        <v>14</v>
      </c>
      <c r="I263" s="14">
        <v>44336</v>
      </c>
      <c r="J263" s="12" t="s">
        <v>18</v>
      </c>
      <c r="K263" s="12" t="s">
        <v>20</v>
      </c>
      <c r="L263" s="12" t="s">
        <v>31</v>
      </c>
      <c r="M263" s="12">
        <v>232.00299999999999</v>
      </c>
      <c r="N263" s="12">
        <v>192.751</v>
      </c>
      <c r="Q263" s="13">
        <f t="shared" si="8"/>
        <v>0.83081253259656129</v>
      </c>
    </row>
    <row r="264" spans="1:17" x14ac:dyDescent="0.25">
      <c r="A264" s="12">
        <f t="shared" si="9"/>
        <v>5</v>
      </c>
      <c r="B264" s="12">
        <v>2021</v>
      </c>
      <c r="C264" s="12">
        <v>6543</v>
      </c>
      <c r="D264" s="12">
        <v>19600217</v>
      </c>
      <c r="E264" s="12" t="s">
        <v>13</v>
      </c>
      <c r="F264" s="12" t="s">
        <v>14</v>
      </c>
      <c r="I264" s="14">
        <v>44337</v>
      </c>
      <c r="J264" s="12" t="s">
        <v>17</v>
      </c>
      <c r="K264" s="12" t="s">
        <v>19</v>
      </c>
      <c r="L264" s="12" t="s">
        <v>22</v>
      </c>
      <c r="M264" s="12">
        <v>230.01599999999999</v>
      </c>
      <c r="N264" s="12">
        <v>190.32599999999999</v>
      </c>
      <c r="P264" s="12">
        <v>10.9</v>
      </c>
      <c r="Q264" s="13">
        <f t="shared" si="8"/>
        <v>0.82744678631051749</v>
      </c>
    </row>
    <row r="265" spans="1:17" x14ac:dyDescent="0.25">
      <c r="A265" s="12">
        <f t="shared" si="9"/>
        <v>5</v>
      </c>
      <c r="B265" s="12">
        <v>2021</v>
      </c>
      <c r="C265" s="12">
        <v>6544</v>
      </c>
      <c r="D265" s="12">
        <v>19604517</v>
      </c>
      <c r="E265" s="12" t="s">
        <v>13</v>
      </c>
      <c r="F265" s="12" t="s">
        <v>14</v>
      </c>
      <c r="I265" s="14">
        <v>44338</v>
      </c>
      <c r="J265" s="12" t="s">
        <v>17</v>
      </c>
      <c r="K265" s="12" t="s">
        <v>19</v>
      </c>
      <c r="L265" s="12" t="s">
        <v>22</v>
      </c>
      <c r="M265" s="12">
        <v>229.99799999999999</v>
      </c>
      <c r="N265" s="12">
        <v>193</v>
      </c>
      <c r="Q265" s="13">
        <f t="shared" si="8"/>
        <v>0.83913773163244898</v>
      </c>
    </row>
    <row r="266" spans="1:17" x14ac:dyDescent="0.25">
      <c r="A266" s="12">
        <f t="shared" si="9"/>
        <v>5</v>
      </c>
      <c r="B266" s="12">
        <v>2021</v>
      </c>
      <c r="C266" s="12">
        <v>6545</v>
      </c>
      <c r="D266" s="12">
        <v>19606715</v>
      </c>
      <c r="E266" s="12" t="s">
        <v>13</v>
      </c>
      <c r="F266" s="12" t="s">
        <v>14</v>
      </c>
      <c r="I266" s="14">
        <v>44339</v>
      </c>
      <c r="J266" s="12" t="s">
        <v>17</v>
      </c>
      <c r="K266" s="12" t="s">
        <v>19</v>
      </c>
      <c r="L266" s="12" t="s">
        <v>22</v>
      </c>
      <c r="M266" s="12">
        <v>229.99799999999999</v>
      </c>
      <c r="N266" s="12">
        <v>190.78800000000001</v>
      </c>
      <c r="Q266" s="13">
        <f t="shared" si="8"/>
        <v>0.82952025669788443</v>
      </c>
    </row>
    <row r="267" spans="1:17" x14ac:dyDescent="0.25">
      <c r="A267" s="12">
        <f t="shared" si="9"/>
        <v>5</v>
      </c>
      <c r="B267" s="12">
        <v>2021</v>
      </c>
      <c r="C267" s="12">
        <v>6546</v>
      </c>
      <c r="D267" s="12">
        <v>19609561</v>
      </c>
      <c r="E267" s="12" t="s">
        <v>13</v>
      </c>
      <c r="F267" s="12" t="s">
        <v>14</v>
      </c>
      <c r="I267" s="14">
        <v>44340</v>
      </c>
      <c r="J267" s="12" t="s">
        <v>17</v>
      </c>
      <c r="K267" s="12" t="s">
        <v>19</v>
      </c>
      <c r="L267" s="12" t="s">
        <v>22</v>
      </c>
      <c r="M267" s="12">
        <v>230.006</v>
      </c>
      <c r="N267" s="12">
        <v>198.084</v>
      </c>
      <c r="Q267" s="13">
        <f t="shared" si="8"/>
        <v>0.86121231620044691</v>
      </c>
    </row>
    <row r="268" spans="1:17" x14ac:dyDescent="0.25">
      <c r="A268" s="12">
        <f t="shared" si="9"/>
        <v>5</v>
      </c>
      <c r="B268" s="12">
        <v>2021</v>
      </c>
      <c r="C268" s="12">
        <v>6547</v>
      </c>
      <c r="D268" s="12">
        <v>19610853</v>
      </c>
      <c r="E268" s="12" t="s">
        <v>13</v>
      </c>
      <c r="F268" s="12" t="s">
        <v>14</v>
      </c>
      <c r="I268" s="14">
        <v>44341</v>
      </c>
      <c r="J268" s="12" t="s">
        <v>17</v>
      </c>
      <c r="K268" s="12" t="s">
        <v>19</v>
      </c>
      <c r="L268" s="12" t="s">
        <v>22</v>
      </c>
      <c r="M268" s="12">
        <v>230.006</v>
      </c>
      <c r="N268" s="12">
        <v>189.601</v>
      </c>
      <c r="Q268" s="13">
        <f t="shared" si="8"/>
        <v>0.82433066963470514</v>
      </c>
    </row>
    <row r="269" spans="1:17" x14ac:dyDescent="0.25">
      <c r="A269" s="12">
        <f t="shared" si="9"/>
        <v>5</v>
      </c>
      <c r="B269" s="12">
        <v>2021</v>
      </c>
      <c r="C269" s="12">
        <v>6548</v>
      </c>
      <c r="D269" s="12">
        <v>19610896</v>
      </c>
      <c r="E269" s="12" t="s">
        <v>13</v>
      </c>
      <c r="F269" s="12" t="s">
        <v>14</v>
      </c>
      <c r="I269" s="14">
        <v>44342</v>
      </c>
      <c r="J269" s="12" t="s">
        <v>18</v>
      </c>
      <c r="K269" s="12" t="s">
        <v>20</v>
      </c>
      <c r="L269" s="12" t="s">
        <v>30</v>
      </c>
      <c r="M269" s="12">
        <v>232.005</v>
      </c>
      <c r="N269" s="12">
        <v>194.41</v>
      </c>
      <c r="P269" s="12">
        <v>10.6</v>
      </c>
      <c r="Q269" s="13">
        <f t="shared" si="8"/>
        <v>0.83795607853279019</v>
      </c>
    </row>
    <row r="270" spans="1:17" x14ac:dyDescent="0.25">
      <c r="A270" s="12">
        <f t="shared" si="9"/>
        <v>5</v>
      </c>
      <c r="B270" s="12">
        <v>2021</v>
      </c>
      <c r="C270" s="12">
        <v>6549</v>
      </c>
      <c r="D270" s="12">
        <v>19616462</v>
      </c>
      <c r="E270" s="12" t="s">
        <v>13</v>
      </c>
      <c r="F270" s="12" t="s">
        <v>14</v>
      </c>
      <c r="I270" s="14">
        <v>44343</v>
      </c>
      <c r="J270" s="12" t="s">
        <v>18</v>
      </c>
      <c r="K270" s="12" t="s">
        <v>20</v>
      </c>
      <c r="L270" s="12" t="s">
        <v>30</v>
      </c>
      <c r="M270" s="12">
        <v>231.99199999999999</v>
      </c>
      <c r="N270" s="12">
        <v>191.38800000000001</v>
      </c>
      <c r="Q270" s="13">
        <f t="shared" si="8"/>
        <v>0.82497672333528749</v>
      </c>
    </row>
    <row r="271" spans="1:17" x14ac:dyDescent="0.25">
      <c r="A271" s="12">
        <f t="shared" si="9"/>
        <v>5</v>
      </c>
      <c r="B271" s="12">
        <v>2021</v>
      </c>
      <c r="C271" s="12">
        <v>6550</v>
      </c>
      <c r="D271" s="12">
        <v>19620277</v>
      </c>
      <c r="E271" s="12" t="s">
        <v>13</v>
      </c>
      <c r="F271" s="12" t="s">
        <v>14</v>
      </c>
      <c r="I271" s="14">
        <v>44344</v>
      </c>
      <c r="J271" s="12" t="s">
        <v>18</v>
      </c>
      <c r="K271" s="12" t="s">
        <v>20</v>
      </c>
      <c r="L271" s="12" t="s">
        <v>30</v>
      </c>
      <c r="M271" s="12">
        <v>231.99299999999999</v>
      </c>
      <c r="N271" s="12">
        <v>197.93600000000001</v>
      </c>
      <c r="Q271" s="13">
        <f t="shared" si="8"/>
        <v>0.85319815684093925</v>
      </c>
    </row>
    <row r="272" spans="1:17" x14ac:dyDescent="0.25">
      <c r="A272" s="12">
        <f t="shared" si="9"/>
        <v>5</v>
      </c>
      <c r="B272" s="12">
        <v>2021</v>
      </c>
      <c r="C272" s="12">
        <v>6551</v>
      </c>
      <c r="D272" s="12">
        <v>19623911</v>
      </c>
      <c r="E272" s="12" t="s">
        <v>13</v>
      </c>
      <c r="F272" s="12" t="s">
        <v>14</v>
      </c>
      <c r="I272" s="14">
        <v>44345</v>
      </c>
      <c r="J272" s="12" t="s">
        <v>18</v>
      </c>
      <c r="K272" s="12" t="s">
        <v>20</v>
      </c>
      <c r="L272" s="12" t="s">
        <v>30</v>
      </c>
      <c r="M272" s="12">
        <v>232.005</v>
      </c>
      <c r="N272" s="12">
        <v>194.11500000000001</v>
      </c>
      <c r="Q272" s="13">
        <f t="shared" si="8"/>
        <v>0.83668455421219379</v>
      </c>
    </row>
    <row r="273" spans="1:17" x14ac:dyDescent="0.25">
      <c r="A273" s="12">
        <f t="shared" si="9"/>
        <v>5</v>
      </c>
      <c r="B273" s="12">
        <v>2021</v>
      </c>
      <c r="C273" s="12">
        <v>6552</v>
      </c>
      <c r="D273" s="12">
        <v>19628551</v>
      </c>
      <c r="E273" s="12" t="s">
        <v>13</v>
      </c>
      <c r="F273" s="12" t="s">
        <v>14</v>
      </c>
      <c r="I273" s="14">
        <v>44346</v>
      </c>
      <c r="J273" s="12" t="s">
        <v>18</v>
      </c>
      <c r="K273" s="12" t="s">
        <v>20</v>
      </c>
      <c r="L273" s="12" t="s">
        <v>30</v>
      </c>
      <c r="M273" s="12">
        <v>232.005</v>
      </c>
      <c r="N273" s="12">
        <v>189</v>
      </c>
      <c r="Q273" s="13">
        <f t="shared" si="8"/>
        <v>0.81463761556863001</v>
      </c>
    </row>
    <row r="274" spans="1:17" x14ac:dyDescent="0.25">
      <c r="A274" s="12">
        <f t="shared" si="9"/>
        <v>5</v>
      </c>
      <c r="B274" s="12">
        <v>2021</v>
      </c>
      <c r="C274" s="12">
        <v>6553</v>
      </c>
      <c r="D274" s="12">
        <v>19631718</v>
      </c>
      <c r="E274" s="12" t="s">
        <v>13</v>
      </c>
      <c r="F274" s="12" t="s">
        <v>14</v>
      </c>
      <c r="I274" s="14">
        <v>44347</v>
      </c>
      <c r="J274" s="12" t="s">
        <v>17</v>
      </c>
      <c r="K274" s="12" t="s">
        <v>19</v>
      </c>
      <c r="L274" s="12" t="s">
        <v>25</v>
      </c>
      <c r="M274" s="12">
        <v>230.023</v>
      </c>
      <c r="N274" s="12">
        <v>194.86099999999999</v>
      </c>
      <c r="P274" s="12">
        <v>12.6</v>
      </c>
      <c r="Q274" s="13">
        <f t="shared" si="8"/>
        <v>0.84713702542789193</v>
      </c>
    </row>
    <row r="275" spans="1:17" x14ac:dyDescent="0.25">
      <c r="A275" s="12">
        <f t="shared" si="9"/>
        <v>6</v>
      </c>
      <c r="B275" s="12">
        <v>2021</v>
      </c>
      <c r="C275" s="12">
        <v>6554</v>
      </c>
      <c r="D275" s="12">
        <v>19631726</v>
      </c>
      <c r="E275" s="12" t="s">
        <v>13</v>
      </c>
      <c r="F275" s="12" t="s">
        <v>14</v>
      </c>
      <c r="I275" s="14">
        <v>44348</v>
      </c>
      <c r="J275" s="12" t="s">
        <v>17</v>
      </c>
      <c r="K275" s="12" t="s">
        <v>19</v>
      </c>
      <c r="L275" s="12" t="s">
        <v>25</v>
      </c>
      <c r="M275" s="12">
        <v>230.001</v>
      </c>
      <c r="N275" s="12">
        <v>192.274</v>
      </c>
      <c r="Q275" s="13">
        <f t="shared" si="8"/>
        <v>0.83597027839009397</v>
      </c>
    </row>
    <row r="276" spans="1:17" x14ac:dyDescent="0.25">
      <c r="A276" s="12">
        <f t="shared" si="9"/>
        <v>6</v>
      </c>
      <c r="B276" s="12">
        <v>2021</v>
      </c>
      <c r="C276" s="12">
        <v>6555</v>
      </c>
      <c r="D276" s="12">
        <v>19631734</v>
      </c>
      <c r="E276" s="12" t="s">
        <v>13</v>
      </c>
      <c r="F276" s="12" t="s">
        <v>14</v>
      </c>
      <c r="I276" s="14">
        <v>44349</v>
      </c>
      <c r="J276" s="12" t="s">
        <v>17</v>
      </c>
      <c r="K276" s="12" t="s">
        <v>19</v>
      </c>
      <c r="L276" s="12" t="s">
        <v>25</v>
      </c>
      <c r="M276" s="12">
        <v>230.001</v>
      </c>
      <c r="N276" s="12">
        <v>193.55</v>
      </c>
      <c r="Q276" s="13">
        <f t="shared" si="8"/>
        <v>0.84151808035617237</v>
      </c>
    </row>
    <row r="277" spans="1:17" x14ac:dyDescent="0.25">
      <c r="A277" s="12">
        <f t="shared" si="9"/>
        <v>6</v>
      </c>
      <c r="B277" s="12">
        <v>2021</v>
      </c>
      <c r="C277" s="12">
        <v>6556</v>
      </c>
      <c r="D277" s="12">
        <v>19635911</v>
      </c>
      <c r="E277" s="12" t="s">
        <v>13</v>
      </c>
      <c r="F277" s="12" t="s">
        <v>14</v>
      </c>
      <c r="I277" s="14">
        <v>44350</v>
      </c>
      <c r="J277" s="12" t="s">
        <v>17</v>
      </c>
      <c r="K277" s="12" t="s">
        <v>19</v>
      </c>
      <c r="L277" s="12" t="s">
        <v>25</v>
      </c>
      <c r="M277" s="12">
        <v>229.99799999999999</v>
      </c>
      <c r="N277" s="12">
        <v>190.86600000000001</v>
      </c>
      <c r="Q277" s="13">
        <f t="shared" si="8"/>
        <v>0.82985939008165299</v>
      </c>
    </row>
    <row r="278" spans="1:17" x14ac:dyDescent="0.25">
      <c r="A278" s="12">
        <f t="shared" si="9"/>
        <v>6</v>
      </c>
      <c r="B278" s="12">
        <v>2021</v>
      </c>
      <c r="C278" s="12">
        <v>6557</v>
      </c>
      <c r="D278" s="12">
        <v>19639197</v>
      </c>
      <c r="E278" s="12" t="s">
        <v>13</v>
      </c>
      <c r="F278" s="12" t="s">
        <v>14</v>
      </c>
      <c r="I278" s="14">
        <v>44351</v>
      </c>
      <c r="J278" s="12" t="s">
        <v>17</v>
      </c>
      <c r="K278" s="12" t="s">
        <v>19</v>
      </c>
      <c r="L278" s="12" t="s">
        <v>25</v>
      </c>
      <c r="M278" s="12">
        <v>229.99799999999999</v>
      </c>
      <c r="N278" s="12">
        <v>193.55699999999999</v>
      </c>
      <c r="Q278" s="13">
        <f t="shared" si="8"/>
        <v>0.841559491821668</v>
      </c>
    </row>
    <row r="279" spans="1:17" x14ac:dyDescent="0.25">
      <c r="A279" s="12">
        <f t="shared" si="9"/>
        <v>6</v>
      </c>
      <c r="B279" s="12">
        <v>2021</v>
      </c>
      <c r="C279" s="12">
        <v>6558</v>
      </c>
      <c r="D279" s="12">
        <v>19643217</v>
      </c>
      <c r="E279" s="12" t="s">
        <v>13</v>
      </c>
      <c r="F279" s="12" t="s">
        <v>14</v>
      </c>
      <c r="I279" s="14">
        <v>44352</v>
      </c>
      <c r="J279" s="12" t="s">
        <v>37</v>
      </c>
      <c r="K279" s="12" t="s">
        <v>20</v>
      </c>
      <c r="L279" s="12" t="s">
        <v>31</v>
      </c>
      <c r="M279" s="12">
        <v>235.005</v>
      </c>
      <c r="N279" s="12">
        <v>196.26499999999999</v>
      </c>
      <c r="Q279" s="13">
        <f t="shared" si="8"/>
        <v>0.83515244356503049</v>
      </c>
    </row>
    <row r="280" spans="1:17" x14ac:dyDescent="0.25">
      <c r="A280" s="12">
        <f t="shared" si="9"/>
        <v>6</v>
      </c>
      <c r="B280" s="12">
        <v>2021</v>
      </c>
      <c r="C280" s="12">
        <v>6559</v>
      </c>
      <c r="D280" s="12">
        <v>19648528</v>
      </c>
      <c r="E280" s="12" t="s">
        <v>13</v>
      </c>
      <c r="F280" s="12" t="s">
        <v>14</v>
      </c>
      <c r="I280" s="14">
        <v>44353</v>
      </c>
      <c r="J280" s="12" t="s">
        <v>37</v>
      </c>
      <c r="K280" s="12" t="s">
        <v>20</v>
      </c>
      <c r="L280" s="12" t="s">
        <v>31</v>
      </c>
      <c r="M280" s="12">
        <v>235.00399999999999</v>
      </c>
      <c r="N280" s="12">
        <v>193.74299999999999</v>
      </c>
      <c r="Q280" s="13">
        <f t="shared" si="8"/>
        <v>0.82442426511889155</v>
      </c>
    </row>
    <row r="281" spans="1:17" x14ac:dyDescent="0.25">
      <c r="A281" s="12">
        <f t="shared" si="9"/>
        <v>6</v>
      </c>
      <c r="B281" s="12">
        <v>2021</v>
      </c>
      <c r="C281" s="12">
        <v>6560</v>
      </c>
      <c r="D281" s="12">
        <v>19651524</v>
      </c>
      <c r="E281" s="12" t="s">
        <v>13</v>
      </c>
      <c r="F281" s="12" t="s">
        <v>14</v>
      </c>
      <c r="I281" s="14">
        <v>44354</v>
      </c>
      <c r="J281" s="12" t="s">
        <v>17</v>
      </c>
      <c r="K281" s="12" t="s">
        <v>19</v>
      </c>
      <c r="L281" s="12" t="s">
        <v>35</v>
      </c>
      <c r="M281" s="12">
        <v>230.018</v>
      </c>
      <c r="N281" s="12">
        <v>189.67400000000001</v>
      </c>
      <c r="P281" s="12">
        <v>12</v>
      </c>
      <c r="Q281" s="13">
        <f t="shared" si="8"/>
        <v>0.82460503091062443</v>
      </c>
    </row>
    <row r="282" spans="1:17" x14ac:dyDescent="0.25">
      <c r="A282" s="12">
        <f t="shared" si="9"/>
        <v>6</v>
      </c>
      <c r="B282" s="12">
        <v>2021</v>
      </c>
      <c r="C282" s="12">
        <v>6561</v>
      </c>
      <c r="D282" s="12">
        <v>19651751</v>
      </c>
      <c r="E282" s="12" t="s">
        <v>13</v>
      </c>
      <c r="F282" s="12" t="s">
        <v>14</v>
      </c>
      <c r="I282" s="14">
        <v>44355</v>
      </c>
      <c r="J282" s="12" t="s">
        <v>38</v>
      </c>
      <c r="K282" s="12" t="s">
        <v>19</v>
      </c>
      <c r="L282" s="12" t="s">
        <v>22</v>
      </c>
      <c r="M282" s="12">
        <v>230.00700000000001</v>
      </c>
      <c r="N282" s="12">
        <v>191.95599999999999</v>
      </c>
      <c r="Q282" s="13">
        <f t="shared" si="8"/>
        <v>0.83456590451594947</v>
      </c>
    </row>
    <row r="283" spans="1:17" x14ac:dyDescent="0.25">
      <c r="A283" s="12">
        <f t="shared" si="9"/>
        <v>6</v>
      </c>
      <c r="B283" s="12">
        <v>2021</v>
      </c>
      <c r="C283" s="12">
        <v>6562</v>
      </c>
      <c r="D283" s="12">
        <v>19651760</v>
      </c>
      <c r="E283" s="12" t="s">
        <v>13</v>
      </c>
      <c r="F283" s="12" t="s">
        <v>14</v>
      </c>
      <c r="I283" s="14">
        <v>44356</v>
      </c>
      <c r="J283" s="12" t="s">
        <v>38</v>
      </c>
      <c r="K283" s="12" t="s">
        <v>19</v>
      </c>
      <c r="L283" s="12" t="s">
        <v>22</v>
      </c>
      <c r="M283" s="12">
        <v>230.006</v>
      </c>
      <c r="N283" s="12">
        <v>188.429</v>
      </c>
      <c r="Q283" s="13">
        <f t="shared" si="8"/>
        <v>0.81923515038738126</v>
      </c>
    </row>
    <row r="284" spans="1:17" x14ac:dyDescent="0.25">
      <c r="A284" s="12">
        <f t="shared" si="9"/>
        <v>6</v>
      </c>
      <c r="B284" s="12">
        <v>2021</v>
      </c>
      <c r="C284" s="12">
        <v>6563</v>
      </c>
      <c r="D284" s="12">
        <v>19657660</v>
      </c>
      <c r="E284" s="12" t="s">
        <v>13</v>
      </c>
      <c r="F284" s="12" t="s">
        <v>14</v>
      </c>
      <c r="I284" s="14">
        <v>44357</v>
      </c>
      <c r="J284" s="12" t="s">
        <v>38</v>
      </c>
      <c r="K284" s="12" t="s">
        <v>19</v>
      </c>
      <c r="L284" s="12" t="s">
        <v>22</v>
      </c>
      <c r="M284" s="12">
        <v>230.006</v>
      </c>
      <c r="N284" s="12">
        <v>191.87700000000001</v>
      </c>
      <c r="P284" s="12">
        <v>11.8</v>
      </c>
      <c r="Q284" s="13">
        <f t="shared" si="8"/>
        <v>0.83422606366790431</v>
      </c>
    </row>
    <row r="285" spans="1:17" x14ac:dyDescent="0.25">
      <c r="A285" s="12">
        <f t="shared" si="9"/>
        <v>6</v>
      </c>
      <c r="B285" s="12">
        <v>2021</v>
      </c>
      <c r="C285" s="12">
        <v>6564</v>
      </c>
      <c r="D285" s="12">
        <v>19661503</v>
      </c>
      <c r="E285" s="12" t="s">
        <v>13</v>
      </c>
      <c r="F285" s="12" t="s">
        <v>14</v>
      </c>
      <c r="I285" s="14">
        <v>44358</v>
      </c>
      <c r="J285" s="12" t="s">
        <v>17</v>
      </c>
      <c r="K285" s="12" t="s">
        <v>19</v>
      </c>
      <c r="L285" s="12" t="s">
        <v>25</v>
      </c>
      <c r="M285" s="12">
        <v>230.005</v>
      </c>
      <c r="N285" s="12">
        <v>193.91900000000001</v>
      </c>
      <c r="Q285" s="13">
        <f t="shared" si="8"/>
        <v>0.8431077585269886</v>
      </c>
    </row>
    <row r="286" spans="1:17" x14ac:dyDescent="0.25">
      <c r="A286" s="12">
        <f t="shared" si="9"/>
        <v>6</v>
      </c>
      <c r="B286" s="12">
        <v>2021</v>
      </c>
      <c r="C286" s="12">
        <v>6565</v>
      </c>
      <c r="D286" s="12">
        <v>19666380</v>
      </c>
      <c r="E286" s="12" t="s">
        <v>13</v>
      </c>
      <c r="F286" s="12" t="s">
        <v>14</v>
      </c>
      <c r="I286" s="14">
        <v>44359</v>
      </c>
      <c r="J286" s="12" t="s">
        <v>17</v>
      </c>
      <c r="K286" s="12" t="s">
        <v>19</v>
      </c>
      <c r="L286" s="12" t="s">
        <v>25</v>
      </c>
      <c r="M286" s="12">
        <v>230.005</v>
      </c>
      <c r="N286" s="12">
        <v>186.06200000000001</v>
      </c>
      <c r="Q286" s="13">
        <f t="shared" si="8"/>
        <v>0.80894763157322669</v>
      </c>
    </row>
    <row r="287" spans="1:17" x14ac:dyDescent="0.25">
      <c r="A287" s="12">
        <f t="shared" si="9"/>
        <v>6</v>
      </c>
      <c r="B287" s="12">
        <v>2021</v>
      </c>
      <c r="C287" s="12">
        <v>6566</v>
      </c>
      <c r="D287" s="12">
        <v>19670389</v>
      </c>
      <c r="E287" s="12" t="s">
        <v>13</v>
      </c>
      <c r="F287" s="12" t="s">
        <v>14</v>
      </c>
      <c r="I287" s="14">
        <v>44360</v>
      </c>
      <c r="J287" s="12" t="s">
        <v>18</v>
      </c>
      <c r="K287" s="12" t="s">
        <v>20</v>
      </c>
      <c r="L287" s="12" t="s">
        <v>31</v>
      </c>
      <c r="M287" s="12">
        <v>235.00700000000001</v>
      </c>
      <c r="N287" s="12">
        <v>203.101</v>
      </c>
      <c r="Q287" s="13">
        <f t="shared" si="8"/>
        <v>0.86423383133268372</v>
      </c>
    </row>
    <row r="288" spans="1:17" x14ac:dyDescent="0.25">
      <c r="A288" s="12">
        <f t="shared" si="9"/>
        <v>6</v>
      </c>
      <c r="B288" s="12">
        <v>2021</v>
      </c>
      <c r="C288" s="12">
        <v>6567</v>
      </c>
      <c r="D288" s="12">
        <v>19673088</v>
      </c>
      <c r="E288" s="12" t="s">
        <v>13</v>
      </c>
      <c r="F288" s="12" t="s">
        <v>14</v>
      </c>
      <c r="I288" s="14">
        <v>44361</v>
      </c>
      <c r="J288" s="12" t="s">
        <v>18</v>
      </c>
      <c r="K288" s="12" t="s">
        <v>20</v>
      </c>
      <c r="L288" s="12" t="s">
        <v>31</v>
      </c>
      <c r="M288" s="12">
        <v>235.006</v>
      </c>
      <c r="N288" s="12">
        <v>193.12899999999999</v>
      </c>
      <c r="Q288" s="13">
        <f t="shared" si="8"/>
        <v>0.82180454967107219</v>
      </c>
    </row>
    <row r="289" spans="1:17" x14ac:dyDescent="0.25">
      <c r="A289" s="12">
        <f t="shared" si="9"/>
        <v>6</v>
      </c>
      <c r="B289" s="12">
        <v>2021</v>
      </c>
      <c r="C289" s="12">
        <v>6568</v>
      </c>
      <c r="D289" s="12">
        <v>19677249</v>
      </c>
      <c r="E289" s="12" t="s">
        <v>13</v>
      </c>
      <c r="F289" s="12" t="s">
        <v>14</v>
      </c>
      <c r="I289" s="14">
        <v>44362</v>
      </c>
      <c r="J289" s="12" t="s">
        <v>37</v>
      </c>
      <c r="K289" s="12" t="s">
        <v>19</v>
      </c>
      <c r="L289" s="12" t="s">
        <v>27</v>
      </c>
      <c r="M289" s="12">
        <v>230</v>
      </c>
      <c r="N289" s="12">
        <v>189.899</v>
      </c>
      <c r="P289" s="12">
        <v>12.5</v>
      </c>
      <c r="Q289" s="13">
        <f t="shared" si="8"/>
        <v>0.82564782608695653</v>
      </c>
    </row>
    <row r="290" spans="1:17" x14ac:dyDescent="0.25">
      <c r="A290" s="12">
        <f t="shared" si="9"/>
        <v>6</v>
      </c>
      <c r="B290" s="12">
        <v>2021</v>
      </c>
      <c r="C290" s="12">
        <v>6569</v>
      </c>
      <c r="D290" s="12">
        <v>19677265</v>
      </c>
      <c r="E290" s="12" t="s">
        <v>13</v>
      </c>
      <c r="F290" s="12" t="s">
        <v>14</v>
      </c>
      <c r="I290" s="14">
        <v>44363</v>
      </c>
      <c r="J290" s="12" t="s">
        <v>37</v>
      </c>
      <c r="K290" s="12" t="s">
        <v>19</v>
      </c>
      <c r="L290" s="12" t="s">
        <v>25</v>
      </c>
      <c r="M290" s="12">
        <v>230.00399999999999</v>
      </c>
      <c r="N290" s="12">
        <v>199.83099999999999</v>
      </c>
      <c r="Q290" s="13">
        <f t="shared" si="8"/>
        <v>0.86881532495087044</v>
      </c>
    </row>
    <row r="291" spans="1:17" x14ac:dyDescent="0.25">
      <c r="A291" s="12">
        <f t="shared" si="9"/>
        <v>6</v>
      </c>
      <c r="B291" s="12">
        <v>2021</v>
      </c>
      <c r="C291" s="12">
        <v>6570</v>
      </c>
      <c r="D291" s="12">
        <v>19678701</v>
      </c>
      <c r="E291" s="12" t="s">
        <v>13</v>
      </c>
      <c r="F291" s="12" t="s">
        <v>14</v>
      </c>
      <c r="I291" s="14">
        <v>44364</v>
      </c>
      <c r="J291" s="12" t="s">
        <v>37</v>
      </c>
      <c r="K291" s="12" t="s">
        <v>19</v>
      </c>
      <c r="L291" s="12" t="s">
        <v>25</v>
      </c>
      <c r="M291" s="12">
        <v>230.005</v>
      </c>
      <c r="N291" s="12">
        <v>190.64599999999999</v>
      </c>
      <c r="Q291" s="13">
        <f t="shared" si="8"/>
        <v>0.82887763309493268</v>
      </c>
    </row>
    <row r="292" spans="1:17" x14ac:dyDescent="0.25">
      <c r="A292" s="12">
        <f t="shared" si="9"/>
        <v>6</v>
      </c>
      <c r="B292" s="12">
        <v>2021</v>
      </c>
      <c r="C292" s="12">
        <v>6571</v>
      </c>
      <c r="D292" s="12">
        <v>19683139</v>
      </c>
      <c r="E292" s="12" t="s">
        <v>13</v>
      </c>
      <c r="F292" s="12" t="s">
        <v>14</v>
      </c>
      <c r="I292" s="14">
        <v>44365</v>
      </c>
      <c r="J292" s="12" t="s">
        <v>17</v>
      </c>
      <c r="K292" s="12" t="s">
        <v>19</v>
      </c>
      <c r="L292" s="12" t="s">
        <v>25</v>
      </c>
      <c r="M292" s="12">
        <v>230.00399999999999</v>
      </c>
      <c r="N292" s="12">
        <v>194.23500000000001</v>
      </c>
      <c r="P292" s="12">
        <v>11.7</v>
      </c>
      <c r="Q292" s="13">
        <f t="shared" si="8"/>
        <v>0.8444853132988992</v>
      </c>
    </row>
    <row r="293" spans="1:17" x14ac:dyDescent="0.25">
      <c r="A293" s="12">
        <f t="shared" si="9"/>
        <v>6</v>
      </c>
      <c r="B293" s="12">
        <v>2021</v>
      </c>
      <c r="C293" s="12">
        <v>6572</v>
      </c>
      <c r="D293" s="12">
        <v>19687050</v>
      </c>
      <c r="E293" s="12" t="s">
        <v>13</v>
      </c>
      <c r="F293" s="12" t="s">
        <v>14</v>
      </c>
      <c r="I293" s="14">
        <v>44366</v>
      </c>
      <c r="J293" s="12" t="s">
        <v>17</v>
      </c>
      <c r="K293" s="12" t="s">
        <v>19</v>
      </c>
      <c r="L293" s="12" t="s">
        <v>25</v>
      </c>
      <c r="M293" s="12">
        <v>230.00299999999999</v>
      </c>
      <c r="N293" s="12">
        <v>189.124</v>
      </c>
      <c r="P293" s="12">
        <v>11.7</v>
      </c>
      <c r="Q293" s="13">
        <f t="shared" si="8"/>
        <v>0.82226753564083954</v>
      </c>
    </row>
    <row r="294" spans="1:17" x14ac:dyDescent="0.25">
      <c r="A294" s="12">
        <f t="shared" si="9"/>
        <v>6</v>
      </c>
      <c r="B294" s="12">
        <v>2021</v>
      </c>
      <c r="C294" s="12">
        <v>6573</v>
      </c>
      <c r="D294" s="12">
        <v>19690671</v>
      </c>
      <c r="E294" s="12" t="s">
        <v>13</v>
      </c>
      <c r="F294" s="12" t="s">
        <v>14</v>
      </c>
      <c r="I294" s="14">
        <v>44367</v>
      </c>
      <c r="J294" s="12" t="s">
        <v>17</v>
      </c>
      <c r="K294" s="12" t="s">
        <v>19</v>
      </c>
      <c r="L294" s="12" t="s">
        <v>25</v>
      </c>
      <c r="M294" s="12">
        <v>230.023</v>
      </c>
      <c r="N294" s="12">
        <v>190.69900000000001</v>
      </c>
      <c r="P294" s="12">
        <v>12.2</v>
      </c>
      <c r="Q294" s="13">
        <f t="shared" si="8"/>
        <v>0.82904318263825794</v>
      </c>
    </row>
    <row r="295" spans="1:17" x14ac:dyDescent="0.25">
      <c r="A295" s="12">
        <f t="shared" si="9"/>
        <v>6</v>
      </c>
      <c r="B295" s="12">
        <v>2021</v>
      </c>
      <c r="C295" s="12">
        <v>6574</v>
      </c>
      <c r="D295" s="12">
        <v>19694815</v>
      </c>
      <c r="E295" s="12" t="s">
        <v>13</v>
      </c>
      <c r="F295" s="12" t="s">
        <v>14</v>
      </c>
      <c r="I295" s="14">
        <v>44368</v>
      </c>
      <c r="J295" s="12" t="s">
        <v>17</v>
      </c>
      <c r="K295" s="12" t="s">
        <v>19</v>
      </c>
      <c r="L295" s="12" t="s">
        <v>25</v>
      </c>
      <c r="M295" s="12">
        <v>230.00299999999999</v>
      </c>
      <c r="N295" s="12">
        <v>191.11699999999999</v>
      </c>
      <c r="Q295" s="13">
        <f t="shared" si="8"/>
        <v>0.83093264000904332</v>
      </c>
    </row>
    <row r="296" spans="1:17" x14ac:dyDescent="0.25">
      <c r="A296" s="12">
        <f t="shared" si="9"/>
        <v>6</v>
      </c>
      <c r="B296" s="12">
        <v>2021</v>
      </c>
      <c r="C296" s="12">
        <v>6575</v>
      </c>
      <c r="D296" s="12">
        <v>19694823</v>
      </c>
      <c r="E296" s="12" t="s">
        <v>13</v>
      </c>
      <c r="F296" s="12" t="s">
        <v>14</v>
      </c>
      <c r="I296" s="14">
        <v>44369</v>
      </c>
      <c r="J296" s="12" t="s">
        <v>17</v>
      </c>
      <c r="K296" s="12" t="s">
        <v>19</v>
      </c>
      <c r="L296" s="12" t="s">
        <v>25</v>
      </c>
      <c r="M296" s="12">
        <v>230.00299999999999</v>
      </c>
      <c r="N296" s="12">
        <v>185.65199999999999</v>
      </c>
      <c r="Q296" s="13">
        <f t="shared" si="8"/>
        <v>0.80717208036416921</v>
      </c>
    </row>
    <row r="297" spans="1:17" x14ac:dyDescent="0.25">
      <c r="A297" s="12">
        <f t="shared" si="9"/>
        <v>6</v>
      </c>
      <c r="B297" s="12">
        <v>2021</v>
      </c>
      <c r="C297" s="12">
        <v>6576</v>
      </c>
      <c r="D297" s="12">
        <v>19694831</v>
      </c>
      <c r="E297" s="12" t="s">
        <v>13</v>
      </c>
      <c r="F297" s="12" t="s">
        <v>14</v>
      </c>
      <c r="I297" s="14">
        <v>44370</v>
      </c>
      <c r="J297" s="12" t="s">
        <v>18</v>
      </c>
      <c r="K297" s="12" t="s">
        <v>20</v>
      </c>
      <c r="L297" s="12" t="s">
        <v>31</v>
      </c>
      <c r="M297" s="12">
        <v>235.00899999999999</v>
      </c>
      <c r="N297" s="12">
        <v>202.16900000000001</v>
      </c>
      <c r="Q297" s="13">
        <f t="shared" si="8"/>
        <v>0.86026067086792435</v>
      </c>
    </row>
    <row r="298" spans="1:17" x14ac:dyDescent="0.25">
      <c r="A298" s="12">
        <f t="shared" si="9"/>
        <v>6</v>
      </c>
      <c r="B298" s="12">
        <v>2021</v>
      </c>
      <c r="C298" s="12">
        <v>6577</v>
      </c>
      <c r="D298" s="12">
        <v>19699561</v>
      </c>
      <c r="E298" s="12" t="s">
        <v>13</v>
      </c>
      <c r="F298" s="12" t="s">
        <v>14</v>
      </c>
      <c r="I298" s="14">
        <v>44371</v>
      </c>
      <c r="J298" s="12" t="s">
        <v>18</v>
      </c>
      <c r="K298" s="12" t="s">
        <v>20</v>
      </c>
      <c r="L298" s="12" t="s">
        <v>31</v>
      </c>
      <c r="M298" s="12">
        <v>235.01</v>
      </c>
      <c r="N298" s="12">
        <v>193.29</v>
      </c>
      <c r="Q298" s="13">
        <f t="shared" si="8"/>
        <v>0.82247563933449641</v>
      </c>
    </row>
    <row r="299" spans="1:17" x14ac:dyDescent="0.25">
      <c r="A299" s="12">
        <f t="shared" si="9"/>
        <v>6</v>
      </c>
      <c r="B299" s="12">
        <v>2021</v>
      </c>
      <c r="C299" s="12">
        <v>6578</v>
      </c>
      <c r="D299" s="12">
        <v>19703742</v>
      </c>
      <c r="E299" s="12" t="s">
        <v>13</v>
      </c>
      <c r="F299" s="12" t="s">
        <v>14</v>
      </c>
      <c r="I299" s="14">
        <v>44372</v>
      </c>
      <c r="J299" s="12" t="s">
        <v>17</v>
      </c>
      <c r="K299" s="12" t="s">
        <v>19</v>
      </c>
      <c r="L299" s="12" t="s">
        <v>25</v>
      </c>
      <c r="M299" s="12">
        <v>230.01400000000001</v>
      </c>
      <c r="N299" s="12">
        <v>192.23</v>
      </c>
      <c r="P299" s="12">
        <v>12.2</v>
      </c>
      <c r="Q299" s="13">
        <f t="shared" si="8"/>
        <v>0.83573173806811751</v>
      </c>
    </row>
    <row r="300" spans="1:17" x14ac:dyDescent="0.25">
      <c r="A300" s="12">
        <f t="shared" si="9"/>
        <v>6</v>
      </c>
      <c r="B300" s="12">
        <v>2021</v>
      </c>
      <c r="C300" s="12">
        <v>6579</v>
      </c>
      <c r="D300" s="12">
        <v>19709010</v>
      </c>
      <c r="E300" s="12" t="s">
        <v>13</v>
      </c>
      <c r="F300" s="12" t="s">
        <v>14</v>
      </c>
      <c r="I300" s="14">
        <v>44373</v>
      </c>
      <c r="J300" s="12" t="s">
        <v>17</v>
      </c>
      <c r="K300" s="12" t="s">
        <v>19</v>
      </c>
      <c r="L300" s="12" t="s">
        <v>25</v>
      </c>
      <c r="M300" s="12">
        <v>230.01</v>
      </c>
      <c r="N300" s="12">
        <v>187.06299999999999</v>
      </c>
      <c r="Q300" s="13">
        <f t="shared" si="8"/>
        <v>0.81328203121603404</v>
      </c>
    </row>
    <row r="301" spans="1:17" x14ac:dyDescent="0.25">
      <c r="A301" s="12">
        <f t="shared" si="9"/>
        <v>6</v>
      </c>
      <c r="B301" s="12">
        <v>2021</v>
      </c>
      <c r="C301" s="12">
        <v>6580</v>
      </c>
      <c r="D301" s="12">
        <v>19713844</v>
      </c>
      <c r="E301" s="12" t="s">
        <v>13</v>
      </c>
      <c r="F301" s="12" t="s">
        <v>14</v>
      </c>
      <c r="I301" s="14">
        <v>44374</v>
      </c>
      <c r="J301" s="12" t="s">
        <v>17</v>
      </c>
      <c r="K301" s="12" t="s">
        <v>19</v>
      </c>
      <c r="L301" s="12" t="s">
        <v>25</v>
      </c>
      <c r="M301" s="12">
        <v>230.01</v>
      </c>
      <c r="N301" s="12">
        <v>193.489</v>
      </c>
      <c r="Q301" s="13">
        <f t="shared" si="8"/>
        <v>0.84121994695882796</v>
      </c>
    </row>
    <row r="302" spans="1:17" x14ac:dyDescent="0.25">
      <c r="A302" s="12">
        <f t="shared" si="9"/>
        <v>6</v>
      </c>
      <c r="B302" s="12">
        <v>2021</v>
      </c>
      <c r="C302" s="12">
        <v>6581</v>
      </c>
      <c r="D302" s="12">
        <v>19716594</v>
      </c>
      <c r="E302" s="12" t="s">
        <v>13</v>
      </c>
      <c r="F302" s="12" t="s">
        <v>14</v>
      </c>
      <c r="I302" s="14">
        <v>44375</v>
      </c>
      <c r="J302" s="12" t="s">
        <v>17</v>
      </c>
      <c r="K302" s="12" t="s">
        <v>19</v>
      </c>
      <c r="L302" s="12" t="s">
        <v>25</v>
      </c>
      <c r="M302" s="12">
        <v>230.005</v>
      </c>
      <c r="N302" s="12">
        <v>186.57</v>
      </c>
      <c r="Q302" s="13">
        <f t="shared" si="8"/>
        <v>0.8111562792113215</v>
      </c>
    </row>
    <row r="303" spans="1:17" x14ac:dyDescent="0.25">
      <c r="A303" s="12">
        <f t="shared" si="9"/>
        <v>6</v>
      </c>
      <c r="B303" s="12">
        <v>2021</v>
      </c>
      <c r="C303" s="12">
        <v>6582</v>
      </c>
      <c r="D303" s="12">
        <v>19716607</v>
      </c>
      <c r="E303" s="12" t="s">
        <v>13</v>
      </c>
      <c r="F303" s="12" t="s">
        <v>14</v>
      </c>
      <c r="I303" s="14">
        <v>44376</v>
      </c>
      <c r="J303" s="12" t="s">
        <v>17</v>
      </c>
      <c r="K303" s="12" t="s">
        <v>19</v>
      </c>
      <c r="L303" s="12" t="s">
        <v>25</v>
      </c>
      <c r="M303" s="12">
        <v>230.005</v>
      </c>
      <c r="N303" s="12">
        <v>188.309</v>
      </c>
      <c r="Q303" s="13">
        <f t="shared" si="8"/>
        <v>0.81871698441338236</v>
      </c>
    </row>
    <row r="304" spans="1:17" x14ac:dyDescent="0.25">
      <c r="A304" s="12">
        <f t="shared" si="9"/>
        <v>6</v>
      </c>
      <c r="B304" s="12">
        <v>2021</v>
      </c>
      <c r="C304" s="12">
        <v>6583</v>
      </c>
      <c r="D304" s="12">
        <v>19717992</v>
      </c>
      <c r="E304" s="12" t="s">
        <v>13</v>
      </c>
      <c r="F304" s="12" t="s">
        <v>14</v>
      </c>
      <c r="I304" s="14">
        <v>44377</v>
      </c>
      <c r="J304" s="12" t="s">
        <v>17</v>
      </c>
      <c r="K304" s="12" t="s">
        <v>19</v>
      </c>
      <c r="L304" s="12" t="s">
        <v>25</v>
      </c>
      <c r="M304" s="12">
        <v>230.02</v>
      </c>
      <c r="N304" s="12">
        <v>189.203</v>
      </c>
      <c r="P304" s="12">
        <v>12.4</v>
      </c>
      <c r="Q304" s="13">
        <f t="shared" si="8"/>
        <v>0.82255021302495435</v>
      </c>
    </row>
    <row r="305" spans="1:17" x14ac:dyDescent="0.25">
      <c r="A305" s="12">
        <f t="shared" si="9"/>
        <v>7</v>
      </c>
      <c r="B305" s="12">
        <v>2021</v>
      </c>
      <c r="C305" s="12">
        <v>6584</v>
      </c>
      <c r="D305" s="12">
        <v>19721772</v>
      </c>
      <c r="E305" s="12" t="s">
        <v>13</v>
      </c>
      <c r="F305" s="12" t="s">
        <v>14</v>
      </c>
      <c r="I305" s="14">
        <v>44378</v>
      </c>
      <c r="J305" s="12" t="s">
        <v>17</v>
      </c>
      <c r="K305" s="12" t="s">
        <v>19</v>
      </c>
      <c r="L305" s="12" t="s">
        <v>25</v>
      </c>
      <c r="M305" s="12">
        <v>229.99600000000001</v>
      </c>
      <c r="N305" s="12">
        <v>192.2</v>
      </c>
      <c r="P305" s="12">
        <v>12.3</v>
      </c>
      <c r="Q305" s="13">
        <f t="shared" si="8"/>
        <v>0.83566670724708247</v>
      </c>
    </row>
    <row r="306" spans="1:17" x14ac:dyDescent="0.25">
      <c r="A306" s="12">
        <f t="shared" si="9"/>
        <v>7</v>
      </c>
      <c r="B306" s="12">
        <v>2021</v>
      </c>
      <c r="C306" s="12">
        <v>6585</v>
      </c>
      <c r="D306" s="12">
        <v>19726830</v>
      </c>
      <c r="E306" s="12" t="s">
        <v>13</v>
      </c>
      <c r="F306" s="12" t="s">
        <v>14</v>
      </c>
      <c r="I306" s="14">
        <v>44379</v>
      </c>
      <c r="J306" s="12" t="s">
        <v>17</v>
      </c>
      <c r="K306" s="12" t="s">
        <v>19</v>
      </c>
      <c r="L306" s="12" t="s">
        <v>25</v>
      </c>
      <c r="M306" s="12">
        <v>229.99600000000001</v>
      </c>
      <c r="N306" s="12">
        <v>185.065</v>
      </c>
      <c r="P306" s="12">
        <v>12.3</v>
      </c>
      <c r="Q306" s="13">
        <f t="shared" si="8"/>
        <v>0.80464442859875818</v>
      </c>
    </row>
    <row r="307" spans="1:17" x14ac:dyDescent="0.25">
      <c r="A307" s="12">
        <f t="shared" si="9"/>
        <v>7</v>
      </c>
      <c r="B307" s="12">
        <v>2021</v>
      </c>
      <c r="C307" s="12">
        <v>6586</v>
      </c>
      <c r="D307" s="12">
        <v>19731313</v>
      </c>
      <c r="E307" s="12" t="s">
        <v>13</v>
      </c>
      <c r="F307" s="12" t="s">
        <v>14</v>
      </c>
      <c r="I307" s="14">
        <v>44380</v>
      </c>
      <c r="J307" s="12" t="s">
        <v>17</v>
      </c>
      <c r="K307" s="12" t="s">
        <v>19</v>
      </c>
      <c r="L307" s="12" t="s">
        <v>25</v>
      </c>
      <c r="M307" s="12">
        <v>230.00800000000001</v>
      </c>
      <c r="N307" s="12">
        <v>190.09200000000001</v>
      </c>
      <c r="P307" s="12">
        <v>11.3</v>
      </c>
      <c r="Q307" s="13">
        <f t="shared" si="8"/>
        <v>0.82645821014921217</v>
      </c>
    </row>
    <row r="308" spans="1:17" x14ac:dyDescent="0.25">
      <c r="A308" s="12">
        <f t="shared" si="9"/>
        <v>7</v>
      </c>
      <c r="B308" s="12">
        <v>2021</v>
      </c>
      <c r="C308" s="12">
        <v>6587</v>
      </c>
      <c r="D308" s="12">
        <v>19734813</v>
      </c>
      <c r="E308" s="12" t="s">
        <v>13</v>
      </c>
      <c r="F308" s="12" t="s">
        <v>14</v>
      </c>
      <c r="I308" s="14">
        <v>44381</v>
      </c>
      <c r="J308" s="12" t="s">
        <v>17</v>
      </c>
      <c r="K308" s="12" t="s">
        <v>19</v>
      </c>
      <c r="L308" s="12" t="s">
        <v>25</v>
      </c>
      <c r="M308" s="12">
        <v>230.00899999999999</v>
      </c>
      <c r="N308" s="12">
        <v>193.8</v>
      </c>
      <c r="P308" s="12">
        <v>11.3</v>
      </c>
      <c r="Q308" s="13">
        <f t="shared" si="8"/>
        <v>0.84257572529770586</v>
      </c>
    </row>
    <row r="309" spans="1:17" x14ac:dyDescent="0.25">
      <c r="A309" s="12">
        <f t="shared" si="9"/>
        <v>7</v>
      </c>
      <c r="B309" s="12">
        <v>2021</v>
      </c>
      <c r="C309" s="12">
        <v>6588</v>
      </c>
      <c r="D309" s="12">
        <v>19740341</v>
      </c>
      <c r="E309" s="12" t="s">
        <v>13</v>
      </c>
      <c r="F309" s="12" t="s">
        <v>14</v>
      </c>
      <c r="I309" s="14">
        <v>44382</v>
      </c>
      <c r="J309" s="12" t="s">
        <v>18</v>
      </c>
      <c r="K309" s="12" t="s">
        <v>20</v>
      </c>
      <c r="L309" s="12" t="s">
        <v>30</v>
      </c>
      <c r="M309" s="12">
        <v>230.00299999999999</v>
      </c>
      <c r="N309" s="12">
        <v>192.476</v>
      </c>
      <c r="P309" s="12">
        <v>11.4</v>
      </c>
      <c r="Q309" s="13">
        <f t="shared" si="8"/>
        <v>0.83684125859227931</v>
      </c>
    </row>
    <row r="310" spans="1:17" x14ac:dyDescent="0.25">
      <c r="A310" s="12">
        <f t="shared" si="9"/>
        <v>7</v>
      </c>
      <c r="B310" s="12">
        <v>2021</v>
      </c>
      <c r="C310" s="12">
        <v>6589</v>
      </c>
      <c r="D310" s="12">
        <v>19740359</v>
      </c>
      <c r="E310" s="12" t="s">
        <v>13</v>
      </c>
      <c r="F310" s="12" t="s">
        <v>14</v>
      </c>
      <c r="I310" s="14">
        <v>44383</v>
      </c>
      <c r="J310" s="12" t="s">
        <v>18</v>
      </c>
      <c r="K310" s="12" t="s">
        <v>20</v>
      </c>
      <c r="L310" s="12" t="s">
        <v>30</v>
      </c>
      <c r="M310" s="12">
        <v>230.00200000000001</v>
      </c>
      <c r="N310" s="12">
        <v>192.56</v>
      </c>
      <c r="P310" s="12">
        <v>11.4</v>
      </c>
      <c r="Q310" s="13">
        <f t="shared" si="8"/>
        <v>0.83721011121642419</v>
      </c>
    </row>
    <row r="311" spans="1:17" x14ac:dyDescent="0.25">
      <c r="A311" s="12">
        <f t="shared" si="9"/>
        <v>7</v>
      </c>
      <c r="B311" s="12">
        <v>2021</v>
      </c>
      <c r="C311" s="12">
        <v>6590</v>
      </c>
      <c r="D311" s="12">
        <v>19740367</v>
      </c>
      <c r="E311" s="12" t="s">
        <v>13</v>
      </c>
      <c r="F311" s="12" t="s">
        <v>14</v>
      </c>
      <c r="I311" s="14">
        <v>44384</v>
      </c>
      <c r="J311" s="12" t="s">
        <v>18</v>
      </c>
      <c r="K311" s="12" t="s">
        <v>20</v>
      </c>
      <c r="L311" s="12" t="s">
        <v>30</v>
      </c>
      <c r="M311" s="12">
        <v>230.00200000000001</v>
      </c>
      <c r="N311" s="12">
        <v>196.708</v>
      </c>
      <c r="P311" s="12">
        <v>11.4</v>
      </c>
      <c r="Q311" s="13">
        <f t="shared" si="8"/>
        <v>0.85524473700228687</v>
      </c>
    </row>
    <row r="312" spans="1:17" x14ac:dyDescent="0.25">
      <c r="A312" s="12">
        <f t="shared" si="9"/>
        <v>7</v>
      </c>
      <c r="B312" s="12">
        <v>2021</v>
      </c>
      <c r="C312" s="12">
        <v>6591</v>
      </c>
      <c r="D312" s="12">
        <v>19744042</v>
      </c>
      <c r="E312" s="12" t="s">
        <v>13</v>
      </c>
      <c r="F312" s="12" t="s">
        <v>14</v>
      </c>
      <c r="I312" s="14">
        <v>44385</v>
      </c>
      <c r="J312" s="12" t="s">
        <v>18</v>
      </c>
      <c r="K312" s="12" t="s">
        <v>20</v>
      </c>
      <c r="L312" s="12" t="s">
        <v>30</v>
      </c>
      <c r="M312" s="12">
        <v>230</v>
      </c>
      <c r="N312" s="12">
        <v>198.452</v>
      </c>
      <c r="Q312" s="13">
        <f t="shared" si="8"/>
        <v>0.86283478260869562</v>
      </c>
    </row>
    <row r="313" spans="1:17" x14ac:dyDescent="0.25">
      <c r="A313" s="12">
        <f t="shared" si="9"/>
        <v>7</v>
      </c>
      <c r="B313" s="12">
        <v>2021</v>
      </c>
      <c r="C313" s="12">
        <v>6592</v>
      </c>
      <c r="D313" s="12">
        <v>19747631</v>
      </c>
      <c r="E313" s="12" t="s">
        <v>13</v>
      </c>
      <c r="F313" s="12" t="s">
        <v>14</v>
      </c>
      <c r="I313" s="14">
        <v>44386</v>
      </c>
      <c r="J313" s="12" t="s">
        <v>18</v>
      </c>
      <c r="K313" s="12" t="s">
        <v>20</v>
      </c>
      <c r="L313" s="12" t="s">
        <v>30</v>
      </c>
      <c r="M313" s="12">
        <v>230.001</v>
      </c>
      <c r="N313" s="12">
        <v>188.31700000000001</v>
      </c>
      <c r="Q313" s="13">
        <f t="shared" si="8"/>
        <v>0.81876600536519406</v>
      </c>
    </row>
    <row r="314" spans="1:17" x14ac:dyDescent="0.25">
      <c r="A314" s="12">
        <f t="shared" si="9"/>
        <v>7</v>
      </c>
      <c r="B314" s="12">
        <v>2021</v>
      </c>
      <c r="C314" s="12">
        <v>6593</v>
      </c>
      <c r="D314" s="12">
        <v>19752421</v>
      </c>
      <c r="E314" s="12" t="s">
        <v>13</v>
      </c>
      <c r="F314" s="12" t="s">
        <v>14</v>
      </c>
      <c r="I314" s="14">
        <v>44387</v>
      </c>
      <c r="J314" s="12" t="s">
        <v>17</v>
      </c>
      <c r="K314" s="12" t="s">
        <v>19</v>
      </c>
      <c r="L314" s="12" t="s">
        <v>25</v>
      </c>
      <c r="M314" s="12">
        <v>225.01599999999999</v>
      </c>
      <c r="N314" s="12">
        <v>186.46299999999999</v>
      </c>
      <c r="P314" s="12">
        <v>11.8</v>
      </c>
      <c r="Q314" s="13">
        <f t="shared" si="8"/>
        <v>0.82866551711878267</v>
      </c>
    </row>
    <row r="315" spans="1:17" x14ac:dyDescent="0.25">
      <c r="A315" s="12">
        <f t="shared" si="9"/>
        <v>7</v>
      </c>
      <c r="B315" s="12">
        <v>2021</v>
      </c>
      <c r="C315" s="12">
        <v>6594</v>
      </c>
      <c r="D315" s="12">
        <v>19756078</v>
      </c>
      <c r="E315" s="12" t="s">
        <v>13</v>
      </c>
      <c r="F315" s="12" t="s">
        <v>14</v>
      </c>
      <c r="I315" s="14">
        <v>44388</v>
      </c>
      <c r="J315" s="12" t="s">
        <v>17</v>
      </c>
      <c r="K315" s="12" t="s">
        <v>19</v>
      </c>
      <c r="L315" s="12" t="s">
        <v>25</v>
      </c>
      <c r="M315" s="12">
        <v>224.994</v>
      </c>
      <c r="N315" s="12">
        <v>190.53700000000001</v>
      </c>
      <c r="Q315" s="13">
        <f t="shared" si="8"/>
        <v>0.84685369387628118</v>
      </c>
    </row>
    <row r="316" spans="1:17" x14ac:dyDescent="0.25">
      <c r="A316" s="12">
        <f t="shared" si="9"/>
        <v>7</v>
      </c>
      <c r="B316" s="12">
        <v>2021</v>
      </c>
      <c r="C316" s="12">
        <v>6595</v>
      </c>
      <c r="D316" s="12">
        <v>19759906</v>
      </c>
      <c r="E316" s="12" t="s">
        <v>13</v>
      </c>
      <c r="F316" s="12" t="s">
        <v>14</v>
      </c>
      <c r="I316" s="14">
        <v>44389</v>
      </c>
      <c r="J316" s="12" t="s">
        <v>17</v>
      </c>
      <c r="K316" s="12" t="s">
        <v>19</v>
      </c>
      <c r="L316" s="12" t="s">
        <v>25</v>
      </c>
      <c r="M316" s="12">
        <v>224.99299999999999</v>
      </c>
      <c r="N316" s="12">
        <v>182.04900000000001</v>
      </c>
      <c r="Q316" s="13">
        <f t="shared" si="8"/>
        <v>0.80913183965723379</v>
      </c>
    </row>
    <row r="317" spans="1:17" x14ac:dyDescent="0.25">
      <c r="A317" s="12">
        <f t="shared" si="9"/>
        <v>7</v>
      </c>
      <c r="B317" s="12">
        <v>2021</v>
      </c>
      <c r="C317" s="12">
        <v>6596</v>
      </c>
      <c r="D317" s="12">
        <v>19759931</v>
      </c>
      <c r="E317" s="12" t="s">
        <v>13</v>
      </c>
      <c r="F317" s="12" t="s">
        <v>14</v>
      </c>
      <c r="I317" s="14">
        <v>44390</v>
      </c>
      <c r="J317" s="12" t="s">
        <v>17</v>
      </c>
      <c r="K317" s="12" t="s">
        <v>19</v>
      </c>
      <c r="L317" s="12" t="s">
        <v>25</v>
      </c>
      <c r="M317" s="12">
        <v>225.005</v>
      </c>
      <c r="N317" s="12">
        <v>186.55</v>
      </c>
      <c r="Q317" s="13">
        <f t="shared" si="8"/>
        <v>0.82909268682918169</v>
      </c>
    </row>
    <row r="318" spans="1:17" x14ac:dyDescent="0.25">
      <c r="A318" s="12">
        <f t="shared" si="9"/>
        <v>7</v>
      </c>
      <c r="B318" s="12">
        <v>2021</v>
      </c>
      <c r="C318" s="12">
        <v>6597</v>
      </c>
      <c r="D318" s="12">
        <v>19759957</v>
      </c>
      <c r="E318" s="12" t="s">
        <v>13</v>
      </c>
      <c r="F318" s="12" t="s">
        <v>14</v>
      </c>
      <c r="I318" s="14">
        <v>44391</v>
      </c>
      <c r="J318" s="12" t="s">
        <v>17</v>
      </c>
      <c r="K318" s="12" t="s">
        <v>19</v>
      </c>
      <c r="L318" s="12" t="s">
        <v>25</v>
      </c>
      <c r="M318" s="12">
        <v>225.005</v>
      </c>
      <c r="N318" s="12">
        <v>189.95</v>
      </c>
      <c r="Q318" s="13">
        <f t="shared" si="8"/>
        <v>0.84420346214528563</v>
      </c>
    </row>
    <row r="319" spans="1:17" x14ac:dyDescent="0.25">
      <c r="A319" s="12">
        <f t="shared" si="9"/>
        <v>7</v>
      </c>
      <c r="B319" s="12">
        <v>2021</v>
      </c>
      <c r="C319" s="12">
        <v>6598</v>
      </c>
      <c r="D319" s="12">
        <v>19764262</v>
      </c>
      <c r="E319" s="12" t="s">
        <v>13</v>
      </c>
      <c r="F319" s="12" t="s">
        <v>14</v>
      </c>
      <c r="I319" s="14">
        <v>44392</v>
      </c>
      <c r="J319" s="12" t="s">
        <v>17</v>
      </c>
      <c r="K319" s="12" t="s">
        <v>19</v>
      </c>
      <c r="L319" s="12" t="s">
        <v>27</v>
      </c>
      <c r="M319" s="12">
        <v>229.99600000000001</v>
      </c>
      <c r="N319" s="12">
        <v>185.45099999999999</v>
      </c>
      <c r="P319" s="12">
        <v>13.3</v>
      </c>
      <c r="Q319" s="13">
        <f t="shared" si="8"/>
        <v>0.8063227186559766</v>
      </c>
    </row>
    <row r="320" spans="1:17" x14ac:dyDescent="0.25">
      <c r="A320" s="12">
        <f t="shared" si="9"/>
        <v>7</v>
      </c>
      <c r="B320" s="12">
        <v>2021</v>
      </c>
      <c r="C320" s="12">
        <v>6599</v>
      </c>
      <c r="D320" s="12">
        <v>19767421</v>
      </c>
      <c r="E320" s="12" t="s">
        <v>13</v>
      </c>
      <c r="F320" s="12" t="s">
        <v>14</v>
      </c>
      <c r="I320" s="14">
        <v>44393</v>
      </c>
      <c r="J320" s="12" t="s">
        <v>17</v>
      </c>
      <c r="K320" s="12" t="s">
        <v>19</v>
      </c>
      <c r="L320" s="12" t="s">
        <v>27</v>
      </c>
      <c r="M320" s="12">
        <v>225.00299999999999</v>
      </c>
      <c r="N320" s="12">
        <v>189.29</v>
      </c>
      <c r="Q320" s="13">
        <f t="shared" si="8"/>
        <v>0.84127767185326419</v>
      </c>
    </row>
    <row r="321" spans="1:17" x14ac:dyDescent="0.25">
      <c r="A321" s="12">
        <f t="shared" si="9"/>
        <v>7</v>
      </c>
      <c r="B321" s="12">
        <v>2021</v>
      </c>
      <c r="C321" s="12">
        <v>6600</v>
      </c>
      <c r="D321" s="12">
        <v>19772828</v>
      </c>
      <c r="E321" s="12" t="s">
        <v>13</v>
      </c>
      <c r="F321" s="12" t="s">
        <v>14</v>
      </c>
      <c r="I321" s="14">
        <v>44394</v>
      </c>
      <c r="J321" s="12" t="s">
        <v>17</v>
      </c>
      <c r="K321" s="12" t="s">
        <v>19</v>
      </c>
      <c r="L321" s="12" t="s">
        <v>27</v>
      </c>
      <c r="M321" s="12">
        <v>225.00299999999999</v>
      </c>
      <c r="N321" s="12">
        <v>179.83</v>
      </c>
      <c r="Q321" s="13">
        <f t="shared" si="8"/>
        <v>0.79923378799393796</v>
      </c>
    </row>
    <row r="322" spans="1:17" x14ac:dyDescent="0.25">
      <c r="A322" s="12">
        <f t="shared" si="9"/>
        <v>7</v>
      </c>
      <c r="B322" s="12">
        <v>2021</v>
      </c>
      <c r="C322" s="12">
        <v>6601</v>
      </c>
      <c r="D322" s="12">
        <v>19777557</v>
      </c>
      <c r="E322" s="12" t="s">
        <v>13</v>
      </c>
      <c r="F322" s="12" t="s">
        <v>14</v>
      </c>
      <c r="I322" s="14">
        <v>44395</v>
      </c>
      <c r="J322" s="12" t="s">
        <v>17</v>
      </c>
      <c r="K322" s="12" t="s">
        <v>19</v>
      </c>
      <c r="L322" s="12" t="s">
        <v>27</v>
      </c>
      <c r="M322" s="12">
        <v>225.00399999999999</v>
      </c>
      <c r="N322" s="12">
        <v>190.88200000000001</v>
      </c>
      <c r="Q322" s="13">
        <f t="shared" ref="Q322:Q385" si="10">N322/M322</f>
        <v>0.84834936267799688</v>
      </c>
    </row>
    <row r="323" spans="1:17" x14ac:dyDescent="0.25">
      <c r="A323" s="12">
        <f t="shared" ref="A323:A386" si="11">MONTH(I323)</f>
        <v>7</v>
      </c>
      <c r="B323" s="12">
        <v>2021</v>
      </c>
      <c r="C323" s="12">
        <v>6602</v>
      </c>
      <c r="D323" s="12">
        <v>19780406</v>
      </c>
      <c r="E323" s="12" t="s">
        <v>13</v>
      </c>
      <c r="F323" s="12" t="s">
        <v>14</v>
      </c>
      <c r="I323" s="14">
        <v>44396</v>
      </c>
      <c r="J323" s="12" t="s">
        <v>17</v>
      </c>
      <c r="K323" s="12" t="s">
        <v>19</v>
      </c>
      <c r="L323" s="12" t="s">
        <v>27</v>
      </c>
      <c r="M323" s="12">
        <v>225.00399999999999</v>
      </c>
      <c r="N323" s="12">
        <v>181.12100000000001</v>
      </c>
      <c r="Q323" s="13">
        <f t="shared" si="10"/>
        <v>0.80496791168157023</v>
      </c>
    </row>
    <row r="324" spans="1:17" x14ac:dyDescent="0.25">
      <c r="A324" s="12">
        <f t="shared" si="11"/>
        <v>7</v>
      </c>
      <c r="B324" s="12">
        <v>2021</v>
      </c>
      <c r="C324" s="12">
        <v>6603</v>
      </c>
      <c r="D324" s="12">
        <v>19780529</v>
      </c>
      <c r="E324" s="12" t="s">
        <v>13</v>
      </c>
      <c r="F324" s="12" t="s">
        <v>14</v>
      </c>
      <c r="I324" s="14">
        <v>44397</v>
      </c>
      <c r="J324" s="12" t="s">
        <v>37</v>
      </c>
      <c r="K324" s="12" t="s">
        <v>20</v>
      </c>
      <c r="L324" s="12" t="s">
        <v>29</v>
      </c>
      <c r="M324" s="12">
        <v>230.00200000000001</v>
      </c>
      <c r="N324" s="12">
        <v>183.74</v>
      </c>
      <c r="P324" s="12">
        <v>11</v>
      </c>
      <c r="Q324" s="13">
        <f t="shared" si="10"/>
        <v>0.79886261858592533</v>
      </c>
    </row>
    <row r="325" spans="1:17" x14ac:dyDescent="0.25">
      <c r="A325" s="12">
        <f t="shared" si="11"/>
        <v>7</v>
      </c>
      <c r="B325" s="12">
        <v>2021</v>
      </c>
      <c r="C325" s="12">
        <v>6604</v>
      </c>
      <c r="D325" s="12">
        <v>19781847</v>
      </c>
      <c r="E325" s="12" t="s">
        <v>13</v>
      </c>
      <c r="F325" s="12" t="s">
        <v>14</v>
      </c>
      <c r="I325" s="14">
        <v>44398</v>
      </c>
      <c r="J325" s="12" t="s">
        <v>37</v>
      </c>
      <c r="K325" s="12" t="s">
        <v>20</v>
      </c>
      <c r="L325" s="12" t="s">
        <v>29</v>
      </c>
      <c r="M325" s="12">
        <v>229.99700000000001</v>
      </c>
      <c r="N325" s="12">
        <v>196.92099999999999</v>
      </c>
      <c r="Q325" s="13">
        <f t="shared" si="10"/>
        <v>0.8561894285577637</v>
      </c>
    </row>
    <row r="326" spans="1:17" x14ac:dyDescent="0.25">
      <c r="A326" s="12">
        <f t="shared" si="11"/>
        <v>7</v>
      </c>
      <c r="B326" s="12">
        <v>2021</v>
      </c>
      <c r="C326" s="12">
        <v>6605</v>
      </c>
      <c r="D326" s="12">
        <v>19786040</v>
      </c>
      <c r="E326" s="12" t="s">
        <v>13</v>
      </c>
      <c r="F326" s="12" t="s">
        <v>14</v>
      </c>
      <c r="I326" s="14">
        <v>44399</v>
      </c>
      <c r="J326" s="12" t="s">
        <v>37</v>
      </c>
      <c r="K326" s="12" t="s">
        <v>20</v>
      </c>
      <c r="L326" s="12" t="s">
        <v>29</v>
      </c>
      <c r="M326" s="12">
        <v>229.99799999999999</v>
      </c>
      <c r="N326" s="12">
        <v>190.428</v>
      </c>
      <c r="Q326" s="13">
        <f t="shared" si="10"/>
        <v>0.82795502569587565</v>
      </c>
    </row>
    <row r="327" spans="1:17" x14ac:dyDescent="0.25">
      <c r="A327" s="12">
        <f t="shared" si="11"/>
        <v>7</v>
      </c>
      <c r="B327" s="12">
        <v>2021</v>
      </c>
      <c r="C327" s="12">
        <v>6606</v>
      </c>
      <c r="D327" s="12">
        <v>19791181</v>
      </c>
      <c r="E327" s="12" t="s">
        <v>13</v>
      </c>
      <c r="F327" s="12" t="s">
        <v>14</v>
      </c>
      <c r="I327" s="14">
        <v>44400</v>
      </c>
      <c r="J327" s="12" t="s">
        <v>37</v>
      </c>
      <c r="K327" s="12" t="s">
        <v>20</v>
      </c>
      <c r="L327" s="12" t="s">
        <v>29</v>
      </c>
      <c r="M327" s="12">
        <v>230.001</v>
      </c>
      <c r="N327" s="12">
        <v>192.33199999999999</v>
      </c>
      <c r="Q327" s="13">
        <f t="shared" si="10"/>
        <v>0.83622245120673389</v>
      </c>
    </row>
    <row r="328" spans="1:17" x14ac:dyDescent="0.25">
      <c r="A328" s="12">
        <f t="shared" si="11"/>
        <v>7</v>
      </c>
      <c r="B328" s="12">
        <v>2021</v>
      </c>
      <c r="C328" s="12">
        <v>6607</v>
      </c>
      <c r="D328" s="12">
        <v>19792116</v>
      </c>
      <c r="E328" s="12" t="s">
        <v>13</v>
      </c>
      <c r="F328" s="12" t="s">
        <v>14</v>
      </c>
      <c r="I328" s="14">
        <v>44401</v>
      </c>
      <c r="J328" s="12" t="s">
        <v>37</v>
      </c>
      <c r="K328" s="12" t="s">
        <v>20</v>
      </c>
      <c r="L328" s="12" t="s">
        <v>29</v>
      </c>
      <c r="M328" s="12">
        <v>230.00200000000001</v>
      </c>
      <c r="N328" s="12">
        <v>202.89599999999999</v>
      </c>
      <c r="Q328" s="13">
        <f t="shared" si="10"/>
        <v>0.88214885087955752</v>
      </c>
    </row>
    <row r="329" spans="1:17" x14ac:dyDescent="0.25">
      <c r="A329" s="12">
        <f t="shared" si="11"/>
        <v>7</v>
      </c>
      <c r="B329" s="12">
        <v>2021</v>
      </c>
      <c r="C329" s="12">
        <v>6608</v>
      </c>
      <c r="D329" s="12">
        <v>19796601</v>
      </c>
      <c r="E329" s="12" t="s">
        <v>13</v>
      </c>
      <c r="F329" s="12" t="s">
        <v>14</v>
      </c>
      <c r="I329" s="14">
        <v>44402</v>
      </c>
      <c r="J329" s="12" t="s">
        <v>17</v>
      </c>
      <c r="K329" s="12" t="s">
        <v>19</v>
      </c>
      <c r="L329" s="12" t="s">
        <v>25</v>
      </c>
      <c r="M329" s="12">
        <v>225.012</v>
      </c>
      <c r="N329" s="12">
        <v>186.34899999999999</v>
      </c>
      <c r="P329" s="12">
        <v>11.9</v>
      </c>
      <c r="Q329" s="13">
        <f t="shared" si="10"/>
        <v>0.82817360851865673</v>
      </c>
    </row>
    <row r="330" spans="1:17" x14ac:dyDescent="0.25">
      <c r="A330" s="12">
        <f t="shared" si="11"/>
        <v>7</v>
      </c>
      <c r="B330" s="12">
        <v>2021</v>
      </c>
      <c r="C330" s="12">
        <v>6609</v>
      </c>
      <c r="D330" s="12">
        <v>19802581</v>
      </c>
      <c r="E330" s="12" t="s">
        <v>13</v>
      </c>
      <c r="F330" s="12" t="s">
        <v>14</v>
      </c>
      <c r="I330" s="14">
        <v>44403</v>
      </c>
      <c r="J330" s="12" t="s">
        <v>17</v>
      </c>
      <c r="K330" s="12" t="s">
        <v>19</v>
      </c>
      <c r="L330" s="12" t="s">
        <v>25</v>
      </c>
      <c r="M330" s="12">
        <v>224.96899999999999</v>
      </c>
      <c r="N330" s="12">
        <v>193.416</v>
      </c>
      <c r="Q330" s="13">
        <f t="shared" si="10"/>
        <v>0.85974512043881601</v>
      </c>
    </row>
    <row r="331" spans="1:17" x14ac:dyDescent="0.25">
      <c r="A331" s="12">
        <f t="shared" si="11"/>
        <v>7</v>
      </c>
      <c r="B331" s="12">
        <v>2021</v>
      </c>
      <c r="C331" s="12">
        <v>6610</v>
      </c>
      <c r="D331" s="12">
        <v>19802599</v>
      </c>
      <c r="E331" s="12" t="s">
        <v>13</v>
      </c>
      <c r="F331" s="12" t="s">
        <v>14</v>
      </c>
      <c r="I331" s="14">
        <v>44404</v>
      </c>
      <c r="J331" s="12" t="s">
        <v>17</v>
      </c>
      <c r="K331" s="12" t="s">
        <v>19</v>
      </c>
      <c r="L331" s="12" t="s">
        <v>25</v>
      </c>
      <c r="M331" s="12">
        <v>224.96899999999999</v>
      </c>
      <c r="N331" s="12">
        <v>188.464</v>
      </c>
      <c r="Q331" s="13">
        <f t="shared" si="10"/>
        <v>0.83773319879627861</v>
      </c>
    </row>
    <row r="332" spans="1:17" x14ac:dyDescent="0.25">
      <c r="A332" s="12">
        <f t="shared" si="11"/>
        <v>7</v>
      </c>
      <c r="B332" s="12">
        <v>2021</v>
      </c>
      <c r="C332" s="12">
        <v>6611</v>
      </c>
      <c r="D332" s="12">
        <v>19802628</v>
      </c>
      <c r="E332" s="12" t="s">
        <v>13</v>
      </c>
      <c r="F332" s="12" t="s">
        <v>14</v>
      </c>
      <c r="I332" s="14">
        <v>44405</v>
      </c>
      <c r="J332" s="12" t="s">
        <v>17</v>
      </c>
      <c r="K332" s="12" t="s">
        <v>19</v>
      </c>
      <c r="L332" s="12" t="s">
        <v>25</v>
      </c>
      <c r="M332" s="12">
        <v>224.994</v>
      </c>
      <c r="N332" s="12">
        <v>193.08699999999999</v>
      </c>
      <c r="Q332" s="13">
        <f t="shared" si="10"/>
        <v>0.85818732943989617</v>
      </c>
    </row>
    <row r="333" spans="1:17" x14ac:dyDescent="0.25">
      <c r="A333" s="12">
        <f t="shared" si="11"/>
        <v>7</v>
      </c>
      <c r="B333" s="12">
        <v>2021</v>
      </c>
      <c r="C333" s="12">
        <v>6612</v>
      </c>
      <c r="D333" s="12">
        <v>19805271</v>
      </c>
      <c r="E333" s="12" t="s">
        <v>13</v>
      </c>
      <c r="F333" s="12" t="s">
        <v>14</v>
      </c>
      <c r="I333" s="14">
        <v>44406</v>
      </c>
      <c r="J333" s="12" t="s">
        <v>17</v>
      </c>
      <c r="K333" s="12" t="s">
        <v>19</v>
      </c>
      <c r="L333" s="12" t="s">
        <v>25</v>
      </c>
      <c r="M333" s="12">
        <v>224.995</v>
      </c>
      <c r="N333" s="12">
        <v>187.74299999999999</v>
      </c>
      <c r="Q333" s="13">
        <f t="shared" si="10"/>
        <v>0.83443187626391691</v>
      </c>
    </row>
    <row r="334" spans="1:17" x14ac:dyDescent="0.25">
      <c r="A334" s="12">
        <f t="shared" si="11"/>
        <v>7</v>
      </c>
      <c r="B334" s="12">
        <v>2021</v>
      </c>
      <c r="C334" s="12">
        <v>6613</v>
      </c>
      <c r="D334" s="12">
        <v>19809248</v>
      </c>
      <c r="E334" s="12" t="s">
        <v>13</v>
      </c>
      <c r="F334" s="12" t="s">
        <v>14</v>
      </c>
      <c r="I334" s="14">
        <v>44407</v>
      </c>
      <c r="J334" s="12" t="s">
        <v>18</v>
      </c>
      <c r="K334" s="12" t="s">
        <v>20</v>
      </c>
      <c r="L334" s="12" t="s">
        <v>31</v>
      </c>
      <c r="M334" s="12">
        <v>230.00299999999999</v>
      </c>
      <c r="N334" s="12">
        <v>199.96700000000001</v>
      </c>
      <c r="Q334" s="13">
        <f t="shared" si="10"/>
        <v>0.86941039899479577</v>
      </c>
    </row>
    <row r="335" spans="1:17" x14ac:dyDescent="0.25">
      <c r="A335" s="12">
        <f t="shared" si="11"/>
        <v>7</v>
      </c>
      <c r="B335" s="12">
        <v>2021</v>
      </c>
      <c r="C335" s="12">
        <v>6614</v>
      </c>
      <c r="D335" s="12">
        <v>19813212</v>
      </c>
      <c r="E335" s="12" t="s">
        <v>13</v>
      </c>
      <c r="F335" s="12" t="s">
        <v>14</v>
      </c>
      <c r="I335" s="14">
        <v>44408</v>
      </c>
      <c r="J335" s="12" t="s">
        <v>18</v>
      </c>
      <c r="K335" s="12" t="s">
        <v>20</v>
      </c>
      <c r="L335" s="12" t="s">
        <v>31</v>
      </c>
      <c r="M335" s="12">
        <v>230.00200000000001</v>
      </c>
      <c r="N335" s="12">
        <v>199</v>
      </c>
      <c r="Q335" s="13">
        <f t="shared" si="10"/>
        <v>0.86520986774028052</v>
      </c>
    </row>
    <row r="336" spans="1:17" x14ac:dyDescent="0.25">
      <c r="A336" s="12">
        <f t="shared" si="11"/>
        <v>8</v>
      </c>
      <c r="B336" s="12">
        <v>2021</v>
      </c>
      <c r="C336" s="12">
        <v>6615</v>
      </c>
      <c r="D336" s="12">
        <v>19816430</v>
      </c>
      <c r="E336" s="12" t="s">
        <v>13</v>
      </c>
      <c r="F336" s="12" t="s">
        <v>14</v>
      </c>
      <c r="I336" s="14">
        <v>44409</v>
      </c>
      <c r="J336" s="12" t="s">
        <v>18</v>
      </c>
      <c r="K336" s="12" t="s">
        <v>20</v>
      </c>
      <c r="L336" s="12" t="s">
        <v>31</v>
      </c>
      <c r="M336" s="12">
        <v>230.00299999999999</v>
      </c>
      <c r="N336" s="12">
        <v>200.6</v>
      </c>
      <c r="Q336" s="13">
        <f t="shared" si="10"/>
        <v>0.87216253701038682</v>
      </c>
    </row>
    <row r="337" spans="1:17" x14ac:dyDescent="0.25">
      <c r="A337" s="12">
        <f t="shared" si="11"/>
        <v>8</v>
      </c>
      <c r="B337" s="12">
        <v>2021</v>
      </c>
      <c r="C337" s="12">
        <v>6616</v>
      </c>
      <c r="D337" s="12">
        <v>19819825</v>
      </c>
      <c r="E337" s="12" t="s">
        <v>13</v>
      </c>
      <c r="F337" s="12" t="s">
        <v>14</v>
      </c>
      <c r="I337" s="14">
        <v>44410</v>
      </c>
      <c r="J337" s="12" t="s">
        <v>18</v>
      </c>
      <c r="K337" s="12" t="s">
        <v>20</v>
      </c>
      <c r="L337" s="12" t="s">
        <v>31</v>
      </c>
      <c r="M337" s="12">
        <v>230.00299999999999</v>
      </c>
      <c r="N337" s="12">
        <v>194.114</v>
      </c>
      <c r="Q337" s="13">
        <f t="shared" si="10"/>
        <v>0.84396290483167613</v>
      </c>
    </row>
    <row r="338" spans="1:17" x14ac:dyDescent="0.25">
      <c r="A338" s="12">
        <f t="shared" si="11"/>
        <v>8</v>
      </c>
      <c r="B338" s="12">
        <v>2021</v>
      </c>
      <c r="C338" s="12">
        <v>6617</v>
      </c>
      <c r="D338" s="12">
        <v>19819833</v>
      </c>
      <c r="E338" s="12" t="s">
        <v>13</v>
      </c>
      <c r="F338" s="12" t="s">
        <v>14</v>
      </c>
      <c r="I338" s="14">
        <v>44411</v>
      </c>
      <c r="J338" s="12" t="s">
        <v>17</v>
      </c>
      <c r="K338" s="12" t="s">
        <v>19</v>
      </c>
      <c r="L338" s="12" t="s">
        <v>25</v>
      </c>
      <c r="M338" s="12">
        <v>230.01</v>
      </c>
      <c r="N338" s="12">
        <v>196.14500000000001</v>
      </c>
      <c r="P338" s="12">
        <v>11.6</v>
      </c>
      <c r="Q338" s="13">
        <f t="shared" si="10"/>
        <v>0.85276727098821803</v>
      </c>
    </row>
    <row r="339" spans="1:17" x14ac:dyDescent="0.25">
      <c r="A339" s="12">
        <f t="shared" si="11"/>
        <v>8</v>
      </c>
      <c r="B339" s="12">
        <v>2021</v>
      </c>
      <c r="C339" s="12">
        <v>6618</v>
      </c>
      <c r="D339" s="12">
        <v>19822004</v>
      </c>
      <c r="E339" s="12" t="s">
        <v>13</v>
      </c>
      <c r="F339" s="12" t="s">
        <v>14</v>
      </c>
      <c r="I339" s="14">
        <v>44412</v>
      </c>
      <c r="J339" s="12" t="s">
        <v>17</v>
      </c>
      <c r="K339" s="12" t="s">
        <v>19</v>
      </c>
      <c r="L339" s="12" t="s">
        <v>25</v>
      </c>
      <c r="M339" s="12">
        <v>230.01400000000001</v>
      </c>
      <c r="N339" s="12">
        <v>195.89699999999999</v>
      </c>
      <c r="Q339" s="13">
        <f t="shared" si="10"/>
        <v>0.85167424591546592</v>
      </c>
    </row>
    <row r="340" spans="1:17" x14ac:dyDescent="0.25">
      <c r="A340" s="12">
        <f t="shared" si="11"/>
        <v>8</v>
      </c>
      <c r="B340" s="12">
        <v>2021</v>
      </c>
      <c r="C340" s="12">
        <v>6619</v>
      </c>
      <c r="D340" s="12">
        <v>19825715</v>
      </c>
      <c r="E340" s="12" t="s">
        <v>13</v>
      </c>
      <c r="F340" s="12" t="s">
        <v>14</v>
      </c>
      <c r="I340" s="14">
        <v>44413</v>
      </c>
      <c r="J340" s="12" t="s">
        <v>17</v>
      </c>
      <c r="K340" s="12" t="s">
        <v>19</v>
      </c>
      <c r="L340" s="12" t="s">
        <v>25</v>
      </c>
      <c r="M340" s="12">
        <v>230.01300000000001</v>
      </c>
      <c r="N340" s="12">
        <v>193.328</v>
      </c>
      <c r="Q340" s="13">
        <f t="shared" si="10"/>
        <v>0.84050901470786432</v>
      </c>
    </row>
    <row r="341" spans="1:17" x14ac:dyDescent="0.25">
      <c r="A341" s="12">
        <f t="shared" si="11"/>
        <v>8</v>
      </c>
      <c r="B341" s="12">
        <v>2021</v>
      </c>
      <c r="C341" s="12">
        <v>6620</v>
      </c>
      <c r="D341" s="12">
        <v>19829812</v>
      </c>
      <c r="E341" s="12" t="s">
        <v>13</v>
      </c>
      <c r="F341" s="12" t="s">
        <v>14</v>
      </c>
      <c r="I341" s="14">
        <v>44414</v>
      </c>
      <c r="J341" s="12" t="s">
        <v>17</v>
      </c>
      <c r="K341" s="12" t="s">
        <v>19</v>
      </c>
      <c r="L341" s="12" t="s">
        <v>25</v>
      </c>
      <c r="M341" s="12">
        <v>229.989</v>
      </c>
      <c r="N341" s="12">
        <v>198.864</v>
      </c>
      <c r="Q341" s="13">
        <f t="shared" si="10"/>
        <v>0.86466744061672518</v>
      </c>
    </row>
    <row r="342" spans="1:17" x14ac:dyDescent="0.25">
      <c r="A342" s="12">
        <f t="shared" si="11"/>
        <v>8</v>
      </c>
      <c r="B342" s="12">
        <v>2021</v>
      </c>
      <c r="C342" s="12">
        <v>6621</v>
      </c>
      <c r="D342" s="12">
        <v>19832641</v>
      </c>
      <c r="E342" s="12" t="s">
        <v>13</v>
      </c>
      <c r="F342" s="12" t="s">
        <v>14</v>
      </c>
      <c r="I342" s="14">
        <v>44415</v>
      </c>
      <c r="J342" s="12" t="s">
        <v>17</v>
      </c>
      <c r="K342" s="12" t="s">
        <v>19</v>
      </c>
      <c r="L342" s="12" t="s">
        <v>25</v>
      </c>
      <c r="M342" s="12">
        <v>229.99</v>
      </c>
      <c r="N342" s="12">
        <v>190.22200000000001</v>
      </c>
      <c r="Q342" s="13">
        <f t="shared" si="10"/>
        <v>0.82708813426670724</v>
      </c>
    </row>
    <row r="343" spans="1:17" x14ac:dyDescent="0.25">
      <c r="A343" s="12">
        <f t="shared" si="11"/>
        <v>8</v>
      </c>
      <c r="B343" s="12">
        <v>2021</v>
      </c>
      <c r="C343" s="12">
        <v>6622</v>
      </c>
      <c r="D343" s="12">
        <v>19837898</v>
      </c>
      <c r="E343" s="12" t="s">
        <v>13</v>
      </c>
      <c r="F343" s="12" t="s">
        <v>14</v>
      </c>
      <c r="I343" s="14">
        <v>44416</v>
      </c>
      <c r="J343" s="12" t="s">
        <v>18</v>
      </c>
      <c r="K343" s="12" t="s">
        <v>20</v>
      </c>
      <c r="L343" s="12" t="s">
        <v>30</v>
      </c>
      <c r="M343" s="12">
        <v>230.017</v>
      </c>
      <c r="N343" s="12">
        <v>197</v>
      </c>
      <c r="P343" s="12">
        <v>12</v>
      </c>
      <c r="Q343" s="13">
        <f t="shared" si="10"/>
        <v>0.85645843568084101</v>
      </c>
    </row>
    <row r="344" spans="1:17" x14ac:dyDescent="0.25">
      <c r="A344" s="12">
        <f t="shared" si="11"/>
        <v>8</v>
      </c>
      <c r="B344" s="12">
        <v>2021</v>
      </c>
      <c r="C344" s="12">
        <v>6623</v>
      </c>
      <c r="D344" s="12">
        <v>19839201</v>
      </c>
      <c r="E344" s="12" t="s">
        <v>13</v>
      </c>
      <c r="F344" s="12" t="s">
        <v>14</v>
      </c>
      <c r="I344" s="14">
        <v>44417</v>
      </c>
      <c r="J344" s="12" t="s">
        <v>18</v>
      </c>
      <c r="K344" s="12" t="s">
        <v>20</v>
      </c>
      <c r="L344" s="12" t="s">
        <v>30</v>
      </c>
      <c r="M344" s="12">
        <v>229.995</v>
      </c>
      <c r="N344" s="12">
        <v>198.00299999999999</v>
      </c>
      <c r="Q344" s="13">
        <f t="shared" si="10"/>
        <v>0.86090132394182473</v>
      </c>
    </row>
    <row r="345" spans="1:17" x14ac:dyDescent="0.25">
      <c r="A345" s="12">
        <f t="shared" si="11"/>
        <v>8</v>
      </c>
      <c r="B345" s="12">
        <v>2021</v>
      </c>
      <c r="C345" s="12">
        <v>6624</v>
      </c>
      <c r="D345" s="12">
        <v>19842523</v>
      </c>
      <c r="E345" s="12" t="s">
        <v>13</v>
      </c>
      <c r="F345" s="12" t="s">
        <v>14</v>
      </c>
      <c r="I345" s="14">
        <v>44418</v>
      </c>
      <c r="J345" s="12" t="s">
        <v>18</v>
      </c>
      <c r="K345" s="12" t="s">
        <v>20</v>
      </c>
      <c r="L345" s="12" t="s">
        <v>30</v>
      </c>
      <c r="M345" s="12">
        <v>229.995</v>
      </c>
      <c r="N345" s="12">
        <v>190.50200000000001</v>
      </c>
      <c r="Q345" s="13">
        <f t="shared" si="10"/>
        <v>0.82828757146894505</v>
      </c>
    </row>
    <row r="346" spans="1:17" x14ac:dyDescent="0.25">
      <c r="A346" s="12">
        <f t="shared" si="11"/>
        <v>8</v>
      </c>
      <c r="B346" s="12">
        <v>2021</v>
      </c>
      <c r="C346" s="12">
        <v>6625</v>
      </c>
      <c r="D346" s="12">
        <v>19843067</v>
      </c>
      <c r="E346" s="12" t="s">
        <v>13</v>
      </c>
      <c r="F346" s="12" t="s">
        <v>14</v>
      </c>
      <c r="I346" s="14">
        <v>44419</v>
      </c>
      <c r="J346" s="12" t="s">
        <v>18</v>
      </c>
      <c r="K346" s="12" t="s">
        <v>20</v>
      </c>
      <c r="L346" s="12" t="s">
        <v>30</v>
      </c>
      <c r="M346" s="12">
        <v>230.01</v>
      </c>
      <c r="N346" s="12">
        <v>201.49100000000001</v>
      </c>
      <c r="Q346" s="13">
        <f t="shared" si="10"/>
        <v>0.87600973870701282</v>
      </c>
    </row>
    <row r="347" spans="1:17" x14ac:dyDescent="0.25">
      <c r="A347" s="12">
        <f t="shared" si="11"/>
        <v>8</v>
      </c>
      <c r="B347" s="12">
        <v>2021</v>
      </c>
      <c r="C347" s="12">
        <v>6626</v>
      </c>
      <c r="D347" s="12">
        <v>19846022</v>
      </c>
      <c r="E347" s="12" t="s">
        <v>13</v>
      </c>
      <c r="F347" s="12" t="s">
        <v>14</v>
      </c>
      <c r="I347" s="14">
        <v>44420</v>
      </c>
      <c r="J347" s="12" t="s">
        <v>18</v>
      </c>
      <c r="K347" s="12" t="s">
        <v>20</v>
      </c>
      <c r="L347" s="12" t="s">
        <v>30</v>
      </c>
      <c r="M347" s="12">
        <v>230.011</v>
      </c>
      <c r="N347" s="12">
        <v>192.21600000000001</v>
      </c>
      <c r="Q347" s="13">
        <f t="shared" si="10"/>
        <v>0.8356817717413515</v>
      </c>
    </row>
    <row r="348" spans="1:17" x14ac:dyDescent="0.25">
      <c r="A348" s="12">
        <f t="shared" si="11"/>
        <v>8</v>
      </c>
      <c r="B348" s="12">
        <v>2021</v>
      </c>
      <c r="C348" s="12">
        <v>6627</v>
      </c>
      <c r="D348" s="12">
        <v>19848749</v>
      </c>
      <c r="E348" s="12" t="s">
        <v>13</v>
      </c>
      <c r="F348" s="12" t="s">
        <v>14</v>
      </c>
      <c r="I348" s="14">
        <v>44421</v>
      </c>
      <c r="J348" s="12" t="s">
        <v>17</v>
      </c>
      <c r="K348" s="12" t="s">
        <v>19</v>
      </c>
      <c r="L348" s="12" t="s">
        <v>27</v>
      </c>
      <c r="M348" s="12">
        <v>230.011</v>
      </c>
      <c r="N348" s="12">
        <v>194.14400000000001</v>
      </c>
      <c r="P348" s="12">
        <v>13</v>
      </c>
      <c r="Q348" s="13">
        <f t="shared" si="10"/>
        <v>0.84406397954880419</v>
      </c>
    </row>
    <row r="349" spans="1:17" x14ac:dyDescent="0.25">
      <c r="A349" s="12">
        <f t="shared" si="11"/>
        <v>8</v>
      </c>
      <c r="B349" s="12">
        <v>2021</v>
      </c>
      <c r="C349" s="12">
        <v>6628</v>
      </c>
      <c r="D349" s="12">
        <v>19853062</v>
      </c>
      <c r="E349" s="12" t="s">
        <v>13</v>
      </c>
      <c r="F349" s="12" t="s">
        <v>14</v>
      </c>
      <c r="I349" s="14">
        <v>44422</v>
      </c>
      <c r="J349" s="12" t="s">
        <v>17</v>
      </c>
      <c r="K349" s="12" t="s">
        <v>19</v>
      </c>
      <c r="L349" s="12" t="s">
        <v>27</v>
      </c>
      <c r="M349" s="12">
        <v>230.00700000000001</v>
      </c>
      <c r="N349" s="12">
        <v>195.6</v>
      </c>
      <c r="Q349" s="13">
        <f t="shared" si="10"/>
        <v>0.85040890059867735</v>
      </c>
    </row>
    <row r="350" spans="1:17" x14ac:dyDescent="0.25">
      <c r="A350" s="12">
        <f t="shared" si="11"/>
        <v>8</v>
      </c>
      <c r="B350" s="12">
        <v>2021</v>
      </c>
      <c r="C350" s="12">
        <v>6629</v>
      </c>
      <c r="D350" s="12">
        <v>19856191</v>
      </c>
      <c r="E350" s="12" t="s">
        <v>13</v>
      </c>
      <c r="F350" s="12" t="s">
        <v>14</v>
      </c>
      <c r="I350" s="14">
        <v>44423</v>
      </c>
      <c r="J350" s="12" t="s">
        <v>17</v>
      </c>
      <c r="K350" s="12" t="s">
        <v>19</v>
      </c>
      <c r="L350" s="12" t="s">
        <v>27</v>
      </c>
      <c r="M350" s="12">
        <v>230.00800000000001</v>
      </c>
      <c r="N350" s="12">
        <v>193.77099999999999</v>
      </c>
      <c r="Q350" s="13">
        <f t="shared" si="10"/>
        <v>0.8424533059719661</v>
      </c>
    </row>
    <row r="351" spans="1:17" x14ac:dyDescent="0.25">
      <c r="A351" s="12">
        <f t="shared" si="11"/>
        <v>8</v>
      </c>
      <c r="B351" s="12">
        <v>2021</v>
      </c>
      <c r="C351" s="12">
        <v>6630</v>
      </c>
      <c r="D351" s="12">
        <v>19859481</v>
      </c>
      <c r="E351" s="12" t="s">
        <v>13</v>
      </c>
      <c r="F351" s="12" t="s">
        <v>14</v>
      </c>
      <c r="I351" s="14">
        <v>44424</v>
      </c>
      <c r="J351" s="12" t="s">
        <v>17</v>
      </c>
      <c r="K351" s="12" t="s">
        <v>19</v>
      </c>
      <c r="L351" s="12" t="s">
        <v>27</v>
      </c>
      <c r="M351" s="12">
        <v>230.006</v>
      </c>
      <c r="N351" s="12">
        <v>193.63</v>
      </c>
      <c r="Q351" s="13">
        <f t="shared" si="10"/>
        <v>0.84184760397554848</v>
      </c>
    </row>
    <row r="352" spans="1:17" x14ac:dyDescent="0.25">
      <c r="A352" s="12">
        <f t="shared" si="11"/>
        <v>8</v>
      </c>
      <c r="B352" s="12">
        <v>2021</v>
      </c>
      <c r="C352" s="12">
        <v>6631</v>
      </c>
      <c r="D352" s="12">
        <v>19859886</v>
      </c>
      <c r="E352" s="12" t="s">
        <v>13</v>
      </c>
      <c r="F352" s="12" t="s">
        <v>14</v>
      </c>
      <c r="I352" s="14">
        <v>44425</v>
      </c>
      <c r="J352" s="12" t="s">
        <v>17</v>
      </c>
      <c r="K352" s="12" t="s">
        <v>19</v>
      </c>
      <c r="L352" s="12" t="s">
        <v>27</v>
      </c>
      <c r="M352" s="12">
        <v>230.006</v>
      </c>
      <c r="N352" s="12">
        <v>190.09200000000001</v>
      </c>
      <c r="Q352" s="13">
        <f t="shared" si="10"/>
        <v>0.8264653965548725</v>
      </c>
    </row>
    <row r="353" spans="1:17" x14ac:dyDescent="0.25">
      <c r="A353" s="12">
        <f t="shared" si="11"/>
        <v>8</v>
      </c>
      <c r="B353" s="12">
        <v>2021</v>
      </c>
      <c r="C353" s="12">
        <v>6632</v>
      </c>
      <c r="D353" s="12">
        <v>19859974</v>
      </c>
      <c r="E353" s="12" t="s">
        <v>13</v>
      </c>
      <c r="F353" s="12" t="s">
        <v>14</v>
      </c>
      <c r="I353" s="14">
        <v>44426</v>
      </c>
      <c r="J353" s="12" t="s">
        <v>18</v>
      </c>
      <c r="K353" s="12" t="s">
        <v>20</v>
      </c>
      <c r="L353" s="12" t="s">
        <v>29</v>
      </c>
      <c r="M353" s="12">
        <v>229.99199999999999</v>
      </c>
      <c r="N353" s="12">
        <v>189.714</v>
      </c>
      <c r="P353" s="12">
        <v>12.1</v>
      </c>
      <c r="Q353" s="13">
        <f t="shared" si="10"/>
        <v>0.82487216946676412</v>
      </c>
    </row>
    <row r="354" spans="1:17" x14ac:dyDescent="0.25">
      <c r="A354" s="12">
        <f t="shared" si="11"/>
        <v>8</v>
      </c>
      <c r="B354" s="12">
        <v>2021</v>
      </c>
      <c r="C354" s="12">
        <v>6633</v>
      </c>
      <c r="D354" s="12">
        <v>19864343</v>
      </c>
      <c r="E354" s="12" t="s">
        <v>13</v>
      </c>
      <c r="F354" s="12" t="s">
        <v>14</v>
      </c>
      <c r="I354" s="14">
        <v>44427</v>
      </c>
      <c r="J354" s="12" t="s">
        <v>18</v>
      </c>
      <c r="K354" s="12" t="s">
        <v>20</v>
      </c>
      <c r="L354" s="12" t="s">
        <v>29</v>
      </c>
      <c r="M354" s="12">
        <v>230.00299999999999</v>
      </c>
      <c r="N354" s="12">
        <v>200.547</v>
      </c>
      <c r="Q354" s="13">
        <f t="shared" si="10"/>
        <v>0.87193210523341003</v>
      </c>
    </row>
    <row r="355" spans="1:17" x14ac:dyDescent="0.25">
      <c r="A355" s="12">
        <f t="shared" si="11"/>
        <v>8</v>
      </c>
      <c r="B355" s="12">
        <v>2021</v>
      </c>
      <c r="C355" s="12">
        <v>6634</v>
      </c>
      <c r="D355" s="12">
        <v>19868045</v>
      </c>
      <c r="E355" s="12" t="s">
        <v>13</v>
      </c>
      <c r="F355" s="12" t="s">
        <v>14</v>
      </c>
      <c r="I355" s="14">
        <v>44428</v>
      </c>
      <c r="J355" s="12" t="s">
        <v>18</v>
      </c>
      <c r="K355" s="12" t="s">
        <v>20</v>
      </c>
      <c r="L355" s="12" t="s">
        <v>29</v>
      </c>
      <c r="M355" s="12">
        <v>230.00200000000001</v>
      </c>
      <c r="N355" s="12">
        <v>191.84399999999999</v>
      </c>
      <c r="Q355" s="13">
        <f t="shared" si="10"/>
        <v>0.8340970948078712</v>
      </c>
    </row>
    <row r="356" spans="1:17" x14ac:dyDescent="0.25">
      <c r="A356" s="12">
        <f t="shared" si="11"/>
        <v>8</v>
      </c>
      <c r="B356" s="12">
        <v>2021</v>
      </c>
      <c r="C356" s="12">
        <v>6635</v>
      </c>
      <c r="D356" s="12">
        <v>19872394</v>
      </c>
      <c r="E356" s="12" t="s">
        <v>13</v>
      </c>
      <c r="F356" s="12" t="s">
        <v>14</v>
      </c>
      <c r="I356" s="14">
        <v>44429</v>
      </c>
      <c r="J356" s="12" t="s">
        <v>18</v>
      </c>
      <c r="K356" s="12" t="s">
        <v>20</v>
      </c>
      <c r="L356" s="12" t="s">
        <v>29</v>
      </c>
      <c r="M356" s="12">
        <v>230.00899999999999</v>
      </c>
      <c r="N356" s="12">
        <v>198.58</v>
      </c>
      <c r="Q356" s="13">
        <f t="shared" si="10"/>
        <v>0.8633575207926647</v>
      </c>
    </row>
    <row r="357" spans="1:17" x14ac:dyDescent="0.25">
      <c r="A357" s="12">
        <f t="shared" si="11"/>
        <v>8</v>
      </c>
      <c r="B357" s="12">
        <v>2021</v>
      </c>
      <c r="C357" s="12">
        <v>6636</v>
      </c>
      <c r="D357" s="12">
        <v>19876281</v>
      </c>
      <c r="E357" s="12" t="s">
        <v>13</v>
      </c>
      <c r="F357" s="12" t="s">
        <v>14</v>
      </c>
      <c r="I357" s="14">
        <v>44430</v>
      </c>
      <c r="J357" s="12" t="s">
        <v>18</v>
      </c>
      <c r="K357" s="12" t="s">
        <v>20</v>
      </c>
      <c r="L357" s="12" t="s">
        <v>29</v>
      </c>
      <c r="M357" s="12">
        <v>230.00899999999999</v>
      </c>
      <c r="N357" s="12">
        <v>196.76499999999999</v>
      </c>
      <c r="Q357" s="13">
        <f t="shared" si="10"/>
        <v>0.8554665252229261</v>
      </c>
    </row>
    <row r="358" spans="1:17" x14ac:dyDescent="0.25">
      <c r="A358" s="12">
        <f t="shared" si="11"/>
        <v>8</v>
      </c>
      <c r="B358" s="12">
        <v>2021</v>
      </c>
      <c r="C358" s="12">
        <v>6637</v>
      </c>
      <c r="D358" s="12">
        <v>19879123</v>
      </c>
      <c r="E358" s="12" t="s">
        <v>13</v>
      </c>
      <c r="F358" s="12" t="s">
        <v>14</v>
      </c>
      <c r="I358" s="14">
        <v>44431</v>
      </c>
      <c r="J358" s="12" t="s">
        <v>17</v>
      </c>
      <c r="K358" s="12" t="s">
        <v>19</v>
      </c>
      <c r="L358" s="12" t="s">
        <v>27</v>
      </c>
      <c r="M358" s="12">
        <v>230.00800000000001</v>
      </c>
      <c r="N358" s="12">
        <v>193.495</v>
      </c>
      <c r="P358" s="12">
        <v>11.7</v>
      </c>
      <c r="Q358" s="13">
        <f t="shared" si="10"/>
        <v>0.84125334770964488</v>
      </c>
    </row>
    <row r="359" spans="1:17" x14ac:dyDescent="0.25">
      <c r="A359" s="12">
        <f t="shared" si="11"/>
        <v>8</v>
      </c>
      <c r="B359" s="12">
        <v>2021</v>
      </c>
      <c r="C359" s="12">
        <v>6638</v>
      </c>
      <c r="D359" s="12">
        <v>19879406</v>
      </c>
      <c r="E359" s="12" t="s">
        <v>13</v>
      </c>
      <c r="F359" s="12" t="s">
        <v>14</v>
      </c>
      <c r="I359" s="14">
        <v>44432</v>
      </c>
      <c r="J359" s="12" t="s">
        <v>17</v>
      </c>
      <c r="K359" s="12" t="s">
        <v>19</v>
      </c>
      <c r="L359" s="12" t="s">
        <v>27</v>
      </c>
      <c r="M359" s="12">
        <v>230.005</v>
      </c>
      <c r="N359" s="12">
        <v>195.76400000000001</v>
      </c>
      <c r="P359" s="12">
        <v>11.7</v>
      </c>
      <c r="Q359" s="13">
        <f t="shared" si="10"/>
        <v>0.851129323275581</v>
      </c>
    </row>
    <row r="360" spans="1:17" x14ac:dyDescent="0.25">
      <c r="A360" s="12">
        <f t="shared" si="11"/>
        <v>8</v>
      </c>
      <c r="B360" s="12">
        <v>2021</v>
      </c>
      <c r="C360" s="12">
        <v>6639</v>
      </c>
      <c r="D360" s="12">
        <v>19880036</v>
      </c>
      <c r="E360" s="12" t="s">
        <v>13</v>
      </c>
      <c r="F360" s="12" t="s">
        <v>14</v>
      </c>
      <c r="I360" s="14">
        <v>44433</v>
      </c>
      <c r="J360" s="12" t="s">
        <v>17</v>
      </c>
      <c r="K360" s="12" t="s">
        <v>19</v>
      </c>
      <c r="L360" s="12" t="s">
        <v>27</v>
      </c>
      <c r="M360" s="12">
        <v>230.005</v>
      </c>
      <c r="N360" s="12">
        <v>193.77099999999999</v>
      </c>
      <c r="P360" s="12">
        <v>11.7</v>
      </c>
      <c r="Q360" s="13">
        <f t="shared" si="10"/>
        <v>0.84246429425447267</v>
      </c>
    </row>
    <row r="361" spans="1:17" x14ac:dyDescent="0.25">
      <c r="A361" s="12">
        <f t="shared" si="11"/>
        <v>8</v>
      </c>
      <c r="B361" s="12">
        <v>2021</v>
      </c>
      <c r="C361" s="12">
        <v>6640</v>
      </c>
      <c r="D361" s="12">
        <v>19883780</v>
      </c>
      <c r="E361" s="12" t="s">
        <v>13</v>
      </c>
      <c r="F361" s="12" t="s">
        <v>14</v>
      </c>
      <c r="I361" s="14">
        <v>44434</v>
      </c>
      <c r="J361" s="12" t="s">
        <v>17</v>
      </c>
      <c r="K361" s="12" t="s">
        <v>19</v>
      </c>
      <c r="L361" s="12" t="s">
        <v>27</v>
      </c>
      <c r="M361" s="12">
        <v>230.00399999999999</v>
      </c>
      <c r="N361" s="12">
        <v>195.874</v>
      </c>
      <c r="Q361" s="13">
        <f t="shared" si="10"/>
        <v>0.85161127632562916</v>
      </c>
    </row>
    <row r="362" spans="1:17" x14ac:dyDescent="0.25">
      <c r="A362" s="12">
        <f t="shared" si="11"/>
        <v>8</v>
      </c>
      <c r="B362" s="12">
        <v>2021</v>
      </c>
      <c r="C362" s="12">
        <v>6641</v>
      </c>
      <c r="D362" s="12">
        <v>19887983</v>
      </c>
      <c r="E362" s="12" t="s">
        <v>13</v>
      </c>
      <c r="F362" s="12" t="s">
        <v>14</v>
      </c>
      <c r="I362" s="14">
        <v>44435</v>
      </c>
      <c r="J362" s="12" t="s">
        <v>17</v>
      </c>
      <c r="K362" s="12" t="s">
        <v>19</v>
      </c>
      <c r="L362" s="12" t="s">
        <v>27</v>
      </c>
      <c r="M362" s="12">
        <v>230.00299999999999</v>
      </c>
      <c r="N362" s="12">
        <v>193.92</v>
      </c>
      <c r="Q362" s="13">
        <f t="shared" si="10"/>
        <v>0.84311943757255337</v>
      </c>
    </row>
    <row r="363" spans="1:17" x14ac:dyDescent="0.25">
      <c r="A363" s="12">
        <f t="shared" si="11"/>
        <v>8</v>
      </c>
      <c r="B363" s="12">
        <v>2021</v>
      </c>
      <c r="C363" s="12">
        <v>6642</v>
      </c>
      <c r="D363" s="12">
        <v>19891350</v>
      </c>
      <c r="E363" s="12" t="s">
        <v>13</v>
      </c>
      <c r="F363" s="12" t="s">
        <v>14</v>
      </c>
      <c r="I363" s="14">
        <v>44436</v>
      </c>
      <c r="J363" s="12" t="s">
        <v>37</v>
      </c>
      <c r="K363" s="12" t="s">
        <v>20</v>
      </c>
      <c r="L363" s="12" t="s">
        <v>30</v>
      </c>
      <c r="M363" s="12">
        <v>230.01300000000001</v>
      </c>
      <c r="N363" s="12">
        <v>196.90299999999999</v>
      </c>
      <c r="P363" s="12">
        <v>11</v>
      </c>
      <c r="Q363" s="13">
        <f t="shared" si="10"/>
        <v>0.8560516144739645</v>
      </c>
    </row>
    <row r="364" spans="1:17" x14ac:dyDescent="0.25">
      <c r="A364" s="12">
        <f t="shared" si="11"/>
        <v>8</v>
      </c>
      <c r="B364" s="12">
        <v>2021</v>
      </c>
      <c r="C364" s="12">
        <v>6643</v>
      </c>
      <c r="D364" s="12">
        <v>19896855</v>
      </c>
      <c r="E364" s="12" t="s">
        <v>13</v>
      </c>
      <c r="F364" s="12" t="s">
        <v>14</v>
      </c>
      <c r="I364" s="14">
        <v>44437</v>
      </c>
      <c r="J364" s="12" t="s">
        <v>37</v>
      </c>
      <c r="K364" s="12" t="s">
        <v>20</v>
      </c>
      <c r="L364" s="12" t="s">
        <v>30</v>
      </c>
      <c r="M364" s="12">
        <v>230.006</v>
      </c>
      <c r="N364" s="12">
        <v>196.45</v>
      </c>
      <c r="Q364" s="13">
        <f t="shared" si="10"/>
        <v>0.85410815370033821</v>
      </c>
    </row>
    <row r="365" spans="1:17" x14ac:dyDescent="0.25">
      <c r="A365" s="12">
        <f t="shared" si="11"/>
        <v>8</v>
      </c>
      <c r="B365" s="12">
        <v>2021</v>
      </c>
      <c r="C365" s="12">
        <v>6644</v>
      </c>
      <c r="D365" s="12">
        <v>19898447</v>
      </c>
      <c r="E365" s="12" t="s">
        <v>13</v>
      </c>
      <c r="F365" s="12" t="s">
        <v>14</v>
      </c>
      <c r="I365" s="14">
        <v>44438</v>
      </c>
      <c r="J365" s="12" t="s">
        <v>37</v>
      </c>
      <c r="K365" s="12" t="s">
        <v>20</v>
      </c>
      <c r="L365" s="12" t="s">
        <v>30</v>
      </c>
      <c r="M365" s="12">
        <v>230.005</v>
      </c>
      <c r="N365" s="12">
        <v>189.73</v>
      </c>
      <c r="Q365" s="13">
        <f t="shared" si="10"/>
        <v>0.82489511097584833</v>
      </c>
    </row>
    <row r="366" spans="1:17" x14ac:dyDescent="0.25">
      <c r="A366" s="12">
        <f t="shared" si="11"/>
        <v>8</v>
      </c>
      <c r="B366" s="12">
        <v>2021</v>
      </c>
      <c r="C366" s="12">
        <v>6645</v>
      </c>
      <c r="D366" s="12">
        <v>19899052</v>
      </c>
      <c r="E366" s="12" t="s">
        <v>13</v>
      </c>
      <c r="F366" s="12" t="s">
        <v>14</v>
      </c>
      <c r="I366" s="14">
        <v>44439</v>
      </c>
      <c r="J366" s="12" t="s">
        <v>37</v>
      </c>
      <c r="K366" s="12" t="s">
        <v>20</v>
      </c>
      <c r="L366" s="12" t="s">
        <v>30</v>
      </c>
      <c r="M366" s="12">
        <v>230.01400000000001</v>
      </c>
      <c r="N366" s="12">
        <v>197.67</v>
      </c>
      <c r="Q366" s="13">
        <f t="shared" si="10"/>
        <v>0.85938247237124687</v>
      </c>
    </row>
    <row r="367" spans="1:17" x14ac:dyDescent="0.25">
      <c r="A367" s="12">
        <f t="shared" si="11"/>
        <v>9</v>
      </c>
      <c r="B367" s="12">
        <v>2021</v>
      </c>
      <c r="C367" s="12">
        <v>6646</v>
      </c>
      <c r="D367" s="12">
        <v>19899079</v>
      </c>
      <c r="E367" s="12" t="s">
        <v>13</v>
      </c>
      <c r="F367" s="12" t="s">
        <v>14</v>
      </c>
      <c r="I367" s="14">
        <v>44440</v>
      </c>
      <c r="J367" s="12" t="s">
        <v>37</v>
      </c>
      <c r="K367" s="12" t="s">
        <v>20</v>
      </c>
      <c r="L367" s="12" t="s">
        <v>30</v>
      </c>
      <c r="M367" s="12">
        <v>230.01300000000001</v>
      </c>
      <c r="N367" s="12">
        <v>182.899</v>
      </c>
      <c r="Q367" s="13">
        <f t="shared" si="10"/>
        <v>0.79516809919439335</v>
      </c>
    </row>
    <row r="368" spans="1:17" x14ac:dyDescent="0.25">
      <c r="A368" s="12">
        <f t="shared" si="11"/>
        <v>9</v>
      </c>
      <c r="B368" s="12">
        <v>2021</v>
      </c>
      <c r="C368" s="12">
        <v>6647</v>
      </c>
      <c r="D368" s="12">
        <v>19903162</v>
      </c>
      <c r="E368" s="12" t="s">
        <v>13</v>
      </c>
      <c r="F368" s="12" t="s">
        <v>14</v>
      </c>
      <c r="I368" s="14">
        <v>44441</v>
      </c>
      <c r="J368" s="12" t="s">
        <v>37</v>
      </c>
      <c r="K368" s="12" t="s">
        <v>19</v>
      </c>
      <c r="L368" s="12" t="s">
        <v>27</v>
      </c>
      <c r="M368" s="12">
        <v>230.00700000000001</v>
      </c>
      <c r="N368" s="12">
        <v>199.17699999999999</v>
      </c>
      <c r="Q368" s="13">
        <f t="shared" si="10"/>
        <v>0.8659606011990939</v>
      </c>
    </row>
    <row r="369" spans="1:17" x14ac:dyDescent="0.25">
      <c r="A369" s="12">
        <f t="shared" si="11"/>
        <v>9</v>
      </c>
      <c r="B369" s="12">
        <v>2021</v>
      </c>
      <c r="C369" s="12">
        <v>6648</v>
      </c>
      <c r="D369" s="12">
        <v>19906697</v>
      </c>
      <c r="E369" s="12" t="s">
        <v>13</v>
      </c>
      <c r="F369" s="12" t="s">
        <v>14</v>
      </c>
      <c r="I369" s="14">
        <v>44442</v>
      </c>
      <c r="J369" s="12" t="s">
        <v>37</v>
      </c>
      <c r="K369" s="12" t="s">
        <v>19</v>
      </c>
      <c r="L369" s="12" t="s">
        <v>27</v>
      </c>
      <c r="M369" s="12">
        <v>230.006</v>
      </c>
      <c r="N369" s="12">
        <v>192.714</v>
      </c>
      <c r="Q369" s="13">
        <f t="shared" si="10"/>
        <v>0.83786509917132601</v>
      </c>
    </row>
    <row r="370" spans="1:17" x14ac:dyDescent="0.25">
      <c r="A370" s="12">
        <f t="shared" si="11"/>
        <v>9</v>
      </c>
      <c r="B370" s="12">
        <v>2021</v>
      </c>
      <c r="C370" s="12">
        <v>6649</v>
      </c>
      <c r="D370" s="12">
        <v>19910258</v>
      </c>
      <c r="E370" s="12" t="s">
        <v>13</v>
      </c>
      <c r="F370" s="12" t="s">
        <v>14</v>
      </c>
      <c r="I370" s="14">
        <v>44443</v>
      </c>
      <c r="J370" s="12" t="s">
        <v>37</v>
      </c>
      <c r="K370" s="12" t="s">
        <v>19</v>
      </c>
      <c r="L370" s="12" t="s">
        <v>27</v>
      </c>
      <c r="M370" s="12">
        <v>230.00399999999999</v>
      </c>
      <c r="N370" s="12">
        <v>199.60400000000001</v>
      </c>
      <c r="Q370" s="13">
        <f t="shared" si="10"/>
        <v>0.86782838559329412</v>
      </c>
    </row>
    <row r="371" spans="1:17" x14ac:dyDescent="0.25">
      <c r="A371" s="12">
        <f t="shared" si="11"/>
        <v>9</v>
      </c>
      <c r="B371" s="12">
        <v>2021</v>
      </c>
      <c r="C371" s="12">
        <v>6650</v>
      </c>
      <c r="D371" s="12">
        <v>19913951</v>
      </c>
      <c r="E371" s="12" t="s">
        <v>13</v>
      </c>
      <c r="F371" s="12" t="s">
        <v>14</v>
      </c>
      <c r="I371" s="14">
        <v>44444</v>
      </c>
      <c r="J371" s="12" t="s">
        <v>37</v>
      </c>
      <c r="K371" s="12" t="s">
        <v>19</v>
      </c>
      <c r="L371" s="12" t="s">
        <v>27</v>
      </c>
      <c r="M371" s="12">
        <v>230.00399999999999</v>
      </c>
      <c r="N371" s="12">
        <v>190.114</v>
      </c>
      <c r="Q371" s="13">
        <f t="shared" si="10"/>
        <v>0.82656823359593756</v>
      </c>
    </row>
    <row r="372" spans="1:17" x14ac:dyDescent="0.25">
      <c r="A372" s="12">
        <f t="shared" si="11"/>
        <v>9</v>
      </c>
      <c r="B372" s="12">
        <v>2021</v>
      </c>
      <c r="C372" s="12">
        <v>6651</v>
      </c>
      <c r="D372" s="12">
        <v>19921838</v>
      </c>
      <c r="E372" s="12" t="s">
        <v>13</v>
      </c>
      <c r="F372" s="12" t="s">
        <v>14</v>
      </c>
      <c r="I372" s="14">
        <v>44445</v>
      </c>
      <c r="J372" s="12" t="s">
        <v>34</v>
      </c>
      <c r="K372" s="12" t="s">
        <v>19</v>
      </c>
      <c r="L372" s="12" t="s">
        <v>39</v>
      </c>
      <c r="M372" s="12">
        <v>225.00899999999999</v>
      </c>
      <c r="N372" s="12">
        <v>189.58199999999999</v>
      </c>
      <c r="P372" s="12">
        <v>14.1</v>
      </c>
      <c r="Q372" s="13">
        <f t="shared" si="10"/>
        <v>0.84255296454808482</v>
      </c>
    </row>
    <row r="373" spans="1:17" x14ac:dyDescent="0.25">
      <c r="A373" s="12">
        <f t="shared" si="11"/>
        <v>9</v>
      </c>
      <c r="B373" s="12">
        <v>2021</v>
      </c>
      <c r="C373" s="12">
        <v>6652</v>
      </c>
      <c r="D373" s="12">
        <v>19921871</v>
      </c>
      <c r="E373" s="12" t="s">
        <v>13</v>
      </c>
      <c r="F373" s="12" t="s">
        <v>14</v>
      </c>
      <c r="I373" s="14">
        <v>44446</v>
      </c>
      <c r="J373" s="12" t="s">
        <v>34</v>
      </c>
      <c r="K373" s="12" t="s">
        <v>19</v>
      </c>
      <c r="L373" s="12" t="s">
        <v>40</v>
      </c>
      <c r="M373" s="12">
        <v>225.001</v>
      </c>
      <c r="N373" s="12">
        <v>192.833</v>
      </c>
      <c r="Q373" s="13">
        <f t="shared" si="10"/>
        <v>0.85703174652557101</v>
      </c>
    </row>
    <row r="374" spans="1:17" x14ac:dyDescent="0.25">
      <c r="A374" s="12">
        <f t="shared" si="11"/>
        <v>9</v>
      </c>
      <c r="B374" s="12">
        <v>2021</v>
      </c>
      <c r="C374" s="12">
        <v>6653</v>
      </c>
      <c r="D374" s="12">
        <v>19919455</v>
      </c>
      <c r="E374" s="12" t="s">
        <v>13</v>
      </c>
      <c r="F374" s="12" t="s">
        <v>14</v>
      </c>
      <c r="I374" s="14">
        <v>44447</v>
      </c>
      <c r="J374" s="12" t="s">
        <v>18</v>
      </c>
      <c r="K374" s="12" t="s">
        <v>20</v>
      </c>
      <c r="L374" s="12" t="s">
        <v>29</v>
      </c>
      <c r="M374" s="12">
        <v>230.01900000000001</v>
      </c>
      <c r="N374" s="12">
        <v>188.43600000000001</v>
      </c>
      <c r="Q374" s="13">
        <f t="shared" si="10"/>
        <v>0.81921928188540949</v>
      </c>
    </row>
    <row r="375" spans="1:17" x14ac:dyDescent="0.25">
      <c r="A375" s="12">
        <f t="shared" si="11"/>
        <v>9</v>
      </c>
      <c r="B375" s="12">
        <v>2021</v>
      </c>
      <c r="C375" s="12">
        <v>6654</v>
      </c>
      <c r="D375" s="12">
        <v>19923454</v>
      </c>
      <c r="E375" s="12" t="s">
        <v>13</v>
      </c>
      <c r="F375" s="12" t="s">
        <v>14</v>
      </c>
      <c r="I375" s="14">
        <v>44448</v>
      </c>
      <c r="J375" s="12" t="s">
        <v>18</v>
      </c>
      <c r="K375" s="12" t="s">
        <v>20</v>
      </c>
      <c r="L375" s="12" t="s">
        <v>29</v>
      </c>
      <c r="M375" s="12">
        <v>230.018</v>
      </c>
      <c r="N375" s="12">
        <v>185.245</v>
      </c>
      <c r="Q375" s="13">
        <f t="shared" si="10"/>
        <v>0.80535001608569767</v>
      </c>
    </row>
    <row r="376" spans="1:17" x14ac:dyDescent="0.25">
      <c r="A376" s="12">
        <f t="shared" si="11"/>
        <v>9</v>
      </c>
      <c r="B376" s="12">
        <v>2021</v>
      </c>
      <c r="C376" s="12">
        <v>6655</v>
      </c>
      <c r="D376" s="12">
        <v>19930048</v>
      </c>
      <c r="E376" s="12" t="s">
        <v>13</v>
      </c>
      <c r="F376" s="12" t="s">
        <v>14</v>
      </c>
      <c r="I376" s="14">
        <v>44449</v>
      </c>
      <c r="J376" s="12" t="s">
        <v>18</v>
      </c>
      <c r="K376" s="12" t="s">
        <v>20</v>
      </c>
      <c r="L376" s="12" t="s">
        <v>29</v>
      </c>
      <c r="M376" s="12">
        <v>229.964</v>
      </c>
      <c r="N376" s="12">
        <v>197.49700000000001</v>
      </c>
      <c r="P376" s="12">
        <v>11.6</v>
      </c>
      <c r="Q376" s="13">
        <f t="shared" si="10"/>
        <v>0.85881703223113193</v>
      </c>
    </row>
    <row r="377" spans="1:17" x14ac:dyDescent="0.25">
      <c r="A377" s="12">
        <f t="shared" si="11"/>
        <v>9</v>
      </c>
      <c r="B377" s="12">
        <v>2021</v>
      </c>
      <c r="C377" s="12">
        <v>6656</v>
      </c>
      <c r="D377" s="12">
        <v>19932588</v>
      </c>
      <c r="E377" s="12" t="s">
        <v>13</v>
      </c>
      <c r="F377" s="12" t="s">
        <v>14</v>
      </c>
      <c r="I377" s="14">
        <v>44450</v>
      </c>
      <c r="J377" s="12" t="s">
        <v>18</v>
      </c>
      <c r="K377" s="12" t="s">
        <v>20</v>
      </c>
      <c r="L377" s="12" t="s">
        <v>29</v>
      </c>
      <c r="M377" s="12">
        <v>230</v>
      </c>
      <c r="N377" s="12">
        <v>197.20099999999999</v>
      </c>
      <c r="Q377" s="13">
        <f t="shared" si="10"/>
        <v>0.857395652173913</v>
      </c>
    </row>
    <row r="378" spans="1:17" x14ac:dyDescent="0.25">
      <c r="A378" s="12">
        <f t="shared" si="11"/>
        <v>9</v>
      </c>
      <c r="B378" s="12">
        <v>2021</v>
      </c>
      <c r="C378" s="12">
        <v>6657</v>
      </c>
      <c r="D378" s="12">
        <v>19936571</v>
      </c>
      <c r="E378" s="12" t="s">
        <v>13</v>
      </c>
      <c r="F378" s="12" t="s">
        <v>14</v>
      </c>
      <c r="I378" s="14">
        <v>44451</v>
      </c>
      <c r="J378" s="12" t="s">
        <v>18</v>
      </c>
      <c r="K378" s="12" t="s">
        <v>20</v>
      </c>
      <c r="L378" s="12" t="s">
        <v>29</v>
      </c>
      <c r="M378" s="12">
        <v>230</v>
      </c>
      <c r="N378" s="12">
        <v>175.55</v>
      </c>
      <c r="Q378" s="13">
        <f t="shared" si="10"/>
        <v>0.76326086956521744</v>
      </c>
    </row>
    <row r="379" spans="1:17" x14ac:dyDescent="0.25">
      <c r="A379" s="12">
        <f t="shared" si="11"/>
        <v>9</v>
      </c>
      <c r="B379" s="12">
        <v>2021</v>
      </c>
      <c r="C379" s="12">
        <v>6658</v>
      </c>
      <c r="D379" s="12">
        <v>19940617</v>
      </c>
      <c r="E379" s="12" t="s">
        <v>13</v>
      </c>
      <c r="F379" s="12" t="s">
        <v>14</v>
      </c>
      <c r="I379" s="14">
        <v>44452</v>
      </c>
      <c r="J379" s="12" t="s">
        <v>36</v>
      </c>
      <c r="K379" s="12" t="s">
        <v>20</v>
      </c>
      <c r="L379" s="12" t="s">
        <v>30</v>
      </c>
      <c r="M379" s="12">
        <v>229.999</v>
      </c>
      <c r="N379" s="12">
        <v>198.41900000000001</v>
      </c>
      <c r="Q379" s="13">
        <f t="shared" si="10"/>
        <v>0.86269505519589218</v>
      </c>
    </row>
    <row r="380" spans="1:17" x14ac:dyDescent="0.25">
      <c r="A380" s="12">
        <f t="shared" si="11"/>
        <v>9</v>
      </c>
      <c r="B380" s="12">
        <v>2021</v>
      </c>
      <c r="C380" s="12">
        <v>6659</v>
      </c>
      <c r="D380" s="12">
        <v>19940684</v>
      </c>
      <c r="E380" s="12" t="s">
        <v>13</v>
      </c>
      <c r="F380" s="12" t="s">
        <v>14</v>
      </c>
      <c r="I380" s="14">
        <v>44453</v>
      </c>
      <c r="J380" s="12" t="s">
        <v>36</v>
      </c>
      <c r="K380" s="12" t="s">
        <v>20</v>
      </c>
      <c r="L380" s="12" t="s">
        <v>30</v>
      </c>
      <c r="M380" s="12">
        <v>229.999</v>
      </c>
      <c r="N380" s="12">
        <v>189.67400000000001</v>
      </c>
      <c r="Q380" s="13">
        <f t="shared" si="10"/>
        <v>0.82467315075282943</v>
      </c>
    </row>
    <row r="381" spans="1:17" x14ac:dyDescent="0.25">
      <c r="A381" s="12">
        <f t="shared" si="11"/>
        <v>9</v>
      </c>
      <c r="B381" s="12">
        <v>2021</v>
      </c>
      <c r="C381" s="12">
        <v>6660</v>
      </c>
      <c r="D381" s="12">
        <v>19941329</v>
      </c>
      <c r="E381" s="12" t="s">
        <v>13</v>
      </c>
      <c r="F381" s="12" t="s">
        <v>14</v>
      </c>
      <c r="I381" s="14">
        <v>44454</v>
      </c>
      <c r="J381" s="12" t="s">
        <v>18</v>
      </c>
      <c r="K381" s="12" t="s">
        <v>20</v>
      </c>
      <c r="L381" s="12" t="s">
        <v>30</v>
      </c>
      <c r="M381" s="12">
        <v>229.988</v>
      </c>
      <c r="N381" s="12">
        <v>183.535</v>
      </c>
      <c r="Q381" s="13">
        <f t="shared" si="10"/>
        <v>0.79801989669026208</v>
      </c>
    </row>
    <row r="382" spans="1:17" x14ac:dyDescent="0.25">
      <c r="A382" s="12">
        <f t="shared" si="11"/>
        <v>9</v>
      </c>
      <c r="B382" s="12">
        <v>2021</v>
      </c>
      <c r="C382" s="12">
        <v>6661</v>
      </c>
      <c r="D382" s="12">
        <v>19946437</v>
      </c>
      <c r="E382" s="12" t="s">
        <v>13</v>
      </c>
      <c r="F382" s="12" t="s">
        <v>14</v>
      </c>
      <c r="I382" s="14">
        <v>44455</v>
      </c>
      <c r="J382" s="12" t="s">
        <v>18</v>
      </c>
      <c r="K382" s="12" t="s">
        <v>20</v>
      </c>
      <c r="L382" s="12" t="s">
        <v>30</v>
      </c>
      <c r="M382" s="12">
        <v>229.988</v>
      </c>
      <c r="N382" s="12">
        <v>176.69200000000001</v>
      </c>
      <c r="Q382" s="13">
        <f t="shared" si="10"/>
        <v>0.76826617040889089</v>
      </c>
    </row>
    <row r="383" spans="1:17" x14ac:dyDescent="0.25">
      <c r="A383" s="12">
        <f t="shared" si="11"/>
        <v>9</v>
      </c>
      <c r="B383" s="12">
        <v>2021</v>
      </c>
      <c r="C383" s="12">
        <v>6662</v>
      </c>
      <c r="D383" s="12">
        <v>19950401</v>
      </c>
      <c r="E383" s="12" t="s">
        <v>13</v>
      </c>
      <c r="F383" s="12" t="s">
        <v>14</v>
      </c>
      <c r="I383" s="14">
        <v>44456</v>
      </c>
      <c r="J383" s="12" t="s">
        <v>17</v>
      </c>
      <c r="K383" s="12" t="s">
        <v>19</v>
      </c>
      <c r="L383" s="12" t="s">
        <v>39</v>
      </c>
      <c r="M383" s="12">
        <v>230.01599999999999</v>
      </c>
      <c r="N383" s="12">
        <v>163.06700000000001</v>
      </c>
      <c r="Q383" s="13">
        <f t="shared" si="10"/>
        <v>0.70893763912075691</v>
      </c>
    </row>
    <row r="384" spans="1:17" x14ac:dyDescent="0.25">
      <c r="A384" s="12">
        <f t="shared" si="11"/>
        <v>9</v>
      </c>
      <c r="B384" s="12">
        <v>2021</v>
      </c>
      <c r="C384" s="12">
        <v>6663</v>
      </c>
      <c r="D384" s="12">
        <v>19953944</v>
      </c>
      <c r="E384" s="12" t="s">
        <v>13</v>
      </c>
      <c r="F384" s="12" t="s">
        <v>14</v>
      </c>
      <c r="I384" s="14">
        <v>44457</v>
      </c>
      <c r="J384" s="12" t="s">
        <v>17</v>
      </c>
      <c r="K384" s="12" t="s">
        <v>19</v>
      </c>
      <c r="L384" s="12" t="s">
        <v>39</v>
      </c>
      <c r="M384" s="12">
        <v>230.01599999999999</v>
      </c>
      <c r="N384" s="12">
        <v>157.232</v>
      </c>
      <c r="P384" s="12">
        <v>13.8</v>
      </c>
      <c r="Q384" s="13">
        <f t="shared" si="10"/>
        <v>0.68356983861992215</v>
      </c>
    </row>
    <row r="385" spans="1:17" x14ac:dyDescent="0.25">
      <c r="A385" s="12">
        <f t="shared" si="11"/>
        <v>9</v>
      </c>
      <c r="B385" s="12">
        <v>2021</v>
      </c>
      <c r="C385" s="12">
        <v>6664</v>
      </c>
      <c r="D385" s="12">
        <v>19958446</v>
      </c>
      <c r="E385" s="12" t="s">
        <v>13</v>
      </c>
      <c r="F385" s="12" t="s">
        <v>14</v>
      </c>
      <c r="I385" s="14">
        <v>44458</v>
      </c>
      <c r="J385" s="12" t="s">
        <v>17</v>
      </c>
      <c r="K385" s="12" t="s">
        <v>19</v>
      </c>
      <c r="L385" s="12" t="s">
        <v>39</v>
      </c>
      <c r="M385" s="12">
        <v>230.01499999999999</v>
      </c>
      <c r="N385" s="12">
        <v>168.10400000000001</v>
      </c>
      <c r="Q385" s="13">
        <f t="shared" si="10"/>
        <v>0.73083929308958118</v>
      </c>
    </row>
    <row r="386" spans="1:17" x14ac:dyDescent="0.25">
      <c r="A386" s="12">
        <f t="shared" si="11"/>
        <v>9</v>
      </c>
      <c r="B386" s="12">
        <v>2021</v>
      </c>
      <c r="C386" s="12">
        <v>6665</v>
      </c>
      <c r="D386" s="12">
        <v>19963384</v>
      </c>
      <c r="E386" s="12" t="s">
        <v>13</v>
      </c>
      <c r="F386" s="12" t="s">
        <v>14</v>
      </c>
      <c r="I386" s="14">
        <v>44459</v>
      </c>
      <c r="J386" s="12" t="s">
        <v>17</v>
      </c>
      <c r="K386" s="12" t="s">
        <v>19</v>
      </c>
      <c r="L386" s="12" t="s">
        <v>41</v>
      </c>
      <c r="M386" s="12">
        <v>230.029</v>
      </c>
      <c r="N386" s="12">
        <v>195.66</v>
      </c>
      <c r="P386" s="12">
        <v>13.5</v>
      </c>
      <c r="Q386" s="13">
        <f t="shared" ref="Q386:Q449" si="12">N386/M386</f>
        <v>0.85058840407079106</v>
      </c>
    </row>
    <row r="387" spans="1:17" x14ac:dyDescent="0.25">
      <c r="A387" s="12">
        <f t="shared" ref="A387:A450" si="13">MONTH(I387)</f>
        <v>9</v>
      </c>
      <c r="B387" s="12">
        <v>2021</v>
      </c>
      <c r="C387" s="12">
        <v>6666</v>
      </c>
      <c r="D387" s="12">
        <v>19963413</v>
      </c>
      <c r="E387" s="12" t="s">
        <v>13</v>
      </c>
      <c r="F387" s="12" t="s">
        <v>14</v>
      </c>
      <c r="I387" s="14">
        <v>44460</v>
      </c>
      <c r="J387" s="12" t="s">
        <v>17</v>
      </c>
      <c r="K387" s="12" t="s">
        <v>19</v>
      </c>
      <c r="L387" s="12" t="s">
        <v>40</v>
      </c>
      <c r="M387" s="12">
        <v>230.01300000000001</v>
      </c>
      <c r="N387" s="12">
        <v>193.65</v>
      </c>
      <c r="P387" s="12">
        <v>14</v>
      </c>
      <c r="Q387" s="13">
        <f t="shared" si="12"/>
        <v>0.84190893558190194</v>
      </c>
    </row>
    <row r="388" spans="1:17" x14ac:dyDescent="0.25">
      <c r="A388" s="12">
        <f t="shared" si="13"/>
        <v>9</v>
      </c>
      <c r="B388" s="12">
        <v>2021</v>
      </c>
      <c r="C388" s="12">
        <v>6667</v>
      </c>
      <c r="D388" s="12">
        <v>19963755</v>
      </c>
      <c r="E388" s="12" t="s">
        <v>13</v>
      </c>
      <c r="F388" s="12" t="s">
        <v>14</v>
      </c>
      <c r="I388" s="14">
        <v>44461</v>
      </c>
      <c r="J388" s="12" t="s">
        <v>18</v>
      </c>
      <c r="K388" s="12" t="s">
        <v>20</v>
      </c>
      <c r="L388" s="12" t="s">
        <v>42</v>
      </c>
      <c r="M388" s="12">
        <v>230.005</v>
      </c>
      <c r="N388" s="12">
        <v>176.99100000000001</v>
      </c>
      <c r="P388" s="12">
        <v>14.6</v>
      </c>
      <c r="Q388" s="13">
        <f t="shared" si="12"/>
        <v>0.76950935849220681</v>
      </c>
    </row>
    <row r="389" spans="1:17" x14ac:dyDescent="0.25">
      <c r="A389" s="12">
        <f t="shared" si="13"/>
        <v>9</v>
      </c>
      <c r="B389" s="12">
        <v>2021</v>
      </c>
      <c r="C389" s="12">
        <v>6668</v>
      </c>
      <c r="D389" s="12">
        <v>19967465</v>
      </c>
      <c r="E389" s="12" t="s">
        <v>13</v>
      </c>
      <c r="F389" s="12" t="s">
        <v>14</v>
      </c>
      <c r="I389" s="14">
        <v>44462</v>
      </c>
      <c r="J389" s="12" t="s">
        <v>18</v>
      </c>
      <c r="K389" s="12" t="s">
        <v>20</v>
      </c>
      <c r="L389" s="12" t="s">
        <v>30</v>
      </c>
      <c r="M389" s="12">
        <v>229.99600000000001</v>
      </c>
      <c r="N389" s="12">
        <v>171.7</v>
      </c>
      <c r="Q389" s="13">
        <f t="shared" si="12"/>
        <v>0.74653472234299723</v>
      </c>
    </row>
    <row r="390" spans="1:17" x14ac:dyDescent="0.25">
      <c r="A390" s="12">
        <f t="shared" si="13"/>
        <v>9</v>
      </c>
      <c r="B390" s="12">
        <v>2021</v>
      </c>
      <c r="C390" s="12">
        <v>6669</v>
      </c>
      <c r="D390" s="12">
        <v>19971827</v>
      </c>
      <c r="E390" s="12" t="s">
        <v>13</v>
      </c>
      <c r="F390" s="12" t="s">
        <v>14</v>
      </c>
      <c r="I390" s="14">
        <v>44463</v>
      </c>
      <c r="J390" s="12" t="s">
        <v>18</v>
      </c>
      <c r="K390" s="12" t="s">
        <v>20</v>
      </c>
      <c r="L390" s="12" t="s">
        <v>30</v>
      </c>
      <c r="M390" s="12">
        <v>229.99600000000001</v>
      </c>
      <c r="N390" s="12">
        <v>181.358</v>
      </c>
      <c r="Q390" s="13">
        <f t="shared" si="12"/>
        <v>0.78852675698707797</v>
      </c>
    </row>
    <row r="391" spans="1:17" x14ac:dyDescent="0.25">
      <c r="A391" s="12">
        <f t="shared" si="13"/>
        <v>9</v>
      </c>
      <c r="B391" s="12">
        <v>2021</v>
      </c>
      <c r="C391" s="12">
        <v>6670</v>
      </c>
      <c r="D391" s="12">
        <v>19975625</v>
      </c>
      <c r="E391" s="12" t="s">
        <v>13</v>
      </c>
      <c r="F391" s="12" t="s">
        <v>14</v>
      </c>
      <c r="I391" s="14">
        <v>44464</v>
      </c>
      <c r="J391" s="12" t="s">
        <v>18</v>
      </c>
      <c r="K391" s="12" t="s">
        <v>20</v>
      </c>
      <c r="L391" s="12" t="s">
        <v>29</v>
      </c>
      <c r="M391" s="12">
        <v>230</v>
      </c>
      <c r="N391" s="12">
        <v>175.381</v>
      </c>
      <c r="P391" s="12">
        <v>11.3</v>
      </c>
      <c r="Q391" s="13">
        <f t="shared" si="12"/>
        <v>0.76252608695652169</v>
      </c>
    </row>
    <row r="392" spans="1:17" x14ac:dyDescent="0.25">
      <c r="A392" s="12">
        <f t="shared" si="13"/>
        <v>9</v>
      </c>
      <c r="B392" s="12">
        <v>2021</v>
      </c>
      <c r="C392" s="12">
        <v>6671</v>
      </c>
      <c r="D392" s="12">
        <v>19982180</v>
      </c>
      <c r="E392" s="12" t="s">
        <v>13</v>
      </c>
      <c r="F392" s="12" t="s">
        <v>14</v>
      </c>
      <c r="I392" s="14">
        <v>44465</v>
      </c>
      <c r="J392" s="12" t="s">
        <v>17</v>
      </c>
      <c r="K392" s="12" t="s">
        <v>19</v>
      </c>
      <c r="L392" s="12" t="s">
        <v>43</v>
      </c>
      <c r="M392" s="12">
        <v>229.99199999999999</v>
      </c>
      <c r="N392" s="12">
        <v>177.19399999999999</v>
      </c>
      <c r="P392" s="12">
        <v>13.9</v>
      </c>
      <c r="Q392" s="13">
        <f t="shared" si="12"/>
        <v>0.7704354934084664</v>
      </c>
    </row>
    <row r="393" spans="1:17" x14ac:dyDescent="0.25">
      <c r="A393" s="12">
        <f t="shared" si="13"/>
        <v>9</v>
      </c>
      <c r="B393" s="12">
        <v>2021</v>
      </c>
      <c r="C393" s="12">
        <v>6672</v>
      </c>
      <c r="D393" s="12">
        <v>19983545</v>
      </c>
      <c r="E393" s="12" t="s">
        <v>13</v>
      </c>
      <c r="F393" s="12" t="s">
        <v>14</v>
      </c>
      <c r="I393" s="14">
        <v>44466</v>
      </c>
      <c r="J393" s="12" t="s">
        <v>18</v>
      </c>
      <c r="K393" s="12" t="s">
        <v>20</v>
      </c>
      <c r="L393" s="12" t="s">
        <v>44</v>
      </c>
      <c r="M393" s="12">
        <v>230.01300000000001</v>
      </c>
      <c r="N393" s="12">
        <v>189.73699999999999</v>
      </c>
      <c r="P393" s="12">
        <v>13.7</v>
      </c>
      <c r="Q393" s="13">
        <f t="shared" si="12"/>
        <v>0.82489685365609766</v>
      </c>
    </row>
    <row r="394" spans="1:17" x14ac:dyDescent="0.25">
      <c r="A394" s="12">
        <f t="shared" si="13"/>
        <v>9</v>
      </c>
      <c r="B394" s="12">
        <v>2021</v>
      </c>
      <c r="C394" s="12">
        <v>6673</v>
      </c>
      <c r="D394" s="12">
        <v>19983553</v>
      </c>
      <c r="E394" s="12" t="s">
        <v>13</v>
      </c>
      <c r="F394" s="12" t="s">
        <v>14</v>
      </c>
      <c r="I394" s="14">
        <v>44467</v>
      </c>
      <c r="J394" s="12" t="s">
        <v>17</v>
      </c>
      <c r="K394" s="12" t="s">
        <v>20</v>
      </c>
      <c r="L394" s="12" t="s">
        <v>39</v>
      </c>
      <c r="M394" s="12">
        <v>230</v>
      </c>
      <c r="N394" s="12">
        <v>200.114</v>
      </c>
      <c r="Q394" s="13">
        <f t="shared" si="12"/>
        <v>0.87006086956521744</v>
      </c>
    </row>
    <row r="395" spans="1:17" x14ac:dyDescent="0.25">
      <c r="A395" s="12">
        <f t="shared" si="13"/>
        <v>9</v>
      </c>
      <c r="B395" s="12">
        <v>2021</v>
      </c>
      <c r="C395" s="12">
        <v>6674</v>
      </c>
      <c r="D395" s="12">
        <v>19984901</v>
      </c>
      <c r="E395" s="12" t="s">
        <v>13</v>
      </c>
      <c r="F395" s="12" t="s">
        <v>14</v>
      </c>
      <c r="I395" s="14">
        <v>44468</v>
      </c>
      <c r="J395" s="12" t="s">
        <v>17</v>
      </c>
      <c r="K395" s="12" t="s">
        <v>20</v>
      </c>
      <c r="L395" s="12" t="s">
        <v>39</v>
      </c>
      <c r="M395" s="12">
        <v>230</v>
      </c>
      <c r="N395" s="12">
        <v>196.399</v>
      </c>
      <c r="Q395" s="13">
        <f t="shared" si="12"/>
        <v>0.85390869565217387</v>
      </c>
    </row>
    <row r="396" spans="1:17" x14ac:dyDescent="0.25">
      <c r="A396" s="12">
        <f t="shared" si="13"/>
        <v>9</v>
      </c>
      <c r="B396" s="12">
        <v>2021</v>
      </c>
      <c r="C396" s="12">
        <v>6675</v>
      </c>
      <c r="D396" s="12">
        <v>19988995</v>
      </c>
      <c r="E396" s="12" t="s">
        <v>13</v>
      </c>
      <c r="F396" s="12" t="s">
        <v>14</v>
      </c>
      <c r="I396" s="14">
        <v>44469</v>
      </c>
      <c r="J396" s="12" t="s">
        <v>17</v>
      </c>
      <c r="K396" s="12" t="s">
        <v>20</v>
      </c>
      <c r="L396" s="12" t="s">
        <v>39</v>
      </c>
      <c r="M396" s="12">
        <v>230</v>
      </c>
      <c r="N396" s="12">
        <v>192.946</v>
      </c>
      <c r="Q396" s="13">
        <f t="shared" si="12"/>
        <v>0.83889565217391304</v>
      </c>
    </row>
    <row r="397" spans="1:17" x14ac:dyDescent="0.25">
      <c r="A397" s="12">
        <f t="shared" si="13"/>
        <v>10</v>
      </c>
      <c r="B397" s="12">
        <v>2021</v>
      </c>
      <c r="C397" s="12">
        <v>6676</v>
      </c>
      <c r="D397" s="12">
        <v>1000039</v>
      </c>
      <c r="E397" s="12" t="s">
        <v>13</v>
      </c>
      <c r="F397" s="12" t="s">
        <v>14</v>
      </c>
      <c r="I397" s="14">
        <v>44470</v>
      </c>
      <c r="J397" s="12" t="s">
        <v>18</v>
      </c>
      <c r="K397" s="12" t="s">
        <v>20</v>
      </c>
      <c r="L397" s="12" t="s">
        <v>42</v>
      </c>
      <c r="M397" s="12">
        <v>230.011</v>
      </c>
      <c r="N397" s="12">
        <v>195.87</v>
      </c>
      <c r="Q397" s="13">
        <f t="shared" si="12"/>
        <v>0.85156796848846361</v>
      </c>
    </row>
    <row r="398" spans="1:17" x14ac:dyDescent="0.25">
      <c r="A398" s="12">
        <f t="shared" si="13"/>
        <v>10</v>
      </c>
      <c r="B398" s="12">
        <v>2021</v>
      </c>
      <c r="C398" s="12">
        <v>6677</v>
      </c>
      <c r="D398" s="12">
        <v>1000040</v>
      </c>
      <c r="E398" s="12" t="s">
        <v>13</v>
      </c>
      <c r="F398" s="12" t="s">
        <v>14</v>
      </c>
      <c r="I398" s="14">
        <v>44471</v>
      </c>
      <c r="J398" s="12" t="s">
        <v>18</v>
      </c>
      <c r="K398" s="12" t="s">
        <v>20</v>
      </c>
      <c r="L398" s="12" t="s">
        <v>42</v>
      </c>
      <c r="M398" s="12">
        <v>230.011</v>
      </c>
      <c r="N398" s="12">
        <v>193.71199999999999</v>
      </c>
      <c r="Q398" s="13">
        <f t="shared" si="12"/>
        <v>0.84218580850481062</v>
      </c>
    </row>
    <row r="399" spans="1:17" x14ac:dyDescent="0.25">
      <c r="A399" s="12">
        <f t="shared" si="13"/>
        <v>10</v>
      </c>
      <c r="B399" s="12">
        <v>2021</v>
      </c>
      <c r="C399" s="12">
        <v>6678</v>
      </c>
      <c r="D399" s="12">
        <v>1000041</v>
      </c>
      <c r="E399" s="12" t="s">
        <v>13</v>
      </c>
      <c r="F399" s="12" t="s">
        <v>14</v>
      </c>
      <c r="I399" s="14">
        <v>44472</v>
      </c>
      <c r="J399" s="12" t="s">
        <v>18</v>
      </c>
      <c r="K399" s="12" t="s">
        <v>20</v>
      </c>
      <c r="L399" s="12" t="s">
        <v>42</v>
      </c>
      <c r="M399" s="12">
        <v>230.005</v>
      </c>
      <c r="N399" s="12">
        <v>198.32400000000001</v>
      </c>
      <c r="P399" s="12">
        <v>12.2</v>
      </c>
      <c r="Q399" s="13">
        <f t="shared" si="12"/>
        <v>0.8622595160974762</v>
      </c>
    </row>
    <row r="400" spans="1:17" x14ac:dyDescent="0.25">
      <c r="A400" s="12">
        <f t="shared" si="13"/>
        <v>10</v>
      </c>
      <c r="B400" s="12">
        <v>2021</v>
      </c>
      <c r="C400" s="12">
        <v>6679</v>
      </c>
      <c r="D400" s="12">
        <v>1000042</v>
      </c>
      <c r="E400" s="12" t="s">
        <v>13</v>
      </c>
      <c r="F400" s="12" t="s">
        <v>14</v>
      </c>
      <c r="I400" s="14">
        <v>44473</v>
      </c>
      <c r="J400" s="12" t="s">
        <v>18</v>
      </c>
      <c r="K400" s="12" t="s">
        <v>20</v>
      </c>
      <c r="L400" s="12" t="s">
        <v>42</v>
      </c>
      <c r="M400" s="12">
        <v>225.00399999999999</v>
      </c>
      <c r="N400" s="12">
        <v>194.05799999999999</v>
      </c>
      <c r="Q400" s="13">
        <f t="shared" si="12"/>
        <v>0.86246466729480364</v>
      </c>
    </row>
    <row r="401" spans="1:17" x14ac:dyDescent="0.25">
      <c r="A401" s="12">
        <f t="shared" si="13"/>
        <v>10</v>
      </c>
      <c r="B401" s="12">
        <v>2021</v>
      </c>
      <c r="C401" s="12">
        <v>6680</v>
      </c>
      <c r="D401" s="12">
        <v>1000043</v>
      </c>
      <c r="E401" s="12" t="s">
        <v>13</v>
      </c>
      <c r="F401" s="12" t="s">
        <v>14</v>
      </c>
      <c r="I401" s="14">
        <v>44474</v>
      </c>
      <c r="J401" s="12" t="s">
        <v>18</v>
      </c>
      <c r="K401" s="12" t="s">
        <v>20</v>
      </c>
      <c r="L401" s="12" t="s">
        <v>42</v>
      </c>
      <c r="M401" s="12">
        <v>225.00399999999999</v>
      </c>
      <c r="N401" s="12">
        <v>193.577</v>
      </c>
      <c r="Q401" s="13">
        <f t="shared" si="12"/>
        <v>0.86032692752128859</v>
      </c>
    </row>
    <row r="402" spans="1:17" x14ac:dyDescent="0.25">
      <c r="A402" s="12">
        <f t="shared" si="13"/>
        <v>10</v>
      </c>
      <c r="B402" s="12">
        <v>2021</v>
      </c>
      <c r="C402" s="12">
        <v>6681</v>
      </c>
      <c r="D402" s="12">
        <v>1000044</v>
      </c>
      <c r="E402" s="12" t="s">
        <v>13</v>
      </c>
      <c r="F402" s="12" t="s">
        <v>14</v>
      </c>
      <c r="I402" s="14">
        <v>44475</v>
      </c>
      <c r="J402" s="12" t="s">
        <v>18</v>
      </c>
      <c r="K402" s="12" t="s">
        <v>20</v>
      </c>
      <c r="L402" s="12" t="s">
        <v>44</v>
      </c>
      <c r="M402" s="12">
        <v>225.00899999999999</v>
      </c>
      <c r="N402" s="12">
        <v>191.29599999999999</v>
      </c>
      <c r="P402" s="12">
        <v>12.6</v>
      </c>
      <c r="Q402" s="13">
        <f t="shared" si="12"/>
        <v>0.85017043762693933</v>
      </c>
    </row>
    <row r="403" spans="1:17" x14ac:dyDescent="0.25">
      <c r="A403" s="12">
        <f t="shared" si="13"/>
        <v>10</v>
      </c>
      <c r="B403" s="12">
        <v>2021</v>
      </c>
      <c r="C403" s="12">
        <v>6682</v>
      </c>
      <c r="D403" s="12">
        <v>1000046</v>
      </c>
      <c r="E403" s="12" t="s">
        <v>13</v>
      </c>
      <c r="F403" s="12" t="s">
        <v>14</v>
      </c>
      <c r="I403" s="14">
        <v>44476</v>
      </c>
      <c r="J403" s="12" t="s">
        <v>18</v>
      </c>
      <c r="K403" s="12" t="s">
        <v>20</v>
      </c>
      <c r="L403" s="12" t="s">
        <v>44</v>
      </c>
      <c r="M403" s="12">
        <v>225.00299999999999</v>
      </c>
      <c r="N403" s="12">
        <v>190.251</v>
      </c>
      <c r="Q403" s="13">
        <f t="shared" si="12"/>
        <v>0.8455487260169865</v>
      </c>
    </row>
    <row r="404" spans="1:17" x14ac:dyDescent="0.25">
      <c r="A404" s="12">
        <f t="shared" si="13"/>
        <v>10</v>
      </c>
      <c r="B404" s="12">
        <v>2021</v>
      </c>
      <c r="C404" s="12">
        <v>6683</v>
      </c>
      <c r="D404" s="12">
        <v>1000048</v>
      </c>
      <c r="E404" s="12" t="s">
        <v>13</v>
      </c>
      <c r="F404" s="12" t="s">
        <v>14</v>
      </c>
      <c r="I404" s="14">
        <v>44477</v>
      </c>
      <c r="J404" s="12" t="s">
        <v>18</v>
      </c>
      <c r="K404" s="12" t="s">
        <v>20</v>
      </c>
      <c r="L404" s="12" t="s">
        <v>44</v>
      </c>
      <c r="M404" s="12">
        <v>225.00200000000001</v>
      </c>
      <c r="N404" s="12">
        <v>190.16900000000001</v>
      </c>
      <c r="Q404" s="13">
        <f t="shared" si="12"/>
        <v>0.84518804277295312</v>
      </c>
    </row>
    <row r="405" spans="1:17" x14ac:dyDescent="0.25">
      <c r="A405" s="12">
        <f t="shared" si="13"/>
        <v>10</v>
      </c>
      <c r="B405" s="12">
        <v>2021</v>
      </c>
      <c r="C405" s="12">
        <v>6684</v>
      </c>
      <c r="D405" s="12">
        <v>1000049</v>
      </c>
      <c r="E405" s="12" t="s">
        <v>13</v>
      </c>
      <c r="F405" s="12" t="s">
        <v>14</v>
      </c>
      <c r="I405" s="14">
        <v>44478</v>
      </c>
      <c r="J405" s="12" t="s">
        <v>18</v>
      </c>
      <c r="K405" s="12" t="s">
        <v>20</v>
      </c>
      <c r="L405" s="12" t="s">
        <v>44</v>
      </c>
      <c r="M405" s="12">
        <v>230</v>
      </c>
      <c r="N405" s="12">
        <v>190.35300000000001</v>
      </c>
      <c r="Q405" s="13">
        <f t="shared" si="12"/>
        <v>0.8276217391304348</v>
      </c>
    </row>
    <row r="406" spans="1:17" x14ac:dyDescent="0.25">
      <c r="A406" s="12">
        <f t="shared" si="13"/>
        <v>10</v>
      </c>
      <c r="B406" s="12">
        <v>2021</v>
      </c>
      <c r="C406" s="12">
        <v>6685</v>
      </c>
      <c r="D406" s="12">
        <v>1000053</v>
      </c>
      <c r="E406" s="12" t="s">
        <v>13</v>
      </c>
      <c r="F406" s="12" t="s">
        <v>14</v>
      </c>
      <c r="I406" s="14">
        <v>44479</v>
      </c>
      <c r="J406" s="12" t="s">
        <v>18</v>
      </c>
      <c r="K406" s="12" t="s">
        <v>20</v>
      </c>
      <c r="L406" s="12" t="s">
        <v>44</v>
      </c>
      <c r="M406" s="12">
        <v>230</v>
      </c>
      <c r="N406" s="12">
        <v>181.76900000000001</v>
      </c>
      <c r="Q406" s="13">
        <f t="shared" si="12"/>
        <v>0.7903</v>
      </c>
    </row>
    <row r="407" spans="1:17" x14ac:dyDescent="0.25">
      <c r="A407" s="12">
        <f t="shared" si="13"/>
        <v>10</v>
      </c>
      <c r="B407" s="12">
        <v>2021</v>
      </c>
      <c r="C407" s="12">
        <v>6686</v>
      </c>
      <c r="D407" s="12">
        <v>1000055</v>
      </c>
      <c r="E407" s="12" t="s">
        <v>13</v>
      </c>
      <c r="F407" s="12" t="s">
        <v>14</v>
      </c>
      <c r="I407" s="14">
        <v>44480</v>
      </c>
      <c r="J407" s="12" t="s">
        <v>18</v>
      </c>
      <c r="K407" s="12" t="s">
        <v>20</v>
      </c>
      <c r="L407" s="12" t="s">
        <v>42</v>
      </c>
      <c r="M407" s="12">
        <v>225.001</v>
      </c>
      <c r="N407" s="12">
        <v>188.02600000000001</v>
      </c>
      <c r="P407" s="12">
        <v>12.7</v>
      </c>
      <c r="Q407" s="13">
        <f t="shared" si="12"/>
        <v>0.835667397033791</v>
      </c>
    </row>
    <row r="408" spans="1:17" x14ac:dyDescent="0.25">
      <c r="A408" s="12">
        <f t="shared" si="13"/>
        <v>10</v>
      </c>
      <c r="B408" s="12">
        <v>2021</v>
      </c>
      <c r="C408" s="12">
        <v>6687</v>
      </c>
      <c r="D408" s="12">
        <v>1000069</v>
      </c>
      <c r="E408" s="12" t="s">
        <v>13</v>
      </c>
      <c r="F408" s="12" t="s">
        <v>14</v>
      </c>
      <c r="I408" s="14">
        <v>44481</v>
      </c>
      <c r="J408" s="12" t="s">
        <v>18</v>
      </c>
      <c r="K408" s="12" t="s">
        <v>20</v>
      </c>
      <c r="L408" s="12" t="s">
        <v>44</v>
      </c>
      <c r="M408" s="12">
        <v>225.02500000000001</v>
      </c>
      <c r="N408" s="12">
        <v>189.76400000000001</v>
      </c>
      <c r="Q408" s="13">
        <f t="shared" si="12"/>
        <v>0.8433018553494056</v>
      </c>
    </row>
    <row r="409" spans="1:17" x14ac:dyDescent="0.25">
      <c r="A409" s="12">
        <f t="shared" si="13"/>
        <v>10</v>
      </c>
      <c r="B409" s="12">
        <v>2021</v>
      </c>
      <c r="C409" s="12">
        <v>6688</v>
      </c>
      <c r="D409" s="12">
        <v>1000070</v>
      </c>
      <c r="E409" s="12" t="s">
        <v>13</v>
      </c>
      <c r="F409" s="12" t="s">
        <v>14</v>
      </c>
      <c r="I409" s="14">
        <v>44482</v>
      </c>
      <c r="J409" s="12" t="s">
        <v>18</v>
      </c>
      <c r="K409" s="12" t="s">
        <v>20</v>
      </c>
      <c r="L409" s="12" t="s">
        <v>44</v>
      </c>
      <c r="M409" s="12">
        <v>225.02500000000001</v>
      </c>
      <c r="N409" s="12">
        <v>191.065</v>
      </c>
      <c r="Q409" s="13">
        <f t="shared" si="12"/>
        <v>0.84908343517386953</v>
      </c>
    </row>
    <row r="410" spans="1:17" x14ac:dyDescent="0.25">
      <c r="A410" s="12">
        <f t="shared" si="13"/>
        <v>10</v>
      </c>
      <c r="B410" s="12">
        <v>2021</v>
      </c>
      <c r="C410" s="12">
        <v>6689</v>
      </c>
      <c r="D410" s="12">
        <v>1000245</v>
      </c>
      <c r="E410" s="12" t="s">
        <v>13</v>
      </c>
      <c r="F410" s="12" t="s">
        <v>14</v>
      </c>
      <c r="I410" s="14">
        <v>44483</v>
      </c>
      <c r="J410" s="12" t="s">
        <v>18</v>
      </c>
      <c r="K410" s="12" t="s">
        <v>20</v>
      </c>
      <c r="L410" s="12" t="s">
        <v>44</v>
      </c>
      <c r="M410" s="12">
        <v>225.00299999999999</v>
      </c>
      <c r="N410" s="12">
        <v>190.988</v>
      </c>
      <c r="Q410" s="13">
        <f t="shared" si="12"/>
        <v>0.84882423789905026</v>
      </c>
    </row>
    <row r="411" spans="1:17" x14ac:dyDescent="0.25">
      <c r="A411" s="12">
        <f t="shared" si="13"/>
        <v>10</v>
      </c>
      <c r="B411" s="12">
        <v>2021</v>
      </c>
      <c r="C411" s="12">
        <v>6690</v>
      </c>
      <c r="D411" s="12">
        <v>1000361</v>
      </c>
      <c r="E411" s="12" t="s">
        <v>13</v>
      </c>
      <c r="F411" s="12" t="s">
        <v>14</v>
      </c>
      <c r="I411" s="14">
        <v>44484</v>
      </c>
      <c r="J411" s="12" t="s">
        <v>18</v>
      </c>
      <c r="K411" s="12" t="s">
        <v>20</v>
      </c>
      <c r="L411" s="12" t="s">
        <v>44</v>
      </c>
      <c r="M411" s="12">
        <v>225.00399999999999</v>
      </c>
      <c r="N411" s="12">
        <v>186.69300000000001</v>
      </c>
      <c r="Q411" s="13">
        <f t="shared" si="12"/>
        <v>0.8297319158770512</v>
      </c>
    </row>
    <row r="412" spans="1:17" x14ac:dyDescent="0.25">
      <c r="A412" s="12">
        <f t="shared" si="13"/>
        <v>10</v>
      </c>
      <c r="B412" s="12">
        <v>2021</v>
      </c>
      <c r="C412" s="12">
        <v>6691</v>
      </c>
      <c r="D412" s="12">
        <v>1000435</v>
      </c>
      <c r="E412" s="12" t="s">
        <v>13</v>
      </c>
      <c r="F412" s="12" t="s">
        <v>14</v>
      </c>
      <c r="I412" s="14">
        <v>44485</v>
      </c>
      <c r="J412" s="12" t="s">
        <v>18</v>
      </c>
      <c r="K412" s="12" t="s">
        <v>20</v>
      </c>
      <c r="L412" s="12" t="s">
        <v>44</v>
      </c>
      <c r="M412" s="12">
        <v>224.99299999999999</v>
      </c>
      <c r="N412" s="12">
        <v>191.98400000000001</v>
      </c>
      <c r="P412" s="12">
        <v>13.4</v>
      </c>
      <c r="Q412" s="13">
        <f t="shared" si="12"/>
        <v>0.85328876898392403</v>
      </c>
    </row>
    <row r="413" spans="1:17" x14ac:dyDescent="0.25">
      <c r="A413" s="12">
        <f t="shared" si="13"/>
        <v>10</v>
      </c>
      <c r="B413" s="12">
        <v>2021</v>
      </c>
      <c r="C413" s="12">
        <v>6692</v>
      </c>
      <c r="D413" s="12">
        <v>1000547</v>
      </c>
      <c r="E413" s="12" t="s">
        <v>13</v>
      </c>
      <c r="F413" s="12" t="s">
        <v>14</v>
      </c>
      <c r="I413" s="14">
        <v>44486</v>
      </c>
      <c r="J413" s="12" t="s">
        <v>18</v>
      </c>
      <c r="K413" s="12" t="s">
        <v>20</v>
      </c>
      <c r="L413" s="12" t="s">
        <v>44</v>
      </c>
      <c r="M413" s="12">
        <v>225.00200000000001</v>
      </c>
      <c r="N413" s="12">
        <v>192.227</v>
      </c>
      <c r="Q413" s="13">
        <f t="shared" si="12"/>
        <v>0.85433462813663874</v>
      </c>
    </row>
    <row r="414" spans="1:17" x14ac:dyDescent="0.25">
      <c r="A414" s="12">
        <f t="shared" si="13"/>
        <v>10</v>
      </c>
      <c r="B414" s="12">
        <v>2021</v>
      </c>
      <c r="C414" s="12">
        <v>6693</v>
      </c>
      <c r="D414" s="12">
        <v>1000619</v>
      </c>
      <c r="E414" s="12" t="s">
        <v>13</v>
      </c>
      <c r="F414" s="12" t="s">
        <v>14</v>
      </c>
      <c r="I414" s="14">
        <v>44487</v>
      </c>
      <c r="J414" s="12" t="s">
        <v>18</v>
      </c>
      <c r="K414" s="12" t="s">
        <v>20</v>
      </c>
      <c r="L414" s="12" t="s">
        <v>44</v>
      </c>
      <c r="M414" s="12">
        <v>225.00200000000001</v>
      </c>
      <c r="N414" s="12">
        <v>188.98400000000001</v>
      </c>
      <c r="Q414" s="13">
        <f t="shared" si="12"/>
        <v>0.83992142292068517</v>
      </c>
    </row>
    <row r="415" spans="1:17" x14ac:dyDescent="0.25">
      <c r="A415" s="12">
        <f t="shared" si="13"/>
        <v>10</v>
      </c>
      <c r="B415" s="12">
        <v>2021</v>
      </c>
      <c r="C415" s="12">
        <v>6694</v>
      </c>
      <c r="D415" s="12">
        <v>1000622</v>
      </c>
      <c r="E415" s="12" t="s">
        <v>13</v>
      </c>
      <c r="F415" s="12" t="s">
        <v>14</v>
      </c>
      <c r="I415" s="14">
        <v>44488</v>
      </c>
      <c r="J415" s="12" t="s">
        <v>18</v>
      </c>
      <c r="K415" s="12" t="s">
        <v>20</v>
      </c>
      <c r="L415" s="12" t="s">
        <v>44</v>
      </c>
      <c r="M415" s="12">
        <v>225.00200000000001</v>
      </c>
      <c r="N415" s="12">
        <v>192.809</v>
      </c>
      <c r="Q415" s="13">
        <f t="shared" si="12"/>
        <v>0.85692127181091715</v>
      </c>
    </row>
    <row r="416" spans="1:17" x14ac:dyDescent="0.25">
      <c r="A416" s="12">
        <f t="shared" si="13"/>
        <v>10</v>
      </c>
      <c r="B416" s="12">
        <v>2021</v>
      </c>
      <c r="C416" s="12">
        <v>6695</v>
      </c>
      <c r="D416" s="12">
        <v>1000644</v>
      </c>
      <c r="E416" s="12" t="s">
        <v>13</v>
      </c>
      <c r="F416" s="12" t="s">
        <v>14</v>
      </c>
      <c r="I416" s="14">
        <v>44489</v>
      </c>
      <c r="J416" s="12" t="s">
        <v>18</v>
      </c>
      <c r="K416" s="12" t="s">
        <v>20</v>
      </c>
      <c r="L416" s="12" t="s">
        <v>44</v>
      </c>
      <c r="M416" s="12">
        <v>225.00299999999999</v>
      </c>
      <c r="N416" s="12">
        <v>183.20500000000001</v>
      </c>
      <c r="Q416" s="13">
        <f t="shared" si="12"/>
        <v>0.81423358799660461</v>
      </c>
    </row>
    <row r="417" spans="1:17" x14ac:dyDescent="0.25">
      <c r="A417" s="12">
        <f t="shared" si="13"/>
        <v>10</v>
      </c>
      <c r="B417" s="12">
        <v>2021</v>
      </c>
      <c r="C417" s="12">
        <v>6696</v>
      </c>
      <c r="D417" s="12">
        <v>1000741</v>
      </c>
      <c r="E417" s="12" t="s">
        <v>13</v>
      </c>
      <c r="F417" s="12" t="s">
        <v>14</v>
      </c>
      <c r="I417" s="14">
        <v>44490</v>
      </c>
      <c r="J417" s="12" t="s">
        <v>18</v>
      </c>
      <c r="K417" s="12" t="s">
        <v>20</v>
      </c>
      <c r="L417" s="12" t="s">
        <v>44</v>
      </c>
      <c r="M417" s="12">
        <v>225.00899999999999</v>
      </c>
      <c r="N417" s="12">
        <v>193.767</v>
      </c>
      <c r="P417" s="12">
        <v>12.8</v>
      </c>
      <c r="Q417" s="13">
        <f t="shared" si="12"/>
        <v>0.86115222057784357</v>
      </c>
    </row>
    <row r="418" spans="1:17" x14ac:dyDescent="0.25">
      <c r="A418" s="12">
        <f t="shared" si="13"/>
        <v>10</v>
      </c>
      <c r="B418" s="12">
        <v>2021</v>
      </c>
      <c r="C418" s="12">
        <v>6697</v>
      </c>
      <c r="D418" s="12">
        <v>1000843</v>
      </c>
      <c r="E418" s="12" t="s">
        <v>13</v>
      </c>
      <c r="F418" s="12" t="s">
        <v>14</v>
      </c>
      <c r="G418" s="25">
        <v>1000843</v>
      </c>
      <c r="H418" s="12">
        <f t="shared" ref="H418:H481" si="14">D418-G418</f>
        <v>0</v>
      </c>
      <c r="I418" s="14">
        <v>44491</v>
      </c>
      <c r="J418" s="12" t="s">
        <v>18</v>
      </c>
      <c r="K418" s="12" t="s">
        <v>20</v>
      </c>
      <c r="L418" s="12" t="s">
        <v>45</v>
      </c>
      <c r="M418" s="12">
        <v>225.02</v>
      </c>
      <c r="N418" s="12">
        <v>185.90899999999999</v>
      </c>
      <c r="O418" s="12">
        <v>3.3</v>
      </c>
      <c r="Q418" s="13">
        <f t="shared" si="12"/>
        <v>0.82618878321926936</v>
      </c>
    </row>
    <row r="419" spans="1:17" x14ac:dyDescent="0.25">
      <c r="A419" s="12">
        <f t="shared" si="13"/>
        <v>10</v>
      </c>
      <c r="B419" s="12">
        <v>2021</v>
      </c>
      <c r="C419" s="12">
        <v>6698</v>
      </c>
      <c r="D419" s="12">
        <v>1000877</v>
      </c>
      <c r="E419" s="12" t="s">
        <v>13</v>
      </c>
      <c r="F419" s="12" t="s">
        <v>14</v>
      </c>
      <c r="G419" s="25">
        <v>1000877</v>
      </c>
      <c r="H419" s="12">
        <f t="shared" si="14"/>
        <v>0</v>
      </c>
      <c r="I419" s="14">
        <v>44492</v>
      </c>
      <c r="J419" s="12" t="s">
        <v>18</v>
      </c>
      <c r="K419" s="12" t="s">
        <v>20</v>
      </c>
      <c r="L419" s="12" t="s">
        <v>45</v>
      </c>
      <c r="M419" s="12">
        <v>225.02099999999999</v>
      </c>
      <c r="N419" s="12">
        <v>190.94200000000001</v>
      </c>
      <c r="O419" s="12">
        <v>3.7</v>
      </c>
      <c r="Q419" s="13">
        <f t="shared" si="12"/>
        <v>0.84855191293257082</v>
      </c>
    </row>
    <row r="420" spans="1:17" x14ac:dyDescent="0.25">
      <c r="A420" s="12">
        <f t="shared" si="13"/>
        <v>10</v>
      </c>
      <c r="B420" s="12">
        <v>2021</v>
      </c>
      <c r="C420" s="12">
        <v>6699</v>
      </c>
      <c r="D420" s="12">
        <v>1000941</v>
      </c>
      <c r="E420" s="12" t="s">
        <v>13</v>
      </c>
      <c r="F420" s="12" t="s">
        <v>14</v>
      </c>
      <c r="G420" s="25">
        <v>1000941</v>
      </c>
      <c r="H420" s="12">
        <f t="shared" si="14"/>
        <v>0</v>
      </c>
      <c r="I420" s="14">
        <v>44493</v>
      </c>
      <c r="J420" s="12" t="s">
        <v>17</v>
      </c>
      <c r="K420" s="12" t="s">
        <v>19</v>
      </c>
      <c r="L420" s="12" t="s">
        <v>41</v>
      </c>
      <c r="M420" s="12">
        <v>225.017</v>
      </c>
      <c r="N420" s="12">
        <v>185.16300000000001</v>
      </c>
      <c r="O420" s="12">
        <v>3.1</v>
      </c>
      <c r="Q420" s="13">
        <f t="shared" si="12"/>
        <v>0.82288449317162715</v>
      </c>
    </row>
    <row r="421" spans="1:17" x14ac:dyDescent="0.25">
      <c r="A421" s="12">
        <f t="shared" si="13"/>
        <v>10</v>
      </c>
      <c r="B421" s="12">
        <v>2021</v>
      </c>
      <c r="C421" s="12">
        <v>6700</v>
      </c>
      <c r="D421" s="12">
        <v>1001019</v>
      </c>
      <c r="E421" s="12" t="s">
        <v>13</v>
      </c>
      <c r="F421" s="12" t="s">
        <v>14</v>
      </c>
      <c r="G421" s="25">
        <v>1001019</v>
      </c>
      <c r="H421" s="12">
        <f t="shared" si="14"/>
        <v>0</v>
      </c>
      <c r="I421" s="14">
        <v>44494</v>
      </c>
      <c r="J421" s="12" t="s">
        <v>17</v>
      </c>
      <c r="K421" s="12" t="s">
        <v>19</v>
      </c>
      <c r="L421" s="12" t="s">
        <v>41</v>
      </c>
      <c r="M421" s="12">
        <v>225.018</v>
      </c>
      <c r="N421" s="12">
        <v>190.089</v>
      </c>
      <c r="O421" s="12">
        <v>3.2</v>
      </c>
      <c r="Q421" s="13">
        <f t="shared" si="12"/>
        <v>0.84477241820654347</v>
      </c>
    </row>
    <row r="422" spans="1:17" x14ac:dyDescent="0.25">
      <c r="A422" s="12">
        <f t="shared" si="13"/>
        <v>10</v>
      </c>
      <c r="B422" s="12">
        <v>2021</v>
      </c>
      <c r="C422" s="12">
        <v>6701</v>
      </c>
      <c r="D422" s="12">
        <v>1001022</v>
      </c>
      <c r="E422" s="12" t="s">
        <v>13</v>
      </c>
      <c r="F422" s="12" t="s">
        <v>14</v>
      </c>
      <c r="G422" s="25">
        <v>1001022</v>
      </c>
      <c r="H422" s="12">
        <f t="shared" si="14"/>
        <v>0</v>
      </c>
      <c r="I422" s="14">
        <v>44495</v>
      </c>
      <c r="J422" s="12" t="s">
        <v>18</v>
      </c>
      <c r="K422" s="12" t="s">
        <v>20</v>
      </c>
      <c r="L422" s="12" t="s">
        <v>44</v>
      </c>
      <c r="M422" s="12">
        <v>225.04900000000001</v>
      </c>
      <c r="N422" s="12">
        <v>195.54</v>
      </c>
      <c r="O422" s="12">
        <v>3.8</v>
      </c>
      <c r="P422" s="12">
        <v>13.7</v>
      </c>
      <c r="Q422" s="13">
        <f t="shared" si="12"/>
        <v>0.86887744446764925</v>
      </c>
    </row>
    <row r="423" spans="1:17" x14ac:dyDescent="0.25">
      <c r="A423" s="12">
        <f t="shared" si="13"/>
        <v>10</v>
      </c>
      <c r="B423" s="12">
        <v>2021</v>
      </c>
      <c r="C423" s="12">
        <v>6702</v>
      </c>
      <c r="D423" s="12">
        <v>1001026</v>
      </c>
      <c r="E423" s="12" t="s">
        <v>13</v>
      </c>
      <c r="F423" s="12" t="s">
        <v>14</v>
      </c>
      <c r="G423" s="25">
        <v>1001026</v>
      </c>
      <c r="H423" s="12">
        <f t="shared" si="14"/>
        <v>0</v>
      </c>
      <c r="I423" s="14">
        <v>44496</v>
      </c>
      <c r="J423" s="12" t="s">
        <v>18</v>
      </c>
      <c r="K423" s="12" t="s">
        <v>20</v>
      </c>
      <c r="L423" s="12" t="s">
        <v>44</v>
      </c>
      <c r="M423" s="12">
        <v>225.08799999999999</v>
      </c>
      <c r="N423" s="12">
        <v>185.26599999999999</v>
      </c>
      <c r="O423" s="12">
        <v>3.8</v>
      </c>
      <c r="Q423" s="13">
        <f t="shared" si="12"/>
        <v>0.8230825277224908</v>
      </c>
    </row>
    <row r="424" spans="1:17" x14ac:dyDescent="0.25">
      <c r="A424" s="12">
        <f t="shared" si="13"/>
        <v>10</v>
      </c>
      <c r="B424" s="12">
        <v>2021</v>
      </c>
      <c r="C424" s="12">
        <v>6703</v>
      </c>
      <c r="D424" s="12">
        <v>1001145</v>
      </c>
      <c r="E424" s="12" t="s">
        <v>13</v>
      </c>
      <c r="F424" s="12" t="s">
        <v>14</v>
      </c>
      <c r="G424" s="25">
        <v>1001145</v>
      </c>
      <c r="H424" s="12">
        <f t="shared" si="14"/>
        <v>0</v>
      </c>
      <c r="I424" s="14">
        <v>44497</v>
      </c>
      <c r="J424" s="12" t="s">
        <v>18</v>
      </c>
      <c r="K424" s="12" t="s">
        <v>20</v>
      </c>
      <c r="L424" s="12" t="s">
        <v>44</v>
      </c>
      <c r="M424" s="12">
        <v>225.08799999999999</v>
      </c>
      <c r="N424" s="12">
        <v>192.82900000000001</v>
      </c>
      <c r="O424" s="12">
        <v>4.2</v>
      </c>
      <c r="Q424" s="13">
        <f t="shared" si="12"/>
        <v>0.85668271964742682</v>
      </c>
    </row>
    <row r="425" spans="1:17" x14ac:dyDescent="0.25">
      <c r="A425" s="12">
        <f t="shared" si="13"/>
        <v>10</v>
      </c>
      <c r="B425" s="12">
        <v>2021</v>
      </c>
      <c r="C425" s="12">
        <v>6704</v>
      </c>
      <c r="D425" s="12">
        <v>1001221</v>
      </c>
      <c r="E425" s="12" t="s">
        <v>13</v>
      </c>
      <c r="F425" s="12" t="s">
        <v>14</v>
      </c>
      <c r="G425" s="25">
        <v>1001221</v>
      </c>
      <c r="H425" s="12">
        <f t="shared" si="14"/>
        <v>0</v>
      </c>
      <c r="I425" s="14">
        <v>44498</v>
      </c>
      <c r="J425" s="12" t="s">
        <v>18</v>
      </c>
      <c r="K425" s="12" t="s">
        <v>20</v>
      </c>
      <c r="L425" s="12" t="s">
        <v>44</v>
      </c>
      <c r="M425" s="12">
        <v>224.995</v>
      </c>
      <c r="N425" s="12">
        <v>186.02799999999999</v>
      </c>
      <c r="O425" s="12">
        <v>3.8</v>
      </c>
      <c r="Q425" s="13">
        <f t="shared" si="12"/>
        <v>0.82680948465521453</v>
      </c>
    </row>
    <row r="426" spans="1:17" x14ac:dyDescent="0.25">
      <c r="A426" s="12">
        <f t="shared" si="13"/>
        <v>10</v>
      </c>
      <c r="B426" s="12">
        <v>2021</v>
      </c>
      <c r="C426" s="12">
        <v>6705</v>
      </c>
      <c r="D426" s="12">
        <v>1001312</v>
      </c>
      <c r="E426" s="12" t="s">
        <v>13</v>
      </c>
      <c r="F426" s="12" t="s">
        <v>14</v>
      </c>
      <c r="G426" s="25">
        <v>1001312</v>
      </c>
      <c r="H426" s="12">
        <f t="shared" si="14"/>
        <v>0</v>
      </c>
      <c r="I426" s="14">
        <v>44499</v>
      </c>
      <c r="J426" s="12" t="s">
        <v>18</v>
      </c>
      <c r="K426" s="12" t="s">
        <v>20</v>
      </c>
      <c r="L426" s="12" t="s">
        <v>44</v>
      </c>
      <c r="M426" s="12">
        <v>224.995</v>
      </c>
      <c r="N426" s="12">
        <v>190.97200000000001</v>
      </c>
      <c r="O426" s="12">
        <v>4.3</v>
      </c>
      <c r="Q426" s="13">
        <f t="shared" si="12"/>
        <v>0.84878330629569543</v>
      </c>
    </row>
    <row r="427" spans="1:17" x14ac:dyDescent="0.25">
      <c r="A427" s="12">
        <f t="shared" si="13"/>
        <v>10</v>
      </c>
      <c r="B427" s="12">
        <v>2021</v>
      </c>
      <c r="C427" s="12">
        <v>6706</v>
      </c>
      <c r="D427" s="12">
        <v>1001380</v>
      </c>
      <c r="E427" s="12" t="s">
        <v>13</v>
      </c>
      <c r="F427" s="12" t="s">
        <v>14</v>
      </c>
      <c r="G427" s="25">
        <v>1001380</v>
      </c>
      <c r="H427" s="12">
        <f t="shared" si="14"/>
        <v>0</v>
      </c>
      <c r="I427" s="14">
        <v>44500</v>
      </c>
      <c r="J427" s="12" t="s">
        <v>17</v>
      </c>
      <c r="K427" s="12" t="s">
        <v>19</v>
      </c>
      <c r="L427" s="12" t="s">
        <v>41</v>
      </c>
      <c r="M427" s="12">
        <v>230.01599999999999</v>
      </c>
      <c r="N427" s="12">
        <v>193.58600000000001</v>
      </c>
      <c r="O427" s="12">
        <v>3.6</v>
      </c>
      <c r="P427" s="12">
        <v>13.6</v>
      </c>
      <c r="Q427" s="13">
        <f t="shared" si="12"/>
        <v>0.84161971341124109</v>
      </c>
    </row>
    <row r="428" spans="1:17" x14ac:dyDescent="0.25">
      <c r="A428" s="12">
        <f t="shared" si="13"/>
        <v>11</v>
      </c>
      <c r="B428" s="12">
        <v>2021</v>
      </c>
      <c r="C428" s="12">
        <v>6707</v>
      </c>
      <c r="D428" s="12">
        <v>1001442</v>
      </c>
      <c r="E428" s="12" t="s">
        <v>13</v>
      </c>
      <c r="F428" s="12" t="s">
        <v>14</v>
      </c>
      <c r="G428" s="25">
        <v>1001442</v>
      </c>
      <c r="H428" s="12">
        <f t="shared" si="14"/>
        <v>0</v>
      </c>
      <c r="I428" s="14">
        <v>44501</v>
      </c>
      <c r="J428" s="12" t="s">
        <v>17</v>
      </c>
      <c r="K428" s="12" t="s">
        <v>19</v>
      </c>
      <c r="L428" s="12" t="s">
        <v>41</v>
      </c>
      <c r="M428" s="12">
        <v>230.042</v>
      </c>
      <c r="N428" s="12">
        <v>196.36799999999999</v>
      </c>
      <c r="O428" s="12">
        <v>3.8</v>
      </c>
      <c r="Q428" s="13">
        <f t="shared" si="12"/>
        <v>0.85361803496752764</v>
      </c>
    </row>
    <row r="429" spans="1:17" x14ac:dyDescent="0.25">
      <c r="A429" s="12">
        <f t="shared" si="13"/>
        <v>11</v>
      </c>
      <c r="B429" s="12">
        <v>2021</v>
      </c>
      <c r="C429" s="12">
        <v>6708</v>
      </c>
      <c r="D429" s="12">
        <v>1001443</v>
      </c>
      <c r="E429" s="12" t="s">
        <v>13</v>
      </c>
      <c r="F429" s="12" t="s">
        <v>14</v>
      </c>
      <c r="G429" s="25">
        <v>1001443</v>
      </c>
      <c r="H429" s="12">
        <f t="shared" si="14"/>
        <v>0</v>
      </c>
      <c r="I429" s="14">
        <v>44502</v>
      </c>
      <c r="J429" s="12" t="s">
        <v>17</v>
      </c>
      <c r="K429" s="12" t="s">
        <v>19</v>
      </c>
      <c r="L429" s="12" t="s">
        <v>41</v>
      </c>
      <c r="M429" s="12">
        <v>230.041</v>
      </c>
      <c r="N429" s="12">
        <v>192.06800000000001</v>
      </c>
      <c r="O429" s="12">
        <v>3.5</v>
      </c>
      <c r="Q429" s="13">
        <f t="shared" si="12"/>
        <v>0.83492942562412797</v>
      </c>
    </row>
    <row r="430" spans="1:17" x14ac:dyDescent="0.25">
      <c r="A430" s="12">
        <f t="shared" si="13"/>
        <v>11</v>
      </c>
      <c r="B430" s="12">
        <v>2021</v>
      </c>
      <c r="C430" s="12">
        <v>6709</v>
      </c>
      <c r="D430" s="12">
        <v>1001444</v>
      </c>
      <c r="E430" s="12" t="s">
        <v>13</v>
      </c>
      <c r="F430" s="12" t="s">
        <v>14</v>
      </c>
      <c r="G430" s="25">
        <v>1001444</v>
      </c>
      <c r="H430" s="12">
        <f t="shared" si="14"/>
        <v>0</v>
      </c>
      <c r="I430" s="14">
        <v>44503</v>
      </c>
      <c r="J430" s="12" t="s">
        <v>17</v>
      </c>
      <c r="K430" s="12" t="s">
        <v>19</v>
      </c>
      <c r="L430" s="12" t="s">
        <v>41</v>
      </c>
      <c r="M430" s="12">
        <v>229.99199999999999</v>
      </c>
      <c r="N430" s="12">
        <v>194.822</v>
      </c>
      <c r="O430" s="12">
        <v>4.0999999999999996</v>
      </c>
      <c r="Q430" s="13">
        <f t="shared" si="12"/>
        <v>0.84708163762217825</v>
      </c>
    </row>
    <row r="431" spans="1:17" x14ac:dyDescent="0.25">
      <c r="A431" s="12">
        <f t="shared" si="13"/>
        <v>11</v>
      </c>
      <c r="B431" s="12">
        <v>2021</v>
      </c>
      <c r="C431" s="12">
        <v>6710</v>
      </c>
      <c r="D431" s="12">
        <v>1001508</v>
      </c>
      <c r="E431" s="12" t="s">
        <v>13</v>
      </c>
      <c r="F431" s="12" t="s">
        <v>14</v>
      </c>
      <c r="G431" s="25">
        <v>1001508</v>
      </c>
      <c r="H431" s="12">
        <f t="shared" si="14"/>
        <v>0</v>
      </c>
      <c r="I431" s="14">
        <v>44504</v>
      </c>
      <c r="J431" s="12" t="s">
        <v>17</v>
      </c>
      <c r="K431" s="12" t="s">
        <v>19</v>
      </c>
      <c r="L431" s="12" t="s">
        <v>41</v>
      </c>
      <c r="M431" s="12">
        <v>229.99199999999999</v>
      </c>
      <c r="N431" s="12">
        <v>199.25899999999999</v>
      </c>
      <c r="O431" s="12">
        <v>3.5</v>
      </c>
      <c r="Q431" s="13">
        <f t="shared" si="12"/>
        <v>0.86637361299523463</v>
      </c>
    </row>
    <row r="432" spans="1:17" x14ac:dyDescent="0.25">
      <c r="A432" s="12">
        <f t="shared" si="13"/>
        <v>11</v>
      </c>
      <c r="B432" s="12">
        <v>2021</v>
      </c>
      <c r="C432" s="12">
        <v>6711</v>
      </c>
      <c r="D432" s="12">
        <v>1001584</v>
      </c>
      <c r="E432" s="12" t="s">
        <v>13</v>
      </c>
      <c r="F432" s="12" t="s">
        <v>14</v>
      </c>
      <c r="G432" s="25">
        <v>1001584</v>
      </c>
      <c r="H432" s="12">
        <f t="shared" si="14"/>
        <v>0</v>
      </c>
      <c r="I432" s="14">
        <v>44505</v>
      </c>
      <c r="J432" s="12" t="s">
        <v>18</v>
      </c>
      <c r="K432" s="12" t="s">
        <v>20</v>
      </c>
      <c r="L432" s="12" t="s">
        <v>44</v>
      </c>
      <c r="M432" s="12">
        <v>225.024</v>
      </c>
      <c r="N432" s="12">
        <v>191.89500000000001</v>
      </c>
      <c r="O432" s="12">
        <v>4.3</v>
      </c>
      <c r="P432" s="12">
        <v>13.4</v>
      </c>
      <c r="Q432" s="13">
        <f t="shared" si="12"/>
        <v>0.85277570392491475</v>
      </c>
    </row>
    <row r="433" spans="1:17" x14ac:dyDescent="0.25">
      <c r="A433" s="12">
        <f t="shared" si="13"/>
        <v>11</v>
      </c>
      <c r="B433" s="12">
        <v>2021</v>
      </c>
      <c r="C433" s="12">
        <v>6712</v>
      </c>
      <c r="D433" s="12">
        <v>1001641</v>
      </c>
      <c r="E433" s="12" t="s">
        <v>13</v>
      </c>
      <c r="F433" s="12" t="s">
        <v>14</v>
      </c>
      <c r="G433" s="25">
        <v>1001641</v>
      </c>
      <c r="H433" s="12">
        <f t="shared" si="14"/>
        <v>0</v>
      </c>
      <c r="I433" s="14">
        <v>44506</v>
      </c>
      <c r="J433" s="12" t="s">
        <v>18</v>
      </c>
      <c r="K433" s="12" t="s">
        <v>20</v>
      </c>
      <c r="L433" s="12" t="s">
        <v>44</v>
      </c>
      <c r="M433" s="12">
        <v>225.005</v>
      </c>
      <c r="N433" s="12">
        <v>189.291</v>
      </c>
      <c r="O433" s="12">
        <v>3.8</v>
      </c>
      <c r="Q433" s="13">
        <f t="shared" si="12"/>
        <v>0.84127463834137017</v>
      </c>
    </row>
    <row r="434" spans="1:17" x14ac:dyDescent="0.25">
      <c r="A434" s="12">
        <f t="shared" si="13"/>
        <v>11</v>
      </c>
      <c r="B434" s="12">
        <v>2021</v>
      </c>
      <c r="C434" s="12">
        <v>6713</v>
      </c>
      <c r="D434" s="12">
        <v>1001726</v>
      </c>
      <c r="E434" s="12" t="s">
        <v>13</v>
      </c>
      <c r="F434" s="12" t="s">
        <v>14</v>
      </c>
      <c r="G434" s="25">
        <v>1001726</v>
      </c>
      <c r="H434" s="12">
        <f t="shared" si="14"/>
        <v>0</v>
      </c>
      <c r="I434" s="14">
        <v>44507</v>
      </c>
      <c r="J434" s="12" t="s">
        <v>18</v>
      </c>
      <c r="K434" s="12" t="s">
        <v>20</v>
      </c>
      <c r="L434" s="12" t="s">
        <v>44</v>
      </c>
      <c r="M434" s="12">
        <v>225.00399999999999</v>
      </c>
      <c r="N434" s="12">
        <v>188.41300000000001</v>
      </c>
      <c r="O434" s="12">
        <v>4.5999999999999996</v>
      </c>
      <c r="Q434" s="13">
        <f t="shared" si="12"/>
        <v>0.83737622442267701</v>
      </c>
    </row>
    <row r="435" spans="1:17" x14ac:dyDescent="0.25">
      <c r="A435" s="12">
        <f t="shared" si="13"/>
        <v>11</v>
      </c>
      <c r="B435" s="12">
        <v>2021</v>
      </c>
      <c r="C435" s="12">
        <v>6714</v>
      </c>
      <c r="D435" s="12">
        <v>1001812</v>
      </c>
      <c r="E435" s="12" t="s">
        <v>13</v>
      </c>
      <c r="F435" s="12" t="s">
        <v>14</v>
      </c>
      <c r="G435" s="25">
        <v>1001812</v>
      </c>
      <c r="H435" s="12">
        <f t="shared" si="14"/>
        <v>0</v>
      </c>
      <c r="I435" s="14">
        <v>44508</v>
      </c>
      <c r="J435" s="12" t="s">
        <v>18</v>
      </c>
      <c r="K435" s="12" t="s">
        <v>20</v>
      </c>
      <c r="L435" s="12" t="s">
        <v>44</v>
      </c>
      <c r="M435" s="12">
        <v>225.00299999999999</v>
      </c>
      <c r="N435" s="12">
        <v>186.83</v>
      </c>
      <c r="O435" s="12">
        <v>4.3</v>
      </c>
      <c r="Q435" s="13">
        <f t="shared" si="12"/>
        <v>0.83034448429576502</v>
      </c>
    </row>
    <row r="436" spans="1:17" x14ac:dyDescent="0.25">
      <c r="A436" s="12">
        <f t="shared" si="13"/>
        <v>11</v>
      </c>
      <c r="B436" s="12">
        <v>2021</v>
      </c>
      <c r="C436" s="12">
        <v>6715</v>
      </c>
      <c r="D436" s="12">
        <v>1001910</v>
      </c>
      <c r="E436" s="12" t="s">
        <v>13</v>
      </c>
      <c r="F436" s="12" t="s">
        <v>14</v>
      </c>
      <c r="G436" s="25">
        <v>1001910</v>
      </c>
      <c r="H436" s="12">
        <f t="shared" si="14"/>
        <v>0</v>
      </c>
      <c r="I436" s="14">
        <v>44509</v>
      </c>
      <c r="J436" s="12" t="s">
        <v>18</v>
      </c>
      <c r="K436" s="12" t="s">
        <v>20</v>
      </c>
      <c r="L436" s="12" t="s">
        <v>44</v>
      </c>
      <c r="M436" s="12">
        <v>225.00299999999999</v>
      </c>
      <c r="N436" s="12">
        <v>191.50800000000001</v>
      </c>
      <c r="O436" s="12">
        <v>4.8</v>
      </c>
      <c r="Q436" s="13">
        <f t="shared" si="12"/>
        <v>0.8511353181957575</v>
      </c>
    </row>
    <row r="437" spans="1:17" x14ac:dyDescent="0.25">
      <c r="A437" s="12">
        <f t="shared" si="13"/>
        <v>11</v>
      </c>
      <c r="B437" s="12">
        <v>2021</v>
      </c>
      <c r="C437" s="12">
        <v>6716</v>
      </c>
      <c r="D437" s="12">
        <v>1001911</v>
      </c>
      <c r="E437" s="12" t="s">
        <v>13</v>
      </c>
      <c r="F437" s="12" t="s">
        <v>14</v>
      </c>
      <c r="G437" s="25">
        <v>1001911</v>
      </c>
      <c r="H437" s="12">
        <f t="shared" si="14"/>
        <v>0</v>
      </c>
      <c r="I437" s="14">
        <v>44510</v>
      </c>
      <c r="J437" s="12" t="s">
        <v>37</v>
      </c>
      <c r="K437" s="12" t="s">
        <v>19</v>
      </c>
      <c r="L437" s="12" t="s">
        <v>40</v>
      </c>
      <c r="M437" s="12">
        <v>230.00800000000001</v>
      </c>
      <c r="N437" s="12">
        <v>192.04499999999999</v>
      </c>
      <c r="O437" s="12">
        <v>3.5</v>
      </c>
      <c r="P437" s="12">
        <v>14.6</v>
      </c>
      <c r="Q437" s="13">
        <f t="shared" si="12"/>
        <v>0.83494921915759446</v>
      </c>
    </row>
    <row r="438" spans="1:17" x14ac:dyDescent="0.25">
      <c r="A438" s="12">
        <f t="shared" si="13"/>
        <v>11</v>
      </c>
      <c r="B438" s="12">
        <v>2021</v>
      </c>
      <c r="C438" s="12">
        <v>6717</v>
      </c>
      <c r="D438" s="12">
        <v>1001945</v>
      </c>
      <c r="E438" s="12" t="s">
        <v>13</v>
      </c>
      <c r="F438" s="12" t="s">
        <v>14</v>
      </c>
      <c r="G438" s="25">
        <v>1001945</v>
      </c>
      <c r="H438" s="12">
        <f t="shared" si="14"/>
        <v>0</v>
      </c>
      <c r="I438" s="14">
        <v>44511</v>
      </c>
      <c r="J438" s="12" t="s">
        <v>37</v>
      </c>
      <c r="K438" s="12" t="s">
        <v>19</v>
      </c>
      <c r="L438" s="12" t="s">
        <v>40</v>
      </c>
      <c r="M438" s="12">
        <v>230.00299999999999</v>
      </c>
      <c r="N438" s="12">
        <v>192.7</v>
      </c>
      <c r="O438" s="12">
        <v>3.3</v>
      </c>
      <c r="Q438" s="13">
        <f t="shared" si="12"/>
        <v>0.83781515893270952</v>
      </c>
    </row>
    <row r="439" spans="1:17" x14ac:dyDescent="0.25">
      <c r="A439" s="12">
        <f t="shared" si="13"/>
        <v>11</v>
      </c>
      <c r="B439" s="12">
        <v>2021</v>
      </c>
      <c r="C439" s="12">
        <v>6718</v>
      </c>
      <c r="D439" s="12">
        <v>1001946</v>
      </c>
      <c r="E439" s="12" t="s">
        <v>13</v>
      </c>
      <c r="F439" s="12" t="s">
        <v>14</v>
      </c>
      <c r="G439" s="25">
        <v>1001946</v>
      </c>
      <c r="H439" s="12">
        <f t="shared" si="14"/>
        <v>0</v>
      </c>
      <c r="I439" s="14">
        <v>44512</v>
      </c>
      <c r="J439" s="12" t="s">
        <v>37</v>
      </c>
      <c r="K439" s="12" t="s">
        <v>19</v>
      </c>
      <c r="L439" s="12" t="s">
        <v>40</v>
      </c>
      <c r="M439" s="12">
        <v>230.00200000000001</v>
      </c>
      <c r="N439" s="12">
        <v>193.988</v>
      </c>
      <c r="O439" s="12">
        <v>3.3</v>
      </c>
      <c r="Q439" s="13">
        <f t="shared" si="12"/>
        <v>0.84341875288040968</v>
      </c>
    </row>
    <row r="440" spans="1:17" x14ac:dyDescent="0.25">
      <c r="A440" s="12">
        <f t="shared" si="13"/>
        <v>11</v>
      </c>
      <c r="B440" s="12">
        <v>2021</v>
      </c>
      <c r="C440" s="12">
        <v>6719</v>
      </c>
      <c r="D440" s="12">
        <v>1002076</v>
      </c>
      <c r="E440" s="12" t="s">
        <v>13</v>
      </c>
      <c r="F440" s="12" t="s">
        <v>14</v>
      </c>
      <c r="G440" s="25">
        <v>1002076</v>
      </c>
      <c r="H440" s="12">
        <f t="shared" si="14"/>
        <v>0</v>
      </c>
      <c r="I440" s="14">
        <v>44513</v>
      </c>
      <c r="J440" s="12" t="s">
        <v>37</v>
      </c>
      <c r="K440" s="12" t="s">
        <v>19</v>
      </c>
      <c r="L440" s="12" t="s">
        <v>40</v>
      </c>
      <c r="M440" s="12">
        <v>230.00399999999999</v>
      </c>
      <c r="N440" s="12">
        <v>191</v>
      </c>
      <c r="O440" s="12">
        <v>3.5</v>
      </c>
      <c r="Q440" s="13">
        <f t="shared" si="12"/>
        <v>0.83042034051581715</v>
      </c>
    </row>
    <row r="441" spans="1:17" x14ac:dyDescent="0.25">
      <c r="A441" s="12">
        <f t="shared" si="13"/>
        <v>11</v>
      </c>
      <c r="B441" s="12">
        <v>2021</v>
      </c>
      <c r="C441" s="12">
        <v>6720</v>
      </c>
      <c r="D441" s="12">
        <v>1002169</v>
      </c>
      <c r="E441" s="12" t="s">
        <v>13</v>
      </c>
      <c r="F441" s="12" t="s">
        <v>14</v>
      </c>
      <c r="G441" s="25">
        <v>1002169</v>
      </c>
      <c r="H441" s="12">
        <f t="shared" si="14"/>
        <v>0</v>
      </c>
      <c r="I441" s="14">
        <v>44514</v>
      </c>
      <c r="J441" s="12" t="s">
        <v>37</v>
      </c>
      <c r="K441" s="12" t="s">
        <v>19</v>
      </c>
      <c r="L441" s="12" t="s">
        <v>40</v>
      </c>
      <c r="M441" s="12">
        <v>230.005</v>
      </c>
      <c r="N441" s="12">
        <v>198.702</v>
      </c>
      <c r="O441" s="12">
        <v>3.9</v>
      </c>
      <c r="Q441" s="13">
        <f t="shared" si="12"/>
        <v>0.86390295863133415</v>
      </c>
    </row>
    <row r="442" spans="1:17" x14ac:dyDescent="0.25">
      <c r="A442" s="12">
        <f t="shared" si="13"/>
        <v>11</v>
      </c>
      <c r="B442" s="12">
        <v>2021</v>
      </c>
      <c r="C442" s="12">
        <v>6721</v>
      </c>
      <c r="D442" s="12">
        <v>1002254</v>
      </c>
      <c r="E442" s="12" t="s">
        <v>13</v>
      </c>
      <c r="F442" s="12" t="s">
        <v>14</v>
      </c>
      <c r="G442" s="25">
        <v>1002254</v>
      </c>
      <c r="H442" s="12">
        <f t="shared" si="14"/>
        <v>0</v>
      </c>
      <c r="I442" s="14">
        <v>44515</v>
      </c>
      <c r="J442" s="12" t="s">
        <v>18</v>
      </c>
      <c r="K442" s="12" t="s">
        <v>20</v>
      </c>
      <c r="L442" s="12" t="s">
        <v>44</v>
      </c>
      <c r="M442" s="12">
        <v>224.995</v>
      </c>
      <c r="N442" s="12">
        <v>189.10300000000001</v>
      </c>
      <c r="O442" s="12">
        <v>4</v>
      </c>
      <c r="P442" s="12">
        <v>12.9</v>
      </c>
      <c r="Q442" s="13">
        <f t="shared" si="12"/>
        <v>0.84047645503233404</v>
      </c>
    </row>
    <row r="443" spans="1:17" x14ac:dyDescent="0.25">
      <c r="A443" s="12">
        <f t="shared" si="13"/>
        <v>11</v>
      </c>
      <c r="B443" s="12">
        <v>2021</v>
      </c>
      <c r="C443" s="12">
        <v>6722</v>
      </c>
      <c r="D443" s="12">
        <v>1002305</v>
      </c>
      <c r="E443" s="12" t="s">
        <v>13</v>
      </c>
      <c r="F443" s="12" t="s">
        <v>14</v>
      </c>
      <c r="G443" s="25">
        <v>1002305</v>
      </c>
      <c r="H443" s="12">
        <f t="shared" si="14"/>
        <v>0</v>
      </c>
      <c r="I443" s="14">
        <v>44516</v>
      </c>
      <c r="J443" s="12" t="s">
        <v>18</v>
      </c>
      <c r="K443" s="12" t="s">
        <v>20</v>
      </c>
      <c r="L443" s="12" t="s">
        <v>44</v>
      </c>
      <c r="M443" s="12">
        <v>225.00200000000001</v>
      </c>
      <c r="N443" s="12">
        <v>192.649</v>
      </c>
      <c r="O443" s="12">
        <v>3.6</v>
      </c>
      <c r="Q443" s="13">
        <f t="shared" si="12"/>
        <v>0.8562101670207376</v>
      </c>
    </row>
    <row r="444" spans="1:17" x14ac:dyDescent="0.25">
      <c r="A444" s="12">
        <f t="shared" si="13"/>
        <v>11</v>
      </c>
      <c r="B444" s="12">
        <v>2021</v>
      </c>
      <c r="C444" s="12">
        <v>6723</v>
      </c>
      <c r="D444" s="12">
        <v>1002306</v>
      </c>
      <c r="E444" s="12" t="s">
        <v>13</v>
      </c>
      <c r="F444" s="12" t="s">
        <v>14</v>
      </c>
      <c r="G444" s="25">
        <v>1002306</v>
      </c>
      <c r="H444" s="12">
        <f t="shared" si="14"/>
        <v>0</v>
      </c>
      <c r="I444" s="14">
        <v>44517</v>
      </c>
      <c r="J444" s="12" t="s">
        <v>18</v>
      </c>
      <c r="K444" s="12" t="s">
        <v>20</v>
      </c>
      <c r="L444" s="12" t="s">
        <v>44</v>
      </c>
      <c r="M444" s="12">
        <v>225.001</v>
      </c>
      <c r="N444" s="12">
        <v>186.428</v>
      </c>
      <c r="O444" s="12">
        <v>3.6</v>
      </c>
      <c r="Q444" s="13">
        <f t="shared" si="12"/>
        <v>0.82856520637686049</v>
      </c>
    </row>
    <row r="445" spans="1:17" x14ac:dyDescent="0.25">
      <c r="A445" s="12">
        <f t="shared" si="13"/>
        <v>11</v>
      </c>
      <c r="B445" s="12">
        <v>2021</v>
      </c>
      <c r="C445" s="12">
        <v>6724</v>
      </c>
      <c r="D445" s="12">
        <v>1002325</v>
      </c>
      <c r="E445" s="12" t="s">
        <v>13</v>
      </c>
      <c r="F445" s="12" t="s">
        <v>14</v>
      </c>
      <c r="G445" s="25">
        <v>1002325</v>
      </c>
      <c r="H445" s="12">
        <f t="shared" si="14"/>
        <v>0</v>
      </c>
      <c r="I445" s="14">
        <v>44518</v>
      </c>
      <c r="J445" s="12" t="s">
        <v>18</v>
      </c>
      <c r="K445" s="12" t="s">
        <v>20</v>
      </c>
      <c r="L445" s="12" t="s">
        <v>44</v>
      </c>
      <c r="M445" s="12">
        <v>224.98699999999999</v>
      </c>
      <c r="N445" s="12">
        <v>185.18</v>
      </c>
      <c r="O445" s="12">
        <v>4.2</v>
      </c>
      <c r="Q445" s="13">
        <f t="shared" si="12"/>
        <v>0.82306977736491449</v>
      </c>
    </row>
    <row r="446" spans="1:17" x14ac:dyDescent="0.25">
      <c r="A446" s="12">
        <f t="shared" si="13"/>
        <v>11</v>
      </c>
      <c r="B446" s="12">
        <v>2021</v>
      </c>
      <c r="C446" s="12">
        <v>6725</v>
      </c>
      <c r="D446" s="12">
        <v>1002444</v>
      </c>
      <c r="E446" s="12" t="s">
        <v>13</v>
      </c>
      <c r="F446" s="12" t="s">
        <v>14</v>
      </c>
      <c r="G446" s="25">
        <v>1002444</v>
      </c>
      <c r="H446" s="12">
        <f t="shared" si="14"/>
        <v>0</v>
      </c>
      <c r="I446" s="14">
        <v>44519</v>
      </c>
      <c r="J446" s="12" t="s">
        <v>18</v>
      </c>
      <c r="K446" s="12" t="s">
        <v>20</v>
      </c>
      <c r="L446" s="12" t="s">
        <v>44</v>
      </c>
      <c r="M446" s="12">
        <v>224.98699999999999</v>
      </c>
      <c r="N446" s="12">
        <v>197.03800000000001</v>
      </c>
      <c r="O446" s="12">
        <v>4.0999999999999996</v>
      </c>
      <c r="Q446" s="13">
        <f t="shared" si="12"/>
        <v>0.87577504478036516</v>
      </c>
    </row>
    <row r="447" spans="1:17" x14ac:dyDescent="0.25">
      <c r="A447" s="12">
        <f t="shared" si="13"/>
        <v>11</v>
      </c>
      <c r="B447" s="12">
        <v>2021</v>
      </c>
      <c r="C447" s="12">
        <v>6726</v>
      </c>
      <c r="D447" s="12">
        <v>1002538</v>
      </c>
      <c r="E447" s="12" t="s">
        <v>13</v>
      </c>
      <c r="F447" s="12" t="s">
        <v>14</v>
      </c>
      <c r="G447" s="25">
        <v>1002538</v>
      </c>
      <c r="H447" s="12">
        <f t="shared" si="14"/>
        <v>0</v>
      </c>
      <c r="I447" s="14">
        <v>44520</v>
      </c>
      <c r="J447" s="12" t="s">
        <v>34</v>
      </c>
      <c r="K447" s="12" t="s">
        <v>19</v>
      </c>
      <c r="L447" s="12" t="s">
        <v>43</v>
      </c>
      <c r="M447" s="12">
        <v>230</v>
      </c>
      <c r="N447" s="12">
        <v>186.62100000000001</v>
      </c>
      <c r="O447" s="12">
        <v>3.4</v>
      </c>
      <c r="Q447" s="13">
        <f t="shared" si="12"/>
        <v>0.81139565217391307</v>
      </c>
    </row>
    <row r="448" spans="1:17" x14ac:dyDescent="0.25">
      <c r="A448" s="12">
        <f t="shared" si="13"/>
        <v>11</v>
      </c>
      <c r="B448" s="12">
        <v>2021</v>
      </c>
      <c r="C448" s="12">
        <v>6727</v>
      </c>
      <c r="D448" s="12">
        <v>1002629</v>
      </c>
      <c r="E448" s="12" t="s">
        <v>13</v>
      </c>
      <c r="F448" s="12" t="s">
        <v>14</v>
      </c>
      <c r="G448" s="25">
        <v>1002629</v>
      </c>
      <c r="H448" s="12">
        <f t="shared" si="14"/>
        <v>0</v>
      </c>
      <c r="I448" s="14">
        <v>44521</v>
      </c>
      <c r="J448" s="12" t="s">
        <v>34</v>
      </c>
      <c r="K448" s="12" t="s">
        <v>19</v>
      </c>
      <c r="L448" s="12" t="s">
        <v>43</v>
      </c>
      <c r="M448" s="12">
        <v>230.001</v>
      </c>
      <c r="N448" s="12">
        <v>196.75200000000001</v>
      </c>
      <c r="O448" s="12">
        <v>3.7</v>
      </c>
      <c r="Q448" s="13">
        <f t="shared" si="12"/>
        <v>0.85543975895756974</v>
      </c>
    </row>
    <row r="449" spans="1:17" x14ac:dyDescent="0.25">
      <c r="A449" s="12">
        <f t="shared" si="13"/>
        <v>11</v>
      </c>
      <c r="B449" s="12">
        <v>2021</v>
      </c>
      <c r="C449" s="12">
        <v>6728</v>
      </c>
      <c r="D449" s="12">
        <v>1002630</v>
      </c>
      <c r="E449" s="12" t="s">
        <v>13</v>
      </c>
      <c r="F449" s="12" t="s">
        <v>14</v>
      </c>
      <c r="G449" s="25">
        <v>1002630</v>
      </c>
      <c r="H449" s="12">
        <f t="shared" si="14"/>
        <v>0</v>
      </c>
      <c r="I449" s="14">
        <v>44522</v>
      </c>
      <c r="J449" s="12" t="s">
        <v>34</v>
      </c>
      <c r="K449" s="12" t="s">
        <v>19</v>
      </c>
      <c r="L449" s="12" t="s">
        <v>39</v>
      </c>
      <c r="M449" s="12">
        <v>230.006</v>
      </c>
      <c r="N449" s="12">
        <v>182.11799999999999</v>
      </c>
      <c r="O449" s="12">
        <v>3.3</v>
      </c>
      <c r="Q449" s="13">
        <f t="shared" si="12"/>
        <v>0.79179673573732856</v>
      </c>
    </row>
    <row r="450" spans="1:17" x14ac:dyDescent="0.25">
      <c r="A450" s="12">
        <f t="shared" si="13"/>
        <v>11</v>
      </c>
      <c r="B450" s="12">
        <v>2021</v>
      </c>
      <c r="C450" s="12">
        <v>6729</v>
      </c>
      <c r="D450" s="12">
        <v>1002743</v>
      </c>
      <c r="E450" s="12" t="s">
        <v>13</v>
      </c>
      <c r="F450" s="12" t="s">
        <v>14</v>
      </c>
      <c r="G450" s="25">
        <v>1002743</v>
      </c>
      <c r="H450" s="12">
        <f t="shared" si="14"/>
        <v>0</v>
      </c>
      <c r="I450" s="14">
        <v>44523</v>
      </c>
      <c r="J450" s="12" t="s">
        <v>34</v>
      </c>
      <c r="K450" s="12" t="s">
        <v>19</v>
      </c>
      <c r="L450" s="12" t="s">
        <v>39</v>
      </c>
      <c r="M450" s="12">
        <v>230.006</v>
      </c>
      <c r="N450" s="12">
        <v>199.471</v>
      </c>
      <c r="O450" s="12">
        <v>3.4</v>
      </c>
      <c r="Q450" s="13">
        <f t="shared" ref="Q450:Q513" si="15">N450/M450</f>
        <v>0.8672425936714695</v>
      </c>
    </row>
    <row r="451" spans="1:17" x14ac:dyDescent="0.25">
      <c r="A451" s="12">
        <f t="shared" ref="A451:A514" si="16">MONTH(I451)</f>
        <v>11</v>
      </c>
      <c r="B451" s="12">
        <v>2021</v>
      </c>
      <c r="C451" s="12">
        <v>6730</v>
      </c>
      <c r="D451" s="12">
        <v>1002745</v>
      </c>
      <c r="E451" s="12" t="s">
        <v>13</v>
      </c>
      <c r="F451" s="12" t="s">
        <v>14</v>
      </c>
      <c r="G451" s="25">
        <v>1002745</v>
      </c>
      <c r="H451" s="12">
        <f t="shared" si="14"/>
        <v>0</v>
      </c>
      <c r="I451" s="14">
        <v>44524</v>
      </c>
      <c r="J451" s="12" t="s">
        <v>18</v>
      </c>
      <c r="K451" s="12" t="s">
        <v>20</v>
      </c>
      <c r="L451" s="12" t="s">
        <v>45</v>
      </c>
      <c r="M451" s="12">
        <v>225.01300000000001</v>
      </c>
      <c r="N451" s="12">
        <v>189.53700000000001</v>
      </c>
      <c r="O451" s="12">
        <v>3.5</v>
      </c>
      <c r="Q451" s="13">
        <f t="shared" si="15"/>
        <v>0.84233799824899003</v>
      </c>
    </row>
    <row r="452" spans="1:17" x14ac:dyDescent="0.25">
      <c r="A452" s="12">
        <f t="shared" si="16"/>
        <v>11</v>
      </c>
      <c r="B452" s="12">
        <v>2021</v>
      </c>
      <c r="C452" s="12">
        <v>6731</v>
      </c>
      <c r="D452" s="19">
        <v>1002791</v>
      </c>
      <c r="E452" s="12" t="s">
        <v>13</v>
      </c>
      <c r="F452" s="12" t="s">
        <v>14</v>
      </c>
      <c r="G452" s="25"/>
      <c r="H452" s="12">
        <f t="shared" si="14"/>
        <v>1002791</v>
      </c>
      <c r="I452" s="14">
        <v>44525</v>
      </c>
      <c r="J452" s="12" t="s">
        <v>18</v>
      </c>
      <c r="K452" s="12" t="s">
        <v>20</v>
      </c>
      <c r="L452" s="12" t="s">
        <v>45</v>
      </c>
      <c r="M452" s="12">
        <v>225.01400000000001</v>
      </c>
      <c r="N452" s="12">
        <v>198.27799999999999</v>
      </c>
      <c r="Q452" s="13">
        <f t="shared" si="15"/>
        <v>0.88118072653257118</v>
      </c>
    </row>
    <row r="453" spans="1:17" x14ac:dyDescent="0.25">
      <c r="A453" s="12">
        <f t="shared" si="16"/>
        <v>11</v>
      </c>
      <c r="B453" s="12">
        <v>2021</v>
      </c>
      <c r="C453" s="12">
        <v>6732</v>
      </c>
      <c r="D453" s="12">
        <v>1002856</v>
      </c>
      <c r="E453" s="12" t="s">
        <v>13</v>
      </c>
      <c r="F453" s="12" t="s">
        <v>14</v>
      </c>
      <c r="G453" s="25">
        <v>1002856</v>
      </c>
      <c r="H453" s="12">
        <f t="shared" si="14"/>
        <v>0</v>
      </c>
      <c r="I453" s="14">
        <v>44526</v>
      </c>
      <c r="J453" s="12" t="s">
        <v>18</v>
      </c>
      <c r="K453" s="12" t="s">
        <v>20</v>
      </c>
      <c r="L453" s="12" t="s">
        <v>45</v>
      </c>
      <c r="M453" s="12">
        <v>225.001</v>
      </c>
      <c r="N453" s="12">
        <v>185.64599999999999</v>
      </c>
      <c r="O453" s="12">
        <v>3.8</v>
      </c>
      <c r="P453" s="12">
        <v>12</v>
      </c>
      <c r="Q453" s="13">
        <f t="shared" si="15"/>
        <v>0.82508966626814984</v>
      </c>
    </row>
    <row r="454" spans="1:17" x14ac:dyDescent="0.25">
      <c r="A454" s="12">
        <f t="shared" si="16"/>
        <v>11</v>
      </c>
      <c r="B454" s="12">
        <v>2021</v>
      </c>
      <c r="C454" s="12">
        <v>6733</v>
      </c>
      <c r="D454" s="12">
        <v>1002952</v>
      </c>
      <c r="E454" s="12" t="s">
        <v>13</v>
      </c>
      <c r="F454" s="12" t="s">
        <v>14</v>
      </c>
      <c r="G454" s="25">
        <v>1002952</v>
      </c>
      <c r="H454" s="12">
        <f t="shared" si="14"/>
        <v>0</v>
      </c>
      <c r="I454" s="14">
        <v>44527</v>
      </c>
      <c r="J454" s="12" t="s">
        <v>18</v>
      </c>
      <c r="K454" s="12" t="s">
        <v>20</v>
      </c>
      <c r="L454" s="12" t="s">
        <v>45</v>
      </c>
      <c r="M454" s="12">
        <v>225.001</v>
      </c>
      <c r="N454" s="12">
        <v>204.24</v>
      </c>
      <c r="O454" s="12">
        <v>4.2</v>
      </c>
      <c r="P454" s="12">
        <v>12</v>
      </c>
      <c r="Q454" s="13">
        <f t="shared" si="15"/>
        <v>0.90772929898089338</v>
      </c>
    </row>
    <row r="455" spans="1:17" x14ac:dyDescent="0.25">
      <c r="A455" s="12">
        <f t="shared" si="16"/>
        <v>11</v>
      </c>
      <c r="B455" s="12">
        <v>2021</v>
      </c>
      <c r="C455" s="12">
        <v>6734</v>
      </c>
      <c r="D455" s="12">
        <v>1003051</v>
      </c>
      <c r="E455" s="12" t="s">
        <v>13</v>
      </c>
      <c r="F455" s="12" t="s">
        <v>14</v>
      </c>
      <c r="G455" s="25">
        <v>1003051</v>
      </c>
      <c r="H455" s="12">
        <f t="shared" si="14"/>
        <v>0</v>
      </c>
      <c r="I455" s="14">
        <v>44528</v>
      </c>
      <c r="J455" s="12" t="s">
        <v>18</v>
      </c>
      <c r="K455" s="12" t="s">
        <v>20</v>
      </c>
      <c r="L455" s="12" t="s">
        <v>42</v>
      </c>
      <c r="M455" s="12">
        <v>225.00200000000001</v>
      </c>
      <c r="N455" s="12">
        <v>189.059</v>
      </c>
      <c r="O455" s="12">
        <v>4.4000000000000004</v>
      </c>
      <c r="P455" s="12">
        <v>13.5</v>
      </c>
      <c r="Q455" s="13">
        <f t="shared" si="15"/>
        <v>0.84025475329108179</v>
      </c>
    </row>
    <row r="456" spans="1:17" x14ac:dyDescent="0.25">
      <c r="A456" s="12">
        <f t="shared" si="16"/>
        <v>11</v>
      </c>
      <c r="B456" s="12">
        <v>2021</v>
      </c>
      <c r="C456" s="12">
        <v>6735</v>
      </c>
      <c r="D456" s="12">
        <v>1003115</v>
      </c>
      <c r="E456" s="12" t="s">
        <v>13</v>
      </c>
      <c r="F456" s="12" t="s">
        <v>14</v>
      </c>
      <c r="G456" s="25">
        <v>1003115</v>
      </c>
      <c r="H456" s="12">
        <f t="shared" si="14"/>
        <v>0</v>
      </c>
      <c r="I456" s="14">
        <v>44529</v>
      </c>
      <c r="J456" s="12" t="s">
        <v>18</v>
      </c>
      <c r="K456" s="12" t="s">
        <v>20</v>
      </c>
      <c r="L456" s="12" t="s">
        <v>42</v>
      </c>
      <c r="M456" s="12">
        <v>225.00399999999999</v>
      </c>
      <c r="N456" s="12">
        <v>181.26499999999999</v>
      </c>
      <c r="O456" s="12">
        <v>5.0999999999999996</v>
      </c>
      <c r="Q456" s="13">
        <f t="shared" si="15"/>
        <v>0.80560790030399454</v>
      </c>
    </row>
    <row r="457" spans="1:17" x14ac:dyDescent="0.25">
      <c r="A457" s="12">
        <f t="shared" si="16"/>
        <v>12</v>
      </c>
      <c r="B457" s="12">
        <v>2021</v>
      </c>
      <c r="C457" s="12">
        <v>6736</v>
      </c>
      <c r="D457" s="12">
        <v>1003194</v>
      </c>
      <c r="E457" s="12" t="s">
        <v>13</v>
      </c>
      <c r="F457" s="12" t="s">
        <v>14</v>
      </c>
      <c r="G457" s="25">
        <v>1003194</v>
      </c>
      <c r="H457" s="12">
        <f t="shared" si="14"/>
        <v>0</v>
      </c>
      <c r="I457" s="14">
        <v>44531</v>
      </c>
      <c r="J457" s="12" t="s">
        <v>18</v>
      </c>
      <c r="K457" s="12" t="s">
        <v>20</v>
      </c>
      <c r="L457" s="12" t="s">
        <v>42</v>
      </c>
      <c r="M457" s="12">
        <v>225.00299999999999</v>
      </c>
      <c r="N457" s="12">
        <v>194.63</v>
      </c>
      <c r="O457" s="12">
        <v>5.4</v>
      </c>
      <c r="Q457" s="13">
        <f t="shared" si="15"/>
        <v>0.86501068874637232</v>
      </c>
    </row>
    <row r="458" spans="1:17" x14ac:dyDescent="0.25">
      <c r="A458" s="12">
        <f t="shared" si="16"/>
        <v>12</v>
      </c>
      <c r="B458" s="12">
        <v>2021</v>
      </c>
      <c r="C458" s="12">
        <v>6737</v>
      </c>
      <c r="D458" s="12">
        <v>1003205</v>
      </c>
      <c r="E458" s="12" t="s">
        <v>13</v>
      </c>
      <c r="F458" s="12" t="s">
        <v>14</v>
      </c>
      <c r="G458" s="25">
        <v>1003205</v>
      </c>
      <c r="H458" s="12">
        <f t="shared" si="14"/>
        <v>0</v>
      </c>
      <c r="I458" s="14">
        <v>44531</v>
      </c>
      <c r="J458" s="12" t="s">
        <v>18</v>
      </c>
      <c r="K458" s="12" t="s">
        <v>20</v>
      </c>
      <c r="L458" s="12" t="s">
        <v>42</v>
      </c>
      <c r="M458" s="12">
        <v>225.00700000000001</v>
      </c>
      <c r="N458" s="12">
        <v>182.678</v>
      </c>
      <c r="O458" s="12">
        <v>5</v>
      </c>
      <c r="Q458" s="13">
        <f t="shared" si="15"/>
        <v>0.81187696382779195</v>
      </c>
    </row>
    <row r="459" spans="1:17" x14ac:dyDescent="0.25">
      <c r="A459" s="12">
        <f t="shared" si="16"/>
        <v>12</v>
      </c>
      <c r="B459" s="12">
        <v>2021</v>
      </c>
      <c r="C459" s="12">
        <v>6738</v>
      </c>
      <c r="D459" s="12">
        <v>1003206</v>
      </c>
      <c r="E459" s="12" t="s">
        <v>13</v>
      </c>
      <c r="F459" s="12" t="s">
        <v>14</v>
      </c>
      <c r="G459" s="25">
        <v>1003206</v>
      </c>
      <c r="H459" s="12">
        <f t="shared" si="14"/>
        <v>0</v>
      </c>
      <c r="I459" s="14">
        <v>44532</v>
      </c>
      <c r="J459" s="12" t="s">
        <v>18</v>
      </c>
      <c r="K459" s="12" t="s">
        <v>20</v>
      </c>
      <c r="L459" s="12" t="s">
        <v>42</v>
      </c>
      <c r="M459" s="12">
        <v>225.00700000000001</v>
      </c>
      <c r="N459" s="12">
        <v>200.95400000000001</v>
      </c>
      <c r="O459" s="12">
        <v>7</v>
      </c>
      <c r="Q459" s="13">
        <f t="shared" si="15"/>
        <v>0.89310110352122385</v>
      </c>
    </row>
    <row r="460" spans="1:17" x14ac:dyDescent="0.25">
      <c r="A460" s="12">
        <f t="shared" si="16"/>
        <v>12</v>
      </c>
      <c r="B460" s="12">
        <v>2021</v>
      </c>
      <c r="C460" s="12">
        <v>6739</v>
      </c>
      <c r="D460" s="12">
        <v>1003325</v>
      </c>
      <c r="E460" s="12" t="s">
        <v>13</v>
      </c>
      <c r="F460" s="12" t="s">
        <v>14</v>
      </c>
      <c r="G460" s="25">
        <v>1003325</v>
      </c>
      <c r="H460" s="12">
        <f t="shared" si="14"/>
        <v>0</v>
      </c>
      <c r="I460" s="14">
        <v>44533</v>
      </c>
      <c r="J460" s="12" t="s">
        <v>46</v>
      </c>
      <c r="K460" s="12" t="s">
        <v>19</v>
      </c>
      <c r="L460" s="12" t="s">
        <v>47</v>
      </c>
      <c r="M460" s="12">
        <v>225.018</v>
      </c>
      <c r="N460" s="12">
        <v>192.15299999999999</v>
      </c>
      <c r="O460" s="12">
        <v>4.9000000000000004</v>
      </c>
      <c r="P460" s="12">
        <v>13.3</v>
      </c>
      <c r="Q460" s="13">
        <f t="shared" si="15"/>
        <v>0.85394501773191478</v>
      </c>
    </row>
    <row r="461" spans="1:17" x14ac:dyDescent="0.25">
      <c r="A461" s="12">
        <f t="shared" si="16"/>
        <v>12</v>
      </c>
      <c r="B461" s="12">
        <v>2021</v>
      </c>
      <c r="C461" s="12">
        <v>6740</v>
      </c>
      <c r="D461" s="12">
        <v>1003465</v>
      </c>
      <c r="E461" s="12" t="s">
        <v>13</v>
      </c>
      <c r="F461" s="12" t="s">
        <v>14</v>
      </c>
      <c r="G461" s="25">
        <v>1003465</v>
      </c>
      <c r="H461" s="12">
        <f t="shared" si="14"/>
        <v>0</v>
      </c>
      <c r="I461" s="14">
        <v>44534</v>
      </c>
      <c r="J461" s="12" t="s">
        <v>17</v>
      </c>
      <c r="K461" s="12" t="s">
        <v>19</v>
      </c>
      <c r="L461" s="12" t="s">
        <v>41</v>
      </c>
      <c r="M461" s="12">
        <v>230.03800000000001</v>
      </c>
      <c r="N461" s="12">
        <v>190.59800000000001</v>
      </c>
      <c r="O461" s="12">
        <v>3.7</v>
      </c>
      <c r="Q461" s="13">
        <f t="shared" si="15"/>
        <v>0.82855006564132883</v>
      </c>
    </row>
    <row r="462" spans="1:17" x14ac:dyDescent="0.25">
      <c r="A462" s="12">
        <f t="shared" si="16"/>
        <v>12</v>
      </c>
      <c r="B462" s="12">
        <v>2021</v>
      </c>
      <c r="C462" s="12">
        <v>6741</v>
      </c>
      <c r="D462" s="12">
        <v>1003569</v>
      </c>
      <c r="E462" s="12" t="s">
        <v>13</v>
      </c>
      <c r="F462" s="12" t="s">
        <v>14</v>
      </c>
      <c r="G462" s="25">
        <v>1003569</v>
      </c>
      <c r="H462" s="12">
        <f t="shared" si="14"/>
        <v>0</v>
      </c>
      <c r="I462" s="14">
        <v>44535</v>
      </c>
      <c r="J462" s="12" t="s">
        <v>17</v>
      </c>
      <c r="K462" s="12" t="s">
        <v>19</v>
      </c>
      <c r="L462" s="12" t="s">
        <v>41</v>
      </c>
      <c r="M462" s="12">
        <v>230.03899999999999</v>
      </c>
      <c r="N462" s="12">
        <v>198.16</v>
      </c>
      <c r="O462" s="12">
        <v>5.2</v>
      </c>
      <c r="Q462" s="13">
        <f t="shared" si="15"/>
        <v>0.86141915066575669</v>
      </c>
    </row>
    <row r="463" spans="1:17" x14ac:dyDescent="0.25">
      <c r="A463" s="12">
        <f t="shared" si="16"/>
        <v>12</v>
      </c>
      <c r="B463" s="12">
        <v>2021</v>
      </c>
      <c r="C463" s="12">
        <v>6742</v>
      </c>
      <c r="D463" s="12">
        <v>1003730</v>
      </c>
      <c r="E463" s="12" t="s">
        <v>13</v>
      </c>
      <c r="F463" s="12" t="s">
        <v>14</v>
      </c>
      <c r="G463" s="25">
        <v>1003730</v>
      </c>
      <c r="H463" s="12">
        <f t="shared" si="14"/>
        <v>0</v>
      </c>
      <c r="I463" s="14">
        <v>44536</v>
      </c>
      <c r="J463" s="12" t="s">
        <v>18</v>
      </c>
      <c r="K463" s="12" t="s">
        <v>19</v>
      </c>
      <c r="L463" s="12" t="s">
        <v>40</v>
      </c>
      <c r="M463" s="12">
        <v>229.99799999999999</v>
      </c>
      <c r="N463" s="12">
        <v>188.078</v>
      </c>
      <c r="O463" s="12">
        <v>3.6</v>
      </c>
      <c r="Q463" s="13">
        <f t="shared" si="15"/>
        <v>0.81773754554387434</v>
      </c>
    </row>
    <row r="464" spans="1:17" x14ac:dyDescent="0.25">
      <c r="A464" s="12">
        <f t="shared" si="16"/>
        <v>12</v>
      </c>
      <c r="B464" s="12">
        <v>2021</v>
      </c>
      <c r="C464" s="12">
        <v>6743</v>
      </c>
      <c r="D464" s="12">
        <v>1003731</v>
      </c>
      <c r="E464" s="12" t="s">
        <v>13</v>
      </c>
      <c r="F464" s="12" t="s">
        <v>14</v>
      </c>
      <c r="G464" s="25">
        <v>1003731</v>
      </c>
      <c r="H464" s="12">
        <f t="shared" si="14"/>
        <v>0</v>
      </c>
      <c r="I464" s="14">
        <v>44537</v>
      </c>
      <c r="J464" s="12" t="s">
        <v>18</v>
      </c>
      <c r="K464" s="12" t="s">
        <v>19</v>
      </c>
      <c r="L464" s="12" t="s">
        <v>40</v>
      </c>
      <c r="M464" s="12">
        <v>229.99799999999999</v>
      </c>
      <c r="N464" s="12">
        <v>195.93899999999999</v>
      </c>
      <c r="O464" s="12">
        <v>3.5</v>
      </c>
      <c r="Q464" s="13">
        <f t="shared" si="15"/>
        <v>0.85191610361829229</v>
      </c>
    </row>
    <row r="465" spans="1:17" x14ac:dyDescent="0.25">
      <c r="A465" s="12">
        <f t="shared" si="16"/>
        <v>12</v>
      </c>
      <c r="B465" s="12">
        <v>2021</v>
      </c>
      <c r="C465" s="12">
        <v>6744</v>
      </c>
      <c r="D465" s="12">
        <v>1003733</v>
      </c>
      <c r="E465" s="12" t="s">
        <v>13</v>
      </c>
      <c r="F465" s="12" t="s">
        <v>14</v>
      </c>
      <c r="G465" s="25">
        <v>1003733</v>
      </c>
      <c r="H465" s="12">
        <f t="shared" si="14"/>
        <v>0</v>
      </c>
      <c r="I465" s="14">
        <v>44538</v>
      </c>
      <c r="J465" s="12" t="s">
        <v>18</v>
      </c>
      <c r="K465" s="12" t="s">
        <v>19</v>
      </c>
      <c r="L465" s="12" t="s">
        <v>40</v>
      </c>
      <c r="M465" s="12">
        <v>229.95400000000001</v>
      </c>
      <c r="N465" s="12">
        <v>192.9</v>
      </c>
      <c r="O465" s="12">
        <v>3.9</v>
      </c>
      <c r="P465" s="12">
        <v>13.8</v>
      </c>
      <c r="Q465" s="13">
        <f t="shared" si="15"/>
        <v>0.83886342485888477</v>
      </c>
    </row>
    <row r="466" spans="1:17" x14ac:dyDescent="0.25">
      <c r="A466" s="12">
        <f t="shared" si="16"/>
        <v>12</v>
      </c>
      <c r="B466" s="12">
        <v>2021</v>
      </c>
      <c r="C466" s="12">
        <v>6745</v>
      </c>
      <c r="D466" s="12">
        <v>1003762</v>
      </c>
      <c r="E466" s="12" t="s">
        <v>13</v>
      </c>
      <c r="F466" s="12" t="s">
        <v>14</v>
      </c>
      <c r="G466" s="25">
        <v>1003762</v>
      </c>
      <c r="H466" s="12">
        <f t="shared" si="14"/>
        <v>0</v>
      </c>
      <c r="I466" s="14">
        <v>44539</v>
      </c>
      <c r="J466" s="12" t="s">
        <v>18</v>
      </c>
      <c r="K466" s="12" t="s">
        <v>19</v>
      </c>
      <c r="L466" s="12" t="s">
        <v>40</v>
      </c>
      <c r="M466" s="12">
        <v>229.988</v>
      </c>
      <c r="N466" s="12">
        <v>190.12799999999999</v>
      </c>
      <c r="O466" s="12">
        <v>3.4</v>
      </c>
      <c r="Q466" s="13">
        <f t="shared" si="15"/>
        <v>0.82668660973616004</v>
      </c>
    </row>
    <row r="467" spans="1:17" x14ac:dyDescent="0.25">
      <c r="A467" s="12">
        <f t="shared" si="16"/>
        <v>12</v>
      </c>
      <c r="B467" s="12">
        <v>2021</v>
      </c>
      <c r="C467" s="12">
        <v>6746</v>
      </c>
      <c r="D467" s="12">
        <v>1003861</v>
      </c>
      <c r="E467" s="12" t="s">
        <v>13</v>
      </c>
      <c r="F467" s="12" t="s">
        <v>14</v>
      </c>
      <c r="G467" s="25">
        <v>1003861</v>
      </c>
      <c r="H467" s="12">
        <f t="shared" si="14"/>
        <v>0</v>
      </c>
      <c r="I467" s="14">
        <v>44540</v>
      </c>
      <c r="J467" s="12" t="s">
        <v>18</v>
      </c>
      <c r="K467" s="12" t="s">
        <v>19</v>
      </c>
      <c r="L467" s="12" t="s">
        <v>40</v>
      </c>
      <c r="M467" s="12">
        <v>229.988</v>
      </c>
      <c r="N467" s="12">
        <v>198.77500000000001</v>
      </c>
      <c r="O467" s="12">
        <v>3.5</v>
      </c>
      <c r="Q467" s="13">
        <f t="shared" si="15"/>
        <v>0.86428422352470569</v>
      </c>
    </row>
    <row r="468" spans="1:17" x14ac:dyDescent="0.25">
      <c r="A468" s="12">
        <f t="shared" si="16"/>
        <v>12</v>
      </c>
      <c r="B468" s="12">
        <v>2021</v>
      </c>
      <c r="C468" s="12">
        <v>6747</v>
      </c>
      <c r="D468" s="12">
        <v>1003896</v>
      </c>
      <c r="E468" s="12" t="s">
        <v>13</v>
      </c>
      <c r="F468" s="12" t="s">
        <v>14</v>
      </c>
      <c r="G468" s="25">
        <v>1003896</v>
      </c>
      <c r="H468" s="12">
        <f t="shared" si="14"/>
        <v>0</v>
      </c>
      <c r="I468" s="14">
        <v>44541</v>
      </c>
      <c r="J468" s="12" t="s">
        <v>18</v>
      </c>
      <c r="K468" s="12" t="s">
        <v>20</v>
      </c>
      <c r="L468" s="12" t="s">
        <v>44</v>
      </c>
      <c r="M468" s="12">
        <v>225</v>
      </c>
      <c r="N468" s="12">
        <v>198.16800000000001</v>
      </c>
      <c r="O468" s="12">
        <v>5.3</v>
      </c>
      <c r="P468" s="12">
        <v>13.9</v>
      </c>
      <c r="Q468" s="13">
        <f t="shared" si="15"/>
        <v>0.88074666666666668</v>
      </c>
    </row>
    <row r="469" spans="1:17" x14ac:dyDescent="0.25">
      <c r="A469" s="12">
        <f t="shared" si="16"/>
        <v>12</v>
      </c>
      <c r="B469" s="12">
        <v>2021</v>
      </c>
      <c r="C469" s="12">
        <v>6748</v>
      </c>
      <c r="D469" s="12">
        <v>1003985</v>
      </c>
      <c r="E469" s="12" t="s">
        <v>13</v>
      </c>
      <c r="F469" s="12" t="s">
        <v>14</v>
      </c>
      <c r="G469" s="25">
        <v>1003985</v>
      </c>
      <c r="H469" s="12">
        <f t="shared" si="14"/>
        <v>0</v>
      </c>
      <c r="I469" s="14">
        <v>44542</v>
      </c>
      <c r="J469" s="12" t="s">
        <v>18</v>
      </c>
      <c r="K469" s="12" t="s">
        <v>20</v>
      </c>
      <c r="L469" s="12" t="s">
        <v>44</v>
      </c>
      <c r="M469" s="12">
        <v>225.06299999999999</v>
      </c>
      <c r="N469" s="12">
        <v>189.83199999999999</v>
      </c>
      <c r="O469" s="12">
        <v>6.4</v>
      </c>
      <c r="Q469" s="13">
        <f t="shared" si="15"/>
        <v>0.84346160852739016</v>
      </c>
    </row>
    <row r="470" spans="1:17" x14ac:dyDescent="0.25">
      <c r="A470" s="12">
        <f t="shared" si="16"/>
        <v>12</v>
      </c>
      <c r="B470" s="12">
        <v>2021</v>
      </c>
      <c r="C470" s="12">
        <v>6749</v>
      </c>
      <c r="D470" s="12">
        <v>1004052</v>
      </c>
      <c r="E470" s="12" t="s">
        <v>13</v>
      </c>
      <c r="F470" s="12" t="s">
        <v>14</v>
      </c>
      <c r="G470" s="25">
        <v>1004052</v>
      </c>
      <c r="H470" s="12">
        <f t="shared" si="14"/>
        <v>0</v>
      </c>
      <c r="I470" s="14">
        <v>44543</v>
      </c>
      <c r="J470" s="12" t="s">
        <v>18</v>
      </c>
      <c r="K470" s="12" t="s">
        <v>20</v>
      </c>
      <c r="L470" s="12" t="s">
        <v>44</v>
      </c>
      <c r="M470" s="12">
        <v>225.06200000000001</v>
      </c>
      <c r="N470" s="12">
        <v>196.19300000000001</v>
      </c>
      <c r="O470" s="12">
        <v>4.3</v>
      </c>
      <c r="Q470" s="13">
        <f t="shared" si="15"/>
        <v>0.87172867920839592</v>
      </c>
    </row>
    <row r="471" spans="1:17" x14ac:dyDescent="0.25">
      <c r="A471" s="12">
        <f t="shared" si="16"/>
        <v>12</v>
      </c>
      <c r="B471" s="12">
        <v>2021</v>
      </c>
      <c r="C471" s="12">
        <v>6750</v>
      </c>
      <c r="D471" s="12">
        <v>1004053</v>
      </c>
      <c r="E471" s="12" t="s">
        <v>13</v>
      </c>
      <c r="F471" s="12" t="s">
        <v>14</v>
      </c>
      <c r="G471" s="25">
        <v>1004053</v>
      </c>
      <c r="H471" s="12">
        <f t="shared" si="14"/>
        <v>0</v>
      </c>
      <c r="I471" s="14">
        <v>44544</v>
      </c>
      <c r="J471" s="12" t="s">
        <v>18</v>
      </c>
      <c r="K471" s="12" t="s">
        <v>20</v>
      </c>
      <c r="L471" s="12" t="s">
        <v>44</v>
      </c>
      <c r="M471" s="12">
        <v>225.018</v>
      </c>
      <c r="N471" s="12">
        <v>186.05799999999999</v>
      </c>
      <c r="O471" s="12">
        <v>4.8</v>
      </c>
      <c r="Q471" s="13">
        <f t="shared" si="15"/>
        <v>0.82685829578078196</v>
      </c>
    </row>
    <row r="472" spans="1:17" x14ac:dyDescent="0.25">
      <c r="A472" s="12">
        <f t="shared" si="16"/>
        <v>12</v>
      </c>
      <c r="B472" s="12">
        <v>2021</v>
      </c>
      <c r="C472" s="12">
        <v>6751</v>
      </c>
      <c r="D472" s="12">
        <v>1004054</v>
      </c>
      <c r="E472" s="12" t="s">
        <v>13</v>
      </c>
      <c r="F472" s="12" t="s">
        <v>14</v>
      </c>
      <c r="G472" s="25">
        <v>1004054</v>
      </c>
      <c r="H472" s="12">
        <f t="shared" si="14"/>
        <v>0</v>
      </c>
      <c r="I472" s="14">
        <v>44545</v>
      </c>
      <c r="J472" s="12" t="s">
        <v>18</v>
      </c>
      <c r="K472" s="12" t="s">
        <v>20</v>
      </c>
      <c r="L472" s="12" t="s">
        <v>44</v>
      </c>
      <c r="M472" s="12">
        <v>225.018</v>
      </c>
      <c r="N472" s="12">
        <v>197.77699999999999</v>
      </c>
      <c r="O472" s="12">
        <v>6.2</v>
      </c>
      <c r="Q472" s="13">
        <f t="shared" si="15"/>
        <v>0.87893857380298457</v>
      </c>
    </row>
    <row r="473" spans="1:17" x14ac:dyDescent="0.25">
      <c r="A473" s="12">
        <f t="shared" si="16"/>
        <v>12</v>
      </c>
      <c r="B473" s="12">
        <v>2021</v>
      </c>
      <c r="C473" s="12">
        <v>6752</v>
      </c>
      <c r="D473" s="12">
        <v>1004168</v>
      </c>
      <c r="E473" s="12" t="s">
        <v>13</v>
      </c>
      <c r="F473" s="12" t="s">
        <v>14</v>
      </c>
      <c r="G473" s="25">
        <v>1004168</v>
      </c>
      <c r="H473" s="12">
        <f t="shared" si="14"/>
        <v>0</v>
      </c>
      <c r="I473" s="14">
        <v>44546</v>
      </c>
      <c r="J473" s="12" t="s">
        <v>17</v>
      </c>
      <c r="K473" s="12" t="s">
        <v>19</v>
      </c>
      <c r="L473" s="12" t="s">
        <v>35</v>
      </c>
      <c r="M473" s="12">
        <v>225</v>
      </c>
      <c r="N473" s="12">
        <v>190.273</v>
      </c>
      <c r="O473" s="12">
        <v>4.2</v>
      </c>
      <c r="P473" s="12">
        <v>14.1</v>
      </c>
      <c r="Q473" s="13">
        <f t="shared" si="15"/>
        <v>0.84565777777777773</v>
      </c>
    </row>
    <row r="474" spans="1:17" x14ac:dyDescent="0.25">
      <c r="A474" s="12">
        <f t="shared" si="16"/>
        <v>12</v>
      </c>
      <c r="B474" s="12">
        <v>2021</v>
      </c>
      <c r="C474" s="12">
        <v>6753</v>
      </c>
      <c r="D474" s="12">
        <v>1004258</v>
      </c>
      <c r="E474" s="12" t="s">
        <v>13</v>
      </c>
      <c r="F474" s="12" t="s">
        <v>14</v>
      </c>
      <c r="G474" s="25">
        <v>1004258</v>
      </c>
      <c r="H474" s="12">
        <f t="shared" si="14"/>
        <v>0</v>
      </c>
      <c r="I474" s="14">
        <v>44547</v>
      </c>
      <c r="J474" s="12" t="s">
        <v>18</v>
      </c>
      <c r="K474" s="12" t="s">
        <v>19</v>
      </c>
      <c r="L474" s="12" t="s">
        <v>39</v>
      </c>
      <c r="M474" s="12">
        <v>230.00899999999999</v>
      </c>
      <c r="N474" s="12">
        <v>185.232</v>
      </c>
      <c r="O474" s="12">
        <v>3.5</v>
      </c>
      <c r="Q474" s="13">
        <f t="shared" si="15"/>
        <v>0.80532500902138615</v>
      </c>
    </row>
    <row r="475" spans="1:17" x14ac:dyDescent="0.25">
      <c r="A475" s="12">
        <f t="shared" si="16"/>
        <v>12</v>
      </c>
      <c r="B475" s="12">
        <v>2021</v>
      </c>
      <c r="C475" s="12">
        <v>6754</v>
      </c>
      <c r="D475" s="12">
        <v>1004328</v>
      </c>
      <c r="E475" s="12" t="s">
        <v>13</v>
      </c>
      <c r="F475" s="12" t="s">
        <v>14</v>
      </c>
      <c r="G475" s="25">
        <v>1004328</v>
      </c>
      <c r="H475" s="12">
        <f t="shared" si="14"/>
        <v>0</v>
      </c>
      <c r="I475" s="14">
        <v>44548</v>
      </c>
      <c r="J475" s="12" t="s">
        <v>18</v>
      </c>
      <c r="K475" s="12" t="s">
        <v>19</v>
      </c>
      <c r="L475" s="12" t="s">
        <v>39</v>
      </c>
      <c r="M475" s="12">
        <v>230.00899999999999</v>
      </c>
      <c r="N475" s="12">
        <v>205.4</v>
      </c>
      <c r="O475" s="12">
        <v>5.2</v>
      </c>
      <c r="Q475" s="13">
        <f t="shared" si="15"/>
        <v>0.89300853444865214</v>
      </c>
    </row>
    <row r="476" spans="1:17" x14ac:dyDescent="0.25">
      <c r="A476" s="12">
        <f t="shared" si="16"/>
        <v>12</v>
      </c>
      <c r="B476" s="12">
        <v>2021</v>
      </c>
      <c r="C476" s="12">
        <v>6755</v>
      </c>
      <c r="D476" s="12">
        <v>1004429</v>
      </c>
      <c r="E476" s="12" t="s">
        <v>13</v>
      </c>
      <c r="F476" s="12" t="s">
        <v>14</v>
      </c>
      <c r="G476" s="25">
        <v>1004429</v>
      </c>
      <c r="H476" s="12">
        <f t="shared" si="14"/>
        <v>0</v>
      </c>
      <c r="I476" s="14">
        <v>44549</v>
      </c>
      <c r="J476" s="12" t="s">
        <v>18</v>
      </c>
      <c r="K476" s="12" t="s">
        <v>19</v>
      </c>
      <c r="L476" s="12" t="s">
        <v>39</v>
      </c>
      <c r="M476" s="12">
        <v>229.99799999999999</v>
      </c>
      <c r="N476" s="12">
        <v>189.09700000000001</v>
      </c>
      <c r="O476" s="12">
        <v>4.2</v>
      </c>
      <c r="Q476" s="13">
        <f t="shared" si="15"/>
        <v>0.82216801885233792</v>
      </c>
    </row>
    <row r="477" spans="1:17" x14ac:dyDescent="0.25">
      <c r="A477" s="12">
        <f t="shared" si="16"/>
        <v>12</v>
      </c>
      <c r="B477" s="12">
        <v>2021</v>
      </c>
      <c r="C477" s="12">
        <v>6756</v>
      </c>
      <c r="D477" s="12">
        <v>1004497</v>
      </c>
      <c r="E477" s="12" t="s">
        <v>13</v>
      </c>
      <c r="F477" s="12" t="s">
        <v>14</v>
      </c>
      <c r="G477" s="25">
        <v>1004497</v>
      </c>
      <c r="H477" s="12">
        <f t="shared" si="14"/>
        <v>0</v>
      </c>
      <c r="I477" s="14">
        <v>44550</v>
      </c>
      <c r="J477" s="12" t="s">
        <v>18</v>
      </c>
      <c r="K477" s="12" t="s">
        <v>19</v>
      </c>
      <c r="L477" s="12" t="s">
        <v>39</v>
      </c>
      <c r="M477" s="12">
        <v>229.999</v>
      </c>
      <c r="N477" s="12">
        <v>201.06800000000001</v>
      </c>
      <c r="O477" s="12">
        <v>4.5</v>
      </c>
      <c r="Q477" s="13">
        <f t="shared" si="15"/>
        <v>0.87421249657607214</v>
      </c>
    </row>
    <row r="478" spans="1:17" x14ac:dyDescent="0.25">
      <c r="A478" s="12">
        <f t="shared" si="16"/>
        <v>12</v>
      </c>
      <c r="B478" s="12">
        <v>2021</v>
      </c>
      <c r="C478" s="12">
        <v>6757</v>
      </c>
      <c r="D478" s="12">
        <v>1004498</v>
      </c>
      <c r="E478" s="12" t="s">
        <v>13</v>
      </c>
      <c r="F478" s="12" t="s">
        <v>14</v>
      </c>
      <c r="G478" s="25">
        <v>1004498</v>
      </c>
      <c r="H478" s="12">
        <f t="shared" si="14"/>
        <v>0</v>
      </c>
      <c r="I478" s="14">
        <v>44551</v>
      </c>
      <c r="J478" s="12" t="s">
        <v>18</v>
      </c>
      <c r="K478" s="12" t="s">
        <v>19</v>
      </c>
      <c r="L478" s="12" t="s">
        <v>39</v>
      </c>
      <c r="M478" s="12">
        <v>230.00399999999999</v>
      </c>
      <c r="N478" s="12">
        <v>194.078</v>
      </c>
      <c r="O478" s="12">
        <v>3.4</v>
      </c>
      <c r="P478" s="12">
        <v>13.3</v>
      </c>
      <c r="Q478" s="13">
        <f t="shared" si="15"/>
        <v>0.84380271647449612</v>
      </c>
    </row>
    <row r="479" spans="1:17" x14ac:dyDescent="0.25">
      <c r="A479" s="12">
        <f t="shared" si="16"/>
        <v>12</v>
      </c>
      <c r="B479" s="12">
        <v>2021</v>
      </c>
      <c r="C479" s="12">
        <v>6758</v>
      </c>
      <c r="D479" s="12">
        <v>1004522</v>
      </c>
      <c r="E479" s="12" t="s">
        <v>13</v>
      </c>
      <c r="F479" s="12" t="s">
        <v>14</v>
      </c>
      <c r="G479" s="25">
        <v>1004522</v>
      </c>
      <c r="H479" s="12">
        <f t="shared" si="14"/>
        <v>0</v>
      </c>
      <c r="I479" s="14">
        <v>44552</v>
      </c>
      <c r="J479" s="12" t="s">
        <v>17</v>
      </c>
      <c r="K479" s="12" t="s">
        <v>19</v>
      </c>
      <c r="L479" s="12" t="s">
        <v>40</v>
      </c>
      <c r="M479" s="12">
        <v>230.00399999999999</v>
      </c>
      <c r="N479" s="12">
        <v>197.399</v>
      </c>
      <c r="O479" s="12">
        <v>3.7</v>
      </c>
      <c r="P479" s="12">
        <v>13.9</v>
      </c>
      <c r="Q479" s="13">
        <f t="shared" si="15"/>
        <v>0.85824159579833403</v>
      </c>
    </row>
    <row r="480" spans="1:17" x14ac:dyDescent="0.25">
      <c r="A480" s="12">
        <f t="shared" si="16"/>
        <v>12</v>
      </c>
      <c r="B480" s="12">
        <v>2021</v>
      </c>
      <c r="C480" s="12">
        <v>6759</v>
      </c>
      <c r="D480" s="12">
        <v>1004645</v>
      </c>
      <c r="E480" s="12" t="s">
        <v>13</v>
      </c>
      <c r="F480" s="12" t="s">
        <v>14</v>
      </c>
      <c r="G480" s="25">
        <v>1004645</v>
      </c>
      <c r="H480" s="12">
        <f t="shared" si="14"/>
        <v>0</v>
      </c>
      <c r="I480" s="14">
        <v>44553</v>
      </c>
      <c r="J480" s="12" t="s">
        <v>17</v>
      </c>
      <c r="K480" s="12" t="s">
        <v>19</v>
      </c>
      <c r="L480" s="12" t="s">
        <v>40</v>
      </c>
      <c r="M480" s="12">
        <v>230.005</v>
      </c>
      <c r="N480" s="12">
        <v>200.97900000000001</v>
      </c>
      <c r="O480" s="12">
        <v>4.2</v>
      </c>
      <c r="P480" s="12">
        <v>13.9</v>
      </c>
      <c r="Q480" s="13">
        <f t="shared" si="15"/>
        <v>0.87380274341862141</v>
      </c>
    </row>
    <row r="481" spans="1:17" x14ac:dyDescent="0.25">
      <c r="A481" s="12">
        <f t="shared" si="16"/>
        <v>12</v>
      </c>
      <c r="B481" s="12">
        <v>2021</v>
      </c>
      <c r="C481" s="12">
        <v>6760</v>
      </c>
      <c r="D481" s="12">
        <v>1004735</v>
      </c>
      <c r="E481" s="12" t="s">
        <v>13</v>
      </c>
      <c r="F481" s="12" t="s">
        <v>14</v>
      </c>
      <c r="G481" s="25">
        <v>1004735</v>
      </c>
      <c r="H481" s="12">
        <f t="shared" si="14"/>
        <v>0</v>
      </c>
      <c r="I481" s="14">
        <v>44554</v>
      </c>
      <c r="J481" s="12" t="s">
        <v>17</v>
      </c>
      <c r="K481" s="12" t="s">
        <v>19</v>
      </c>
      <c r="L481" s="12" t="s">
        <v>40</v>
      </c>
      <c r="M481" s="12">
        <v>230.00200000000001</v>
      </c>
      <c r="N481" s="12">
        <v>192.767</v>
      </c>
      <c r="O481" s="12">
        <v>4.8</v>
      </c>
      <c r="Q481" s="13">
        <f t="shared" si="15"/>
        <v>0.83811010339040526</v>
      </c>
    </row>
    <row r="482" spans="1:17" x14ac:dyDescent="0.25">
      <c r="A482" s="12">
        <f t="shared" si="16"/>
        <v>12</v>
      </c>
      <c r="B482" s="12">
        <v>2021</v>
      </c>
      <c r="C482" s="12">
        <v>6761</v>
      </c>
      <c r="D482" s="12">
        <v>1004806</v>
      </c>
      <c r="E482" s="12" t="s">
        <v>13</v>
      </c>
      <c r="F482" s="12" t="s">
        <v>14</v>
      </c>
      <c r="G482" s="25">
        <v>1004806</v>
      </c>
      <c r="H482" s="12">
        <f t="shared" ref="H482:H545" si="17">D482-G482</f>
        <v>0</v>
      </c>
      <c r="I482" s="14">
        <v>44555</v>
      </c>
      <c r="J482" s="12" t="s">
        <v>17</v>
      </c>
      <c r="K482" s="12" t="s">
        <v>19</v>
      </c>
      <c r="L482" s="12" t="s">
        <v>40</v>
      </c>
      <c r="M482" s="12">
        <v>230.00299999999999</v>
      </c>
      <c r="N482" s="12">
        <v>199.49600000000001</v>
      </c>
      <c r="O482" s="12">
        <v>4.2</v>
      </c>
      <c r="Q482" s="13">
        <f t="shared" si="15"/>
        <v>0.86736259961826589</v>
      </c>
    </row>
    <row r="483" spans="1:17" x14ac:dyDescent="0.25">
      <c r="A483" s="12">
        <f t="shared" si="16"/>
        <v>12</v>
      </c>
      <c r="B483" s="12">
        <v>2021</v>
      </c>
      <c r="C483" s="12">
        <v>6762</v>
      </c>
      <c r="D483" s="12">
        <v>1004873</v>
      </c>
      <c r="E483" s="12" t="s">
        <v>13</v>
      </c>
      <c r="F483" s="12" t="s">
        <v>14</v>
      </c>
      <c r="G483" s="25">
        <v>1004873</v>
      </c>
      <c r="H483" s="12">
        <f t="shared" si="17"/>
        <v>0</v>
      </c>
      <c r="I483" s="14">
        <v>44556</v>
      </c>
      <c r="J483" s="12" t="s">
        <v>17</v>
      </c>
      <c r="K483" s="12" t="s">
        <v>19</v>
      </c>
      <c r="L483" s="12" t="s">
        <v>40</v>
      </c>
      <c r="M483" s="12">
        <v>230.00299999999999</v>
      </c>
      <c r="N483" s="12">
        <v>197.30600000000001</v>
      </c>
      <c r="O483" s="12">
        <v>6.2</v>
      </c>
      <c r="P483" s="12">
        <v>12.8</v>
      </c>
      <c r="Q483" s="13">
        <f t="shared" si="15"/>
        <v>0.85784098468280856</v>
      </c>
    </row>
    <row r="484" spans="1:17" x14ac:dyDescent="0.25">
      <c r="A484" s="12">
        <f t="shared" si="16"/>
        <v>12</v>
      </c>
      <c r="B484" s="12">
        <v>2021</v>
      </c>
      <c r="C484" s="12">
        <v>6763</v>
      </c>
      <c r="D484" s="12">
        <v>1004956</v>
      </c>
      <c r="E484" s="12" t="s">
        <v>13</v>
      </c>
      <c r="F484" s="12" t="s">
        <v>14</v>
      </c>
      <c r="G484" s="25">
        <v>1004956</v>
      </c>
      <c r="H484" s="12">
        <f t="shared" si="17"/>
        <v>0</v>
      </c>
      <c r="I484" s="14">
        <v>44557</v>
      </c>
      <c r="J484" s="12" t="s">
        <v>17</v>
      </c>
      <c r="K484" s="12" t="s">
        <v>19</v>
      </c>
      <c r="L484" s="12" t="s">
        <v>41</v>
      </c>
      <c r="M484" s="12">
        <v>230</v>
      </c>
      <c r="N484" s="12">
        <v>196.05699999999999</v>
      </c>
      <c r="O484" s="12">
        <v>4.4000000000000004</v>
      </c>
      <c r="Q484" s="13">
        <f t="shared" si="15"/>
        <v>0.85242173913043473</v>
      </c>
    </row>
    <row r="485" spans="1:17" x14ac:dyDescent="0.25">
      <c r="A485" s="12">
        <f t="shared" si="16"/>
        <v>12</v>
      </c>
      <c r="B485" s="12">
        <v>2021</v>
      </c>
      <c r="C485" s="12">
        <v>6764</v>
      </c>
      <c r="D485" s="12">
        <v>1004958</v>
      </c>
      <c r="E485" s="12" t="s">
        <v>13</v>
      </c>
      <c r="F485" s="12" t="s">
        <v>14</v>
      </c>
      <c r="G485" s="25">
        <v>1004958</v>
      </c>
      <c r="H485" s="12">
        <f t="shared" si="17"/>
        <v>0</v>
      </c>
      <c r="I485" s="14">
        <v>44558</v>
      </c>
      <c r="J485" s="12" t="s">
        <v>17</v>
      </c>
      <c r="K485" s="12" t="s">
        <v>19</v>
      </c>
      <c r="L485" s="12" t="s">
        <v>41</v>
      </c>
      <c r="M485" s="12">
        <v>230</v>
      </c>
      <c r="N485" s="12">
        <v>197.202</v>
      </c>
      <c r="O485" s="12">
        <v>3.7</v>
      </c>
      <c r="P485" s="12">
        <v>14</v>
      </c>
      <c r="Q485" s="13">
        <f t="shared" si="15"/>
        <v>0.85739999999999994</v>
      </c>
    </row>
    <row r="486" spans="1:17" x14ac:dyDescent="0.25">
      <c r="A486" s="12">
        <f t="shared" si="16"/>
        <v>12</v>
      </c>
      <c r="B486" s="12">
        <v>2021</v>
      </c>
      <c r="C486" s="12">
        <v>6765</v>
      </c>
      <c r="D486" s="12">
        <v>1004960</v>
      </c>
      <c r="E486" s="12" t="s">
        <v>13</v>
      </c>
      <c r="F486" s="12" t="s">
        <v>14</v>
      </c>
      <c r="G486" s="25">
        <v>1004960</v>
      </c>
      <c r="H486" s="12">
        <f t="shared" si="17"/>
        <v>0</v>
      </c>
      <c r="I486" s="14">
        <v>44559</v>
      </c>
      <c r="J486" s="12" t="s">
        <v>17</v>
      </c>
      <c r="K486" s="12" t="s">
        <v>19</v>
      </c>
      <c r="L486" s="12" t="s">
        <v>41</v>
      </c>
      <c r="M486" s="12">
        <v>230</v>
      </c>
      <c r="N486" s="12">
        <v>191.18299999999999</v>
      </c>
      <c r="O486" s="12">
        <v>3.4</v>
      </c>
      <c r="Q486" s="13">
        <f t="shared" si="15"/>
        <v>0.83123043478260872</v>
      </c>
    </row>
    <row r="487" spans="1:17" x14ac:dyDescent="0.25">
      <c r="A487" s="12">
        <f t="shared" si="16"/>
        <v>12</v>
      </c>
      <c r="B487" s="12">
        <v>2021</v>
      </c>
      <c r="C487" s="12">
        <v>6766</v>
      </c>
      <c r="D487" s="12">
        <v>1005048</v>
      </c>
      <c r="E487" s="12" t="s">
        <v>13</v>
      </c>
      <c r="F487" s="12" t="s">
        <v>14</v>
      </c>
      <c r="G487" s="25">
        <v>1005048</v>
      </c>
      <c r="H487" s="12">
        <f t="shared" si="17"/>
        <v>0</v>
      </c>
      <c r="I487" s="14">
        <v>44560</v>
      </c>
      <c r="J487" s="12" t="s">
        <v>17</v>
      </c>
      <c r="K487" s="12" t="s">
        <v>19</v>
      </c>
      <c r="L487" s="12" t="s">
        <v>41</v>
      </c>
      <c r="M487" s="12">
        <v>230</v>
      </c>
      <c r="N487" s="12">
        <v>191.85400000000001</v>
      </c>
      <c r="O487" s="12">
        <v>3.8</v>
      </c>
      <c r="Q487" s="13">
        <f t="shared" si="15"/>
        <v>0.83414782608695659</v>
      </c>
    </row>
    <row r="488" spans="1:17" x14ac:dyDescent="0.25">
      <c r="A488" s="12">
        <f t="shared" si="16"/>
        <v>12</v>
      </c>
      <c r="B488" s="12">
        <v>2021</v>
      </c>
      <c r="C488" s="12">
        <v>6767</v>
      </c>
      <c r="D488" s="12">
        <v>1005131</v>
      </c>
      <c r="E488" s="12" t="s">
        <v>13</v>
      </c>
      <c r="F488" s="12" t="s">
        <v>14</v>
      </c>
      <c r="G488" s="25">
        <v>1005131</v>
      </c>
      <c r="H488" s="12">
        <f t="shared" si="17"/>
        <v>0</v>
      </c>
      <c r="I488" s="14">
        <v>44561</v>
      </c>
      <c r="J488" s="12" t="s">
        <v>17</v>
      </c>
      <c r="K488" s="12" t="s">
        <v>19</v>
      </c>
      <c r="L488" s="12" t="s">
        <v>41</v>
      </c>
      <c r="M488" s="12">
        <v>229.999</v>
      </c>
      <c r="N488" s="12">
        <v>199.64599999999999</v>
      </c>
      <c r="O488" s="12">
        <v>4</v>
      </c>
      <c r="Q488" s="13">
        <f t="shared" si="15"/>
        <v>0.86802986099939561</v>
      </c>
    </row>
    <row r="489" spans="1:17" x14ac:dyDescent="0.25">
      <c r="A489" s="12">
        <f t="shared" si="16"/>
        <v>1</v>
      </c>
      <c r="B489" s="12">
        <v>2022</v>
      </c>
      <c r="C489" s="12">
        <v>6768</v>
      </c>
      <c r="D489" s="12">
        <v>1005279</v>
      </c>
      <c r="E489" s="12" t="s">
        <v>13</v>
      </c>
      <c r="F489" s="12" t="s">
        <v>14</v>
      </c>
      <c r="G489" s="25">
        <v>1005279</v>
      </c>
      <c r="H489" s="12">
        <f t="shared" si="17"/>
        <v>0</v>
      </c>
      <c r="I489" s="14">
        <v>44562</v>
      </c>
      <c r="J489" s="12" t="s">
        <v>18</v>
      </c>
      <c r="K489" s="12" t="s">
        <v>19</v>
      </c>
      <c r="L489" s="12" t="s">
        <v>41</v>
      </c>
      <c r="M489" s="12">
        <v>230.012</v>
      </c>
      <c r="N489" s="12">
        <v>194.91900000000001</v>
      </c>
      <c r="O489" s="12">
        <v>4</v>
      </c>
      <c r="Q489" s="13">
        <f t="shared" si="15"/>
        <v>0.84742969932003553</v>
      </c>
    </row>
    <row r="490" spans="1:17" x14ac:dyDescent="0.25">
      <c r="A490" s="12">
        <f t="shared" si="16"/>
        <v>1</v>
      </c>
      <c r="B490" s="12">
        <v>2022</v>
      </c>
      <c r="C490" s="12">
        <v>6769</v>
      </c>
      <c r="D490" s="12">
        <v>1005280</v>
      </c>
      <c r="E490" s="12" t="s">
        <v>13</v>
      </c>
      <c r="F490" s="12" t="s">
        <v>14</v>
      </c>
      <c r="G490" s="25">
        <v>1005280</v>
      </c>
      <c r="H490" s="12">
        <f t="shared" si="17"/>
        <v>0</v>
      </c>
      <c r="I490" s="14">
        <v>44563</v>
      </c>
      <c r="J490" s="12" t="s">
        <v>18</v>
      </c>
      <c r="K490" s="12" t="s">
        <v>19</v>
      </c>
      <c r="L490" s="12" t="s">
        <v>41</v>
      </c>
      <c r="M490" s="12">
        <v>230.01300000000001</v>
      </c>
      <c r="N490" s="12">
        <v>187.98599999999999</v>
      </c>
      <c r="O490" s="12">
        <v>3.4</v>
      </c>
      <c r="P490" s="12">
        <v>13.8</v>
      </c>
      <c r="Q490" s="13">
        <f t="shared" si="15"/>
        <v>0.81728424045597414</v>
      </c>
    </row>
    <row r="491" spans="1:17" x14ac:dyDescent="0.25">
      <c r="A491" s="12">
        <f t="shared" si="16"/>
        <v>1</v>
      </c>
      <c r="B491" s="12">
        <v>2022</v>
      </c>
      <c r="C491" s="12">
        <v>6770</v>
      </c>
      <c r="D491" s="12">
        <v>1005292</v>
      </c>
      <c r="E491" s="12" t="s">
        <v>13</v>
      </c>
      <c r="F491" s="12" t="s">
        <v>14</v>
      </c>
      <c r="G491" s="25">
        <v>1005292</v>
      </c>
      <c r="H491" s="12">
        <f t="shared" si="17"/>
        <v>0</v>
      </c>
      <c r="I491" s="14">
        <v>44564</v>
      </c>
      <c r="J491" s="12" t="s">
        <v>18</v>
      </c>
      <c r="K491" s="12" t="s">
        <v>19</v>
      </c>
      <c r="L491" s="12" t="s">
        <v>41</v>
      </c>
      <c r="M491" s="12">
        <v>230.01300000000001</v>
      </c>
      <c r="N491" s="12">
        <v>199.94200000000001</v>
      </c>
      <c r="O491" s="12">
        <v>3.7</v>
      </c>
      <c r="Q491" s="13">
        <f t="shared" si="15"/>
        <v>0.86926391117023827</v>
      </c>
    </row>
    <row r="492" spans="1:17" x14ac:dyDescent="0.25">
      <c r="A492" s="12">
        <f t="shared" si="16"/>
        <v>1</v>
      </c>
      <c r="B492" s="12">
        <v>2022</v>
      </c>
      <c r="C492" s="12">
        <v>6771</v>
      </c>
      <c r="D492" s="12">
        <v>1005293</v>
      </c>
      <c r="E492" s="12" t="s">
        <v>13</v>
      </c>
      <c r="F492" s="12" t="s">
        <v>14</v>
      </c>
      <c r="G492" s="25">
        <v>1005293</v>
      </c>
      <c r="H492" s="12">
        <f t="shared" si="17"/>
        <v>0</v>
      </c>
      <c r="I492" s="14">
        <v>44565</v>
      </c>
      <c r="J492" s="12" t="s">
        <v>18</v>
      </c>
      <c r="K492" s="12" t="s">
        <v>19</v>
      </c>
      <c r="L492" s="12" t="s">
        <v>41</v>
      </c>
      <c r="M492" s="12">
        <v>230.012</v>
      </c>
      <c r="N492" s="12">
        <v>195.18700000000001</v>
      </c>
      <c r="O492" s="12">
        <v>3.5</v>
      </c>
      <c r="Q492" s="13">
        <f t="shared" si="15"/>
        <v>0.84859485592056072</v>
      </c>
    </row>
    <row r="493" spans="1:17" x14ac:dyDescent="0.25">
      <c r="A493" s="12">
        <f t="shared" si="16"/>
        <v>1</v>
      </c>
      <c r="B493" s="12">
        <v>2022</v>
      </c>
      <c r="C493" s="12">
        <v>6772</v>
      </c>
      <c r="D493" s="12">
        <v>1005296</v>
      </c>
      <c r="E493" s="12" t="s">
        <v>13</v>
      </c>
      <c r="F493" s="12" t="s">
        <v>14</v>
      </c>
      <c r="G493" s="25">
        <v>1005296</v>
      </c>
      <c r="H493" s="12">
        <f t="shared" si="17"/>
        <v>0</v>
      </c>
      <c r="I493" s="14">
        <v>44566</v>
      </c>
      <c r="J493" s="12" t="s">
        <v>18</v>
      </c>
      <c r="K493" s="12" t="s">
        <v>19</v>
      </c>
      <c r="L493" s="12" t="s">
        <v>41</v>
      </c>
      <c r="M493" s="12">
        <v>230.011</v>
      </c>
      <c r="N493" s="12">
        <v>197.28200000000001</v>
      </c>
      <c r="O493" s="12">
        <v>3.9</v>
      </c>
      <c r="Q493" s="13">
        <f t="shared" si="15"/>
        <v>0.85770680532670185</v>
      </c>
    </row>
    <row r="494" spans="1:17" x14ac:dyDescent="0.25">
      <c r="A494" s="12">
        <f t="shared" si="16"/>
        <v>1</v>
      </c>
      <c r="B494" s="12">
        <v>2022</v>
      </c>
      <c r="C494" s="12">
        <v>6773</v>
      </c>
      <c r="D494" s="12">
        <v>1005409</v>
      </c>
      <c r="E494" s="12" t="s">
        <v>13</v>
      </c>
      <c r="F494" s="12" t="s">
        <v>14</v>
      </c>
      <c r="G494" s="25">
        <v>1005409</v>
      </c>
      <c r="H494" s="12">
        <f t="shared" si="17"/>
        <v>0</v>
      </c>
      <c r="I494" s="14">
        <v>44567</v>
      </c>
      <c r="J494" s="12" t="s">
        <v>18</v>
      </c>
      <c r="K494" s="12" t="s">
        <v>19</v>
      </c>
      <c r="L494" s="12" t="s">
        <v>40</v>
      </c>
      <c r="M494" s="12">
        <v>230.02099999999999</v>
      </c>
      <c r="N494" s="12">
        <v>192.42599999999999</v>
      </c>
      <c r="O494" s="12">
        <v>3.6</v>
      </c>
      <c r="P494" s="12">
        <v>14.3</v>
      </c>
      <c r="Q494" s="13">
        <f t="shared" si="15"/>
        <v>0.83655840118945657</v>
      </c>
    </row>
    <row r="495" spans="1:17" x14ac:dyDescent="0.25">
      <c r="A495" s="12">
        <f t="shared" si="16"/>
        <v>1</v>
      </c>
      <c r="B495" s="12">
        <v>2022</v>
      </c>
      <c r="C495" s="12">
        <v>6774</v>
      </c>
      <c r="D495" s="12">
        <v>1005473</v>
      </c>
      <c r="E495" s="12" t="s">
        <v>13</v>
      </c>
      <c r="F495" s="12" t="s">
        <v>14</v>
      </c>
      <c r="G495" s="25">
        <v>1005473</v>
      </c>
      <c r="H495" s="12">
        <f t="shared" si="17"/>
        <v>0</v>
      </c>
      <c r="I495" s="14">
        <v>44568</v>
      </c>
      <c r="J495" s="12" t="s">
        <v>18</v>
      </c>
      <c r="K495" s="12" t="s">
        <v>19</v>
      </c>
      <c r="L495" s="12" t="s">
        <v>40</v>
      </c>
      <c r="M495" s="12">
        <v>229.999</v>
      </c>
      <c r="N495" s="12">
        <v>188.267</v>
      </c>
      <c r="O495" s="12">
        <v>3.4</v>
      </c>
      <c r="Q495" s="13">
        <f t="shared" si="15"/>
        <v>0.81855573285101235</v>
      </c>
    </row>
    <row r="496" spans="1:17" x14ac:dyDescent="0.25">
      <c r="A496" s="12">
        <f t="shared" si="16"/>
        <v>1</v>
      </c>
      <c r="B496" s="12">
        <v>2022</v>
      </c>
      <c r="C496" s="12">
        <v>6775</v>
      </c>
      <c r="D496" s="12">
        <v>1005526</v>
      </c>
      <c r="E496" s="12" t="s">
        <v>13</v>
      </c>
      <c r="F496" s="12" t="s">
        <v>14</v>
      </c>
      <c r="G496" s="25">
        <v>1005526</v>
      </c>
      <c r="H496" s="12">
        <f t="shared" si="17"/>
        <v>0</v>
      </c>
      <c r="I496" s="14">
        <v>44569</v>
      </c>
      <c r="J496" s="12" t="s">
        <v>18</v>
      </c>
      <c r="K496" s="12" t="s">
        <v>19</v>
      </c>
      <c r="L496" s="12" t="s">
        <v>40</v>
      </c>
      <c r="M496" s="12">
        <v>229.99799999999999</v>
      </c>
      <c r="N496" s="12">
        <v>201.48599999999999</v>
      </c>
      <c r="O496" s="12">
        <v>4.7</v>
      </c>
      <c r="Q496" s="13">
        <f t="shared" si="15"/>
        <v>0.8760337046409099</v>
      </c>
    </row>
    <row r="497" spans="1:17" x14ac:dyDescent="0.25">
      <c r="A497" s="12">
        <f t="shared" si="16"/>
        <v>1</v>
      </c>
      <c r="B497" s="12">
        <v>2022</v>
      </c>
      <c r="C497" s="12">
        <v>6776</v>
      </c>
      <c r="D497" s="12">
        <v>1005635</v>
      </c>
      <c r="E497" s="12" t="s">
        <v>13</v>
      </c>
      <c r="F497" s="12" t="s">
        <v>14</v>
      </c>
      <c r="G497" s="25">
        <v>1005635</v>
      </c>
      <c r="H497" s="12">
        <f t="shared" si="17"/>
        <v>0</v>
      </c>
      <c r="I497" s="14">
        <v>44570</v>
      </c>
      <c r="J497" s="12" t="s">
        <v>18</v>
      </c>
      <c r="K497" s="12" t="s">
        <v>19</v>
      </c>
      <c r="L497" s="12" t="s">
        <v>40</v>
      </c>
      <c r="M497" s="12">
        <v>230.00399999999999</v>
      </c>
      <c r="N497" s="12">
        <v>195.04300000000001</v>
      </c>
      <c r="O497" s="12">
        <v>3.9</v>
      </c>
      <c r="Q497" s="13">
        <f t="shared" si="15"/>
        <v>0.84799829568181428</v>
      </c>
    </row>
    <row r="498" spans="1:17" x14ac:dyDescent="0.25">
      <c r="A498" s="12">
        <f t="shared" si="16"/>
        <v>1</v>
      </c>
      <c r="B498" s="12">
        <v>2022</v>
      </c>
      <c r="C498" s="12">
        <v>6777</v>
      </c>
      <c r="D498" s="12">
        <v>1005660</v>
      </c>
      <c r="E498" s="12" t="s">
        <v>13</v>
      </c>
      <c r="F498" s="12" t="s">
        <v>14</v>
      </c>
      <c r="G498" s="25">
        <v>1005660</v>
      </c>
      <c r="H498" s="12">
        <f t="shared" si="17"/>
        <v>0</v>
      </c>
      <c r="I498" s="14">
        <v>44571</v>
      </c>
      <c r="J498" s="12" t="s">
        <v>18</v>
      </c>
      <c r="K498" s="12" t="s">
        <v>19</v>
      </c>
      <c r="L498" s="12" t="s">
        <v>40</v>
      </c>
      <c r="M498" s="12">
        <v>230.00299999999999</v>
      </c>
      <c r="N498" s="12">
        <v>199.09800000000001</v>
      </c>
      <c r="O498" s="12">
        <v>4.8</v>
      </c>
      <c r="Q498" s="13">
        <f t="shared" si="15"/>
        <v>0.86563218740625136</v>
      </c>
    </row>
    <row r="499" spans="1:17" x14ac:dyDescent="0.25">
      <c r="A499" s="12">
        <f t="shared" si="16"/>
        <v>1</v>
      </c>
      <c r="B499" s="12">
        <v>2022</v>
      </c>
      <c r="C499" s="12">
        <v>6778</v>
      </c>
      <c r="D499" s="12">
        <v>1005720</v>
      </c>
      <c r="E499" s="12" t="s">
        <v>13</v>
      </c>
      <c r="F499" s="12" t="s">
        <v>14</v>
      </c>
      <c r="G499" s="25">
        <v>1005720</v>
      </c>
      <c r="H499" s="12">
        <f t="shared" si="17"/>
        <v>0</v>
      </c>
      <c r="I499" s="14">
        <v>44572</v>
      </c>
      <c r="J499" s="12" t="s">
        <v>46</v>
      </c>
      <c r="K499" s="12" t="s">
        <v>20</v>
      </c>
      <c r="L499" s="12" t="s">
        <v>48</v>
      </c>
      <c r="M499" s="12">
        <v>225.01599999999999</v>
      </c>
      <c r="N499" s="12">
        <v>190.58799999999999</v>
      </c>
      <c r="O499" s="12">
        <v>4.8</v>
      </c>
      <c r="P499" s="12">
        <v>12.7</v>
      </c>
      <c r="Q499" s="13">
        <f t="shared" si="15"/>
        <v>0.8469975468411135</v>
      </c>
    </row>
    <row r="500" spans="1:17" x14ac:dyDescent="0.25">
      <c r="A500" s="12">
        <f t="shared" si="16"/>
        <v>1</v>
      </c>
      <c r="B500" s="12">
        <v>2022</v>
      </c>
      <c r="C500" s="12">
        <v>6779</v>
      </c>
      <c r="D500" s="12">
        <v>1005667</v>
      </c>
      <c r="E500" s="12" t="s">
        <v>13</v>
      </c>
      <c r="F500" s="12" t="s">
        <v>14</v>
      </c>
      <c r="G500" s="25">
        <v>1005667</v>
      </c>
      <c r="H500" s="12">
        <f t="shared" si="17"/>
        <v>0</v>
      </c>
      <c r="I500" s="14">
        <v>44573</v>
      </c>
      <c r="J500" s="12" t="s">
        <v>37</v>
      </c>
      <c r="K500" s="12" t="s">
        <v>19</v>
      </c>
      <c r="L500" s="12" t="s">
        <v>40</v>
      </c>
      <c r="M500" s="12">
        <v>230.00200000000001</v>
      </c>
      <c r="N500" s="12">
        <v>201.179</v>
      </c>
      <c r="O500" s="12">
        <v>3.7</v>
      </c>
      <c r="Q500" s="13">
        <f t="shared" si="15"/>
        <v>0.87468369840262261</v>
      </c>
    </row>
    <row r="501" spans="1:17" x14ac:dyDescent="0.25">
      <c r="A501" s="12">
        <f t="shared" si="16"/>
        <v>1</v>
      </c>
      <c r="B501" s="12">
        <v>2022</v>
      </c>
      <c r="C501" s="12">
        <v>6780</v>
      </c>
      <c r="D501" s="12">
        <v>1005748</v>
      </c>
      <c r="E501" s="12" t="s">
        <v>13</v>
      </c>
      <c r="F501" s="12" t="s">
        <v>14</v>
      </c>
      <c r="G501" s="25">
        <v>1005748</v>
      </c>
      <c r="H501" s="12">
        <f t="shared" si="17"/>
        <v>0</v>
      </c>
      <c r="I501" s="14">
        <v>44574</v>
      </c>
      <c r="J501" s="12" t="s">
        <v>37</v>
      </c>
      <c r="K501" s="12" t="s">
        <v>19</v>
      </c>
      <c r="L501" s="12" t="s">
        <v>40</v>
      </c>
      <c r="M501" s="12">
        <v>230.00299999999999</v>
      </c>
      <c r="N501" s="12">
        <v>183.47200000000001</v>
      </c>
      <c r="O501" s="12">
        <v>3.5</v>
      </c>
      <c r="Q501" s="13">
        <f t="shared" si="15"/>
        <v>0.7976939431224811</v>
      </c>
    </row>
    <row r="502" spans="1:17" x14ac:dyDescent="0.25">
      <c r="A502" s="12">
        <f t="shared" si="16"/>
        <v>1</v>
      </c>
      <c r="B502" s="12">
        <v>2022</v>
      </c>
      <c r="C502" s="12">
        <v>6781</v>
      </c>
      <c r="D502" s="12">
        <v>1005832</v>
      </c>
      <c r="E502" s="12" t="s">
        <v>13</v>
      </c>
      <c r="F502" s="12" t="s">
        <v>14</v>
      </c>
      <c r="G502" s="25">
        <v>1005832</v>
      </c>
      <c r="H502" s="12">
        <f t="shared" si="17"/>
        <v>0</v>
      </c>
      <c r="I502" s="14">
        <v>44575</v>
      </c>
      <c r="J502" s="12" t="s">
        <v>37</v>
      </c>
      <c r="K502" s="12" t="s">
        <v>19</v>
      </c>
      <c r="L502" s="12" t="s">
        <v>40</v>
      </c>
      <c r="M502" s="12">
        <v>229.99600000000001</v>
      </c>
      <c r="N502" s="12">
        <v>196.00399999999999</v>
      </c>
      <c r="O502" s="12">
        <v>4.5</v>
      </c>
      <c r="Q502" s="13">
        <f t="shared" si="15"/>
        <v>0.8522061253239186</v>
      </c>
    </row>
    <row r="503" spans="1:17" x14ac:dyDescent="0.25">
      <c r="A503" s="12">
        <f t="shared" si="16"/>
        <v>1</v>
      </c>
      <c r="B503" s="12">
        <v>2022</v>
      </c>
      <c r="C503" s="12">
        <v>6782</v>
      </c>
      <c r="D503" s="12">
        <v>1005890</v>
      </c>
      <c r="E503" s="12" t="s">
        <v>13</v>
      </c>
      <c r="F503" s="12" t="s">
        <v>14</v>
      </c>
      <c r="G503" s="25">
        <v>1005890</v>
      </c>
      <c r="H503" s="12">
        <f t="shared" si="17"/>
        <v>0</v>
      </c>
      <c r="I503" s="14">
        <v>44576</v>
      </c>
      <c r="J503" s="12" t="s">
        <v>37</v>
      </c>
      <c r="K503" s="12" t="s">
        <v>19</v>
      </c>
      <c r="L503" s="12" t="s">
        <v>40</v>
      </c>
      <c r="M503" s="12">
        <v>229.99700000000001</v>
      </c>
      <c r="N503" s="12">
        <v>189.64</v>
      </c>
      <c r="O503" s="12">
        <v>3.1</v>
      </c>
      <c r="Q503" s="13">
        <f t="shared" si="15"/>
        <v>0.82453249390209427</v>
      </c>
    </row>
    <row r="504" spans="1:17" x14ac:dyDescent="0.25">
      <c r="A504" s="12">
        <f t="shared" si="16"/>
        <v>1</v>
      </c>
      <c r="B504" s="12">
        <v>2022</v>
      </c>
      <c r="C504" s="12">
        <v>6783</v>
      </c>
      <c r="D504" s="12">
        <v>1005977</v>
      </c>
      <c r="E504" s="12" t="s">
        <v>13</v>
      </c>
      <c r="F504" s="12" t="s">
        <v>14</v>
      </c>
      <c r="G504" s="25">
        <v>1005977</v>
      </c>
      <c r="H504" s="12">
        <f t="shared" si="17"/>
        <v>0</v>
      </c>
      <c r="I504" s="14">
        <v>44577</v>
      </c>
      <c r="J504" s="12" t="s">
        <v>37</v>
      </c>
      <c r="K504" s="12" t="s">
        <v>19</v>
      </c>
      <c r="L504" s="12" t="s">
        <v>40</v>
      </c>
      <c r="M504" s="12">
        <v>229.994</v>
      </c>
      <c r="N504" s="12">
        <v>194.578</v>
      </c>
      <c r="O504" s="12">
        <v>3.6</v>
      </c>
      <c r="P504" s="12">
        <v>13.1</v>
      </c>
      <c r="Q504" s="13">
        <f t="shared" si="15"/>
        <v>0.84601337426193723</v>
      </c>
    </row>
    <row r="505" spans="1:17" x14ac:dyDescent="0.25">
      <c r="A505" s="12">
        <f t="shared" si="16"/>
        <v>1</v>
      </c>
      <c r="B505" s="12">
        <v>2022</v>
      </c>
      <c r="C505" s="12">
        <v>6784</v>
      </c>
      <c r="D505" s="12">
        <v>1006105</v>
      </c>
      <c r="E505" s="12" t="s">
        <v>13</v>
      </c>
      <c r="F505" s="12" t="s">
        <v>14</v>
      </c>
      <c r="G505" s="25">
        <v>1006105</v>
      </c>
      <c r="H505" s="12">
        <f t="shared" si="17"/>
        <v>0</v>
      </c>
      <c r="I505" s="14">
        <v>44578</v>
      </c>
      <c r="J505" s="12" t="s">
        <v>17</v>
      </c>
      <c r="K505" s="12" t="s">
        <v>19</v>
      </c>
      <c r="L505" s="12" t="s">
        <v>41</v>
      </c>
      <c r="M505" s="12">
        <v>230.00200000000001</v>
      </c>
      <c r="N505" s="12">
        <v>193.05099999999999</v>
      </c>
      <c r="O505" s="12">
        <v>4.0999999999999996</v>
      </c>
      <c r="Q505" s="13">
        <f t="shared" si="15"/>
        <v>0.83934487526195412</v>
      </c>
    </row>
    <row r="506" spans="1:17" x14ac:dyDescent="0.25">
      <c r="A506" s="12">
        <f t="shared" si="16"/>
        <v>1</v>
      </c>
      <c r="B506" s="12">
        <v>2022</v>
      </c>
      <c r="C506" s="12">
        <v>6785</v>
      </c>
      <c r="D506" s="12">
        <v>1006108</v>
      </c>
      <c r="E506" s="12" t="s">
        <v>13</v>
      </c>
      <c r="F506" s="12" t="s">
        <v>14</v>
      </c>
      <c r="G506" s="25">
        <v>1006108</v>
      </c>
      <c r="H506" s="12">
        <f t="shared" si="17"/>
        <v>0</v>
      </c>
      <c r="I506" s="14">
        <v>44579</v>
      </c>
      <c r="J506" s="12" t="s">
        <v>17</v>
      </c>
      <c r="K506" s="12" t="s">
        <v>19</v>
      </c>
      <c r="L506" s="12" t="s">
        <v>41</v>
      </c>
      <c r="M506" s="12">
        <v>230.00299999999999</v>
      </c>
      <c r="N506" s="12">
        <v>198.37100000000001</v>
      </c>
      <c r="O506" s="12">
        <v>4.3</v>
      </c>
      <c r="Q506" s="13">
        <f t="shared" si="15"/>
        <v>0.86247135906922967</v>
      </c>
    </row>
    <row r="507" spans="1:17" x14ac:dyDescent="0.25">
      <c r="A507" s="12">
        <f t="shared" si="16"/>
        <v>1</v>
      </c>
      <c r="B507" s="12">
        <v>2022</v>
      </c>
      <c r="C507" s="12">
        <v>6786</v>
      </c>
      <c r="D507" s="12">
        <v>1006109</v>
      </c>
      <c r="E507" s="12" t="s">
        <v>13</v>
      </c>
      <c r="F507" s="12" t="s">
        <v>14</v>
      </c>
      <c r="G507" s="25">
        <v>1006109</v>
      </c>
      <c r="H507" s="12">
        <f t="shared" si="17"/>
        <v>0</v>
      </c>
      <c r="I507" s="14">
        <v>44580</v>
      </c>
      <c r="J507" s="12" t="s">
        <v>17</v>
      </c>
      <c r="K507" s="12" t="s">
        <v>19</v>
      </c>
      <c r="L507" s="12" t="s">
        <v>41</v>
      </c>
      <c r="M507" s="12">
        <v>230.001</v>
      </c>
      <c r="N507" s="12">
        <v>192.4</v>
      </c>
      <c r="O507" s="12">
        <v>3.6</v>
      </c>
      <c r="Q507" s="13">
        <f t="shared" si="15"/>
        <v>0.83651810209520827</v>
      </c>
    </row>
    <row r="508" spans="1:17" x14ac:dyDescent="0.25">
      <c r="A508" s="12">
        <f t="shared" si="16"/>
        <v>1</v>
      </c>
      <c r="B508" s="12">
        <v>2022</v>
      </c>
      <c r="C508" s="12">
        <v>6787</v>
      </c>
      <c r="D508" s="12">
        <v>1006187</v>
      </c>
      <c r="E508" s="12" t="s">
        <v>13</v>
      </c>
      <c r="F508" s="12" t="s">
        <v>14</v>
      </c>
      <c r="G508" s="25">
        <v>1006187</v>
      </c>
      <c r="H508" s="12">
        <f t="shared" si="17"/>
        <v>0</v>
      </c>
      <c r="I508" s="14">
        <v>44581</v>
      </c>
      <c r="J508" s="12" t="s">
        <v>17</v>
      </c>
      <c r="K508" s="12" t="s">
        <v>19</v>
      </c>
      <c r="L508" s="12" t="s">
        <v>41</v>
      </c>
      <c r="M508" s="12">
        <v>230.001</v>
      </c>
      <c r="N508" s="12">
        <v>191.428</v>
      </c>
      <c r="O508" s="12">
        <v>3.5</v>
      </c>
      <c r="P508" s="12">
        <v>13.7</v>
      </c>
      <c r="Q508" s="13">
        <f t="shared" si="15"/>
        <v>0.83229203351289771</v>
      </c>
    </row>
    <row r="509" spans="1:17" x14ac:dyDescent="0.25">
      <c r="A509" s="12">
        <f t="shared" si="16"/>
        <v>1</v>
      </c>
      <c r="B509" s="12">
        <v>2022</v>
      </c>
      <c r="C509" s="12">
        <v>6788</v>
      </c>
      <c r="D509" s="12">
        <v>1006254</v>
      </c>
      <c r="E509" s="12" t="s">
        <v>13</v>
      </c>
      <c r="F509" s="12" t="s">
        <v>14</v>
      </c>
      <c r="G509" s="25">
        <v>1006254</v>
      </c>
      <c r="H509" s="12">
        <f t="shared" si="17"/>
        <v>0</v>
      </c>
      <c r="I509" s="14">
        <v>44582</v>
      </c>
      <c r="J509" s="12" t="s">
        <v>17</v>
      </c>
      <c r="K509" s="12" t="s">
        <v>19</v>
      </c>
      <c r="L509" s="12" t="s">
        <v>41</v>
      </c>
      <c r="M509" s="12">
        <v>230.00200000000001</v>
      </c>
      <c r="N509" s="12">
        <v>202.87200000000001</v>
      </c>
      <c r="O509" s="12">
        <v>3.7</v>
      </c>
      <c r="Q509" s="13">
        <f t="shared" si="15"/>
        <v>0.88204450396083511</v>
      </c>
    </row>
    <row r="510" spans="1:17" x14ac:dyDescent="0.25">
      <c r="A510" s="12">
        <f t="shared" si="16"/>
        <v>1</v>
      </c>
      <c r="B510" s="12">
        <v>2022</v>
      </c>
      <c r="C510" s="12">
        <v>6789</v>
      </c>
      <c r="D510" s="12">
        <v>1006308</v>
      </c>
      <c r="E510" s="12" t="s">
        <v>13</v>
      </c>
      <c r="F510" s="12" t="s">
        <v>14</v>
      </c>
      <c r="G510" s="25">
        <v>1006308</v>
      </c>
      <c r="H510" s="12">
        <f t="shared" si="17"/>
        <v>0</v>
      </c>
      <c r="I510" s="14">
        <v>44583</v>
      </c>
      <c r="J510" s="12" t="s">
        <v>17</v>
      </c>
      <c r="K510" s="12" t="s">
        <v>20</v>
      </c>
      <c r="L510" s="12" t="s">
        <v>42</v>
      </c>
      <c r="M510" s="12">
        <v>229.99600000000001</v>
      </c>
      <c r="N510" s="12">
        <v>190.34200000000001</v>
      </c>
      <c r="O510" s="12">
        <v>4.9000000000000004</v>
      </c>
      <c r="Q510" s="13">
        <f t="shared" si="15"/>
        <v>0.82758830588358057</v>
      </c>
    </row>
    <row r="511" spans="1:17" x14ac:dyDescent="0.25">
      <c r="A511" s="12">
        <f t="shared" si="16"/>
        <v>1</v>
      </c>
      <c r="B511" s="12">
        <v>2022</v>
      </c>
      <c r="C511" s="12">
        <v>6790</v>
      </c>
      <c r="D511" s="12">
        <v>1006403</v>
      </c>
      <c r="E511" s="12" t="s">
        <v>13</v>
      </c>
      <c r="F511" s="12" t="s">
        <v>14</v>
      </c>
      <c r="G511" s="25">
        <v>1006403</v>
      </c>
      <c r="H511" s="12">
        <f t="shared" si="17"/>
        <v>0</v>
      </c>
      <c r="I511" s="14">
        <v>44584</v>
      </c>
      <c r="J511" s="12" t="s">
        <v>17</v>
      </c>
      <c r="K511" s="12" t="s">
        <v>20</v>
      </c>
      <c r="L511" s="12" t="s">
        <v>42</v>
      </c>
      <c r="M511" s="12">
        <v>229.99600000000001</v>
      </c>
      <c r="N511" s="12">
        <v>195.87899999999999</v>
      </c>
      <c r="O511" s="12">
        <v>4.8</v>
      </c>
      <c r="Q511" s="13">
        <f t="shared" si="15"/>
        <v>0.85166263761108885</v>
      </c>
    </row>
    <row r="512" spans="1:17" x14ac:dyDescent="0.25">
      <c r="A512" s="12">
        <f t="shared" si="16"/>
        <v>1</v>
      </c>
      <c r="B512" s="12">
        <v>2022</v>
      </c>
      <c r="C512" s="12">
        <v>6791</v>
      </c>
      <c r="D512" s="12">
        <v>1006504</v>
      </c>
      <c r="E512" s="12" t="s">
        <v>13</v>
      </c>
      <c r="F512" s="12" t="s">
        <v>14</v>
      </c>
      <c r="G512" s="25">
        <v>1006504</v>
      </c>
      <c r="H512" s="12">
        <f t="shared" si="17"/>
        <v>0</v>
      </c>
      <c r="I512" s="14">
        <v>44585</v>
      </c>
      <c r="J512" s="12" t="s">
        <v>46</v>
      </c>
      <c r="K512" s="12" t="s">
        <v>19</v>
      </c>
      <c r="L512" s="12" t="s">
        <v>49</v>
      </c>
      <c r="M512" s="12">
        <v>225</v>
      </c>
      <c r="N512" s="12">
        <v>188.1</v>
      </c>
      <c r="O512" s="12">
        <v>3.2</v>
      </c>
      <c r="P512" s="12">
        <v>13.8</v>
      </c>
      <c r="Q512" s="13">
        <f t="shared" si="15"/>
        <v>0.83599999999999997</v>
      </c>
    </row>
    <row r="513" spans="1:17" x14ac:dyDescent="0.25">
      <c r="A513" s="12">
        <f t="shared" si="16"/>
        <v>1</v>
      </c>
      <c r="B513" s="12">
        <v>2022</v>
      </c>
      <c r="C513" s="12">
        <v>6792</v>
      </c>
      <c r="D513" s="12">
        <v>1006505</v>
      </c>
      <c r="E513" s="12" t="s">
        <v>13</v>
      </c>
      <c r="F513" s="12" t="s">
        <v>14</v>
      </c>
      <c r="G513" s="25">
        <v>1006505</v>
      </c>
      <c r="H513" s="12">
        <f t="shared" si="17"/>
        <v>0</v>
      </c>
      <c r="I513" s="14">
        <v>44586</v>
      </c>
      <c r="J513" s="12" t="s">
        <v>18</v>
      </c>
      <c r="K513" s="12" t="s">
        <v>19</v>
      </c>
      <c r="L513" s="12" t="s">
        <v>41</v>
      </c>
      <c r="M513" s="12">
        <v>229.995</v>
      </c>
      <c r="N513" s="12">
        <v>189.02699999999999</v>
      </c>
      <c r="O513" s="12">
        <v>3.6</v>
      </c>
      <c r="Q513" s="13">
        <f t="shared" si="15"/>
        <v>0.82187438857366457</v>
      </c>
    </row>
    <row r="514" spans="1:17" x14ac:dyDescent="0.25">
      <c r="A514" s="12">
        <f t="shared" si="16"/>
        <v>1</v>
      </c>
      <c r="B514" s="12">
        <v>2022</v>
      </c>
      <c r="C514" s="12">
        <v>6793</v>
      </c>
      <c r="D514" s="12">
        <v>1006527</v>
      </c>
      <c r="E514" s="12" t="s">
        <v>13</v>
      </c>
      <c r="F514" s="12" t="s">
        <v>14</v>
      </c>
      <c r="G514" s="25">
        <v>1006527</v>
      </c>
      <c r="H514" s="12">
        <f t="shared" si="17"/>
        <v>0</v>
      </c>
      <c r="I514" s="14">
        <v>44587</v>
      </c>
      <c r="J514" s="12" t="s">
        <v>18</v>
      </c>
      <c r="K514" s="12" t="s">
        <v>19</v>
      </c>
      <c r="L514" s="12" t="s">
        <v>41</v>
      </c>
      <c r="M514" s="12">
        <v>229.99600000000001</v>
      </c>
      <c r="N514" s="12">
        <v>203.85400000000001</v>
      </c>
      <c r="O514" s="12">
        <v>3.6</v>
      </c>
      <c r="Q514" s="13">
        <f t="shared" ref="Q514:Q577" si="18">N514/M514</f>
        <v>0.8863371536896294</v>
      </c>
    </row>
    <row r="515" spans="1:17" x14ac:dyDescent="0.25">
      <c r="A515" s="12">
        <f t="shared" ref="A515:A578" si="19">MONTH(I515)</f>
        <v>1</v>
      </c>
      <c r="B515" s="12">
        <v>2022</v>
      </c>
      <c r="C515" s="12">
        <v>6794</v>
      </c>
      <c r="D515" s="12">
        <v>1006621</v>
      </c>
      <c r="E515" s="12" t="s">
        <v>13</v>
      </c>
      <c r="F515" s="12" t="s">
        <v>14</v>
      </c>
      <c r="G515" s="25">
        <v>1006621</v>
      </c>
      <c r="H515" s="12">
        <f t="shared" si="17"/>
        <v>0</v>
      </c>
      <c r="I515" s="14">
        <v>44588</v>
      </c>
      <c r="J515" s="12" t="s">
        <v>18</v>
      </c>
      <c r="K515" s="12" t="s">
        <v>19</v>
      </c>
      <c r="L515" s="12" t="s">
        <v>41</v>
      </c>
      <c r="M515" s="12">
        <v>229.994</v>
      </c>
      <c r="N515" s="12">
        <v>185.82400000000001</v>
      </c>
      <c r="O515" s="12">
        <v>3.6</v>
      </c>
      <c r="Q515" s="13">
        <f t="shared" si="18"/>
        <v>0.80795151177856817</v>
      </c>
    </row>
    <row r="516" spans="1:17" x14ac:dyDescent="0.25">
      <c r="A516" s="12">
        <f t="shared" si="19"/>
        <v>1</v>
      </c>
      <c r="B516" s="12">
        <v>2022</v>
      </c>
      <c r="C516" s="12">
        <v>6795</v>
      </c>
      <c r="D516" s="12">
        <v>1006700</v>
      </c>
      <c r="E516" s="12" t="s">
        <v>13</v>
      </c>
      <c r="F516" s="12" t="s">
        <v>14</v>
      </c>
      <c r="G516" s="25">
        <v>1006700</v>
      </c>
      <c r="H516" s="12">
        <f t="shared" si="17"/>
        <v>0</v>
      </c>
      <c r="I516" s="14">
        <v>44589</v>
      </c>
      <c r="J516" s="12" t="s">
        <v>18</v>
      </c>
      <c r="K516" s="12" t="s">
        <v>19</v>
      </c>
      <c r="L516" s="12" t="s">
        <v>41</v>
      </c>
      <c r="M516" s="12">
        <v>229.994</v>
      </c>
      <c r="N516" s="12">
        <v>205.48500000000001</v>
      </c>
      <c r="O516" s="12">
        <v>3.8</v>
      </c>
      <c r="Q516" s="13">
        <f t="shared" si="18"/>
        <v>0.89343635051349168</v>
      </c>
    </row>
    <row r="517" spans="1:17" x14ac:dyDescent="0.25">
      <c r="A517" s="12">
        <f t="shared" si="19"/>
        <v>1</v>
      </c>
      <c r="B517" s="12">
        <v>2022</v>
      </c>
      <c r="C517" s="12">
        <v>6796</v>
      </c>
      <c r="D517" s="12">
        <v>1006760</v>
      </c>
      <c r="E517" s="12" t="s">
        <v>13</v>
      </c>
      <c r="F517" s="12" t="s">
        <v>14</v>
      </c>
      <c r="G517" s="25">
        <v>1006760</v>
      </c>
      <c r="H517" s="12">
        <f t="shared" si="17"/>
        <v>0</v>
      </c>
      <c r="I517" s="14">
        <v>44590</v>
      </c>
      <c r="J517" s="12" t="s">
        <v>18</v>
      </c>
      <c r="K517" s="12" t="s">
        <v>19</v>
      </c>
      <c r="L517" s="12" t="s">
        <v>41</v>
      </c>
      <c r="M517" s="12">
        <v>230.00399999999999</v>
      </c>
      <c r="N517" s="12">
        <v>197.3</v>
      </c>
      <c r="O517" s="12">
        <v>3.6</v>
      </c>
      <c r="P517" s="12">
        <v>13.2</v>
      </c>
      <c r="Q517" s="13">
        <f t="shared" si="18"/>
        <v>0.85781116850141748</v>
      </c>
    </row>
    <row r="518" spans="1:17" x14ac:dyDescent="0.25">
      <c r="A518" s="12">
        <f t="shared" si="19"/>
        <v>1</v>
      </c>
      <c r="B518" s="12">
        <v>2022</v>
      </c>
      <c r="C518" s="12">
        <v>6797</v>
      </c>
      <c r="D518" s="12">
        <v>1006833</v>
      </c>
      <c r="E518" s="12" t="s">
        <v>13</v>
      </c>
      <c r="F518" s="12" t="s">
        <v>14</v>
      </c>
      <c r="G518" s="25">
        <v>1006833</v>
      </c>
      <c r="H518" s="12">
        <f t="shared" si="17"/>
        <v>0</v>
      </c>
      <c r="I518" s="14">
        <v>44591</v>
      </c>
      <c r="J518" s="12" t="s">
        <v>17</v>
      </c>
      <c r="K518" s="12" t="s">
        <v>19</v>
      </c>
      <c r="L518" s="12" t="s">
        <v>35</v>
      </c>
      <c r="M518" s="12">
        <v>230.00399999999999</v>
      </c>
      <c r="N518" s="12">
        <v>191.63200000000001</v>
      </c>
      <c r="O518" s="12">
        <v>3.7</v>
      </c>
      <c r="Q518" s="13">
        <f t="shared" si="18"/>
        <v>0.83316811881532504</v>
      </c>
    </row>
    <row r="519" spans="1:17" x14ac:dyDescent="0.25">
      <c r="A519" s="12">
        <f t="shared" si="19"/>
        <v>1</v>
      </c>
      <c r="B519" s="12">
        <v>2022</v>
      </c>
      <c r="C519" s="12">
        <v>6798</v>
      </c>
      <c r="D519" s="12">
        <v>1006903</v>
      </c>
      <c r="E519" s="12" t="s">
        <v>13</v>
      </c>
      <c r="F519" s="12" t="s">
        <v>14</v>
      </c>
      <c r="G519" s="25">
        <v>1006903</v>
      </c>
      <c r="H519" s="12">
        <f t="shared" si="17"/>
        <v>0</v>
      </c>
      <c r="I519" s="14">
        <v>44592</v>
      </c>
      <c r="J519" s="12" t="s">
        <v>17</v>
      </c>
      <c r="K519" s="12" t="s">
        <v>19</v>
      </c>
      <c r="L519" s="12" t="s">
        <v>35</v>
      </c>
      <c r="M519" s="12">
        <v>230.00299999999999</v>
      </c>
      <c r="N519" s="12">
        <v>192</v>
      </c>
      <c r="O519" s="12">
        <v>3.9</v>
      </c>
      <c r="Q519" s="13">
        <f t="shared" si="18"/>
        <v>0.83477172036886482</v>
      </c>
    </row>
    <row r="520" spans="1:17" x14ac:dyDescent="0.25">
      <c r="A520" s="12">
        <f t="shared" si="19"/>
        <v>2</v>
      </c>
      <c r="B520" s="12">
        <v>2022</v>
      </c>
      <c r="C520" s="12">
        <v>6799</v>
      </c>
      <c r="D520" s="12">
        <v>1006905</v>
      </c>
      <c r="E520" s="12" t="s">
        <v>13</v>
      </c>
      <c r="F520" s="12" t="s">
        <v>14</v>
      </c>
      <c r="G520" s="25">
        <v>1006905</v>
      </c>
      <c r="H520" s="12">
        <f t="shared" si="17"/>
        <v>0</v>
      </c>
      <c r="I520" s="14">
        <v>44593</v>
      </c>
      <c r="J520" s="12" t="s">
        <v>17</v>
      </c>
      <c r="K520" s="12" t="s">
        <v>19</v>
      </c>
      <c r="L520" s="12" t="s">
        <v>40</v>
      </c>
      <c r="M520" s="12">
        <v>230.001</v>
      </c>
      <c r="N520" s="12">
        <v>190.22300000000001</v>
      </c>
      <c r="O520" s="12">
        <v>3.3</v>
      </c>
      <c r="Q520" s="13">
        <f t="shared" si="18"/>
        <v>0.82705292585684409</v>
      </c>
    </row>
    <row r="521" spans="1:17" x14ac:dyDescent="0.25">
      <c r="A521" s="12">
        <f t="shared" si="19"/>
        <v>2</v>
      </c>
      <c r="B521" s="12">
        <v>2022</v>
      </c>
      <c r="C521" s="12">
        <v>6800</v>
      </c>
      <c r="D521" s="12">
        <v>1006935</v>
      </c>
      <c r="E521" s="12" t="s">
        <v>13</v>
      </c>
      <c r="F521" s="12" t="s">
        <v>14</v>
      </c>
      <c r="G521" s="25">
        <v>1006935</v>
      </c>
      <c r="H521" s="12">
        <f t="shared" si="17"/>
        <v>0</v>
      </c>
      <c r="I521" s="14">
        <v>44594</v>
      </c>
      <c r="J521" s="12" t="s">
        <v>17</v>
      </c>
      <c r="K521" s="12" t="s">
        <v>19</v>
      </c>
      <c r="L521" s="12" t="s">
        <v>40</v>
      </c>
      <c r="M521" s="12">
        <v>230.001</v>
      </c>
      <c r="N521" s="12">
        <v>196.976</v>
      </c>
      <c r="O521" s="12">
        <v>3.6</v>
      </c>
      <c r="Q521" s="13">
        <f t="shared" si="18"/>
        <v>0.85641366776666183</v>
      </c>
    </row>
    <row r="522" spans="1:17" x14ac:dyDescent="0.25">
      <c r="A522" s="12">
        <f t="shared" si="19"/>
        <v>2</v>
      </c>
      <c r="B522" s="12">
        <v>2022</v>
      </c>
      <c r="C522" s="12">
        <v>6801</v>
      </c>
      <c r="D522" s="12">
        <v>1007054</v>
      </c>
      <c r="E522" s="12" t="s">
        <v>13</v>
      </c>
      <c r="F522" s="12" t="s">
        <v>14</v>
      </c>
      <c r="G522" s="25">
        <v>1007054</v>
      </c>
      <c r="H522" s="12">
        <f t="shared" si="17"/>
        <v>0</v>
      </c>
      <c r="I522" s="14">
        <v>44595</v>
      </c>
      <c r="J522" s="12" t="s">
        <v>17</v>
      </c>
      <c r="K522" s="12" t="s">
        <v>19</v>
      </c>
      <c r="L522" s="12" t="s">
        <v>40</v>
      </c>
      <c r="M522" s="12">
        <v>230.06800000000001</v>
      </c>
      <c r="N522" s="12">
        <v>195.119</v>
      </c>
      <c r="O522" s="12">
        <v>3.7</v>
      </c>
      <c r="P522" s="12">
        <v>14.2</v>
      </c>
      <c r="Q522" s="13">
        <f t="shared" si="18"/>
        <v>0.84809273779925931</v>
      </c>
    </row>
    <row r="523" spans="1:17" x14ac:dyDescent="0.25">
      <c r="A523" s="12">
        <f t="shared" si="19"/>
        <v>2</v>
      </c>
      <c r="B523" s="12">
        <v>2022</v>
      </c>
      <c r="C523" s="12">
        <v>6802</v>
      </c>
      <c r="D523" s="12">
        <v>1007129</v>
      </c>
      <c r="E523" s="12" t="s">
        <v>13</v>
      </c>
      <c r="F523" s="12" t="s">
        <v>14</v>
      </c>
      <c r="G523" s="25">
        <v>1007129</v>
      </c>
      <c r="H523" s="12">
        <f t="shared" si="17"/>
        <v>0</v>
      </c>
      <c r="I523" s="14">
        <v>44596</v>
      </c>
      <c r="J523" s="12" t="s">
        <v>17</v>
      </c>
      <c r="K523" s="12" t="s">
        <v>19</v>
      </c>
      <c r="L523" s="12" t="s">
        <v>40</v>
      </c>
      <c r="M523" s="12">
        <v>229.99700000000001</v>
      </c>
      <c r="N523" s="12">
        <v>181.58699999999999</v>
      </c>
      <c r="O523" s="12">
        <v>4.0999999999999996</v>
      </c>
      <c r="P523" s="12">
        <v>14</v>
      </c>
      <c r="Q523" s="13">
        <f t="shared" si="18"/>
        <v>0.78951899372600498</v>
      </c>
    </row>
    <row r="524" spans="1:17" x14ac:dyDescent="0.25">
      <c r="A524" s="12">
        <f t="shared" si="19"/>
        <v>2</v>
      </c>
      <c r="B524" s="12">
        <v>2022</v>
      </c>
      <c r="C524" s="12">
        <v>6803</v>
      </c>
      <c r="D524" s="12">
        <v>1007188</v>
      </c>
      <c r="E524" s="12" t="s">
        <v>13</v>
      </c>
      <c r="F524" s="12" t="s">
        <v>14</v>
      </c>
      <c r="G524" s="25">
        <v>1007188</v>
      </c>
      <c r="H524" s="12">
        <f t="shared" si="17"/>
        <v>0</v>
      </c>
      <c r="I524" s="14">
        <v>44597</v>
      </c>
      <c r="J524" s="12" t="s">
        <v>17</v>
      </c>
      <c r="K524" s="12" t="s">
        <v>19</v>
      </c>
      <c r="L524" s="12" t="s">
        <v>40</v>
      </c>
      <c r="M524" s="12">
        <v>229.99700000000001</v>
      </c>
      <c r="N524" s="12">
        <v>205.32499999999999</v>
      </c>
      <c r="O524" s="12">
        <v>3.5</v>
      </c>
      <c r="P524" s="12">
        <v>14</v>
      </c>
      <c r="Q524" s="13">
        <f t="shared" si="18"/>
        <v>0.89272903559611638</v>
      </c>
    </row>
    <row r="525" spans="1:17" x14ac:dyDescent="0.25">
      <c r="A525" s="12">
        <f t="shared" si="19"/>
        <v>2</v>
      </c>
      <c r="B525" s="12">
        <v>2022</v>
      </c>
      <c r="C525" s="12">
        <v>6804</v>
      </c>
      <c r="D525" s="12">
        <v>1007284</v>
      </c>
      <c r="E525" s="12" t="s">
        <v>13</v>
      </c>
      <c r="F525" s="12" t="s">
        <v>14</v>
      </c>
      <c r="G525" s="25">
        <v>1007284</v>
      </c>
      <c r="H525" s="12">
        <f t="shared" si="17"/>
        <v>0</v>
      </c>
      <c r="I525" s="14">
        <v>44598</v>
      </c>
      <c r="J525" s="12" t="s">
        <v>17</v>
      </c>
      <c r="K525" s="12" t="s">
        <v>20</v>
      </c>
      <c r="L525" s="12" t="s">
        <v>42</v>
      </c>
      <c r="M525" s="12">
        <v>230.001</v>
      </c>
      <c r="N525" s="12">
        <v>186.364</v>
      </c>
      <c r="O525" s="12">
        <v>4.0999999999999996</v>
      </c>
      <c r="Q525" s="13">
        <f t="shared" si="18"/>
        <v>0.81027473793592197</v>
      </c>
    </row>
    <row r="526" spans="1:17" x14ac:dyDescent="0.25">
      <c r="A526" s="12">
        <f t="shared" si="19"/>
        <v>2</v>
      </c>
      <c r="B526" s="12">
        <v>2022</v>
      </c>
      <c r="C526" s="12">
        <v>6805</v>
      </c>
      <c r="D526" s="12">
        <v>1007351</v>
      </c>
      <c r="E526" s="12" t="s">
        <v>13</v>
      </c>
      <c r="F526" s="12" t="s">
        <v>14</v>
      </c>
      <c r="G526" s="25">
        <v>1007351</v>
      </c>
      <c r="H526" s="12">
        <f t="shared" si="17"/>
        <v>0</v>
      </c>
      <c r="I526" s="14">
        <v>44599</v>
      </c>
      <c r="J526" s="12" t="s">
        <v>17</v>
      </c>
      <c r="K526" s="12" t="s">
        <v>20</v>
      </c>
      <c r="L526" s="12" t="s">
        <v>42</v>
      </c>
      <c r="M526" s="12">
        <v>230.001</v>
      </c>
      <c r="N526" s="12">
        <v>206.887</v>
      </c>
      <c r="O526" s="12">
        <v>5</v>
      </c>
      <c r="P526" s="12">
        <v>13.5</v>
      </c>
      <c r="Q526" s="13">
        <f t="shared" si="18"/>
        <v>0.8995047847618054</v>
      </c>
    </row>
    <row r="527" spans="1:17" x14ac:dyDescent="0.25">
      <c r="A527" s="12">
        <f t="shared" si="19"/>
        <v>2</v>
      </c>
      <c r="B527" s="12">
        <v>2022</v>
      </c>
      <c r="C527" s="12">
        <v>6806</v>
      </c>
      <c r="D527" s="12">
        <v>1007352</v>
      </c>
      <c r="E527" s="12" t="s">
        <v>13</v>
      </c>
      <c r="F527" s="12" t="s">
        <v>14</v>
      </c>
      <c r="G527" s="25">
        <v>1007352</v>
      </c>
      <c r="H527" s="12">
        <f t="shared" si="17"/>
        <v>0</v>
      </c>
      <c r="I527" s="14">
        <v>44600</v>
      </c>
      <c r="J527" s="12" t="s">
        <v>17</v>
      </c>
      <c r="K527" s="12" t="s">
        <v>20</v>
      </c>
      <c r="L527" s="12" t="s">
        <v>42</v>
      </c>
      <c r="M527" s="12">
        <v>230.00200000000001</v>
      </c>
      <c r="N527" s="12">
        <v>196.00700000000001</v>
      </c>
      <c r="O527" s="12">
        <v>4.5</v>
      </c>
      <c r="P527" s="12">
        <v>12.7</v>
      </c>
      <c r="Q527" s="13">
        <f t="shared" si="18"/>
        <v>0.85219693741793545</v>
      </c>
    </row>
    <row r="528" spans="1:17" x14ac:dyDescent="0.25">
      <c r="A528" s="12">
        <f t="shared" si="19"/>
        <v>2</v>
      </c>
      <c r="B528" s="12">
        <v>2022</v>
      </c>
      <c r="C528" s="12">
        <v>6807</v>
      </c>
      <c r="D528" s="12">
        <v>1007370</v>
      </c>
      <c r="E528" s="12" t="s">
        <v>13</v>
      </c>
      <c r="F528" s="12" t="s">
        <v>14</v>
      </c>
      <c r="G528" s="25">
        <v>1007370</v>
      </c>
      <c r="H528" s="12">
        <f t="shared" si="17"/>
        <v>0</v>
      </c>
      <c r="I528" s="14">
        <v>44601</v>
      </c>
      <c r="J528" s="12" t="s">
        <v>17</v>
      </c>
      <c r="K528" s="12" t="s">
        <v>20</v>
      </c>
      <c r="L528" s="12" t="s">
        <v>44</v>
      </c>
      <c r="M528" s="12">
        <v>230.005</v>
      </c>
      <c r="N528" s="12">
        <v>183.90799999999999</v>
      </c>
      <c r="O528" s="12">
        <v>3.5</v>
      </c>
      <c r="Q528" s="13">
        <f t="shared" si="18"/>
        <v>0.79958261776917894</v>
      </c>
    </row>
    <row r="529" spans="1:17" x14ac:dyDescent="0.25">
      <c r="A529" s="12">
        <f t="shared" si="19"/>
        <v>2</v>
      </c>
      <c r="B529" s="12">
        <v>2022</v>
      </c>
      <c r="C529" s="12">
        <v>6808</v>
      </c>
      <c r="D529" s="12">
        <v>1007495</v>
      </c>
      <c r="E529" s="12" t="s">
        <v>13</v>
      </c>
      <c r="F529" s="12" t="s">
        <v>14</v>
      </c>
      <c r="G529" s="25">
        <v>1007495</v>
      </c>
      <c r="H529" s="12">
        <f t="shared" si="17"/>
        <v>0</v>
      </c>
      <c r="I529" s="14">
        <v>44602</v>
      </c>
      <c r="J529" s="12" t="s">
        <v>17</v>
      </c>
      <c r="K529" s="12" t="s">
        <v>20</v>
      </c>
      <c r="L529" s="12" t="s">
        <v>44</v>
      </c>
      <c r="M529" s="12">
        <v>230.00399999999999</v>
      </c>
      <c r="N529" s="12">
        <v>200.48099999999999</v>
      </c>
      <c r="O529" s="12">
        <v>4.8</v>
      </c>
      <c r="Q529" s="13">
        <f t="shared" si="18"/>
        <v>0.87164136275890858</v>
      </c>
    </row>
    <row r="530" spans="1:17" x14ac:dyDescent="0.25">
      <c r="A530" s="12">
        <f t="shared" si="19"/>
        <v>2</v>
      </c>
      <c r="B530" s="12">
        <v>2022</v>
      </c>
      <c r="C530" s="12">
        <v>6809</v>
      </c>
      <c r="D530" s="12">
        <v>1007567</v>
      </c>
      <c r="E530" s="12" t="s">
        <v>13</v>
      </c>
      <c r="F530" s="12" t="s">
        <v>14</v>
      </c>
      <c r="G530" s="25">
        <v>1007567</v>
      </c>
      <c r="H530" s="12">
        <f t="shared" si="17"/>
        <v>0</v>
      </c>
      <c r="I530" s="14">
        <v>44603</v>
      </c>
      <c r="J530" s="12" t="s">
        <v>17</v>
      </c>
      <c r="K530" s="12" t="s">
        <v>19</v>
      </c>
      <c r="L530" s="12" t="s">
        <v>41</v>
      </c>
      <c r="M530" s="12">
        <v>230.00399999999999</v>
      </c>
      <c r="N530" s="12">
        <v>182.99700000000001</v>
      </c>
      <c r="O530" s="12">
        <v>3.5</v>
      </c>
      <c r="Q530" s="13">
        <f t="shared" si="18"/>
        <v>0.79562529347315714</v>
      </c>
    </row>
    <row r="531" spans="1:17" x14ac:dyDescent="0.25">
      <c r="A531" s="12">
        <f t="shared" si="19"/>
        <v>2</v>
      </c>
      <c r="B531" s="12">
        <v>2022</v>
      </c>
      <c r="C531" s="12">
        <v>6810</v>
      </c>
      <c r="D531" s="19">
        <v>1007645</v>
      </c>
      <c r="E531" s="12" t="s">
        <v>13</v>
      </c>
      <c r="F531" s="12" t="s">
        <v>14</v>
      </c>
      <c r="G531" s="25"/>
      <c r="H531" s="12">
        <f t="shared" si="17"/>
        <v>1007645</v>
      </c>
      <c r="I531" s="14">
        <v>44604</v>
      </c>
      <c r="J531" s="12" t="s">
        <v>17</v>
      </c>
      <c r="K531" s="12" t="s">
        <v>19</v>
      </c>
      <c r="L531" s="12" t="s">
        <v>41</v>
      </c>
      <c r="M531" s="12">
        <v>230.00299999999999</v>
      </c>
      <c r="N531" s="12">
        <v>208.661</v>
      </c>
      <c r="Q531" s="13">
        <f t="shared" si="18"/>
        <v>0.90720990595774842</v>
      </c>
    </row>
    <row r="532" spans="1:17" x14ac:dyDescent="0.25">
      <c r="A532" s="12">
        <f t="shared" si="19"/>
        <v>2</v>
      </c>
      <c r="B532" s="12">
        <v>2022</v>
      </c>
      <c r="C532" s="12">
        <v>6811</v>
      </c>
      <c r="D532" s="12">
        <v>1007737</v>
      </c>
      <c r="E532" s="12" t="s">
        <v>13</v>
      </c>
      <c r="F532" s="12" t="s">
        <v>14</v>
      </c>
      <c r="G532" s="25">
        <v>1007737</v>
      </c>
      <c r="H532" s="12">
        <f t="shared" si="17"/>
        <v>0</v>
      </c>
      <c r="I532" s="14">
        <v>44605</v>
      </c>
      <c r="J532" s="12" t="s">
        <v>17</v>
      </c>
      <c r="K532" s="12" t="s">
        <v>19</v>
      </c>
      <c r="L532" s="12" t="s">
        <v>41</v>
      </c>
      <c r="M532" s="12">
        <v>229.98599999999999</v>
      </c>
      <c r="N532" s="12">
        <v>194.15899999999999</v>
      </c>
      <c r="O532" s="12">
        <v>3.5</v>
      </c>
      <c r="Q532" s="13">
        <f t="shared" si="18"/>
        <v>0.84422095257972229</v>
      </c>
    </row>
    <row r="533" spans="1:17" x14ac:dyDescent="0.25">
      <c r="A533" s="12">
        <f t="shared" si="19"/>
        <v>2</v>
      </c>
      <c r="B533" s="12">
        <v>2022</v>
      </c>
      <c r="C533" s="12">
        <v>6812</v>
      </c>
      <c r="D533" s="12">
        <v>1007816</v>
      </c>
      <c r="E533" s="12" t="s">
        <v>13</v>
      </c>
      <c r="F533" s="12" t="s">
        <v>14</v>
      </c>
      <c r="G533" s="25">
        <v>1007816</v>
      </c>
      <c r="H533" s="12">
        <f t="shared" si="17"/>
        <v>0</v>
      </c>
      <c r="I533" s="14">
        <v>44606</v>
      </c>
      <c r="J533" s="12" t="s">
        <v>17</v>
      </c>
      <c r="K533" s="12" t="s">
        <v>19</v>
      </c>
      <c r="L533" s="12" t="s">
        <v>41</v>
      </c>
      <c r="M533" s="12">
        <v>230.00299999999999</v>
      </c>
      <c r="N533" s="12">
        <v>188.536</v>
      </c>
      <c r="O533" s="12">
        <v>4</v>
      </c>
      <c r="Q533" s="13">
        <f t="shared" si="18"/>
        <v>0.81971104724720989</v>
      </c>
    </row>
    <row r="534" spans="1:17" x14ac:dyDescent="0.25">
      <c r="A534" s="12">
        <f t="shared" si="19"/>
        <v>2</v>
      </c>
      <c r="B534" s="12">
        <v>2022</v>
      </c>
      <c r="C534" s="12">
        <v>6813</v>
      </c>
      <c r="D534" s="12">
        <v>1007818</v>
      </c>
      <c r="E534" s="12" t="s">
        <v>13</v>
      </c>
      <c r="F534" s="12" t="s">
        <v>14</v>
      </c>
      <c r="G534" s="25">
        <v>1007818</v>
      </c>
      <c r="H534" s="12">
        <f t="shared" si="17"/>
        <v>0</v>
      </c>
      <c r="I534" s="14">
        <v>44607</v>
      </c>
      <c r="J534" s="12" t="s">
        <v>17</v>
      </c>
      <c r="K534" s="12" t="s">
        <v>19</v>
      </c>
      <c r="L534" s="12" t="s">
        <v>41</v>
      </c>
      <c r="M534" s="12">
        <v>230.00200000000001</v>
      </c>
      <c r="N534" s="12">
        <v>203.97399999999999</v>
      </c>
      <c r="O534" s="12">
        <v>4.0999999999999996</v>
      </c>
      <c r="Q534" s="13">
        <f t="shared" si="18"/>
        <v>0.88683576664550734</v>
      </c>
    </row>
    <row r="535" spans="1:17" x14ac:dyDescent="0.25">
      <c r="A535" s="12">
        <f t="shared" si="19"/>
        <v>2</v>
      </c>
      <c r="B535" s="12">
        <v>2022</v>
      </c>
      <c r="C535" s="12">
        <v>6814</v>
      </c>
      <c r="D535" s="12">
        <v>1007820</v>
      </c>
      <c r="E535" s="12" t="s">
        <v>13</v>
      </c>
      <c r="F535" s="12" t="s">
        <v>14</v>
      </c>
      <c r="G535" s="25">
        <v>1007820</v>
      </c>
      <c r="H535" s="12">
        <f t="shared" si="17"/>
        <v>0</v>
      </c>
      <c r="I535" s="14">
        <v>44608</v>
      </c>
      <c r="J535" s="12" t="s">
        <v>18</v>
      </c>
      <c r="K535" s="12" t="s">
        <v>19</v>
      </c>
      <c r="L535" s="12" t="s">
        <v>40</v>
      </c>
      <c r="M535" s="12">
        <v>230.108</v>
      </c>
      <c r="N535" s="12">
        <v>195.03899999999999</v>
      </c>
      <c r="O535" s="12">
        <v>5.7</v>
      </c>
      <c r="P535" s="12">
        <v>13.5</v>
      </c>
      <c r="Q535" s="13">
        <f t="shared" si="18"/>
        <v>0.84759764979922469</v>
      </c>
    </row>
    <row r="536" spans="1:17" x14ac:dyDescent="0.25">
      <c r="A536" s="12">
        <f t="shared" si="19"/>
        <v>2</v>
      </c>
      <c r="B536" s="12">
        <v>2022</v>
      </c>
      <c r="C536" s="12">
        <v>6815</v>
      </c>
      <c r="D536" s="12">
        <v>1007947</v>
      </c>
      <c r="E536" s="12" t="s">
        <v>13</v>
      </c>
      <c r="F536" s="12" t="s">
        <v>14</v>
      </c>
      <c r="G536" s="25">
        <v>1007947</v>
      </c>
      <c r="H536" s="12">
        <f t="shared" si="17"/>
        <v>0</v>
      </c>
      <c r="I536" s="14">
        <v>44609</v>
      </c>
      <c r="J536" s="12" t="s">
        <v>18</v>
      </c>
      <c r="K536" s="12" t="s">
        <v>19</v>
      </c>
      <c r="L536" s="12" t="s">
        <v>40</v>
      </c>
      <c r="M536" s="12">
        <v>230.05699999999999</v>
      </c>
      <c r="N536" s="12">
        <v>189.44900000000001</v>
      </c>
      <c r="O536" s="12">
        <v>3.7</v>
      </c>
      <c r="Q536" s="13">
        <f t="shared" si="18"/>
        <v>0.8234872227317579</v>
      </c>
    </row>
    <row r="537" spans="1:17" x14ac:dyDescent="0.25">
      <c r="A537" s="12">
        <f t="shared" si="19"/>
        <v>2</v>
      </c>
      <c r="B537" s="12">
        <v>2022</v>
      </c>
      <c r="C537" s="12">
        <v>6816</v>
      </c>
      <c r="D537" s="12">
        <v>1007994</v>
      </c>
      <c r="E537" s="12" t="s">
        <v>13</v>
      </c>
      <c r="F537" s="12" t="s">
        <v>14</v>
      </c>
      <c r="G537" s="25">
        <v>1007994</v>
      </c>
      <c r="H537" s="12">
        <f t="shared" si="17"/>
        <v>0</v>
      </c>
      <c r="I537" s="14">
        <v>44610</v>
      </c>
      <c r="J537" s="12" t="s">
        <v>18</v>
      </c>
      <c r="K537" s="12" t="s">
        <v>19</v>
      </c>
      <c r="L537" s="12" t="s">
        <v>40</v>
      </c>
      <c r="M537" s="12">
        <v>230.05699999999999</v>
      </c>
      <c r="N537" s="12">
        <v>203.279</v>
      </c>
      <c r="O537" s="12">
        <v>5.7</v>
      </c>
      <c r="Q537" s="13">
        <f t="shared" si="18"/>
        <v>0.88360275931616949</v>
      </c>
    </row>
    <row r="538" spans="1:17" x14ac:dyDescent="0.25">
      <c r="A538" s="12">
        <f t="shared" si="19"/>
        <v>2</v>
      </c>
      <c r="B538" s="12">
        <v>2022</v>
      </c>
      <c r="C538" s="12">
        <v>6817</v>
      </c>
      <c r="D538" s="12">
        <v>1008035</v>
      </c>
      <c r="E538" s="12" t="s">
        <v>13</v>
      </c>
      <c r="F538" s="12" t="s">
        <v>14</v>
      </c>
      <c r="G538" s="25">
        <v>1008035</v>
      </c>
      <c r="H538" s="12">
        <f t="shared" si="17"/>
        <v>0</v>
      </c>
      <c r="I538" s="14">
        <v>44611</v>
      </c>
      <c r="J538" s="12" t="s">
        <v>18</v>
      </c>
      <c r="K538" s="12" t="s">
        <v>19</v>
      </c>
      <c r="L538" s="12" t="s">
        <v>40</v>
      </c>
      <c r="M538" s="12">
        <v>230</v>
      </c>
      <c r="N538" s="12">
        <v>187.61699999999999</v>
      </c>
      <c r="O538" s="12">
        <v>4.5</v>
      </c>
      <c r="Q538" s="13">
        <f t="shared" si="18"/>
        <v>0.81572608695652171</v>
      </c>
    </row>
    <row r="539" spans="1:17" x14ac:dyDescent="0.25">
      <c r="A539" s="12">
        <f t="shared" si="19"/>
        <v>2</v>
      </c>
      <c r="B539" s="12">
        <v>2022</v>
      </c>
      <c r="C539" s="12">
        <v>6818</v>
      </c>
      <c r="D539" s="12">
        <v>1008125</v>
      </c>
      <c r="E539" s="12" t="s">
        <v>13</v>
      </c>
      <c r="F539" s="12" t="s">
        <v>14</v>
      </c>
      <c r="G539" s="25">
        <v>1008125</v>
      </c>
      <c r="H539" s="12">
        <f t="shared" si="17"/>
        <v>0</v>
      </c>
      <c r="I539" s="14">
        <v>44612</v>
      </c>
      <c r="J539" s="12" t="s">
        <v>18</v>
      </c>
      <c r="K539" s="12" t="s">
        <v>19</v>
      </c>
      <c r="L539" s="12" t="s">
        <v>40</v>
      </c>
      <c r="M539" s="12">
        <v>229.999</v>
      </c>
      <c r="N539" s="12">
        <v>202.66300000000001</v>
      </c>
      <c r="O539" s="12">
        <v>4</v>
      </c>
      <c r="Q539" s="13">
        <f t="shared" si="18"/>
        <v>0.88114730933612762</v>
      </c>
    </row>
    <row r="540" spans="1:17" x14ac:dyDescent="0.25">
      <c r="A540" s="12">
        <f t="shared" si="19"/>
        <v>2</v>
      </c>
      <c r="B540" s="12">
        <v>2022</v>
      </c>
      <c r="C540" s="12">
        <v>6819</v>
      </c>
      <c r="D540" s="12">
        <v>1008277</v>
      </c>
      <c r="E540" s="12" t="s">
        <v>13</v>
      </c>
      <c r="F540" s="12" t="s">
        <v>14</v>
      </c>
      <c r="G540" s="25">
        <v>1008277</v>
      </c>
      <c r="H540" s="12">
        <f t="shared" si="17"/>
        <v>0</v>
      </c>
      <c r="I540" s="14">
        <v>44613</v>
      </c>
      <c r="J540" s="12" t="s">
        <v>46</v>
      </c>
      <c r="K540" s="12" t="s">
        <v>20</v>
      </c>
      <c r="L540" s="12" t="s">
        <v>48</v>
      </c>
      <c r="M540" s="12">
        <v>225.001</v>
      </c>
      <c r="N540" s="12">
        <v>193.733</v>
      </c>
      <c r="O540" s="12">
        <v>4.4000000000000004</v>
      </c>
      <c r="P540" s="12">
        <v>12.5</v>
      </c>
      <c r="Q540" s="13">
        <f t="shared" si="18"/>
        <v>0.86103172874787226</v>
      </c>
    </row>
    <row r="541" spans="1:17" x14ac:dyDescent="0.25">
      <c r="A541" s="12">
        <f t="shared" si="19"/>
        <v>2</v>
      </c>
      <c r="B541" s="12">
        <v>2022</v>
      </c>
      <c r="C541" s="12">
        <v>6820</v>
      </c>
      <c r="D541" s="12">
        <v>1008278</v>
      </c>
      <c r="E541" s="12" t="s">
        <v>13</v>
      </c>
      <c r="F541" s="12" t="s">
        <v>14</v>
      </c>
      <c r="G541" s="25">
        <v>1008278</v>
      </c>
      <c r="H541" s="12">
        <f t="shared" si="17"/>
        <v>0</v>
      </c>
      <c r="I541" s="14">
        <v>44614</v>
      </c>
      <c r="J541" s="12" t="s">
        <v>18</v>
      </c>
      <c r="K541" s="12" t="s">
        <v>19</v>
      </c>
      <c r="L541" s="12" t="s">
        <v>43</v>
      </c>
      <c r="M541" s="12">
        <v>229.99799999999999</v>
      </c>
      <c r="N541" s="12">
        <v>186.703</v>
      </c>
      <c r="O541" s="12">
        <v>4</v>
      </c>
      <c r="Q541" s="13">
        <f t="shared" si="18"/>
        <v>0.81175923268897998</v>
      </c>
    </row>
    <row r="542" spans="1:17" x14ac:dyDescent="0.25">
      <c r="A542" s="12">
        <f t="shared" si="19"/>
        <v>2</v>
      </c>
      <c r="B542" s="12">
        <v>2022</v>
      </c>
      <c r="C542" s="12">
        <v>6821</v>
      </c>
      <c r="D542" s="12">
        <v>1008279</v>
      </c>
      <c r="E542" s="12" t="s">
        <v>13</v>
      </c>
      <c r="F542" s="12" t="s">
        <v>14</v>
      </c>
      <c r="G542" s="25">
        <v>1008279</v>
      </c>
      <c r="H542" s="12">
        <f t="shared" si="17"/>
        <v>0</v>
      </c>
      <c r="I542" s="14">
        <v>44615</v>
      </c>
      <c r="J542" s="12" t="s">
        <v>18</v>
      </c>
      <c r="K542" s="12" t="s">
        <v>19</v>
      </c>
      <c r="L542" s="12" t="s">
        <v>43</v>
      </c>
      <c r="M542" s="12">
        <v>229.99799999999999</v>
      </c>
      <c r="N542" s="12">
        <v>201.489</v>
      </c>
      <c r="O542" s="12">
        <v>3.5</v>
      </c>
      <c r="Q542" s="13">
        <f t="shared" si="18"/>
        <v>0.87604674823259343</v>
      </c>
    </row>
    <row r="543" spans="1:17" x14ac:dyDescent="0.25">
      <c r="A543" s="12">
        <f t="shared" si="19"/>
        <v>2</v>
      </c>
      <c r="B543" s="12">
        <v>2022</v>
      </c>
      <c r="C543" s="12">
        <v>6822</v>
      </c>
      <c r="D543" s="12">
        <v>1008383</v>
      </c>
      <c r="E543" s="12" t="s">
        <v>13</v>
      </c>
      <c r="F543" s="12" t="s">
        <v>14</v>
      </c>
      <c r="G543" s="25">
        <v>1008383</v>
      </c>
      <c r="H543" s="12">
        <f t="shared" si="17"/>
        <v>0</v>
      </c>
      <c r="I543" s="14">
        <v>44616</v>
      </c>
      <c r="J543" s="12" t="s">
        <v>18</v>
      </c>
      <c r="K543" s="12" t="s">
        <v>19</v>
      </c>
      <c r="L543" s="12" t="s">
        <v>43</v>
      </c>
      <c r="M543" s="12">
        <v>230.03800000000001</v>
      </c>
      <c r="N543" s="12">
        <v>195.30600000000001</v>
      </c>
      <c r="O543" s="12">
        <v>4.2</v>
      </c>
      <c r="P543" s="12">
        <v>14</v>
      </c>
      <c r="Q543" s="13">
        <f t="shared" si="18"/>
        <v>0.84901624948921484</v>
      </c>
    </row>
    <row r="544" spans="1:17" x14ac:dyDescent="0.25">
      <c r="A544" s="12">
        <f t="shared" si="19"/>
        <v>2</v>
      </c>
      <c r="B544" s="12">
        <v>2022</v>
      </c>
      <c r="C544" s="12">
        <v>6823</v>
      </c>
      <c r="D544" s="12">
        <v>1008440</v>
      </c>
      <c r="E544" s="12" t="s">
        <v>13</v>
      </c>
      <c r="F544" s="12" t="s">
        <v>14</v>
      </c>
      <c r="G544" s="25">
        <v>1008440</v>
      </c>
      <c r="H544" s="12">
        <f t="shared" si="17"/>
        <v>0</v>
      </c>
      <c r="I544" s="14">
        <v>44617</v>
      </c>
      <c r="J544" s="12" t="s">
        <v>18</v>
      </c>
      <c r="K544" s="12" t="s">
        <v>19</v>
      </c>
      <c r="L544" s="12" t="s">
        <v>43</v>
      </c>
      <c r="M544" s="12">
        <v>229.99700000000001</v>
      </c>
      <c r="N544" s="12">
        <v>192.541</v>
      </c>
      <c r="O544" s="12">
        <v>3.5</v>
      </c>
      <c r="Q544" s="13">
        <f t="shared" si="18"/>
        <v>0.83714570190045956</v>
      </c>
    </row>
    <row r="545" spans="1:17" x14ac:dyDescent="0.25">
      <c r="A545" s="12">
        <f t="shared" si="19"/>
        <v>2</v>
      </c>
      <c r="B545" s="12">
        <v>2022</v>
      </c>
      <c r="C545" s="12">
        <v>6824</v>
      </c>
      <c r="D545" s="12">
        <v>1008560</v>
      </c>
      <c r="E545" s="12" t="s">
        <v>13</v>
      </c>
      <c r="F545" s="12" t="s">
        <v>14</v>
      </c>
      <c r="G545" s="25">
        <v>1008560</v>
      </c>
      <c r="H545" s="12">
        <f t="shared" si="17"/>
        <v>0</v>
      </c>
      <c r="I545" s="14">
        <v>44618</v>
      </c>
      <c r="J545" s="12" t="s">
        <v>18</v>
      </c>
      <c r="K545" s="12" t="s">
        <v>19</v>
      </c>
      <c r="L545" s="12" t="s">
        <v>43</v>
      </c>
      <c r="M545" s="12">
        <v>229.99600000000001</v>
      </c>
      <c r="N545" s="12">
        <v>197.06899999999999</v>
      </c>
      <c r="O545" s="12">
        <v>4.0999999999999996</v>
      </c>
      <c r="Q545" s="13">
        <f t="shared" si="18"/>
        <v>0.85683664063722842</v>
      </c>
    </row>
    <row r="546" spans="1:17" x14ac:dyDescent="0.25">
      <c r="A546" s="12">
        <f t="shared" si="19"/>
        <v>2</v>
      </c>
      <c r="B546" s="12">
        <v>2022</v>
      </c>
      <c r="C546" s="12">
        <v>6825</v>
      </c>
      <c r="D546" s="12">
        <v>1008630</v>
      </c>
      <c r="E546" s="12" t="s">
        <v>13</v>
      </c>
      <c r="F546" s="12" t="s">
        <v>14</v>
      </c>
      <c r="G546" s="25">
        <v>1008630</v>
      </c>
      <c r="H546" s="12">
        <f t="shared" ref="H546:H609" si="20">D546-G546</f>
        <v>0</v>
      </c>
      <c r="I546" s="14">
        <v>44619</v>
      </c>
      <c r="J546" s="12" t="s">
        <v>17</v>
      </c>
      <c r="K546" s="12" t="s">
        <v>19</v>
      </c>
      <c r="L546" s="12" t="s">
        <v>35</v>
      </c>
      <c r="M546" s="12">
        <v>230</v>
      </c>
      <c r="N546" s="12">
        <v>191.673</v>
      </c>
      <c r="O546" s="12">
        <v>3.5</v>
      </c>
      <c r="Q546" s="13">
        <f t="shared" si="18"/>
        <v>0.83336086956521738</v>
      </c>
    </row>
    <row r="547" spans="1:17" x14ac:dyDescent="0.25">
      <c r="A547" s="12">
        <f t="shared" si="19"/>
        <v>2</v>
      </c>
      <c r="B547" s="12">
        <v>2022</v>
      </c>
      <c r="C547" s="12">
        <v>6826</v>
      </c>
      <c r="D547" s="12">
        <v>1008678</v>
      </c>
      <c r="E547" s="12" t="s">
        <v>13</v>
      </c>
      <c r="F547" s="12" t="s">
        <v>14</v>
      </c>
      <c r="G547" s="25">
        <v>1008678</v>
      </c>
      <c r="H547" s="12">
        <f t="shared" si="20"/>
        <v>0</v>
      </c>
      <c r="I547" s="14">
        <v>44620</v>
      </c>
      <c r="J547" s="12" t="s">
        <v>17</v>
      </c>
      <c r="K547" s="12" t="s">
        <v>19</v>
      </c>
      <c r="L547" s="12" t="s">
        <v>35</v>
      </c>
      <c r="M547" s="12">
        <v>230</v>
      </c>
      <c r="N547" s="12">
        <v>197.71299999999999</v>
      </c>
      <c r="O547" s="12">
        <v>4.0999999999999996</v>
      </c>
      <c r="Q547" s="13">
        <f t="shared" si="18"/>
        <v>0.85962173913043471</v>
      </c>
    </row>
    <row r="548" spans="1:17" x14ac:dyDescent="0.25">
      <c r="A548" s="12">
        <f t="shared" si="19"/>
        <v>3</v>
      </c>
      <c r="B548" s="12">
        <v>2022</v>
      </c>
      <c r="C548" s="12">
        <v>6827</v>
      </c>
      <c r="D548" s="12">
        <v>1008679</v>
      </c>
      <c r="E548" s="12" t="s">
        <v>13</v>
      </c>
      <c r="F548" s="12" t="s">
        <v>14</v>
      </c>
      <c r="G548" s="25">
        <v>1008679</v>
      </c>
      <c r="H548" s="12">
        <f t="shared" si="20"/>
        <v>0</v>
      </c>
      <c r="I548" s="14">
        <v>44621</v>
      </c>
      <c r="J548" s="12" t="s">
        <v>17</v>
      </c>
      <c r="K548" s="12" t="s">
        <v>19</v>
      </c>
      <c r="L548" s="12" t="s">
        <v>35</v>
      </c>
      <c r="M548" s="12">
        <v>230.00299999999999</v>
      </c>
      <c r="N548" s="12">
        <v>194.506</v>
      </c>
      <c r="O548" s="12">
        <v>3.6</v>
      </c>
      <c r="P548" s="12">
        <v>13.9</v>
      </c>
      <c r="Q548" s="13">
        <f t="shared" si="18"/>
        <v>0.84566723042742931</v>
      </c>
    </row>
    <row r="549" spans="1:17" x14ac:dyDescent="0.25">
      <c r="A549" s="12">
        <f t="shared" si="19"/>
        <v>3</v>
      </c>
      <c r="B549" s="12">
        <v>2022</v>
      </c>
      <c r="C549" s="12">
        <v>6828</v>
      </c>
      <c r="D549" s="12">
        <v>1008698</v>
      </c>
      <c r="E549" s="12" t="s">
        <v>13</v>
      </c>
      <c r="F549" s="12" t="s">
        <v>14</v>
      </c>
      <c r="G549" s="25">
        <v>1008698</v>
      </c>
      <c r="H549" s="12">
        <f t="shared" si="20"/>
        <v>0</v>
      </c>
      <c r="I549" s="14">
        <v>44622</v>
      </c>
      <c r="J549" s="12" t="s">
        <v>17</v>
      </c>
      <c r="K549" s="12" t="s">
        <v>19</v>
      </c>
      <c r="L549" s="12" t="s">
        <v>35</v>
      </c>
      <c r="M549" s="12">
        <v>229.999</v>
      </c>
      <c r="N549" s="12">
        <v>184.95599999999999</v>
      </c>
      <c r="O549" s="12">
        <v>3.7</v>
      </c>
      <c r="Q549" s="13">
        <f t="shared" si="18"/>
        <v>0.80416001808703508</v>
      </c>
    </row>
    <row r="550" spans="1:17" x14ac:dyDescent="0.25">
      <c r="A550" s="12">
        <f t="shared" si="19"/>
        <v>3</v>
      </c>
      <c r="B550" s="12">
        <v>2022</v>
      </c>
      <c r="C550" s="12">
        <v>6829</v>
      </c>
      <c r="D550" s="12">
        <v>1008813</v>
      </c>
      <c r="E550" s="12" t="s">
        <v>13</v>
      </c>
      <c r="F550" s="12" t="s">
        <v>14</v>
      </c>
      <c r="G550" s="25">
        <v>1008813</v>
      </c>
      <c r="H550" s="12">
        <f t="shared" si="20"/>
        <v>0</v>
      </c>
      <c r="I550" s="14">
        <v>44623</v>
      </c>
      <c r="J550" s="12" t="s">
        <v>17</v>
      </c>
      <c r="K550" s="12" t="s">
        <v>19</v>
      </c>
      <c r="L550" s="12" t="s">
        <v>35</v>
      </c>
      <c r="M550" s="12">
        <v>230</v>
      </c>
      <c r="N550" s="12">
        <v>206.054</v>
      </c>
      <c r="O550" s="12">
        <v>4.0999999999999996</v>
      </c>
      <c r="Q550" s="13">
        <f t="shared" si="18"/>
        <v>0.89588695652173911</v>
      </c>
    </row>
    <row r="551" spans="1:17" x14ac:dyDescent="0.25">
      <c r="A551" s="12">
        <f t="shared" si="19"/>
        <v>3</v>
      </c>
      <c r="B551" s="12">
        <v>2022</v>
      </c>
      <c r="C551" s="12">
        <v>6830</v>
      </c>
      <c r="D551" s="12">
        <v>1008880</v>
      </c>
      <c r="E551" s="12" t="s">
        <v>13</v>
      </c>
      <c r="F551" s="12" t="s">
        <v>14</v>
      </c>
      <c r="G551" s="25">
        <v>1008880</v>
      </c>
      <c r="H551" s="12">
        <f t="shared" si="20"/>
        <v>0</v>
      </c>
      <c r="I551" s="14">
        <v>44624</v>
      </c>
      <c r="J551" s="12" t="s">
        <v>18</v>
      </c>
      <c r="K551" s="12" t="s">
        <v>19</v>
      </c>
      <c r="L551" s="12" t="s">
        <v>40</v>
      </c>
      <c r="M551" s="12">
        <v>230</v>
      </c>
      <c r="N551" s="12">
        <v>179.93100000000001</v>
      </c>
      <c r="O551" s="12">
        <v>4.5</v>
      </c>
      <c r="Q551" s="13">
        <f t="shared" si="18"/>
        <v>0.78230869565217398</v>
      </c>
    </row>
    <row r="552" spans="1:17" x14ac:dyDescent="0.25">
      <c r="A552" s="12">
        <f t="shared" si="19"/>
        <v>3</v>
      </c>
      <c r="B552" s="12">
        <v>2022</v>
      </c>
      <c r="C552" s="12">
        <v>6831</v>
      </c>
      <c r="D552" s="12">
        <v>1008946</v>
      </c>
      <c r="E552" s="12" t="s">
        <v>13</v>
      </c>
      <c r="F552" s="12" t="s">
        <v>14</v>
      </c>
      <c r="G552" s="25">
        <v>1008946</v>
      </c>
      <c r="H552" s="12">
        <f t="shared" si="20"/>
        <v>0</v>
      </c>
      <c r="I552" s="14">
        <v>44625</v>
      </c>
      <c r="J552" s="12" t="s">
        <v>18</v>
      </c>
      <c r="K552" s="12" t="s">
        <v>19</v>
      </c>
      <c r="L552" s="12" t="s">
        <v>40</v>
      </c>
      <c r="M552" s="12">
        <v>230</v>
      </c>
      <c r="N552" s="12">
        <v>209</v>
      </c>
      <c r="O552" s="12">
        <v>3.8</v>
      </c>
      <c r="Q552" s="13">
        <f t="shared" si="18"/>
        <v>0.90869565217391302</v>
      </c>
    </row>
    <row r="553" spans="1:17" x14ac:dyDescent="0.25">
      <c r="A553" s="12">
        <f t="shared" si="19"/>
        <v>3</v>
      </c>
      <c r="B553" s="12">
        <v>2022</v>
      </c>
      <c r="C553" s="12">
        <v>6832</v>
      </c>
      <c r="D553" s="12">
        <v>1009047</v>
      </c>
      <c r="E553" s="12" t="s">
        <v>13</v>
      </c>
      <c r="F553" s="12" t="s">
        <v>14</v>
      </c>
      <c r="G553" s="25">
        <v>1009047</v>
      </c>
      <c r="H553" s="12">
        <f t="shared" si="20"/>
        <v>0</v>
      </c>
      <c r="I553" s="14">
        <v>44626</v>
      </c>
      <c r="J553" s="12" t="s">
        <v>18</v>
      </c>
      <c r="K553" s="12" t="s">
        <v>19</v>
      </c>
      <c r="L553" s="12" t="s">
        <v>40</v>
      </c>
      <c r="M553" s="12">
        <v>230</v>
      </c>
      <c r="N553" s="12">
        <v>195.333</v>
      </c>
      <c r="O553" s="12">
        <v>3.7</v>
      </c>
      <c r="P553" s="12">
        <v>14.2</v>
      </c>
      <c r="Q553" s="13">
        <f t="shared" si="18"/>
        <v>0.84927391304347821</v>
      </c>
    </row>
    <row r="554" spans="1:17" x14ac:dyDescent="0.25">
      <c r="A554" s="12">
        <f t="shared" si="19"/>
        <v>3</v>
      </c>
      <c r="B554" s="12">
        <v>2022</v>
      </c>
      <c r="C554" s="12">
        <v>6833</v>
      </c>
      <c r="D554" s="12">
        <v>1009121</v>
      </c>
      <c r="E554" s="12" t="s">
        <v>13</v>
      </c>
      <c r="F554" s="12" t="s">
        <v>14</v>
      </c>
      <c r="G554" s="25">
        <v>1009121</v>
      </c>
      <c r="H554" s="12">
        <f t="shared" si="20"/>
        <v>0</v>
      </c>
      <c r="I554" s="14">
        <v>44627</v>
      </c>
      <c r="J554" s="12" t="s">
        <v>18</v>
      </c>
      <c r="K554" s="12" t="s">
        <v>19</v>
      </c>
      <c r="L554" s="12" t="s">
        <v>40</v>
      </c>
      <c r="M554" s="12">
        <v>230.02199999999999</v>
      </c>
      <c r="N554" s="12">
        <v>193.13200000000001</v>
      </c>
      <c r="O554" s="12">
        <v>3.5</v>
      </c>
      <c r="Q554" s="13">
        <f t="shared" si="18"/>
        <v>0.83962403596177759</v>
      </c>
    </row>
    <row r="555" spans="1:17" x14ac:dyDescent="0.25">
      <c r="A555" s="12">
        <f t="shared" si="19"/>
        <v>3</v>
      </c>
      <c r="B555" s="12">
        <v>2022</v>
      </c>
      <c r="C555" s="12">
        <v>6834</v>
      </c>
      <c r="D555" s="12">
        <v>1009123</v>
      </c>
      <c r="E555" s="12" t="s">
        <v>13</v>
      </c>
      <c r="F555" s="12" t="s">
        <v>14</v>
      </c>
      <c r="G555" s="25">
        <v>1009123</v>
      </c>
      <c r="H555" s="12">
        <f t="shared" si="20"/>
        <v>0</v>
      </c>
      <c r="I555" s="14">
        <v>44628</v>
      </c>
      <c r="J555" s="12" t="s">
        <v>18</v>
      </c>
      <c r="K555" s="12" t="s">
        <v>19</v>
      </c>
      <c r="L555" s="12" t="s">
        <v>40</v>
      </c>
      <c r="M555" s="12">
        <v>230.02199999999999</v>
      </c>
      <c r="N555" s="12">
        <v>199.24</v>
      </c>
      <c r="O555" s="12">
        <v>3.8</v>
      </c>
      <c r="Q555" s="13">
        <f t="shared" si="18"/>
        <v>0.8661780177548235</v>
      </c>
    </row>
    <row r="556" spans="1:17" x14ac:dyDescent="0.25">
      <c r="A556" s="12">
        <f t="shared" si="19"/>
        <v>3</v>
      </c>
      <c r="B556" s="12">
        <v>2022</v>
      </c>
      <c r="C556" s="12">
        <v>6835</v>
      </c>
      <c r="D556" s="12">
        <v>1009125</v>
      </c>
      <c r="E556" s="12" t="s">
        <v>13</v>
      </c>
      <c r="F556" s="12" t="s">
        <v>14</v>
      </c>
      <c r="G556" s="25">
        <v>1009125</v>
      </c>
      <c r="H556" s="12">
        <f t="shared" si="20"/>
        <v>0</v>
      </c>
      <c r="I556" s="14">
        <v>44629</v>
      </c>
      <c r="J556" s="12" t="s">
        <v>37</v>
      </c>
      <c r="K556" s="12" t="s">
        <v>20</v>
      </c>
      <c r="L556" s="12" t="s">
        <v>45</v>
      </c>
      <c r="M556" s="12">
        <v>230.00200000000001</v>
      </c>
      <c r="N556" s="12">
        <v>192.59399999999999</v>
      </c>
      <c r="O556" s="12">
        <v>4.4000000000000004</v>
      </c>
      <c r="Q556" s="13">
        <f t="shared" si="18"/>
        <v>0.83735793601794761</v>
      </c>
    </row>
    <row r="557" spans="1:17" x14ac:dyDescent="0.25">
      <c r="A557" s="12">
        <f t="shared" si="19"/>
        <v>3</v>
      </c>
      <c r="B557" s="12">
        <v>2022</v>
      </c>
      <c r="C557" s="12">
        <v>6836</v>
      </c>
      <c r="D557" s="12">
        <v>1009269</v>
      </c>
      <c r="E557" s="12" t="s">
        <v>13</v>
      </c>
      <c r="F557" s="12" t="s">
        <v>14</v>
      </c>
      <c r="G557" s="25">
        <v>1009269</v>
      </c>
      <c r="H557" s="12">
        <f t="shared" si="20"/>
        <v>0</v>
      </c>
      <c r="I557" s="14">
        <v>44630</v>
      </c>
      <c r="J557" s="12" t="s">
        <v>37</v>
      </c>
      <c r="K557" s="12" t="s">
        <v>20</v>
      </c>
      <c r="L557" s="12" t="s">
        <v>45</v>
      </c>
      <c r="M557" s="12">
        <v>230.00200000000001</v>
      </c>
      <c r="N557" s="12">
        <v>199.29499999999999</v>
      </c>
      <c r="O557" s="12">
        <v>6.6</v>
      </c>
      <c r="Q557" s="13">
        <f t="shared" si="18"/>
        <v>0.86649246528291046</v>
      </c>
    </row>
    <row r="558" spans="1:17" x14ac:dyDescent="0.25">
      <c r="A558" s="12">
        <f t="shared" si="19"/>
        <v>3</v>
      </c>
      <c r="B558" s="12">
        <v>2022</v>
      </c>
      <c r="C558" s="12">
        <v>6837</v>
      </c>
      <c r="D558" s="12">
        <v>1009321</v>
      </c>
      <c r="E558" s="12" t="s">
        <v>13</v>
      </c>
      <c r="F558" s="12" t="s">
        <v>14</v>
      </c>
      <c r="G558" s="25">
        <v>1009321</v>
      </c>
      <c r="H558" s="12">
        <f t="shared" si="20"/>
        <v>0</v>
      </c>
      <c r="I558" s="14">
        <v>44631</v>
      </c>
      <c r="J558" s="12" t="s">
        <v>37</v>
      </c>
      <c r="K558" s="12" t="s">
        <v>20</v>
      </c>
      <c r="L558" s="12" t="s">
        <v>42</v>
      </c>
      <c r="M558" s="12">
        <v>230.00200000000001</v>
      </c>
      <c r="N558" s="12">
        <v>187.94399999999999</v>
      </c>
      <c r="O558" s="12">
        <v>5.3</v>
      </c>
      <c r="Q558" s="13">
        <f t="shared" si="18"/>
        <v>0.81714072051547371</v>
      </c>
    </row>
    <row r="559" spans="1:17" x14ac:dyDescent="0.25">
      <c r="A559" s="12">
        <f t="shared" si="19"/>
        <v>3</v>
      </c>
      <c r="B559" s="12">
        <v>2022</v>
      </c>
      <c r="C559" s="12">
        <v>6838</v>
      </c>
      <c r="D559" s="12">
        <v>1009395</v>
      </c>
      <c r="E559" s="12" t="s">
        <v>13</v>
      </c>
      <c r="F559" s="12" t="s">
        <v>14</v>
      </c>
      <c r="G559" s="25">
        <v>1009395</v>
      </c>
      <c r="H559" s="12">
        <f t="shared" si="20"/>
        <v>0</v>
      </c>
      <c r="I559" s="14">
        <v>44632</v>
      </c>
      <c r="J559" s="12" t="s">
        <v>37</v>
      </c>
      <c r="K559" s="12" t="s">
        <v>20</v>
      </c>
      <c r="L559" s="12" t="s">
        <v>42</v>
      </c>
      <c r="M559" s="12">
        <v>230.00299999999999</v>
      </c>
      <c r="N559" s="12">
        <v>195.27</v>
      </c>
      <c r="O559" s="12">
        <v>5.5</v>
      </c>
      <c r="Q559" s="13">
        <f t="shared" si="18"/>
        <v>0.8489889262313971</v>
      </c>
    </row>
    <row r="560" spans="1:17" x14ac:dyDescent="0.25">
      <c r="A560" s="12">
        <f t="shared" si="19"/>
        <v>3</v>
      </c>
      <c r="B560" s="12">
        <v>2022</v>
      </c>
      <c r="C560" s="12">
        <v>6839</v>
      </c>
      <c r="D560" s="12">
        <v>1009478</v>
      </c>
      <c r="E560" s="12" t="s">
        <v>13</v>
      </c>
      <c r="F560" s="12" t="s">
        <v>14</v>
      </c>
      <c r="G560" s="25">
        <v>1009478</v>
      </c>
      <c r="H560" s="12">
        <f t="shared" si="20"/>
        <v>0</v>
      </c>
      <c r="I560" s="14">
        <v>44633</v>
      </c>
      <c r="J560" s="12" t="s">
        <v>18</v>
      </c>
      <c r="K560" s="12" t="s">
        <v>19</v>
      </c>
      <c r="L560" s="12" t="s">
        <v>40</v>
      </c>
      <c r="M560" s="12">
        <v>230.03</v>
      </c>
      <c r="N560" s="12">
        <v>195.126</v>
      </c>
      <c r="O560" s="12">
        <v>3.5</v>
      </c>
      <c r="P560" s="12">
        <v>14.2</v>
      </c>
      <c r="Q560" s="13">
        <f t="shared" si="18"/>
        <v>0.84826327000825985</v>
      </c>
    </row>
    <row r="561" spans="1:17" x14ac:dyDescent="0.25">
      <c r="A561" s="12">
        <f t="shared" si="19"/>
        <v>3</v>
      </c>
      <c r="B561" s="12">
        <v>2022</v>
      </c>
      <c r="C561" s="12">
        <v>6840</v>
      </c>
      <c r="D561" s="12">
        <v>1009564</v>
      </c>
      <c r="E561" s="12" t="s">
        <v>13</v>
      </c>
      <c r="F561" s="12" t="s">
        <v>14</v>
      </c>
      <c r="G561" s="25">
        <v>1009564</v>
      </c>
      <c r="H561" s="12">
        <f t="shared" si="20"/>
        <v>0</v>
      </c>
      <c r="I561" s="14">
        <v>44634</v>
      </c>
      <c r="J561" s="12" t="s">
        <v>18</v>
      </c>
      <c r="K561" s="12" t="s">
        <v>19</v>
      </c>
      <c r="L561" s="12" t="s">
        <v>40</v>
      </c>
      <c r="M561" s="12">
        <v>230.03800000000001</v>
      </c>
      <c r="N561" s="12">
        <v>192.67</v>
      </c>
      <c r="O561" s="12">
        <v>4.3</v>
      </c>
      <c r="Q561" s="13">
        <f t="shared" si="18"/>
        <v>0.83755727314617578</v>
      </c>
    </row>
    <row r="562" spans="1:17" x14ac:dyDescent="0.25">
      <c r="A562" s="12">
        <f t="shared" si="19"/>
        <v>3</v>
      </c>
      <c r="B562" s="12">
        <v>2022</v>
      </c>
      <c r="C562" s="12">
        <v>6841</v>
      </c>
      <c r="D562" s="12">
        <v>1009565</v>
      </c>
      <c r="E562" s="12" t="s">
        <v>13</v>
      </c>
      <c r="F562" s="12" t="s">
        <v>14</v>
      </c>
      <c r="G562" s="25">
        <v>1009565</v>
      </c>
      <c r="H562" s="12">
        <f t="shared" si="20"/>
        <v>0</v>
      </c>
      <c r="I562" s="14">
        <v>44635</v>
      </c>
      <c r="J562" s="12" t="s">
        <v>18</v>
      </c>
      <c r="K562" s="12" t="s">
        <v>19</v>
      </c>
      <c r="L562" s="12" t="s">
        <v>40</v>
      </c>
      <c r="M562" s="12">
        <v>230.03700000000001</v>
      </c>
      <c r="N562" s="12">
        <v>200.631</v>
      </c>
      <c r="O562" s="12">
        <v>3.7</v>
      </c>
      <c r="Q562" s="13">
        <f t="shared" si="18"/>
        <v>0.87216839030242954</v>
      </c>
    </row>
    <row r="563" spans="1:17" x14ac:dyDescent="0.25">
      <c r="A563" s="12">
        <f t="shared" si="19"/>
        <v>3</v>
      </c>
      <c r="B563" s="12">
        <v>2022</v>
      </c>
      <c r="C563" s="12">
        <v>6842</v>
      </c>
      <c r="D563" s="12">
        <v>1009568</v>
      </c>
      <c r="E563" s="12" t="s">
        <v>13</v>
      </c>
      <c r="F563" s="12" t="s">
        <v>14</v>
      </c>
      <c r="G563" s="25">
        <v>1009568</v>
      </c>
      <c r="H563" s="12">
        <f t="shared" si="20"/>
        <v>0</v>
      </c>
      <c r="I563" s="14">
        <v>44636</v>
      </c>
      <c r="J563" s="12" t="s">
        <v>18</v>
      </c>
      <c r="K563" s="12" t="s">
        <v>19</v>
      </c>
      <c r="L563" s="12" t="s">
        <v>40</v>
      </c>
      <c r="M563" s="12">
        <v>230.001</v>
      </c>
      <c r="N563" s="12">
        <v>193.23400000000001</v>
      </c>
      <c r="O563" s="12">
        <v>4.8</v>
      </c>
      <c r="Q563" s="13">
        <f t="shared" si="18"/>
        <v>0.84014417328620317</v>
      </c>
    </row>
    <row r="564" spans="1:17" x14ac:dyDescent="0.25">
      <c r="A564" s="12">
        <f t="shared" si="19"/>
        <v>3</v>
      </c>
      <c r="B564" s="12">
        <v>2022</v>
      </c>
      <c r="C564" s="12">
        <v>6843</v>
      </c>
      <c r="D564" s="12">
        <v>1009697</v>
      </c>
      <c r="E564" s="12" t="s">
        <v>13</v>
      </c>
      <c r="F564" s="12" t="s">
        <v>14</v>
      </c>
      <c r="G564" s="25">
        <v>1009697</v>
      </c>
      <c r="H564" s="12">
        <f t="shared" si="20"/>
        <v>0</v>
      </c>
      <c r="I564" s="14">
        <v>44637</v>
      </c>
      <c r="J564" s="12" t="s">
        <v>18</v>
      </c>
      <c r="K564" s="12" t="s">
        <v>19</v>
      </c>
      <c r="L564" s="12" t="s">
        <v>40</v>
      </c>
      <c r="M564" s="12">
        <v>230</v>
      </c>
      <c r="N564" s="12">
        <v>197.61099999999999</v>
      </c>
      <c r="O564" s="12">
        <v>3.5</v>
      </c>
      <c r="Q564" s="13">
        <f t="shared" si="18"/>
        <v>0.85917826086956517</v>
      </c>
    </row>
    <row r="565" spans="1:17" x14ac:dyDescent="0.25">
      <c r="A565" s="12">
        <f t="shared" si="19"/>
        <v>3</v>
      </c>
      <c r="B565" s="12">
        <v>2022</v>
      </c>
      <c r="C565" s="12">
        <v>6844</v>
      </c>
      <c r="D565" s="12">
        <v>1009751</v>
      </c>
      <c r="E565" s="12" t="s">
        <v>13</v>
      </c>
      <c r="F565" s="12" t="s">
        <v>14</v>
      </c>
      <c r="G565" s="25">
        <v>1009751</v>
      </c>
      <c r="H565" s="12">
        <f t="shared" si="20"/>
        <v>0</v>
      </c>
      <c r="I565" s="14">
        <v>44638</v>
      </c>
      <c r="J565" s="12" t="s">
        <v>37</v>
      </c>
      <c r="K565" s="12" t="s">
        <v>20</v>
      </c>
      <c r="L565" s="12" t="s">
        <v>45</v>
      </c>
      <c r="M565" s="12">
        <v>230.00399999999999</v>
      </c>
      <c r="N565" s="12">
        <v>194.61699999999999</v>
      </c>
      <c r="O565" s="12">
        <v>4.4000000000000004</v>
      </c>
      <c r="Q565" s="13">
        <f t="shared" si="18"/>
        <v>0.84614615397993076</v>
      </c>
    </row>
    <row r="566" spans="1:17" x14ac:dyDescent="0.25">
      <c r="A566" s="12">
        <f t="shared" si="19"/>
        <v>3</v>
      </c>
      <c r="B566" s="12">
        <v>2022</v>
      </c>
      <c r="C566" s="12">
        <v>6845</v>
      </c>
      <c r="D566" s="12">
        <v>1009827</v>
      </c>
      <c r="E566" s="12" t="s">
        <v>13</v>
      </c>
      <c r="F566" s="12" t="s">
        <v>14</v>
      </c>
      <c r="G566" s="25">
        <v>1009827</v>
      </c>
      <c r="H566" s="12">
        <f t="shared" si="20"/>
        <v>0</v>
      </c>
      <c r="I566" s="14">
        <v>44639</v>
      </c>
      <c r="J566" s="12" t="s">
        <v>37</v>
      </c>
      <c r="K566" s="12" t="s">
        <v>20</v>
      </c>
      <c r="L566" s="12" t="s">
        <v>45</v>
      </c>
      <c r="M566" s="12">
        <v>230.00399999999999</v>
      </c>
      <c r="N566" s="12">
        <v>197.268</v>
      </c>
      <c r="O566" s="12">
        <v>4.5</v>
      </c>
      <c r="Q566" s="13">
        <f t="shared" si="18"/>
        <v>0.85767204048625245</v>
      </c>
    </row>
    <row r="567" spans="1:17" x14ac:dyDescent="0.25">
      <c r="A567" s="12">
        <f t="shared" si="19"/>
        <v>3</v>
      </c>
      <c r="B567" s="12">
        <v>2022</v>
      </c>
      <c r="C567" s="12">
        <v>6846</v>
      </c>
      <c r="D567" s="12">
        <v>1009925</v>
      </c>
      <c r="E567" s="12" t="s">
        <v>13</v>
      </c>
      <c r="F567" s="12" t="s">
        <v>14</v>
      </c>
      <c r="G567" s="25">
        <v>1009925</v>
      </c>
      <c r="H567" s="12">
        <f t="shared" si="20"/>
        <v>0</v>
      </c>
      <c r="I567" s="14">
        <v>44640</v>
      </c>
      <c r="J567" s="12" t="s">
        <v>37</v>
      </c>
      <c r="K567" s="12" t="s">
        <v>20</v>
      </c>
      <c r="L567" s="12" t="s">
        <v>42</v>
      </c>
      <c r="M567" s="12">
        <v>230.005</v>
      </c>
      <c r="N567" s="12">
        <v>192.72300000000001</v>
      </c>
      <c r="O567" s="12">
        <v>4.0999999999999996</v>
      </c>
      <c r="Q567" s="13">
        <f t="shared" si="18"/>
        <v>0.8379078715680095</v>
      </c>
    </row>
    <row r="568" spans="1:17" x14ac:dyDescent="0.25">
      <c r="A568" s="12">
        <f t="shared" si="19"/>
        <v>3</v>
      </c>
      <c r="B568" s="12">
        <v>2022</v>
      </c>
      <c r="C568" s="12">
        <v>6847</v>
      </c>
      <c r="D568" s="12">
        <v>1009993</v>
      </c>
      <c r="E568" s="12" t="s">
        <v>13</v>
      </c>
      <c r="F568" s="12" t="s">
        <v>14</v>
      </c>
      <c r="G568" s="25">
        <v>1009993</v>
      </c>
      <c r="H568" s="12">
        <f t="shared" si="20"/>
        <v>0</v>
      </c>
      <c r="I568" s="14">
        <v>44641</v>
      </c>
      <c r="J568" s="12" t="s">
        <v>37</v>
      </c>
      <c r="K568" s="12" t="s">
        <v>20</v>
      </c>
      <c r="L568" s="12" t="s">
        <v>42</v>
      </c>
      <c r="M568" s="12">
        <v>230.005</v>
      </c>
      <c r="N568" s="12">
        <v>197.91800000000001</v>
      </c>
      <c r="O568" s="12">
        <v>4.4000000000000004</v>
      </c>
      <c r="Q568" s="13">
        <f t="shared" si="18"/>
        <v>0.86049433707962875</v>
      </c>
    </row>
    <row r="569" spans="1:17" x14ac:dyDescent="0.25">
      <c r="A569" s="12">
        <f t="shared" si="19"/>
        <v>3</v>
      </c>
      <c r="B569" s="12">
        <v>2022</v>
      </c>
      <c r="C569" s="12">
        <v>6848</v>
      </c>
      <c r="D569" s="12">
        <v>1009995</v>
      </c>
      <c r="E569" s="12" t="s">
        <v>13</v>
      </c>
      <c r="F569" s="12" t="s">
        <v>14</v>
      </c>
      <c r="G569" s="25">
        <v>1009995</v>
      </c>
      <c r="H569" s="12">
        <f t="shared" si="20"/>
        <v>0</v>
      </c>
      <c r="I569" s="14">
        <v>44642</v>
      </c>
      <c r="J569" s="12" t="s">
        <v>17</v>
      </c>
      <c r="K569" s="12" t="s">
        <v>19</v>
      </c>
      <c r="L569" s="12" t="s">
        <v>49</v>
      </c>
      <c r="M569" s="12">
        <v>230.011</v>
      </c>
      <c r="N569" s="12">
        <v>193.92500000000001</v>
      </c>
      <c r="O569" s="12">
        <v>3.8</v>
      </c>
      <c r="P569" s="12">
        <v>13.9</v>
      </c>
      <c r="Q569" s="13">
        <f t="shared" si="18"/>
        <v>0.84311185117233534</v>
      </c>
    </row>
    <row r="570" spans="1:17" x14ac:dyDescent="0.25">
      <c r="A570" s="12">
        <f t="shared" si="19"/>
        <v>3</v>
      </c>
      <c r="B570" s="12">
        <v>2022</v>
      </c>
      <c r="C570" s="12">
        <v>6849</v>
      </c>
      <c r="D570" s="12">
        <v>1010009</v>
      </c>
      <c r="E570" s="12" t="s">
        <v>13</v>
      </c>
      <c r="F570" s="12" t="s">
        <v>14</v>
      </c>
      <c r="G570" s="25">
        <v>1010009</v>
      </c>
      <c r="H570" s="12">
        <f t="shared" si="20"/>
        <v>0</v>
      </c>
      <c r="I570" s="14">
        <v>44643</v>
      </c>
      <c r="J570" s="12" t="s">
        <v>18</v>
      </c>
      <c r="K570" s="12" t="s">
        <v>19</v>
      </c>
      <c r="L570" s="12" t="s">
        <v>40</v>
      </c>
      <c r="M570" s="12">
        <v>229.999</v>
      </c>
      <c r="N570" s="12">
        <v>190.98699999999999</v>
      </c>
      <c r="O570" s="12">
        <v>3.5</v>
      </c>
      <c r="Q570" s="13">
        <f t="shared" si="18"/>
        <v>0.83038187122552709</v>
      </c>
    </row>
    <row r="571" spans="1:17" x14ac:dyDescent="0.25">
      <c r="A571" s="12">
        <f t="shared" si="19"/>
        <v>3</v>
      </c>
      <c r="B571" s="12">
        <v>2022</v>
      </c>
      <c r="C571" s="12">
        <v>6850</v>
      </c>
      <c r="D571" s="12">
        <v>1010145</v>
      </c>
      <c r="E571" s="12" t="s">
        <v>13</v>
      </c>
      <c r="F571" s="12" t="s">
        <v>14</v>
      </c>
      <c r="G571" s="25">
        <v>1010145</v>
      </c>
      <c r="H571" s="12">
        <f t="shared" si="20"/>
        <v>0</v>
      </c>
      <c r="I571" s="14">
        <v>44644</v>
      </c>
      <c r="J571" s="12" t="s">
        <v>18</v>
      </c>
      <c r="K571" s="12" t="s">
        <v>19</v>
      </c>
      <c r="L571" s="12" t="s">
        <v>40</v>
      </c>
      <c r="M571" s="12">
        <v>230</v>
      </c>
      <c r="N571" s="12">
        <v>200.703</v>
      </c>
      <c r="O571" s="12">
        <v>4.5</v>
      </c>
      <c r="Q571" s="13">
        <f t="shared" si="18"/>
        <v>0.87262173913043484</v>
      </c>
    </row>
    <row r="572" spans="1:17" x14ac:dyDescent="0.25">
      <c r="A572" s="12">
        <f t="shared" si="19"/>
        <v>3</v>
      </c>
      <c r="B572" s="12">
        <v>2022</v>
      </c>
      <c r="C572" s="12">
        <v>6851</v>
      </c>
      <c r="D572" s="12">
        <v>1010205</v>
      </c>
      <c r="E572" s="12" t="s">
        <v>13</v>
      </c>
      <c r="F572" s="12" t="s">
        <v>14</v>
      </c>
      <c r="G572" s="25">
        <v>1010205</v>
      </c>
      <c r="H572" s="12">
        <f t="shared" si="20"/>
        <v>0</v>
      </c>
      <c r="I572" s="14">
        <v>44645</v>
      </c>
      <c r="J572" s="12" t="s">
        <v>18</v>
      </c>
      <c r="K572" s="12" t="s">
        <v>19</v>
      </c>
      <c r="L572" s="12" t="s">
        <v>40</v>
      </c>
      <c r="M572" s="12">
        <v>230.00200000000001</v>
      </c>
      <c r="N572" s="12">
        <v>186.36699999999999</v>
      </c>
      <c r="O572" s="12">
        <v>3.4</v>
      </c>
      <c r="Q572" s="13">
        <f t="shared" si="18"/>
        <v>0.81028425839775298</v>
      </c>
    </row>
    <row r="573" spans="1:17" x14ac:dyDescent="0.25">
      <c r="A573" s="12">
        <f t="shared" si="19"/>
        <v>3</v>
      </c>
      <c r="B573" s="12">
        <v>2022</v>
      </c>
      <c r="C573" s="12">
        <v>6852</v>
      </c>
      <c r="D573" s="12">
        <v>1010292</v>
      </c>
      <c r="E573" s="12" t="s">
        <v>13</v>
      </c>
      <c r="F573" s="12" t="s">
        <v>14</v>
      </c>
      <c r="G573" s="25">
        <v>1010292</v>
      </c>
      <c r="H573" s="12">
        <f t="shared" si="20"/>
        <v>0</v>
      </c>
      <c r="I573" s="14">
        <v>44646</v>
      </c>
      <c r="J573" s="12" t="s">
        <v>18</v>
      </c>
      <c r="K573" s="12" t="s">
        <v>19</v>
      </c>
      <c r="L573" s="12" t="s">
        <v>40</v>
      </c>
      <c r="M573" s="12">
        <v>230.001</v>
      </c>
      <c r="N573" s="12">
        <v>204.27799999999999</v>
      </c>
      <c r="O573" s="12">
        <v>4</v>
      </c>
      <c r="Q573" s="13">
        <f t="shared" si="18"/>
        <v>0.88816135582019207</v>
      </c>
    </row>
    <row r="574" spans="1:17" x14ac:dyDescent="0.25">
      <c r="A574" s="12">
        <f t="shared" si="19"/>
        <v>3</v>
      </c>
      <c r="B574" s="12">
        <v>2022</v>
      </c>
      <c r="C574" s="12">
        <v>6853</v>
      </c>
      <c r="D574" s="12">
        <v>1010372</v>
      </c>
      <c r="E574" s="12" t="s">
        <v>13</v>
      </c>
      <c r="F574" s="12" t="s">
        <v>14</v>
      </c>
      <c r="G574" s="25">
        <v>1010372</v>
      </c>
      <c r="H574" s="12">
        <f t="shared" si="20"/>
        <v>0</v>
      </c>
      <c r="I574" s="14">
        <v>44647</v>
      </c>
      <c r="J574" s="12" t="s">
        <v>18</v>
      </c>
      <c r="K574" s="12" t="s">
        <v>19</v>
      </c>
      <c r="L574" s="12" t="s">
        <v>40</v>
      </c>
      <c r="M574" s="12">
        <v>230.018</v>
      </c>
      <c r="N574" s="12">
        <v>191.596</v>
      </c>
      <c r="O574" s="12">
        <v>3.1</v>
      </c>
      <c r="P574" s="12">
        <v>13.5</v>
      </c>
      <c r="Q574" s="13">
        <f t="shared" si="18"/>
        <v>0.83296089871227474</v>
      </c>
    </row>
    <row r="575" spans="1:17" x14ac:dyDescent="0.25">
      <c r="A575" s="12">
        <f t="shared" si="19"/>
        <v>3</v>
      </c>
      <c r="B575" s="12">
        <v>2022</v>
      </c>
      <c r="C575" s="12">
        <v>6854</v>
      </c>
      <c r="D575" s="12">
        <v>1010444</v>
      </c>
      <c r="E575" s="12" t="s">
        <v>13</v>
      </c>
      <c r="F575" s="12" t="s">
        <v>14</v>
      </c>
      <c r="G575" s="25">
        <v>1010444</v>
      </c>
      <c r="H575" s="12">
        <f t="shared" si="20"/>
        <v>0</v>
      </c>
      <c r="I575" s="14">
        <v>44648</v>
      </c>
      <c r="J575" s="12" t="s">
        <v>18</v>
      </c>
      <c r="K575" s="12" t="s">
        <v>19</v>
      </c>
      <c r="L575" s="12" t="s">
        <v>40</v>
      </c>
      <c r="M575" s="12">
        <v>230.00899999999999</v>
      </c>
      <c r="N575" s="12">
        <v>191.36</v>
      </c>
      <c r="O575" s="12">
        <v>4.0999999999999996</v>
      </c>
      <c r="Q575" s="13">
        <f t="shared" si="18"/>
        <v>0.831967444752162</v>
      </c>
    </row>
    <row r="576" spans="1:17" x14ac:dyDescent="0.25">
      <c r="A576" s="12">
        <f t="shared" si="19"/>
        <v>3</v>
      </c>
      <c r="B576" s="12">
        <v>2022</v>
      </c>
      <c r="C576" s="12">
        <v>6855</v>
      </c>
      <c r="D576" s="12">
        <v>1010445</v>
      </c>
      <c r="E576" s="12" t="s">
        <v>13</v>
      </c>
      <c r="F576" s="12" t="s">
        <v>14</v>
      </c>
      <c r="G576" s="25">
        <v>1010445</v>
      </c>
      <c r="H576" s="12">
        <f t="shared" si="20"/>
        <v>0</v>
      </c>
      <c r="I576" s="14">
        <v>44649</v>
      </c>
      <c r="J576" s="12" t="s">
        <v>18</v>
      </c>
      <c r="K576" s="12" t="s">
        <v>19</v>
      </c>
      <c r="L576" s="12" t="s">
        <v>40</v>
      </c>
      <c r="M576" s="12">
        <v>230.00899999999999</v>
      </c>
      <c r="N576" s="12">
        <v>199.58099999999999</v>
      </c>
      <c r="O576" s="12">
        <v>3.6</v>
      </c>
      <c r="Q576" s="13">
        <f t="shared" si="18"/>
        <v>0.86770952440991445</v>
      </c>
    </row>
    <row r="577" spans="1:17" x14ac:dyDescent="0.25">
      <c r="A577" s="12">
        <f t="shared" si="19"/>
        <v>3</v>
      </c>
      <c r="B577" s="12">
        <v>2022</v>
      </c>
      <c r="C577" s="12">
        <v>6856</v>
      </c>
      <c r="D577" s="12">
        <v>1010446</v>
      </c>
      <c r="E577" s="12" t="s">
        <v>13</v>
      </c>
      <c r="F577" s="12" t="s">
        <v>14</v>
      </c>
      <c r="G577" s="25">
        <v>1010446</v>
      </c>
      <c r="H577" s="12">
        <f t="shared" si="20"/>
        <v>0</v>
      </c>
      <c r="I577" s="14">
        <v>44650</v>
      </c>
      <c r="J577" s="12" t="s">
        <v>18</v>
      </c>
      <c r="K577" s="12" t="s">
        <v>19</v>
      </c>
      <c r="L577" s="12" t="s">
        <v>40</v>
      </c>
      <c r="M577" s="12">
        <v>230.00800000000001</v>
      </c>
      <c r="N577" s="12">
        <v>193.05699999999999</v>
      </c>
      <c r="O577" s="12">
        <v>4.0999999999999996</v>
      </c>
      <c r="Q577" s="13">
        <f t="shared" si="18"/>
        <v>0.83934906611943927</v>
      </c>
    </row>
    <row r="578" spans="1:17" x14ac:dyDescent="0.25">
      <c r="A578" s="12">
        <f t="shared" si="19"/>
        <v>3</v>
      </c>
      <c r="B578" s="12">
        <v>2022</v>
      </c>
      <c r="C578" s="12">
        <v>6857</v>
      </c>
      <c r="D578" s="12">
        <v>1010572</v>
      </c>
      <c r="E578" s="12" t="s">
        <v>13</v>
      </c>
      <c r="F578" s="12" t="s">
        <v>14</v>
      </c>
      <c r="G578" s="25">
        <v>1010572</v>
      </c>
      <c r="H578" s="12">
        <f t="shared" si="20"/>
        <v>0</v>
      </c>
      <c r="I578" s="14">
        <v>44651</v>
      </c>
      <c r="J578" s="12" t="s">
        <v>18</v>
      </c>
      <c r="K578" s="12" t="s">
        <v>19</v>
      </c>
      <c r="L578" s="12" t="s">
        <v>40</v>
      </c>
      <c r="M578" s="12">
        <v>230.00800000000001</v>
      </c>
      <c r="N578" s="12">
        <v>197.006</v>
      </c>
      <c r="O578" s="12">
        <v>3.9</v>
      </c>
      <c r="Q578" s="13">
        <f t="shared" ref="Q578:Q590" si="21">N578/M578</f>
        <v>0.85651803415533367</v>
      </c>
    </row>
    <row r="579" spans="1:17" x14ac:dyDescent="0.25">
      <c r="A579" s="12">
        <f t="shared" ref="A579:A642" si="22">MONTH(I579)</f>
        <v>4</v>
      </c>
      <c r="B579" s="12">
        <v>2022</v>
      </c>
      <c r="C579" s="12">
        <v>6858</v>
      </c>
      <c r="D579" s="12">
        <v>1010703</v>
      </c>
      <c r="E579" s="12" t="s">
        <v>13</v>
      </c>
      <c r="F579" s="12" t="s">
        <v>14</v>
      </c>
      <c r="G579" s="25">
        <v>1010703</v>
      </c>
      <c r="H579" s="12">
        <f t="shared" si="20"/>
        <v>0</v>
      </c>
      <c r="I579" s="14">
        <v>44652</v>
      </c>
      <c r="J579" s="12" t="s">
        <v>18</v>
      </c>
      <c r="K579" s="12" t="s">
        <v>19</v>
      </c>
      <c r="L579" s="12" t="s">
        <v>40</v>
      </c>
      <c r="M579" s="12">
        <v>230.005</v>
      </c>
      <c r="N579" s="12">
        <v>195.34800000000001</v>
      </c>
      <c r="O579" s="12">
        <v>4.9000000000000004</v>
      </c>
      <c r="P579" s="12">
        <v>13.3</v>
      </c>
      <c r="Q579" s="13">
        <f t="shared" si="21"/>
        <v>0.84932066694202313</v>
      </c>
    </row>
    <row r="580" spans="1:17" x14ac:dyDescent="0.25">
      <c r="A580" s="12">
        <f t="shared" si="22"/>
        <v>4</v>
      </c>
      <c r="B580" s="12">
        <v>2022</v>
      </c>
      <c r="C580" s="12">
        <v>6859</v>
      </c>
      <c r="D580" s="12">
        <v>1010782</v>
      </c>
      <c r="E580" s="12" t="s">
        <v>13</v>
      </c>
      <c r="F580" s="12" t="s">
        <v>14</v>
      </c>
      <c r="G580" s="25">
        <v>1010782</v>
      </c>
      <c r="H580" s="12">
        <f t="shared" si="20"/>
        <v>0</v>
      </c>
      <c r="I580" s="14">
        <v>44653</v>
      </c>
      <c r="J580" s="12" t="s">
        <v>18</v>
      </c>
      <c r="K580" s="12" t="s">
        <v>19</v>
      </c>
      <c r="L580" s="12" t="s">
        <v>40</v>
      </c>
      <c r="M580" s="12">
        <v>230.01</v>
      </c>
      <c r="N580" s="12">
        <v>194.49600000000001</v>
      </c>
      <c r="O580" s="12">
        <v>3.7</v>
      </c>
      <c r="Q580" s="13">
        <f t="shared" si="21"/>
        <v>0.84559801747750107</v>
      </c>
    </row>
    <row r="581" spans="1:17" x14ac:dyDescent="0.25">
      <c r="A581" s="12">
        <f t="shared" si="22"/>
        <v>4</v>
      </c>
      <c r="B581" s="12">
        <v>2022</v>
      </c>
      <c r="C581" s="12">
        <v>6860</v>
      </c>
      <c r="D581" s="12">
        <v>1010886</v>
      </c>
      <c r="E581" s="12" t="s">
        <v>13</v>
      </c>
      <c r="F581" s="12" t="s">
        <v>14</v>
      </c>
      <c r="G581" s="25">
        <v>1010886</v>
      </c>
      <c r="H581" s="12">
        <f t="shared" si="20"/>
        <v>0</v>
      </c>
      <c r="I581" s="14">
        <v>44654</v>
      </c>
      <c r="J581" s="12" t="s">
        <v>18</v>
      </c>
      <c r="K581" s="12" t="s">
        <v>19</v>
      </c>
      <c r="L581" s="12" t="s">
        <v>40</v>
      </c>
      <c r="M581" s="12">
        <v>230.01</v>
      </c>
      <c r="N581" s="12">
        <v>193.476</v>
      </c>
      <c r="O581" s="12">
        <v>3.9</v>
      </c>
      <c r="Q581" s="13">
        <f t="shared" si="21"/>
        <v>0.84116342767705754</v>
      </c>
    </row>
    <row r="582" spans="1:17" x14ac:dyDescent="0.25">
      <c r="A582" s="12">
        <f t="shared" si="22"/>
        <v>4</v>
      </c>
      <c r="B582" s="12">
        <v>2022</v>
      </c>
      <c r="C582" s="12">
        <v>6861</v>
      </c>
      <c r="D582" s="12">
        <v>1010952</v>
      </c>
      <c r="E582" s="12" t="s">
        <v>13</v>
      </c>
      <c r="F582" s="12" t="s">
        <v>14</v>
      </c>
      <c r="G582" s="25">
        <v>1010952</v>
      </c>
      <c r="H582" s="12">
        <f t="shared" si="20"/>
        <v>0</v>
      </c>
      <c r="I582" s="14">
        <v>44655</v>
      </c>
      <c r="J582" s="12" t="s">
        <v>18</v>
      </c>
      <c r="K582" s="12" t="s">
        <v>19</v>
      </c>
      <c r="L582" s="12" t="s">
        <v>40</v>
      </c>
      <c r="M582" s="12">
        <v>230.00700000000001</v>
      </c>
      <c r="N582" s="12">
        <v>194.459</v>
      </c>
      <c r="O582" s="12">
        <v>3.2</v>
      </c>
      <c r="Q582" s="13">
        <f t="shared" si="21"/>
        <v>0.84544818201185179</v>
      </c>
    </row>
    <row r="583" spans="1:17" x14ac:dyDescent="0.25">
      <c r="A583" s="12">
        <f t="shared" si="22"/>
        <v>4</v>
      </c>
      <c r="B583" s="12">
        <v>2022</v>
      </c>
      <c r="C583" s="12">
        <v>6862</v>
      </c>
      <c r="D583" s="12">
        <v>1010953</v>
      </c>
      <c r="E583" s="12" t="s">
        <v>13</v>
      </c>
      <c r="F583" s="12" t="s">
        <v>14</v>
      </c>
      <c r="G583" s="25">
        <v>1010953</v>
      </c>
      <c r="H583" s="12">
        <f t="shared" si="20"/>
        <v>0</v>
      </c>
      <c r="I583" s="14">
        <v>44656</v>
      </c>
      <c r="J583" s="12" t="s">
        <v>18</v>
      </c>
      <c r="K583" s="12" t="s">
        <v>19</v>
      </c>
      <c r="L583" s="12" t="s">
        <v>40</v>
      </c>
      <c r="M583" s="12">
        <v>230.006</v>
      </c>
      <c r="N583" s="12">
        <v>192.5</v>
      </c>
      <c r="O583" s="12">
        <v>3.8</v>
      </c>
      <c r="Q583" s="13">
        <f t="shared" si="21"/>
        <v>0.83693468866029586</v>
      </c>
    </row>
    <row r="584" spans="1:17" x14ac:dyDescent="0.25">
      <c r="A584" s="12">
        <f t="shared" si="22"/>
        <v>4</v>
      </c>
      <c r="B584" s="12">
        <v>2022</v>
      </c>
      <c r="C584" s="12">
        <v>6863</v>
      </c>
      <c r="D584" s="12">
        <v>1010979</v>
      </c>
      <c r="E584" s="12" t="s">
        <v>13</v>
      </c>
      <c r="F584" s="12" t="s">
        <v>14</v>
      </c>
      <c r="G584" s="25">
        <v>1010979</v>
      </c>
      <c r="H584" s="12">
        <f t="shared" si="20"/>
        <v>0</v>
      </c>
      <c r="I584" s="14">
        <v>44657</v>
      </c>
      <c r="J584" s="12" t="s">
        <v>18</v>
      </c>
      <c r="K584" s="12" t="s">
        <v>19</v>
      </c>
      <c r="L584" s="12" t="s">
        <v>40</v>
      </c>
      <c r="M584" s="12">
        <v>229.99100000000001</v>
      </c>
      <c r="N584" s="12">
        <v>192.99</v>
      </c>
      <c r="O584" s="12">
        <v>4.4000000000000004</v>
      </c>
      <c r="P584" s="12">
        <v>13.9</v>
      </c>
      <c r="Q584" s="13">
        <f t="shared" si="21"/>
        <v>0.83911979164402084</v>
      </c>
    </row>
    <row r="585" spans="1:17" x14ac:dyDescent="0.25">
      <c r="A585" s="12">
        <f t="shared" si="22"/>
        <v>4</v>
      </c>
      <c r="B585" s="12">
        <v>2022</v>
      </c>
      <c r="C585" s="12">
        <v>6864</v>
      </c>
      <c r="D585" s="12">
        <v>1011115</v>
      </c>
      <c r="E585" s="12" t="s">
        <v>13</v>
      </c>
      <c r="F585" s="12" t="s">
        <v>14</v>
      </c>
      <c r="G585" s="25">
        <v>1011115</v>
      </c>
      <c r="H585" s="12">
        <f t="shared" si="20"/>
        <v>0</v>
      </c>
      <c r="I585" s="14">
        <v>44658</v>
      </c>
      <c r="J585" s="12" t="s">
        <v>18</v>
      </c>
      <c r="K585" s="12" t="s">
        <v>20</v>
      </c>
      <c r="L585" s="12" t="s">
        <v>42</v>
      </c>
      <c r="M585" s="12">
        <v>230.00200000000001</v>
      </c>
      <c r="N585" s="12">
        <v>192.03100000000001</v>
      </c>
      <c r="O585" s="12">
        <v>4.9000000000000004</v>
      </c>
      <c r="Q585" s="13">
        <f t="shared" si="21"/>
        <v>0.83491013121625024</v>
      </c>
    </row>
    <row r="586" spans="1:17" x14ac:dyDescent="0.25">
      <c r="A586" s="12">
        <f t="shared" si="22"/>
        <v>4</v>
      </c>
      <c r="B586" s="12">
        <v>2022</v>
      </c>
      <c r="C586" s="12">
        <v>6865</v>
      </c>
      <c r="D586" s="12">
        <v>1011178</v>
      </c>
      <c r="E586" s="12" t="s">
        <v>13</v>
      </c>
      <c r="F586" s="12" t="s">
        <v>14</v>
      </c>
      <c r="G586" s="25">
        <v>1011178</v>
      </c>
      <c r="H586" s="12">
        <f t="shared" si="20"/>
        <v>0</v>
      </c>
      <c r="I586" s="14">
        <v>44659</v>
      </c>
      <c r="J586" s="12" t="s">
        <v>18</v>
      </c>
      <c r="K586" s="12" t="s">
        <v>20</v>
      </c>
      <c r="L586" s="12" t="s">
        <v>42</v>
      </c>
      <c r="M586" s="12">
        <v>230.00299999999999</v>
      </c>
      <c r="N586" s="12">
        <v>194.334</v>
      </c>
      <c r="O586" s="12">
        <v>4.8</v>
      </c>
      <c r="Q586" s="13">
        <f t="shared" si="21"/>
        <v>0.84491941409459881</v>
      </c>
    </row>
    <row r="587" spans="1:17" x14ac:dyDescent="0.25">
      <c r="A587" s="12">
        <f t="shared" si="22"/>
        <v>4</v>
      </c>
      <c r="B587" s="12">
        <v>2022</v>
      </c>
      <c r="C587" s="12">
        <v>6866</v>
      </c>
      <c r="D587" s="12">
        <v>1011246</v>
      </c>
      <c r="E587" s="12" t="s">
        <v>13</v>
      </c>
      <c r="F587" s="12" t="s">
        <v>14</v>
      </c>
      <c r="G587" s="25">
        <v>1011246</v>
      </c>
      <c r="H587" s="12">
        <f t="shared" si="20"/>
        <v>0</v>
      </c>
      <c r="I587" s="14">
        <v>44660</v>
      </c>
      <c r="J587" s="12" t="s">
        <v>51</v>
      </c>
      <c r="K587" s="12" t="s">
        <v>19</v>
      </c>
      <c r="L587" s="12" t="s">
        <v>41</v>
      </c>
      <c r="M587" s="12">
        <v>230.00299999999999</v>
      </c>
      <c r="N587" s="12">
        <v>194.459</v>
      </c>
      <c r="O587" s="12">
        <v>3.7</v>
      </c>
      <c r="Q587" s="13">
        <f t="shared" si="21"/>
        <v>0.84546288526671398</v>
      </c>
    </row>
    <row r="588" spans="1:17" x14ac:dyDescent="0.25">
      <c r="A588" s="12">
        <f t="shared" si="22"/>
        <v>4</v>
      </c>
      <c r="B588" s="12">
        <v>2022</v>
      </c>
      <c r="C588" s="12">
        <v>6867</v>
      </c>
      <c r="D588" s="12">
        <v>1011348</v>
      </c>
      <c r="E588" s="12" t="s">
        <v>13</v>
      </c>
      <c r="F588" s="12" t="s">
        <v>14</v>
      </c>
      <c r="G588" s="25">
        <v>1011348</v>
      </c>
      <c r="H588" s="12">
        <f t="shared" si="20"/>
        <v>0</v>
      </c>
      <c r="I588" s="14">
        <v>44661</v>
      </c>
      <c r="J588" s="12" t="s">
        <v>51</v>
      </c>
      <c r="K588" s="12" t="s">
        <v>19</v>
      </c>
      <c r="L588" s="12" t="s">
        <v>41</v>
      </c>
      <c r="M588" s="12">
        <v>230.00200000000001</v>
      </c>
      <c r="N588" s="12">
        <v>192.143</v>
      </c>
      <c r="O588" s="12">
        <v>3.4</v>
      </c>
      <c r="Q588" s="13">
        <f t="shared" si="21"/>
        <v>0.83539708350362163</v>
      </c>
    </row>
    <row r="589" spans="1:17" x14ac:dyDescent="0.25">
      <c r="A589" s="12">
        <f t="shared" si="22"/>
        <v>4</v>
      </c>
      <c r="B589" s="12">
        <v>2022</v>
      </c>
      <c r="C589" s="12">
        <v>6868</v>
      </c>
      <c r="D589" s="20">
        <v>1011459</v>
      </c>
      <c r="E589" s="12" t="s">
        <v>13</v>
      </c>
      <c r="F589" s="12" t="s">
        <v>14</v>
      </c>
      <c r="G589" s="25"/>
      <c r="H589" s="12">
        <f t="shared" si="20"/>
        <v>1011459</v>
      </c>
      <c r="I589" s="14">
        <v>44662</v>
      </c>
      <c r="J589" s="12" t="s">
        <v>51</v>
      </c>
      <c r="K589" s="12" t="s">
        <v>19</v>
      </c>
      <c r="L589" s="12" t="s">
        <v>35</v>
      </c>
      <c r="M589" s="12">
        <v>230.001</v>
      </c>
      <c r="N589" s="12">
        <v>189.65700000000001</v>
      </c>
      <c r="Q589" s="13">
        <f t="shared" si="21"/>
        <v>0.82459206699101306</v>
      </c>
    </row>
    <row r="590" spans="1:17" x14ac:dyDescent="0.25">
      <c r="A590" s="12">
        <f t="shared" si="22"/>
        <v>4</v>
      </c>
      <c r="B590" s="12">
        <v>2022</v>
      </c>
      <c r="C590" s="12">
        <v>6869</v>
      </c>
      <c r="D590" s="20">
        <v>1011461</v>
      </c>
      <c r="E590" s="12" t="s">
        <v>13</v>
      </c>
      <c r="F590" s="12" t="s">
        <v>14</v>
      </c>
      <c r="G590" s="25"/>
      <c r="H590" s="12">
        <f t="shared" si="20"/>
        <v>1011461</v>
      </c>
      <c r="I590" s="14">
        <v>44663</v>
      </c>
      <c r="J590" s="12" t="s">
        <v>51</v>
      </c>
      <c r="K590" s="12" t="s">
        <v>19</v>
      </c>
      <c r="L590" s="12" t="s">
        <v>35</v>
      </c>
      <c r="M590" s="12">
        <v>230.001</v>
      </c>
      <c r="N590" s="12">
        <v>196.37799999999999</v>
      </c>
      <c r="Q590" s="13">
        <f t="shared" si="21"/>
        <v>0.85381367907096051</v>
      </c>
    </row>
    <row r="591" spans="1:17" x14ac:dyDescent="0.25">
      <c r="A591" s="12">
        <f t="shared" si="22"/>
        <v>4</v>
      </c>
      <c r="B591" s="12">
        <v>2022</v>
      </c>
      <c r="C591" s="12">
        <v>6870</v>
      </c>
      <c r="D591" s="12">
        <v>1011422</v>
      </c>
      <c r="E591" s="12" t="s">
        <v>13</v>
      </c>
      <c r="F591" s="12" t="s">
        <v>14</v>
      </c>
      <c r="G591" s="25">
        <v>1011422</v>
      </c>
      <c r="H591" s="12">
        <f t="shared" si="20"/>
        <v>0</v>
      </c>
      <c r="I591" s="14">
        <v>44664</v>
      </c>
      <c r="J591" s="12" t="s">
        <v>18</v>
      </c>
      <c r="K591" s="12" t="s">
        <v>19</v>
      </c>
      <c r="L591" s="12" t="s">
        <v>40</v>
      </c>
      <c r="M591" s="12">
        <v>229.98500000000001</v>
      </c>
      <c r="N591" s="12">
        <v>194.70500000000001</v>
      </c>
      <c r="O591" s="12">
        <v>4.3</v>
      </c>
    </row>
    <row r="592" spans="1:17" x14ac:dyDescent="0.25">
      <c r="A592" s="12">
        <f t="shared" si="22"/>
        <v>4</v>
      </c>
      <c r="B592" s="12">
        <v>2022</v>
      </c>
      <c r="C592" s="12">
        <v>6871</v>
      </c>
      <c r="D592" s="12">
        <v>1011559</v>
      </c>
      <c r="E592" s="12" t="s">
        <v>13</v>
      </c>
      <c r="F592" s="12" t="s">
        <v>14</v>
      </c>
      <c r="G592" s="25">
        <v>1011559</v>
      </c>
      <c r="H592" s="12">
        <f t="shared" si="20"/>
        <v>0</v>
      </c>
      <c r="I592" s="14">
        <v>44665</v>
      </c>
      <c r="J592" s="12" t="s">
        <v>18</v>
      </c>
      <c r="K592" s="12" t="s">
        <v>19</v>
      </c>
      <c r="L592" s="12" t="s">
        <v>40</v>
      </c>
      <c r="M592" s="12">
        <v>229.98599999999999</v>
      </c>
      <c r="N592" s="12">
        <v>192.26400000000001</v>
      </c>
      <c r="O592" s="12">
        <v>3.5</v>
      </c>
    </row>
    <row r="593" spans="1:17" x14ac:dyDescent="0.25">
      <c r="A593" s="12">
        <f t="shared" si="22"/>
        <v>4</v>
      </c>
      <c r="B593" s="12">
        <v>2022</v>
      </c>
      <c r="C593" s="12">
        <v>6872</v>
      </c>
      <c r="D593" s="12">
        <v>1011644</v>
      </c>
      <c r="E593" s="12" t="s">
        <v>13</v>
      </c>
      <c r="F593" s="12" t="s">
        <v>14</v>
      </c>
      <c r="G593" s="25">
        <v>1011644</v>
      </c>
      <c r="H593" s="12">
        <f t="shared" si="20"/>
        <v>0</v>
      </c>
      <c r="I593" s="14">
        <v>44666</v>
      </c>
      <c r="J593" s="12" t="s">
        <v>18</v>
      </c>
      <c r="K593" s="12" t="s">
        <v>19</v>
      </c>
      <c r="L593" s="12" t="s">
        <v>40</v>
      </c>
      <c r="M593" s="12">
        <v>230.02099999999999</v>
      </c>
      <c r="N593" s="12">
        <v>194.45099999999999</v>
      </c>
      <c r="O593" s="12">
        <v>3.9</v>
      </c>
      <c r="P593" s="12">
        <v>13.6</v>
      </c>
      <c r="Q593" s="13">
        <f t="shared" ref="Q593:Q617" si="23">N591/M591</f>
        <v>0.84659869121899256</v>
      </c>
    </row>
    <row r="594" spans="1:17" x14ac:dyDescent="0.25">
      <c r="A594" s="12">
        <f t="shared" si="22"/>
        <v>4</v>
      </c>
      <c r="B594" s="12">
        <v>2022</v>
      </c>
      <c r="C594" s="12">
        <v>6873</v>
      </c>
      <c r="D594" s="12">
        <v>1011688</v>
      </c>
      <c r="E594" s="12" t="s">
        <v>13</v>
      </c>
      <c r="F594" s="12" t="s">
        <v>14</v>
      </c>
      <c r="G594" s="25">
        <v>1011688</v>
      </c>
      <c r="H594" s="12">
        <f t="shared" si="20"/>
        <v>0</v>
      </c>
      <c r="I594" s="14">
        <v>44667</v>
      </c>
      <c r="J594" s="12" t="s">
        <v>18</v>
      </c>
      <c r="K594" s="12" t="s">
        <v>19</v>
      </c>
      <c r="L594" s="12" t="s">
        <v>40</v>
      </c>
      <c r="M594" s="12">
        <v>230.00200000000001</v>
      </c>
      <c r="N594" s="12">
        <v>196.17699999999999</v>
      </c>
      <c r="O594" s="12">
        <v>3.5</v>
      </c>
      <c r="Q594" s="13">
        <f t="shared" si="23"/>
        <v>0.83598132060212371</v>
      </c>
    </row>
    <row r="595" spans="1:17" x14ac:dyDescent="0.25">
      <c r="A595" s="12">
        <f t="shared" si="22"/>
        <v>4</v>
      </c>
      <c r="B595" s="12">
        <v>2022</v>
      </c>
      <c r="C595" s="12">
        <v>6874</v>
      </c>
      <c r="D595" s="12">
        <v>1011794</v>
      </c>
      <c r="E595" s="12" t="s">
        <v>13</v>
      </c>
      <c r="F595" s="12" t="s">
        <v>14</v>
      </c>
      <c r="G595" s="25">
        <v>1011794</v>
      </c>
      <c r="H595" s="12">
        <f t="shared" si="20"/>
        <v>0</v>
      </c>
      <c r="I595" s="14">
        <v>44668</v>
      </c>
      <c r="J595" s="12" t="s">
        <v>18</v>
      </c>
      <c r="K595" s="12" t="s">
        <v>19</v>
      </c>
      <c r="L595" s="12" t="s">
        <v>40</v>
      </c>
      <c r="M595" s="12">
        <v>230.00200000000001</v>
      </c>
      <c r="N595" s="12">
        <v>194.63</v>
      </c>
      <c r="O595" s="12">
        <v>3.6</v>
      </c>
      <c r="Q595" s="13">
        <f t="shared" si="23"/>
        <v>0.8453619452136979</v>
      </c>
    </row>
    <row r="596" spans="1:17" x14ac:dyDescent="0.25">
      <c r="A596" s="12">
        <f t="shared" si="22"/>
        <v>4</v>
      </c>
      <c r="B596" s="12">
        <v>2022</v>
      </c>
      <c r="C596" s="12">
        <v>6875</v>
      </c>
      <c r="D596" s="12">
        <v>1011883</v>
      </c>
      <c r="E596" s="12" t="s">
        <v>13</v>
      </c>
      <c r="F596" s="12" t="s">
        <v>14</v>
      </c>
      <c r="G596" s="25">
        <v>1011883</v>
      </c>
      <c r="H596" s="12">
        <f t="shared" si="20"/>
        <v>0</v>
      </c>
      <c r="I596" s="14">
        <v>44669</v>
      </c>
      <c r="J596" s="12" t="s">
        <v>17</v>
      </c>
      <c r="K596" s="12" t="s">
        <v>19</v>
      </c>
      <c r="L596" s="12" t="s">
        <v>43</v>
      </c>
      <c r="M596" s="12">
        <v>230.001</v>
      </c>
      <c r="N596" s="12">
        <v>191.87799999999999</v>
      </c>
      <c r="O596" s="12">
        <v>3.4</v>
      </c>
      <c r="Q596" s="13">
        <f t="shared" si="23"/>
        <v>0.85293606142555278</v>
      </c>
    </row>
    <row r="597" spans="1:17" x14ac:dyDescent="0.25">
      <c r="A597" s="12">
        <f t="shared" si="22"/>
        <v>4</v>
      </c>
      <c r="B597" s="12">
        <v>2022</v>
      </c>
      <c r="C597" s="12">
        <v>6876</v>
      </c>
      <c r="D597" s="12">
        <v>1011884</v>
      </c>
      <c r="E597" s="12" t="s">
        <v>13</v>
      </c>
      <c r="F597" s="12" t="s">
        <v>14</v>
      </c>
      <c r="G597" s="25">
        <v>1011884</v>
      </c>
      <c r="H597" s="12">
        <f t="shared" si="20"/>
        <v>0</v>
      </c>
      <c r="I597" s="14">
        <v>44670</v>
      </c>
      <c r="J597" s="12" t="s">
        <v>17</v>
      </c>
      <c r="K597" s="12" t="s">
        <v>19</v>
      </c>
      <c r="L597" s="12" t="s">
        <v>43</v>
      </c>
      <c r="M597" s="12">
        <v>230.001</v>
      </c>
      <c r="N597" s="12">
        <v>195.81</v>
      </c>
      <c r="O597" s="12">
        <v>4</v>
      </c>
      <c r="Q597" s="13">
        <f t="shared" si="23"/>
        <v>0.84621003295623509</v>
      </c>
    </row>
    <row r="598" spans="1:17" x14ac:dyDescent="0.25">
      <c r="A598" s="12">
        <f t="shared" si="22"/>
        <v>4</v>
      </c>
      <c r="B598" s="12">
        <v>2022</v>
      </c>
      <c r="C598" s="12">
        <v>6877</v>
      </c>
      <c r="D598" s="12">
        <v>1011885</v>
      </c>
      <c r="E598" s="12" t="s">
        <v>13</v>
      </c>
      <c r="F598" s="12" t="s">
        <v>14</v>
      </c>
      <c r="G598" s="25">
        <v>1011885</v>
      </c>
      <c r="H598" s="12">
        <f t="shared" si="20"/>
        <v>0</v>
      </c>
      <c r="I598" s="14">
        <v>44671</v>
      </c>
      <c r="J598" s="12" t="s">
        <v>17</v>
      </c>
      <c r="K598" s="12" t="s">
        <v>19</v>
      </c>
      <c r="L598" s="12" t="s">
        <v>43</v>
      </c>
      <c r="M598" s="12">
        <v>230.001</v>
      </c>
      <c r="N598" s="12">
        <v>197.285</v>
      </c>
      <c r="O598" s="12">
        <v>3.9</v>
      </c>
      <c r="Q598" s="13">
        <f t="shared" si="23"/>
        <v>0.8342485467454489</v>
      </c>
    </row>
    <row r="599" spans="1:17" x14ac:dyDescent="0.25">
      <c r="A599" s="12">
        <f t="shared" si="22"/>
        <v>4</v>
      </c>
      <c r="B599" s="12">
        <v>2022</v>
      </c>
      <c r="C599" s="12">
        <v>6878</v>
      </c>
      <c r="D599" s="12">
        <v>1011994</v>
      </c>
      <c r="E599" s="12" t="s">
        <v>13</v>
      </c>
      <c r="F599" s="12" t="s">
        <v>14</v>
      </c>
      <c r="G599" s="25">
        <v>1011994</v>
      </c>
      <c r="H599" s="12">
        <f t="shared" si="20"/>
        <v>0</v>
      </c>
      <c r="I599" s="14">
        <v>44672</v>
      </c>
      <c r="J599" s="12" t="s">
        <v>17</v>
      </c>
      <c r="K599" s="12" t="s">
        <v>19</v>
      </c>
      <c r="L599" s="12" t="s">
        <v>43</v>
      </c>
      <c r="M599" s="12">
        <v>230</v>
      </c>
      <c r="N599" s="12">
        <v>192.792</v>
      </c>
      <c r="O599" s="12">
        <v>3.9</v>
      </c>
      <c r="Q599" s="13">
        <f t="shared" si="23"/>
        <v>0.8513441245907627</v>
      </c>
    </row>
    <row r="600" spans="1:17" x14ac:dyDescent="0.25">
      <c r="A600" s="12">
        <f t="shared" si="22"/>
        <v>4</v>
      </c>
      <c r="B600" s="12">
        <v>2022</v>
      </c>
      <c r="C600" s="12">
        <v>6879</v>
      </c>
      <c r="D600" s="12">
        <v>1012096</v>
      </c>
      <c r="E600" s="12" t="s">
        <v>13</v>
      </c>
      <c r="F600" s="12" t="s">
        <v>14</v>
      </c>
      <c r="G600" s="25">
        <v>1012096</v>
      </c>
      <c r="H600" s="12">
        <f t="shared" si="20"/>
        <v>0</v>
      </c>
      <c r="I600" s="14">
        <v>44673</v>
      </c>
      <c r="J600" s="12" t="s">
        <v>18</v>
      </c>
      <c r="K600" s="12" t="s">
        <v>19</v>
      </c>
      <c r="L600" s="12" t="s">
        <v>40</v>
      </c>
      <c r="M600" s="12">
        <v>230</v>
      </c>
      <c r="N600" s="12">
        <v>200.30199999999999</v>
      </c>
      <c r="O600" s="12">
        <v>3.5</v>
      </c>
      <c r="P600" s="12">
        <v>13.6</v>
      </c>
      <c r="Q600" s="13">
        <f t="shared" si="23"/>
        <v>0.85775714018634697</v>
      </c>
    </row>
    <row r="601" spans="1:17" x14ac:dyDescent="0.25">
      <c r="A601" s="12">
        <f t="shared" si="22"/>
        <v>4</v>
      </c>
      <c r="B601" s="12">
        <v>2022</v>
      </c>
      <c r="C601" s="12">
        <v>6880</v>
      </c>
      <c r="D601" s="12">
        <v>1012139</v>
      </c>
      <c r="E601" s="12" t="s">
        <v>13</v>
      </c>
      <c r="F601" s="12" t="s">
        <v>14</v>
      </c>
      <c r="G601" s="25">
        <v>1012139</v>
      </c>
      <c r="H601" s="12">
        <f t="shared" si="20"/>
        <v>0</v>
      </c>
      <c r="I601" s="14">
        <v>44674</v>
      </c>
      <c r="J601" s="12" t="s">
        <v>18</v>
      </c>
      <c r="K601" s="12" t="s">
        <v>19</v>
      </c>
      <c r="L601" s="12" t="s">
        <v>40</v>
      </c>
      <c r="M601" s="12">
        <v>230</v>
      </c>
      <c r="N601" s="12">
        <v>198.39500000000001</v>
      </c>
      <c r="O601" s="12">
        <v>4.3</v>
      </c>
      <c r="P601" s="12">
        <v>13.6</v>
      </c>
      <c r="Q601" s="13">
        <f t="shared" si="23"/>
        <v>0.83822608695652179</v>
      </c>
    </row>
    <row r="602" spans="1:17" x14ac:dyDescent="0.25">
      <c r="A602" s="12">
        <f t="shared" si="22"/>
        <v>4</v>
      </c>
      <c r="B602" s="12">
        <v>2022</v>
      </c>
      <c r="C602" s="12">
        <v>6881</v>
      </c>
      <c r="D602" s="12">
        <v>1012284</v>
      </c>
      <c r="E602" s="12" t="s">
        <v>13</v>
      </c>
      <c r="F602" s="12" t="s">
        <v>14</v>
      </c>
      <c r="G602" s="25">
        <v>1012284</v>
      </c>
      <c r="H602" s="12">
        <f t="shared" si="20"/>
        <v>0</v>
      </c>
      <c r="I602" s="14">
        <v>44675</v>
      </c>
      <c r="J602" s="12" t="s">
        <v>18</v>
      </c>
      <c r="K602" s="12" t="s">
        <v>19</v>
      </c>
      <c r="L602" s="12" t="s">
        <v>40</v>
      </c>
      <c r="M602" s="12">
        <v>230.001</v>
      </c>
      <c r="N602" s="12">
        <v>193.352</v>
      </c>
      <c r="O602" s="12">
        <v>0</v>
      </c>
      <c r="P602" s="12">
        <v>13.6</v>
      </c>
      <c r="Q602" s="13">
        <f t="shared" si="23"/>
        <v>0.87087826086956521</v>
      </c>
    </row>
    <row r="603" spans="1:17" x14ac:dyDescent="0.25">
      <c r="A603" s="12">
        <f t="shared" si="22"/>
        <v>4</v>
      </c>
      <c r="B603" s="12">
        <v>2022</v>
      </c>
      <c r="C603" s="12">
        <v>6882</v>
      </c>
      <c r="D603" s="12">
        <v>1012342</v>
      </c>
      <c r="E603" s="12" t="s">
        <v>13</v>
      </c>
      <c r="F603" s="12" t="s">
        <v>14</v>
      </c>
      <c r="G603" s="25">
        <v>1012342</v>
      </c>
      <c r="H603" s="12">
        <f t="shared" si="20"/>
        <v>0</v>
      </c>
      <c r="I603" s="14">
        <v>44676</v>
      </c>
      <c r="J603" s="12" t="s">
        <v>18</v>
      </c>
      <c r="K603" s="12" t="s">
        <v>19</v>
      </c>
      <c r="L603" s="12" t="s">
        <v>40</v>
      </c>
      <c r="M603" s="12">
        <v>230</v>
      </c>
      <c r="N603" s="12">
        <v>198.50899999999999</v>
      </c>
      <c r="O603" s="12">
        <v>3.8</v>
      </c>
      <c r="Q603" s="13">
        <f t="shared" si="23"/>
        <v>0.86258695652173922</v>
      </c>
    </row>
    <row r="604" spans="1:17" x14ac:dyDescent="0.25">
      <c r="A604" s="12">
        <f t="shared" si="22"/>
        <v>4</v>
      </c>
      <c r="B604" s="12">
        <v>2022</v>
      </c>
      <c r="C604" s="12">
        <v>6883</v>
      </c>
      <c r="D604" s="12">
        <v>1012344</v>
      </c>
      <c r="E604" s="12" t="s">
        <v>13</v>
      </c>
      <c r="F604" s="12" t="s">
        <v>14</v>
      </c>
      <c r="G604" s="25">
        <v>1012344</v>
      </c>
      <c r="H604" s="12">
        <f t="shared" si="20"/>
        <v>0</v>
      </c>
      <c r="I604" s="14">
        <v>44677</v>
      </c>
      <c r="J604" s="12" t="s">
        <v>18</v>
      </c>
      <c r="K604" s="12" t="s">
        <v>19</v>
      </c>
      <c r="L604" s="12" t="s">
        <v>40</v>
      </c>
      <c r="M604" s="12">
        <v>230</v>
      </c>
      <c r="N604" s="12">
        <v>190.24199999999999</v>
      </c>
      <c r="O604" s="12">
        <v>3.5</v>
      </c>
      <c r="Q604" s="13">
        <f t="shared" si="23"/>
        <v>0.84065721453384989</v>
      </c>
    </row>
    <row r="605" spans="1:17" x14ac:dyDescent="0.25">
      <c r="A605" s="12">
        <f t="shared" si="22"/>
        <v>4</v>
      </c>
      <c r="B605" s="12">
        <v>2022</v>
      </c>
      <c r="C605" s="12">
        <v>6884</v>
      </c>
      <c r="D605" s="12">
        <v>1012346</v>
      </c>
      <c r="E605" s="12" t="s">
        <v>13</v>
      </c>
      <c r="F605" s="12" t="s">
        <v>14</v>
      </c>
      <c r="G605" s="25">
        <v>1012346</v>
      </c>
      <c r="H605" s="12">
        <f t="shared" si="20"/>
        <v>0</v>
      </c>
      <c r="I605" s="14">
        <v>44678</v>
      </c>
      <c r="J605" s="12" t="s">
        <v>37</v>
      </c>
      <c r="K605" s="12" t="s">
        <v>20</v>
      </c>
      <c r="L605" s="12" t="s">
        <v>45</v>
      </c>
      <c r="M605" s="12">
        <v>229.999</v>
      </c>
      <c r="N605" s="12">
        <v>199.09399999999999</v>
      </c>
      <c r="O605" s="12">
        <v>4.8</v>
      </c>
      <c r="Q605" s="13">
        <f t="shared" si="23"/>
        <v>0.86308260869565212</v>
      </c>
    </row>
    <row r="606" spans="1:17" x14ac:dyDescent="0.25">
      <c r="A606" s="12">
        <f t="shared" si="22"/>
        <v>4</v>
      </c>
      <c r="B606" s="12">
        <v>2022</v>
      </c>
      <c r="C606" s="12">
        <v>6885</v>
      </c>
      <c r="D606" s="12">
        <v>1012347</v>
      </c>
      <c r="E606" s="12" t="s">
        <v>13</v>
      </c>
      <c r="F606" s="12" t="s">
        <v>14</v>
      </c>
      <c r="G606" s="25">
        <v>1012347</v>
      </c>
      <c r="H606" s="12">
        <f t="shared" si="20"/>
        <v>0</v>
      </c>
      <c r="I606" s="14">
        <v>44679</v>
      </c>
      <c r="J606" s="12" t="s">
        <v>37</v>
      </c>
      <c r="K606" s="12" t="s">
        <v>20</v>
      </c>
      <c r="L606" s="12" t="s">
        <v>45</v>
      </c>
      <c r="M606" s="12">
        <v>229.999</v>
      </c>
      <c r="N606" s="12">
        <v>186.55600000000001</v>
      </c>
      <c r="O606" s="12">
        <v>4.0999999999999996</v>
      </c>
      <c r="Q606" s="13">
        <f t="shared" si="23"/>
        <v>0.8271391304347826</v>
      </c>
    </row>
    <row r="607" spans="1:17" x14ac:dyDescent="0.25">
      <c r="A607" s="12">
        <f t="shared" si="22"/>
        <v>4</v>
      </c>
      <c r="B607" s="12">
        <v>2022</v>
      </c>
      <c r="C607" s="12">
        <v>6886</v>
      </c>
      <c r="D607" s="12">
        <v>1012537</v>
      </c>
      <c r="E607" s="12" t="s">
        <v>13</v>
      </c>
      <c r="F607" s="12" t="s">
        <v>14</v>
      </c>
      <c r="G607" s="25">
        <v>1012537</v>
      </c>
      <c r="H607" s="12">
        <f t="shared" si="20"/>
        <v>0</v>
      </c>
      <c r="I607" s="14">
        <v>44680</v>
      </c>
      <c r="J607" s="12" t="s">
        <v>46</v>
      </c>
      <c r="K607" s="12" t="s">
        <v>20</v>
      </c>
      <c r="L607" s="12" t="s">
        <v>50</v>
      </c>
      <c r="M607" s="12">
        <v>225.001</v>
      </c>
      <c r="N607" s="12">
        <v>185.858</v>
      </c>
      <c r="O607" s="12">
        <v>0</v>
      </c>
      <c r="P607" s="12">
        <v>13.6</v>
      </c>
      <c r="Q607" s="13">
        <f t="shared" si="23"/>
        <v>0.86562985056456765</v>
      </c>
    </row>
    <row r="608" spans="1:17" x14ac:dyDescent="0.25">
      <c r="A608" s="12">
        <f t="shared" si="22"/>
        <v>4</v>
      </c>
      <c r="B608" s="12">
        <v>2022</v>
      </c>
      <c r="C608" s="12">
        <v>6887</v>
      </c>
      <c r="D608" s="12">
        <v>1012549</v>
      </c>
      <c r="E608" s="12" t="s">
        <v>13</v>
      </c>
      <c r="F608" s="12" t="s">
        <v>14</v>
      </c>
      <c r="G608" s="25">
        <v>1012549</v>
      </c>
      <c r="H608" s="12">
        <f t="shared" si="20"/>
        <v>0</v>
      </c>
      <c r="I608" s="14">
        <v>44681</v>
      </c>
      <c r="J608" s="12" t="s">
        <v>37</v>
      </c>
      <c r="K608" s="12" t="s">
        <v>19</v>
      </c>
      <c r="L608" s="12" t="s">
        <v>41</v>
      </c>
      <c r="M608" s="12">
        <v>230.006</v>
      </c>
      <c r="N608" s="12">
        <v>193</v>
      </c>
      <c r="O608" s="12">
        <v>4.0999999999999996</v>
      </c>
      <c r="Q608" s="13">
        <f t="shared" si="23"/>
        <v>0.81111657007204385</v>
      </c>
    </row>
    <row r="609" spans="1:17" x14ac:dyDescent="0.25">
      <c r="A609" s="12">
        <f t="shared" si="22"/>
        <v>5</v>
      </c>
      <c r="B609" s="12">
        <v>2022</v>
      </c>
      <c r="C609" s="12">
        <v>6888</v>
      </c>
      <c r="D609" s="12">
        <v>1012627</v>
      </c>
      <c r="E609" s="12" t="s">
        <v>13</v>
      </c>
      <c r="F609" s="12" t="s">
        <v>14</v>
      </c>
      <c r="G609" s="25">
        <v>1012627</v>
      </c>
      <c r="H609" s="12">
        <f t="shared" si="20"/>
        <v>0</v>
      </c>
      <c r="I609" s="14">
        <v>44682</v>
      </c>
      <c r="J609" s="12" t="s">
        <v>37</v>
      </c>
      <c r="K609" s="12" t="s">
        <v>19</v>
      </c>
      <c r="L609" s="12" t="s">
        <v>41</v>
      </c>
      <c r="M609" s="12">
        <v>230.006</v>
      </c>
      <c r="N609" s="12">
        <v>185.643</v>
      </c>
      <c r="O609" s="12">
        <v>3.7</v>
      </c>
      <c r="Q609" s="13">
        <f t="shared" si="23"/>
        <v>0.82603188430273644</v>
      </c>
    </row>
    <row r="610" spans="1:17" x14ac:dyDescent="0.25">
      <c r="A610" s="12">
        <f t="shared" si="22"/>
        <v>5</v>
      </c>
      <c r="B610" s="12">
        <v>2022</v>
      </c>
      <c r="C610" s="12">
        <v>6889</v>
      </c>
      <c r="D610" s="12">
        <v>1012716</v>
      </c>
      <c r="E610" s="12" t="s">
        <v>13</v>
      </c>
      <c r="F610" s="12" t="s">
        <v>14</v>
      </c>
      <c r="G610" s="25">
        <v>1012716</v>
      </c>
      <c r="H610" s="12">
        <f t="shared" ref="H610:H673" si="24">D610-G610</f>
        <v>0</v>
      </c>
      <c r="I610" s="14">
        <v>44683</v>
      </c>
      <c r="J610" s="12" t="s">
        <v>37</v>
      </c>
      <c r="K610" s="12" t="s">
        <v>19</v>
      </c>
      <c r="L610" s="12" t="s">
        <v>41</v>
      </c>
      <c r="M610" s="12">
        <v>230.006</v>
      </c>
      <c r="N610" s="12">
        <v>196.971</v>
      </c>
      <c r="O610" s="12">
        <v>3.4</v>
      </c>
      <c r="Q610" s="13">
        <f t="shared" si="23"/>
        <v>0.8391085449944784</v>
      </c>
    </row>
    <row r="611" spans="1:17" x14ac:dyDescent="0.25">
      <c r="A611" s="12">
        <f t="shared" si="22"/>
        <v>5</v>
      </c>
      <c r="B611" s="12">
        <v>2022</v>
      </c>
      <c r="C611" s="12">
        <v>6890</v>
      </c>
      <c r="D611" s="12">
        <v>1012717</v>
      </c>
      <c r="E611" s="12" t="s">
        <v>13</v>
      </c>
      <c r="F611" s="12" t="s">
        <v>14</v>
      </c>
      <c r="G611" s="25">
        <v>1012717</v>
      </c>
      <c r="H611" s="12">
        <f t="shared" si="24"/>
        <v>0</v>
      </c>
      <c r="I611" s="14">
        <v>44684</v>
      </c>
      <c r="J611" s="12" t="s">
        <v>37</v>
      </c>
      <c r="K611" s="12" t="s">
        <v>19</v>
      </c>
      <c r="L611" s="12" t="s">
        <v>41</v>
      </c>
      <c r="M611" s="12">
        <v>230.006</v>
      </c>
      <c r="N611" s="12">
        <v>187.089</v>
      </c>
      <c r="O611" s="12">
        <v>3.7</v>
      </c>
      <c r="Q611" s="13">
        <f t="shared" si="23"/>
        <v>0.80712242289331582</v>
      </c>
    </row>
    <row r="612" spans="1:17" x14ac:dyDescent="0.25">
      <c r="A612" s="12">
        <f t="shared" si="22"/>
        <v>5</v>
      </c>
      <c r="B612" s="12">
        <v>2022</v>
      </c>
      <c r="C612" s="12">
        <v>6891</v>
      </c>
      <c r="D612" s="12">
        <v>1012718</v>
      </c>
      <c r="E612" s="12" t="s">
        <v>13</v>
      </c>
      <c r="F612" s="12" t="s">
        <v>14</v>
      </c>
      <c r="G612" s="25">
        <v>1012718</v>
      </c>
      <c r="H612" s="12">
        <f t="shared" si="24"/>
        <v>0</v>
      </c>
      <c r="I612" s="14">
        <v>44685</v>
      </c>
      <c r="J612" s="12" t="s">
        <v>37</v>
      </c>
      <c r="K612" s="12" t="s">
        <v>19</v>
      </c>
      <c r="L612" s="12" t="s">
        <v>41</v>
      </c>
      <c r="M612" s="12">
        <v>230.00899999999999</v>
      </c>
      <c r="N612" s="12">
        <v>192.37</v>
      </c>
      <c r="O612" s="12">
        <v>3.7</v>
      </c>
      <c r="P612" s="12">
        <v>13.7</v>
      </c>
      <c r="Q612" s="13">
        <f t="shared" si="23"/>
        <v>0.85637331200055655</v>
      </c>
    </row>
    <row r="613" spans="1:17" x14ac:dyDescent="0.25">
      <c r="A613" s="12">
        <f t="shared" si="22"/>
        <v>5</v>
      </c>
      <c r="B613" s="12">
        <v>2022</v>
      </c>
      <c r="C613" s="12">
        <v>6892</v>
      </c>
      <c r="D613" s="12">
        <v>1012847</v>
      </c>
      <c r="E613" s="12" t="s">
        <v>13</v>
      </c>
      <c r="F613" s="12" t="s">
        <v>14</v>
      </c>
      <c r="G613" s="25">
        <v>1012847</v>
      </c>
      <c r="H613" s="12">
        <f t="shared" si="24"/>
        <v>0</v>
      </c>
      <c r="I613" s="14">
        <v>44686</v>
      </c>
      <c r="J613" s="12" t="s">
        <v>18</v>
      </c>
      <c r="K613" s="12" t="s">
        <v>19</v>
      </c>
      <c r="L613" s="12" t="s">
        <v>40</v>
      </c>
      <c r="M613" s="12">
        <v>230.00700000000001</v>
      </c>
      <c r="N613" s="12">
        <v>192.71</v>
      </c>
      <c r="O613" s="12">
        <v>3.8</v>
      </c>
      <c r="Q613" s="13">
        <f t="shared" si="23"/>
        <v>0.81340921541177191</v>
      </c>
    </row>
    <row r="614" spans="1:17" x14ac:dyDescent="0.25">
      <c r="A614" s="12">
        <f t="shared" si="22"/>
        <v>5</v>
      </c>
      <c r="B614" s="12">
        <v>2022</v>
      </c>
      <c r="C614" s="12">
        <v>6893</v>
      </c>
      <c r="D614" s="12">
        <v>1012886</v>
      </c>
      <c r="E614" s="12" t="s">
        <v>13</v>
      </c>
      <c r="F614" s="12" t="s">
        <v>14</v>
      </c>
      <c r="G614" s="25">
        <v>1012886</v>
      </c>
      <c r="H614" s="12">
        <f t="shared" si="24"/>
        <v>0</v>
      </c>
      <c r="I614" s="14">
        <v>44687</v>
      </c>
      <c r="J614" s="12" t="s">
        <v>18</v>
      </c>
      <c r="K614" s="12" t="s">
        <v>19</v>
      </c>
      <c r="L614" s="12" t="s">
        <v>40</v>
      </c>
      <c r="M614" s="12">
        <v>230.00800000000001</v>
      </c>
      <c r="N614" s="12">
        <v>193.36699999999999</v>
      </c>
      <c r="O614" s="12">
        <v>3.5</v>
      </c>
      <c r="Q614" s="13">
        <f t="shared" si="23"/>
        <v>0.83635857727306329</v>
      </c>
    </row>
    <row r="615" spans="1:17" x14ac:dyDescent="0.25">
      <c r="A615" s="12">
        <f t="shared" si="22"/>
        <v>5</v>
      </c>
      <c r="B615" s="12">
        <v>2022</v>
      </c>
      <c r="C615" s="12">
        <v>6894</v>
      </c>
      <c r="D615" s="12">
        <v>1012968</v>
      </c>
      <c r="E615" s="12" t="s">
        <v>13</v>
      </c>
      <c r="F615" s="12" t="s">
        <v>14</v>
      </c>
      <c r="G615" s="25">
        <v>1012968</v>
      </c>
      <c r="H615" s="12">
        <f t="shared" si="24"/>
        <v>0</v>
      </c>
      <c r="I615" s="14">
        <v>44688</v>
      </c>
      <c r="J615" s="12" t="s">
        <v>18</v>
      </c>
      <c r="K615" s="12" t="s">
        <v>19</v>
      </c>
      <c r="L615" s="12" t="s">
        <v>40</v>
      </c>
      <c r="M615" s="12">
        <v>230.00200000000001</v>
      </c>
      <c r="N615" s="12">
        <v>199.07</v>
      </c>
      <c r="O615" s="12">
        <v>4.3</v>
      </c>
      <c r="Q615" s="13">
        <f t="shared" si="23"/>
        <v>0.83784406561539437</v>
      </c>
    </row>
    <row r="616" spans="1:17" x14ac:dyDescent="0.25">
      <c r="A616" s="12">
        <f t="shared" si="22"/>
        <v>5</v>
      </c>
      <c r="B616" s="12">
        <v>2022</v>
      </c>
      <c r="C616" s="12">
        <v>6895</v>
      </c>
      <c r="D616" s="12">
        <v>1013127</v>
      </c>
      <c r="E616" s="12" t="s">
        <v>13</v>
      </c>
      <c r="F616" s="12" t="s">
        <v>14</v>
      </c>
      <c r="G616" s="25">
        <v>1013127</v>
      </c>
      <c r="H616" s="12">
        <f t="shared" si="24"/>
        <v>0</v>
      </c>
      <c r="I616" s="14">
        <v>44689</v>
      </c>
      <c r="J616" s="12" t="s">
        <v>18</v>
      </c>
      <c r="K616" s="12" t="s">
        <v>19</v>
      </c>
      <c r="L616" s="12" t="s">
        <v>40</v>
      </c>
      <c r="M616" s="12">
        <v>230.001</v>
      </c>
      <c r="N616" s="12">
        <v>196.917</v>
      </c>
      <c r="O616" s="12">
        <v>4.8</v>
      </c>
      <c r="Q616" s="13">
        <f t="shared" si="23"/>
        <v>0.84069684532711897</v>
      </c>
    </row>
    <row r="617" spans="1:17" x14ac:dyDescent="0.25">
      <c r="A617" s="12">
        <f t="shared" si="22"/>
        <v>5</v>
      </c>
      <c r="B617" s="12">
        <v>2022</v>
      </c>
      <c r="C617" s="12">
        <v>6896</v>
      </c>
      <c r="D617" s="12">
        <v>1013155</v>
      </c>
      <c r="E617" s="12" t="s">
        <v>13</v>
      </c>
      <c r="F617" s="12" t="s">
        <v>14</v>
      </c>
      <c r="G617" s="25">
        <v>1013155</v>
      </c>
      <c r="H617" s="12">
        <f t="shared" si="24"/>
        <v>0</v>
      </c>
      <c r="I617" s="14">
        <v>44690</v>
      </c>
      <c r="J617" s="12" t="s">
        <v>18</v>
      </c>
      <c r="K617" s="12" t="s">
        <v>19</v>
      </c>
      <c r="L617" s="12" t="s">
        <v>40</v>
      </c>
      <c r="M617" s="12">
        <v>230.005</v>
      </c>
      <c r="N617" s="12">
        <v>193.42699999999999</v>
      </c>
      <c r="O617" s="12">
        <v>4.7</v>
      </c>
      <c r="P617" s="12">
        <v>13.9</v>
      </c>
      <c r="Q617" s="13">
        <f t="shared" si="23"/>
        <v>0.86551421291988762</v>
      </c>
    </row>
    <row r="618" spans="1:17" x14ac:dyDescent="0.25">
      <c r="A618" s="12">
        <f t="shared" si="22"/>
        <v>1</v>
      </c>
      <c r="B618" s="12">
        <v>2022</v>
      </c>
      <c r="C618" s="12">
        <v>6897</v>
      </c>
      <c r="D618" s="21">
        <v>1013204</v>
      </c>
      <c r="E618" s="12" t="s">
        <v>13</v>
      </c>
      <c r="F618" s="12" t="s">
        <v>14</v>
      </c>
      <c r="G618" s="25"/>
      <c r="H618" s="12">
        <f t="shared" si="24"/>
        <v>1013204</v>
      </c>
      <c r="I618" s="12"/>
      <c r="J618" s="14">
        <v>44691</v>
      </c>
      <c r="K618" s="12" t="s">
        <v>51</v>
      </c>
      <c r="L618" s="12" t="s">
        <v>19</v>
      </c>
      <c r="M618" s="12" t="s">
        <v>35</v>
      </c>
      <c r="N618" s="12">
        <v>229.999</v>
      </c>
      <c r="Q618" s="13">
        <f>N616/M616</f>
        <v>0.85615714714283853</v>
      </c>
    </row>
    <row r="619" spans="1:17" x14ac:dyDescent="0.25">
      <c r="A619" s="12">
        <f t="shared" si="22"/>
        <v>5</v>
      </c>
      <c r="B619" s="12">
        <v>2022</v>
      </c>
      <c r="C619" s="12">
        <v>6898</v>
      </c>
      <c r="D619" s="21">
        <v>1013206</v>
      </c>
      <c r="E619" s="12" t="s">
        <v>13</v>
      </c>
      <c r="F619" s="12" t="s">
        <v>14</v>
      </c>
      <c r="G619" s="25"/>
      <c r="H619" s="12">
        <f t="shared" si="24"/>
        <v>1013206</v>
      </c>
      <c r="I619" s="14">
        <v>44692</v>
      </c>
      <c r="J619" s="12" t="s">
        <v>51</v>
      </c>
      <c r="K619" s="12" t="s">
        <v>19</v>
      </c>
      <c r="L619" s="12" t="s">
        <v>35</v>
      </c>
      <c r="M619" s="12">
        <v>229.999</v>
      </c>
      <c r="N619" s="12">
        <v>186.595</v>
      </c>
      <c r="Q619" s="13">
        <f t="shared" ref="Q619:Q682" si="25">N617/M617</f>
        <v>0.84096867459403057</v>
      </c>
    </row>
    <row r="620" spans="1:17" x14ac:dyDescent="0.25">
      <c r="A620" s="12">
        <f t="shared" si="22"/>
        <v>5</v>
      </c>
      <c r="B620" s="12">
        <v>2022</v>
      </c>
      <c r="C620" s="12">
        <v>6899</v>
      </c>
      <c r="D620" s="12">
        <v>1013318</v>
      </c>
      <c r="E620" s="12" t="s">
        <v>13</v>
      </c>
      <c r="F620" s="12" t="s">
        <v>14</v>
      </c>
      <c r="G620" s="25">
        <v>1013318</v>
      </c>
      <c r="H620" s="12">
        <f t="shared" si="24"/>
        <v>0</v>
      </c>
      <c r="I620" s="14">
        <v>44693</v>
      </c>
      <c r="J620" s="12" t="s">
        <v>17</v>
      </c>
      <c r="K620" s="12" t="s">
        <v>19</v>
      </c>
      <c r="L620" s="12" t="s">
        <v>49</v>
      </c>
      <c r="M620" s="12">
        <v>230.00399999999999</v>
      </c>
      <c r="N620" s="12">
        <v>195.28200000000001</v>
      </c>
      <c r="O620" s="12">
        <v>3.8</v>
      </c>
      <c r="Q620" s="13" t="e">
        <f t="shared" si="25"/>
        <v>#VALUE!</v>
      </c>
    </row>
    <row r="621" spans="1:17" x14ac:dyDescent="0.25">
      <c r="A621" s="12">
        <f t="shared" si="22"/>
        <v>5</v>
      </c>
      <c r="B621" s="12">
        <v>2022</v>
      </c>
      <c r="C621" s="12">
        <v>6900</v>
      </c>
      <c r="D621" s="12">
        <v>1013433</v>
      </c>
      <c r="E621" s="12" t="s">
        <v>13</v>
      </c>
      <c r="F621" s="12" t="s">
        <v>14</v>
      </c>
      <c r="G621" s="25">
        <v>1013433</v>
      </c>
      <c r="H621" s="12">
        <f t="shared" si="24"/>
        <v>0</v>
      </c>
      <c r="I621" s="14">
        <v>44694</v>
      </c>
      <c r="J621" s="12" t="s">
        <v>17</v>
      </c>
      <c r="K621" s="12" t="s">
        <v>19</v>
      </c>
      <c r="L621" s="12" t="s">
        <v>49</v>
      </c>
      <c r="M621" s="12">
        <v>230.00399999999999</v>
      </c>
      <c r="N621" s="12">
        <v>182.43199999999999</v>
      </c>
      <c r="O621" s="12">
        <v>4.0999999999999996</v>
      </c>
      <c r="Q621" s="13">
        <f t="shared" si="25"/>
        <v>0.81128613602667843</v>
      </c>
    </row>
    <row r="622" spans="1:17" x14ac:dyDescent="0.25">
      <c r="A622" s="12">
        <f t="shared" si="22"/>
        <v>5</v>
      </c>
      <c r="B622" s="12">
        <v>2022</v>
      </c>
      <c r="C622" s="12">
        <v>6901</v>
      </c>
      <c r="D622" s="12">
        <v>1013484</v>
      </c>
      <c r="E622" s="12" t="s">
        <v>13</v>
      </c>
      <c r="F622" s="12" t="s">
        <v>14</v>
      </c>
      <c r="G622" s="25">
        <v>1013484</v>
      </c>
      <c r="H622" s="12">
        <f t="shared" si="24"/>
        <v>0</v>
      </c>
      <c r="I622" s="14">
        <v>44695</v>
      </c>
      <c r="J622" s="12" t="s">
        <v>18</v>
      </c>
      <c r="K622" s="12" t="s">
        <v>19</v>
      </c>
      <c r="L622" s="12" t="s">
        <v>40</v>
      </c>
      <c r="M622" s="12">
        <v>230.02099999999999</v>
      </c>
      <c r="N622" s="12">
        <v>199.999</v>
      </c>
      <c r="O622" s="12">
        <v>3.9</v>
      </c>
      <c r="P622" s="12">
        <v>13.7</v>
      </c>
      <c r="Q622" s="13">
        <f t="shared" si="25"/>
        <v>0.84903740804507755</v>
      </c>
    </row>
    <row r="623" spans="1:17" x14ac:dyDescent="0.25">
      <c r="A623" s="12">
        <f t="shared" si="22"/>
        <v>5</v>
      </c>
      <c r="B623" s="12">
        <v>2022</v>
      </c>
      <c r="C623" s="12">
        <v>6902</v>
      </c>
      <c r="D623" s="12">
        <v>1013593</v>
      </c>
      <c r="E623" s="12" t="s">
        <v>13</v>
      </c>
      <c r="F623" s="12" t="s">
        <v>14</v>
      </c>
      <c r="G623" s="25">
        <v>1013593</v>
      </c>
      <c r="H623" s="12">
        <f t="shared" si="24"/>
        <v>0</v>
      </c>
      <c r="I623" s="14">
        <v>44696</v>
      </c>
      <c r="J623" s="12" t="s">
        <v>18</v>
      </c>
      <c r="K623" s="12" t="s">
        <v>19</v>
      </c>
      <c r="L623" s="12" t="s">
        <v>40</v>
      </c>
      <c r="M623" s="12">
        <v>230.02600000000001</v>
      </c>
      <c r="N623" s="12">
        <v>195.14500000000001</v>
      </c>
      <c r="O623" s="12">
        <v>4.4000000000000004</v>
      </c>
      <c r="Q623" s="13">
        <f t="shared" si="25"/>
        <v>0.79316881445540077</v>
      </c>
    </row>
    <row r="624" spans="1:17" x14ac:dyDescent="0.25">
      <c r="A624" s="12">
        <f t="shared" si="22"/>
        <v>5</v>
      </c>
      <c r="B624" s="12">
        <v>2022</v>
      </c>
      <c r="C624" s="12">
        <v>6903</v>
      </c>
      <c r="D624" s="12">
        <v>1013666</v>
      </c>
      <c r="E624" s="12" t="s">
        <v>13</v>
      </c>
      <c r="F624" s="12" t="s">
        <v>14</v>
      </c>
      <c r="G624" s="25">
        <v>1013666</v>
      </c>
      <c r="H624" s="12">
        <f t="shared" si="24"/>
        <v>0</v>
      </c>
      <c r="I624" s="14">
        <v>44697</v>
      </c>
      <c r="J624" s="12" t="s">
        <v>18</v>
      </c>
      <c r="K624" s="12" t="s">
        <v>19</v>
      </c>
      <c r="L624" s="12" t="s">
        <v>40</v>
      </c>
      <c r="M624" s="12">
        <v>230.02699999999999</v>
      </c>
      <c r="N624" s="12">
        <v>191.38300000000001</v>
      </c>
      <c r="O624" s="12">
        <v>4.2</v>
      </c>
      <c r="Q624" s="13">
        <f t="shared" si="25"/>
        <v>0.8694814821255451</v>
      </c>
    </row>
    <row r="625" spans="1:17" x14ac:dyDescent="0.25">
      <c r="A625" s="12">
        <f t="shared" si="22"/>
        <v>5</v>
      </c>
      <c r="B625" s="12">
        <v>2022</v>
      </c>
      <c r="C625" s="12">
        <v>6904</v>
      </c>
      <c r="D625" s="12">
        <v>1013668</v>
      </c>
      <c r="E625" s="12" t="s">
        <v>13</v>
      </c>
      <c r="F625" s="12" t="s">
        <v>14</v>
      </c>
      <c r="G625" s="25">
        <v>1013668</v>
      </c>
      <c r="H625" s="12">
        <f t="shared" si="24"/>
        <v>0</v>
      </c>
      <c r="I625" s="14">
        <v>44698</v>
      </c>
      <c r="J625" s="12" t="s">
        <v>18</v>
      </c>
      <c r="K625" s="12" t="s">
        <v>19</v>
      </c>
      <c r="L625" s="12" t="s">
        <v>40</v>
      </c>
      <c r="M625" s="12">
        <v>230.00700000000001</v>
      </c>
      <c r="N625" s="12">
        <v>198.12299999999999</v>
      </c>
      <c r="O625" s="12">
        <v>5.0999999999999996</v>
      </c>
      <c r="Q625" s="13">
        <f t="shared" si="25"/>
        <v>0.84836062010381441</v>
      </c>
    </row>
    <row r="626" spans="1:17" x14ac:dyDescent="0.25">
      <c r="A626" s="12">
        <f t="shared" si="22"/>
        <v>5</v>
      </c>
      <c r="B626" s="12">
        <v>2022</v>
      </c>
      <c r="C626" s="12">
        <v>6905</v>
      </c>
      <c r="D626" s="12">
        <v>1013694</v>
      </c>
      <c r="E626" s="12" t="s">
        <v>13</v>
      </c>
      <c r="F626" s="12" t="s">
        <v>14</v>
      </c>
      <c r="G626" s="25">
        <v>1013694</v>
      </c>
      <c r="H626" s="12">
        <f t="shared" si="24"/>
        <v>0</v>
      </c>
      <c r="I626" s="14">
        <v>44699</v>
      </c>
      <c r="J626" s="12" t="s">
        <v>18</v>
      </c>
      <c r="K626" s="12" t="s">
        <v>19</v>
      </c>
      <c r="L626" s="12" t="s">
        <v>40</v>
      </c>
      <c r="M626" s="12">
        <v>230.00700000000001</v>
      </c>
      <c r="N626" s="12">
        <v>190.03100000000001</v>
      </c>
      <c r="O626" s="12">
        <v>4.3</v>
      </c>
      <c r="Q626" s="13">
        <f t="shared" si="25"/>
        <v>0.83200233016124203</v>
      </c>
    </row>
    <row r="627" spans="1:17" x14ac:dyDescent="0.25">
      <c r="A627" s="12">
        <f t="shared" si="22"/>
        <v>5</v>
      </c>
      <c r="B627" s="12">
        <v>2022</v>
      </c>
      <c r="C627" s="12">
        <v>6906</v>
      </c>
      <c r="D627" s="12">
        <v>1013773</v>
      </c>
      <c r="E627" s="12" t="s">
        <v>13</v>
      </c>
      <c r="F627" s="12" t="s">
        <v>14</v>
      </c>
      <c r="G627" s="25">
        <v>1013773</v>
      </c>
      <c r="H627" s="12">
        <f t="shared" si="24"/>
        <v>0</v>
      </c>
      <c r="I627" s="14">
        <v>44700</v>
      </c>
      <c r="J627" s="12" t="s">
        <v>18</v>
      </c>
      <c r="K627" s="12" t="s">
        <v>20</v>
      </c>
      <c r="L627" s="12" t="s">
        <v>45</v>
      </c>
      <c r="M627" s="12">
        <v>230.03299999999999</v>
      </c>
      <c r="N627" s="12">
        <v>196.76300000000001</v>
      </c>
      <c r="O627" s="12">
        <v>5</v>
      </c>
      <c r="P627" s="12">
        <v>13.8</v>
      </c>
      <c r="Q627" s="13">
        <f t="shared" si="25"/>
        <v>0.86137813196989654</v>
      </c>
    </row>
    <row r="628" spans="1:17" x14ac:dyDescent="0.25">
      <c r="A628" s="12">
        <f t="shared" si="22"/>
        <v>5</v>
      </c>
      <c r="B628" s="12">
        <v>2022</v>
      </c>
      <c r="C628" s="12">
        <v>6907</v>
      </c>
      <c r="D628" s="12">
        <v>1013856</v>
      </c>
      <c r="E628" s="12" t="s">
        <v>13</v>
      </c>
      <c r="F628" s="12" t="s">
        <v>14</v>
      </c>
      <c r="G628" s="25">
        <v>1013856</v>
      </c>
      <c r="H628" s="12">
        <f t="shared" si="24"/>
        <v>0</v>
      </c>
      <c r="I628" s="14">
        <v>44701</v>
      </c>
      <c r="J628" s="12" t="s">
        <v>18</v>
      </c>
      <c r="K628" s="12" t="s">
        <v>20</v>
      </c>
      <c r="L628" s="12" t="s">
        <v>42</v>
      </c>
      <c r="M628" s="12">
        <v>230.00700000000001</v>
      </c>
      <c r="N628" s="12">
        <v>186</v>
      </c>
      <c r="O628" s="12">
        <v>4.0999999999999996</v>
      </c>
      <c r="Q628" s="13">
        <f t="shared" si="25"/>
        <v>0.82619659401670387</v>
      </c>
    </row>
    <row r="629" spans="1:17" x14ac:dyDescent="0.25">
      <c r="A629" s="12">
        <f t="shared" si="22"/>
        <v>5</v>
      </c>
      <c r="B629" s="12">
        <v>2022</v>
      </c>
      <c r="C629" s="12">
        <v>6908</v>
      </c>
      <c r="D629" s="12">
        <v>1013926</v>
      </c>
      <c r="E629" s="12" t="s">
        <v>13</v>
      </c>
      <c r="F629" s="12" t="s">
        <v>14</v>
      </c>
      <c r="G629" s="25">
        <v>1013926</v>
      </c>
      <c r="H629" s="12">
        <f t="shared" si="24"/>
        <v>0</v>
      </c>
      <c r="I629" s="14">
        <v>44702</v>
      </c>
      <c r="J629" s="12" t="s">
        <v>18</v>
      </c>
      <c r="K629" s="12" t="s">
        <v>20</v>
      </c>
      <c r="L629" s="12" t="s">
        <v>42</v>
      </c>
      <c r="M629" s="12">
        <v>230.006</v>
      </c>
      <c r="N629" s="12">
        <v>182.58500000000001</v>
      </c>
      <c r="O629" s="12">
        <v>4.9000000000000004</v>
      </c>
      <c r="Q629" s="13">
        <f t="shared" si="25"/>
        <v>0.85536857755191653</v>
      </c>
    </row>
    <row r="630" spans="1:17" x14ac:dyDescent="0.25">
      <c r="A630" s="12">
        <f t="shared" si="22"/>
        <v>5</v>
      </c>
      <c r="B630" s="12">
        <v>2022</v>
      </c>
      <c r="C630" s="12">
        <v>6909</v>
      </c>
      <c r="D630" s="12">
        <v>1014025</v>
      </c>
      <c r="E630" s="12" t="s">
        <v>13</v>
      </c>
      <c r="F630" s="12" t="s">
        <v>14</v>
      </c>
      <c r="G630" s="25">
        <v>1014025</v>
      </c>
      <c r="H630" s="12">
        <f t="shared" si="24"/>
        <v>0</v>
      </c>
      <c r="I630" s="14">
        <v>44703</v>
      </c>
      <c r="J630" s="12" t="s">
        <v>18</v>
      </c>
      <c r="K630" s="12" t="s">
        <v>19</v>
      </c>
      <c r="L630" s="12" t="s">
        <v>40</v>
      </c>
      <c r="M630" s="12">
        <v>230.04300000000001</v>
      </c>
      <c r="N630" s="12">
        <v>195.67400000000001</v>
      </c>
      <c r="O630" s="12">
        <v>4.5999999999999996</v>
      </c>
      <c r="Q630" s="13">
        <f t="shared" si="25"/>
        <v>0.8086710404465951</v>
      </c>
    </row>
    <row r="631" spans="1:17" x14ac:dyDescent="0.25">
      <c r="A631" s="12">
        <f t="shared" si="22"/>
        <v>5</v>
      </c>
      <c r="B631" s="12">
        <v>2022</v>
      </c>
      <c r="C631" s="12">
        <v>6910</v>
      </c>
      <c r="D631" s="12">
        <v>1014128</v>
      </c>
      <c r="E631" s="12" t="s">
        <v>13</v>
      </c>
      <c r="F631" s="12" t="s">
        <v>14</v>
      </c>
      <c r="G631" s="25">
        <v>1014128</v>
      </c>
      <c r="H631" s="12">
        <f t="shared" si="24"/>
        <v>0</v>
      </c>
      <c r="I631" s="14">
        <v>44704</v>
      </c>
      <c r="J631" s="12" t="s">
        <v>18</v>
      </c>
      <c r="K631" s="12" t="s">
        <v>19</v>
      </c>
      <c r="L631" s="12" t="s">
        <v>40</v>
      </c>
      <c r="M631" s="12">
        <v>230.04300000000001</v>
      </c>
      <c r="N631" s="12">
        <v>183.82300000000001</v>
      </c>
      <c r="O631" s="12">
        <v>4.2</v>
      </c>
      <c r="Q631" s="13">
        <f t="shared" si="25"/>
        <v>0.79382711755345514</v>
      </c>
    </row>
    <row r="632" spans="1:17" x14ac:dyDescent="0.25">
      <c r="A632" s="12">
        <f t="shared" si="22"/>
        <v>5</v>
      </c>
      <c r="B632" s="12">
        <v>2022</v>
      </c>
      <c r="C632" s="12">
        <v>6911</v>
      </c>
      <c r="D632" s="12">
        <v>1014129</v>
      </c>
      <c r="E632" s="12" t="s">
        <v>13</v>
      </c>
      <c r="F632" s="12" t="s">
        <v>14</v>
      </c>
      <c r="G632" s="25">
        <v>1014129</v>
      </c>
      <c r="H632" s="12">
        <f t="shared" si="24"/>
        <v>0</v>
      </c>
      <c r="I632" s="14">
        <v>44705</v>
      </c>
      <c r="J632" s="12" t="s">
        <v>18</v>
      </c>
      <c r="K632" s="12" t="s">
        <v>19</v>
      </c>
      <c r="L632" s="12" t="s">
        <v>40</v>
      </c>
      <c r="M632" s="12">
        <v>230.01599999999999</v>
      </c>
      <c r="N632" s="12">
        <v>190.90799999999999</v>
      </c>
      <c r="O632" s="12">
        <v>4.2</v>
      </c>
      <c r="P632" s="12">
        <v>14</v>
      </c>
      <c r="Q632" s="13">
        <f t="shared" si="25"/>
        <v>0.85059749698969322</v>
      </c>
    </row>
    <row r="633" spans="1:17" x14ac:dyDescent="0.25">
      <c r="A633" s="12">
        <f t="shared" si="22"/>
        <v>5</v>
      </c>
      <c r="B633" s="12">
        <v>2022</v>
      </c>
      <c r="C633" s="12">
        <v>6912</v>
      </c>
      <c r="D633" s="12">
        <v>1014133</v>
      </c>
      <c r="E633" s="12" t="s">
        <v>13</v>
      </c>
      <c r="F633" s="12" t="s">
        <v>14</v>
      </c>
      <c r="G633" s="25">
        <v>1014133</v>
      </c>
      <c r="H633" s="12">
        <f t="shared" si="24"/>
        <v>0</v>
      </c>
      <c r="I633" s="14">
        <v>44706</v>
      </c>
      <c r="J633" s="12" t="s">
        <v>18</v>
      </c>
      <c r="K633" s="12" t="s">
        <v>19</v>
      </c>
      <c r="L633" s="12" t="s">
        <v>40</v>
      </c>
      <c r="M633" s="12">
        <v>230.00700000000001</v>
      </c>
      <c r="N633" s="12">
        <v>194.952</v>
      </c>
      <c r="O633" s="12">
        <v>3.8</v>
      </c>
      <c r="Q633" s="13">
        <f t="shared" si="25"/>
        <v>0.79908104137052638</v>
      </c>
    </row>
    <row r="634" spans="1:17" x14ac:dyDescent="0.25">
      <c r="A634" s="12">
        <f t="shared" si="22"/>
        <v>5</v>
      </c>
      <c r="B634" s="12">
        <v>2022</v>
      </c>
      <c r="C634" s="12">
        <v>6913</v>
      </c>
      <c r="D634" s="12">
        <v>1014215</v>
      </c>
      <c r="E634" s="12" t="s">
        <v>13</v>
      </c>
      <c r="F634" s="12" t="s">
        <v>14</v>
      </c>
      <c r="G634" s="25">
        <v>1014215</v>
      </c>
      <c r="H634" s="12">
        <f t="shared" si="24"/>
        <v>0</v>
      </c>
      <c r="I634" s="14">
        <v>44707</v>
      </c>
      <c r="J634" s="12" t="s">
        <v>18</v>
      </c>
      <c r="K634" s="12" t="s">
        <v>19</v>
      </c>
      <c r="L634" s="12" t="s">
        <v>40</v>
      </c>
      <c r="M634" s="12">
        <v>230.00800000000001</v>
      </c>
      <c r="N634" s="12">
        <v>186.101</v>
      </c>
      <c r="O634" s="12">
        <v>4.2</v>
      </c>
      <c r="Q634" s="13">
        <f t="shared" si="25"/>
        <v>0.82997704507512515</v>
      </c>
    </row>
    <row r="635" spans="1:17" x14ac:dyDescent="0.25">
      <c r="A635" s="12">
        <f t="shared" si="22"/>
        <v>5</v>
      </c>
      <c r="B635" s="12">
        <v>2022</v>
      </c>
      <c r="C635" s="12">
        <v>6914</v>
      </c>
      <c r="D635" s="12">
        <v>1014315</v>
      </c>
      <c r="E635" s="12" t="s">
        <v>13</v>
      </c>
      <c r="F635" s="12" t="s">
        <v>14</v>
      </c>
      <c r="G635" s="25">
        <v>1014315</v>
      </c>
      <c r="H635" s="12">
        <f t="shared" si="24"/>
        <v>0</v>
      </c>
      <c r="I635" s="14">
        <v>44708</v>
      </c>
      <c r="J635" s="12" t="s">
        <v>18</v>
      </c>
      <c r="K635" s="12" t="s">
        <v>19</v>
      </c>
      <c r="L635" s="12" t="s">
        <v>40</v>
      </c>
      <c r="M635" s="12">
        <v>229.99799999999999</v>
      </c>
      <c r="N635" s="12">
        <v>197.751</v>
      </c>
      <c r="O635" s="12">
        <v>4.5999999999999996</v>
      </c>
      <c r="Q635" s="13">
        <f t="shared" si="25"/>
        <v>0.84759159503841186</v>
      </c>
    </row>
    <row r="636" spans="1:17" x14ac:dyDescent="0.25">
      <c r="A636" s="12">
        <f t="shared" si="22"/>
        <v>5</v>
      </c>
      <c r="B636" s="12">
        <v>2022</v>
      </c>
      <c r="C636" s="12">
        <v>6915</v>
      </c>
      <c r="D636" s="12">
        <v>1014361</v>
      </c>
      <c r="E636" s="12" t="s">
        <v>13</v>
      </c>
      <c r="F636" s="12" t="s">
        <v>14</v>
      </c>
      <c r="G636" s="25">
        <v>1014361</v>
      </c>
      <c r="H636" s="12">
        <f t="shared" si="24"/>
        <v>0</v>
      </c>
      <c r="I636" s="14">
        <v>44709</v>
      </c>
      <c r="J636" s="12" t="s">
        <v>18</v>
      </c>
      <c r="K636" s="12" t="s">
        <v>19</v>
      </c>
      <c r="L636" s="12" t="s">
        <v>40</v>
      </c>
      <c r="M636" s="12">
        <v>229.97900000000001</v>
      </c>
      <c r="N636" s="12">
        <v>189.066</v>
      </c>
      <c r="O636" s="12">
        <v>3.5</v>
      </c>
      <c r="Q636" s="13">
        <f t="shared" si="25"/>
        <v>0.80910663976905151</v>
      </c>
    </row>
    <row r="637" spans="1:17" x14ac:dyDescent="0.25">
      <c r="A637" s="12">
        <f t="shared" si="22"/>
        <v>5</v>
      </c>
      <c r="B637" s="12">
        <v>2022</v>
      </c>
      <c r="C637" s="12">
        <v>6916</v>
      </c>
      <c r="D637" s="12">
        <v>1014488</v>
      </c>
      <c r="E637" s="12" t="s">
        <v>13</v>
      </c>
      <c r="F637" s="12" t="s">
        <v>14</v>
      </c>
      <c r="G637" s="25">
        <v>1014488</v>
      </c>
      <c r="H637" s="12">
        <f t="shared" si="24"/>
        <v>0</v>
      </c>
      <c r="I637" s="14">
        <v>44710</v>
      </c>
      <c r="J637" s="12" t="s">
        <v>18</v>
      </c>
      <c r="K637" s="12" t="s">
        <v>19</v>
      </c>
      <c r="L637" s="12" t="s">
        <v>40</v>
      </c>
      <c r="M637" s="12">
        <v>230.005</v>
      </c>
      <c r="N637" s="12">
        <v>194.11</v>
      </c>
      <c r="O637" s="12">
        <v>4.5999999999999996</v>
      </c>
      <c r="P637" s="12">
        <v>13.9</v>
      </c>
      <c r="Q637" s="13">
        <f t="shared" si="25"/>
        <v>0.85979443299506952</v>
      </c>
    </row>
    <row r="638" spans="1:17" x14ac:dyDescent="0.25">
      <c r="A638" s="12">
        <f t="shared" si="22"/>
        <v>5</v>
      </c>
      <c r="B638" s="12">
        <v>2022</v>
      </c>
      <c r="C638" s="12">
        <v>6917</v>
      </c>
      <c r="D638" s="12">
        <v>1014562</v>
      </c>
      <c r="E638" s="12" t="s">
        <v>13</v>
      </c>
      <c r="F638" s="12" t="s">
        <v>14</v>
      </c>
      <c r="G638" s="25">
        <v>1014562</v>
      </c>
      <c r="H638" s="12">
        <f t="shared" si="24"/>
        <v>0</v>
      </c>
      <c r="I638" s="14">
        <v>44711</v>
      </c>
      <c r="J638" s="12" t="s">
        <v>18</v>
      </c>
      <c r="K638" s="12" t="s">
        <v>19</v>
      </c>
      <c r="L638" s="12" t="s">
        <v>40</v>
      </c>
      <c r="M638" s="12">
        <v>230.001</v>
      </c>
      <c r="N638" s="12">
        <v>192.86199999999999</v>
      </c>
      <c r="O638" s="12">
        <v>3.8</v>
      </c>
      <c r="Q638" s="13">
        <f t="shared" si="25"/>
        <v>0.82210114836572035</v>
      </c>
    </row>
    <row r="639" spans="1:17" x14ac:dyDescent="0.25">
      <c r="A639" s="12">
        <f t="shared" si="22"/>
        <v>5</v>
      </c>
      <c r="B639" s="12">
        <v>2022</v>
      </c>
      <c r="C639" s="12">
        <v>6918</v>
      </c>
      <c r="D639" s="12">
        <v>1014563</v>
      </c>
      <c r="E639" s="12" t="s">
        <v>13</v>
      </c>
      <c r="F639" s="12" t="s">
        <v>14</v>
      </c>
      <c r="G639" s="25">
        <v>1014563</v>
      </c>
      <c r="H639" s="12">
        <f t="shared" si="24"/>
        <v>0</v>
      </c>
      <c r="I639" s="14">
        <v>44712</v>
      </c>
      <c r="J639" s="12" t="s">
        <v>18</v>
      </c>
      <c r="K639" s="12" t="s">
        <v>19</v>
      </c>
      <c r="L639" s="12" t="s">
        <v>40</v>
      </c>
      <c r="M639" s="12">
        <v>230.001</v>
      </c>
      <c r="N639" s="12">
        <v>193.898</v>
      </c>
      <c r="O639" s="12">
        <v>4.3</v>
      </c>
      <c r="Q639" s="13">
        <f t="shared" si="25"/>
        <v>0.84393817525705972</v>
      </c>
    </row>
    <row r="640" spans="1:17" x14ac:dyDescent="0.25">
      <c r="A640" s="12">
        <f t="shared" si="22"/>
        <v>6</v>
      </c>
      <c r="B640" s="12">
        <v>2022</v>
      </c>
      <c r="C640" s="12">
        <v>6919</v>
      </c>
      <c r="D640" s="12">
        <v>1014566</v>
      </c>
      <c r="E640" s="12" t="s">
        <v>13</v>
      </c>
      <c r="F640" s="12" t="s">
        <v>14</v>
      </c>
      <c r="G640" s="25">
        <v>1014566</v>
      </c>
      <c r="H640" s="12">
        <f t="shared" si="24"/>
        <v>0</v>
      </c>
      <c r="I640" s="14">
        <v>44713</v>
      </c>
      <c r="J640" s="12" t="s">
        <v>18</v>
      </c>
      <c r="K640" s="12" t="s">
        <v>20</v>
      </c>
      <c r="L640" s="12" t="s">
        <v>42</v>
      </c>
      <c r="M640" s="12">
        <v>230.001</v>
      </c>
      <c r="N640" s="12">
        <v>190.95099999999999</v>
      </c>
      <c r="O640" s="12">
        <v>4</v>
      </c>
      <c r="Q640" s="13">
        <f t="shared" si="25"/>
        <v>0.83852678901396072</v>
      </c>
    </row>
    <row r="641" spans="1:17" x14ac:dyDescent="0.25">
      <c r="A641" s="12">
        <f t="shared" si="22"/>
        <v>6</v>
      </c>
      <c r="B641" s="12">
        <v>2022</v>
      </c>
      <c r="C641" s="12">
        <v>6920</v>
      </c>
      <c r="D641" s="12">
        <v>1014667</v>
      </c>
      <c r="E641" s="12" t="s">
        <v>13</v>
      </c>
      <c r="F641" s="12" t="s">
        <v>14</v>
      </c>
      <c r="G641" s="25">
        <v>1014667</v>
      </c>
      <c r="H641" s="12">
        <f t="shared" si="24"/>
        <v>0</v>
      </c>
      <c r="I641" s="14">
        <v>44714</v>
      </c>
      <c r="J641" s="12" t="s">
        <v>18</v>
      </c>
      <c r="K641" s="12" t="s">
        <v>20</v>
      </c>
      <c r="L641" s="12" t="s">
        <v>42</v>
      </c>
      <c r="M641" s="12">
        <v>230</v>
      </c>
      <c r="N641" s="12">
        <v>193.251</v>
      </c>
      <c r="O641" s="12">
        <v>4</v>
      </c>
      <c r="Q641" s="13">
        <f t="shared" si="25"/>
        <v>0.84303111725601187</v>
      </c>
    </row>
    <row r="642" spans="1:17" x14ac:dyDescent="0.25">
      <c r="A642" s="12">
        <f t="shared" si="22"/>
        <v>6</v>
      </c>
      <c r="B642" s="12">
        <v>2022</v>
      </c>
      <c r="C642" s="12">
        <v>6921</v>
      </c>
      <c r="D642" s="12">
        <v>1014729</v>
      </c>
      <c r="E642" s="12" t="s">
        <v>13</v>
      </c>
      <c r="F642" s="12" t="s">
        <v>14</v>
      </c>
      <c r="G642" s="25">
        <v>1014729</v>
      </c>
      <c r="H642" s="12">
        <f t="shared" si="24"/>
        <v>0</v>
      </c>
      <c r="I642" s="14">
        <v>44715</v>
      </c>
      <c r="J642" s="12" t="s">
        <v>18</v>
      </c>
      <c r="K642" s="12" t="s">
        <v>20</v>
      </c>
      <c r="L642" s="12" t="s">
        <v>42</v>
      </c>
      <c r="M642" s="12">
        <v>230.00200000000001</v>
      </c>
      <c r="N642" s="12">
        <v>197.82300000000001</v>
      </c>
      <c r="O642" s="12">
        <v>4.7</v>
      </c>
      <c r="Q642" s="13">
        <f t="shared" si="25"/>
        <v>0.83021812948639351</v>
      </c>
    </row>
    <row r="643" spans="1:17" x14ac:dyDescent="0.25">
      <c r="A643" s="12">
        <f t="shared" ref="A643:A706" si="26">MONTH(I643)</f>
        <v>6</v>
      </c>
      <c r="B643" s="12">
        <v>2022</v>
      </c>
      <c r="C643" s="12">
        <v>6922</v>
      </c>
      <c r="D643" s="12">
        <v>1014800</v>
      </c>
      <c r="E643" s="12" t="s">
        <v>13</v>
      </c>
      <c r="F643" s="12" t="s">
        <v>14</v>
      </c>
      <c r="G643" s="25">
        <v>1014800</v>
      </c>
      <c r="H643" s="12">
        <f t="shared" si="24"/>
        <v>0</v>
      </c>
      <c r="I643" s="14">
        <v>44716</v>
      </c>
      <c r="J643" s="12" t="s">
        <v>18</v>
      </c>
      <c r="K643" s="12" t="s">
        <v>20</v>
      </c>
      <c r="L643" s="12" t="s">
        <v>42</v>
      </c>
      <c r="M643" s="12">
        <v>230.00200000000001</v>
      </c>
      <c r="N643" s="12">
        <v>193.43799999999999</v>
      </c>
      <c r="O643" s="12">
        <v>5</v>
      </c>
      <c r="Q643" s="13">
        <f t="shared" si="25"/>
        <v>0.84022173913043485</v>
      </c>
    </row>
    <row r="644" spans="1:17" x14ac:dyDescent="0.25">
      <c r="A644" s="12">
        <f t="shared" si="26"/>
        <v>6</v>
      </c>
      <c r="B644" s="12">
        <v>2022</v>
      </c>
      <c r="C644" s="12">
        <v>6923</v>
      </c>
      <c r="D644" s="12">
        <v>1014808</v>
      </c>
      <c r="E644" s="12" t="s">
        <v>13</v>
      </c>
      <c r="F644" s="12" t="s">
        <v>14</v>
      </c>
      <c r="G644" s="25">
        <v>1014808</v>
      </c>
      <c r="H644" s="12">
        <f t="shared" si="24"/>
        <v>0</v>
      </c>
      <c r="I644" s="14">
        <v>44717</v>
      </c>
      <c r="J644" s="12" t="s">
        <v>18</v>
      </c>
      <c r="K644" s="12" t="s">
        <v>19</v>
      </c>
      <c r="L644" s="12" t="s">
        <v>40</v>
      </c>
      <c r="M644" s="12">
        <v>230.001</v>
      </c>
      <c r="N644" s="12">
        <v>194.32900000000001</v>
      </c>
      <c r="O644" s="12">
        <v>4.0999999999999996</v>
      </c>
      <c r="P644" s="12">
        <v>14</v>
      </c>
      <c r="Q644" s="13">
        <f t="shared" si="25"/>
        <v>0.86009252093460054</v>
      </c>
    </row>
    <row r="645" spans="1:17" x14ac:dyDescent="0.25">
      <c r="A645" s="12">
        <f t="shared" si="26"/>
        <v>6</v>
      </c>
      <c r="B645" s="12">
        <v>2022</v>
      </c>
      <c r="C645" s="12">
        <v>6924</v>
      </c>
      <c r="D645" s="12">
        <v>1014896</v>
      </c>
      <c r="E645" s="12" t="s">
        <v>13</v>
      </c>
      <c r="F645" s="12" t="s">
        <v>14</v>
      </c>
      <c r="G645" s="25">
        <v>1014896</v>
      </c>
      <c r="H645" s="12">
        <f t="shared" si="24"/>
        <v>0</v>
      </c>
      <c r="I645" s="14">
        <v>44718</v>
      </c>
      <c r="J645" s="12" t="s">
        <v>18</v>
      </c>
      <c r="K645" s="12" t="s">
        <v>19</v>
      </c>
      <c r="L645" s="12" t="s">
        <v>40</v>
      </c>
      <c r="M645" s="12">
        <v>230</v>
      </c>
      <c r="N645" s="12">
        <v>196.41800000000001</v>
      </c>
      <c r="O645" s="12">
        <v>5.5</v>
      </c>
      <c r="Q645" s="13">
        <f t="shared" si="25"/>
        <v>0.84102746932635364</v>
      </c>
    </row>
    <row r="646" spans="1:17" x14ac:dyDescent="0.25">
      <c r="A646" s="12">
        <f t="shared" si="26"/>
        <v>6</v>
      </c>
      <c r="B646" s="12">
        <v>2022</v>
      </c>
      <c r="C646" s="12">
        <v>6925</v>
      </c>
      <c r="D646" s="12">
        <v>1014900</v>
      </c>
      <c r="E646" s="12" t="s">
        <v>13</v>
      </c>
      <c r="F646" s="12" t="s">
        <v>14</v>
      </c>
      <c r="G646" s="25">
        <v>1014900</v>
      </c>
      <c r="H646" s="12">
        <f t="shared" si="24"/>
        <v>0</v>
      </c>
      <c r="I646" s="14">
        <v>44719</v>
      </c>
      <c r="J646" s="12" t="s">
        <v>18</v>
      </c>
      <c r="K646" s="12" t="s">
        <v>19</v>
      </c>
      <c r="L646" s="12" t="s">
        <v>40</v>
      </c>
      <c r="M646" s="12">
        <v>230</v>
      </c>
      <c r="N646" s="12">
        <v>186.06399999999999</v>
      </c>
      <c r="O646" s="12">
        <v>3.8</v>
      </c>
      <c r="Q646" s="13">
        <f t="shared" si="25"/>
        <v>0.84490502215207763</v>
      </c>
    </row>
    <row r="647" spans="1:17" x14ac:dyDescent="0.25">
      <c r="A647" s="12">
        <f t="shared" si="26"/>
        <v>6</v>
      </c>
      <c r="B647" s="12">
        <v>2022</v>
      </c>
      <c r="C647" s="12">
        <v>6926</v>
      </c>
      <c r="D647" s="12">
        <v>1014903</v>
      </c>
      <c r="E647" s="12" t="s">
        <v>13</v>
      </c>
      <c r="F647" s="12" t="s">
        <v>14</v>
      </c>
      <c r="G647" s="25">
        <v>1014903</v>
      </c>
      <c r="H647" s="12">
        <f t="shared" si="24"/>
        <v>0</v>
      </c>
      <c r="I647" s="14">
        <v>44720</v>
      </c>
      <c r="J647" s="12" t="s">
        <v>18</v>
      </c>
      <c r="K647" s="12" t="s">
        <v>19</v>
      </c>
      <c r="L647" s="12" t="s">
        <v>40</v>
      </c>
      <c r="M647" s="12">
        <v>230.00700000000001</v>
      </c>
      <c r="N647" s="12">
        <v>195.18899999999999</v>
      </c>
      <c r="O647" s="12">
        <v>4.5</v>
      </c>
      <c r="Q647" s="13">
        <f t="shared" si="25"/>
        <v>0.85399130434782611</v>
      </c>
    </row>
    <row r="648" spans="1:17" x14ac:dyDescent="0.25">
      <c r="A648" s="12">
        <f t="shared" si="26"/>
        <v>6</v>
      </c>
      <c r="B648" s="12">
        <v>2022</v>
      </c>
      <c r="C648" s="12">
        <v>6927</v>
      </c>
      <c r="D648" s="12">
        <v>1015029</v>
      </c>
      <c r="E648" s="12" t="s">
        <v>13</v>
      </c>
      <c r="F648" s="12" t="s">
        <v>14</v>
      </c>
      <c r="G648" s="25">
        <v>1015029</v>
      </c>
      <c r="H648" s="12">
        <f t="shared" si="24"/>
        <v>0</v>
      </c>
      <c r="I648" s="14">
        <v>44721</v>
      </c>
      <c r="J648" s="12" t="s">
        <v>18</v>
      </c>
      <c r="K648" s="12" t="s">
        <v>19</v>
      </c>
      <c r="L648" s="12" t="s">
        <v>40</v>
      </c>
      <c r="M648" s="12">
        <v>230.00700000000001</v>
      </c>
      <c r="N648" s="12">
        <v>187.36</v>
      </c>
      <c r="O648" s="12">
        <v>3.8</v>
      </c>
      <c r="Q648" s="13">
        <f t="shared" si="25"/>
        <v>0.80897391304347821</v>
      </c>
    </row>
    <row r="649" spans="1:17" x14ac:dyDescent="0.25">
      <c r="A649" s="12">
        <f t="shared" si="26"/>
        <v>6</v>
      </c>
      <c r="B649" s="12">
        <v>2022</v>
      </c>
      <c r="C649" s="12">
        <v>6928</v>
      </c>
      <c r="D649" s="12">
        <v>1015139</v>
      </c>
      <c r="E649" s="12" t="s">
        <v>13</v>
      </c>
      <c r="F649" s="12" t="s">
        <v>14</v>
      </c>
      <c r="G649" s="25">
        <v>1015139</v>
      </c>
      <c r="H649" s="12">
        <f t="shared" si="24"/>
        <v>0</v>
      </c>
      <c r="I649" s="14">
        <v>44722</v>
      </c>
      <c r="J649" s="12" t="s">
        <v>38</v>
      </c>
      <c r="K649" s="12" t="s">
        <v>19</v>
      </c>
      <c r="L649" s="12" t="s">
        <v>40</v>
      </c>
      <c r="M649" s="12">
        <v>230.00899999999999</v>
      </c>
      <c r="N649" s="12">
        <v>189.22300000000001</v>
      </c>
      <c r="O649" s="12">
        <v>4</v>
      </c>
      <c r="P649" s="12">
        <v>14.3</v>
      </c>
      <c r="Q649" s="13">
        <f t="shared" si="25"/>
        <v>0.84862199846091635</v>
      </c>
    </row>
    <row r="650" spans="1:17" x14ac:dyDescent="0.25">
      <c r="A650" s="12">
        <f t="shared" si="26"/>
        <v>6</v>
      </c>
      <c r="B650" s="12">
        <v>2022</v>
      </c>
      <c r="C650" s="12">
        <v>6929</v>
      </c>
      <c r="D650" s="12">
        <v>1015228</v>
      </c>
      <c r="E650" s="12" t="s">
        <v>13</v>
      </c>
      <c r="F650" s="12" t="s">
        <v>14</v>
      </c>
      <c r="G650" s="25">
        <v>1015228</v>
      </c>
      <c r="H650" s="12">
        <f t="shared" si="24"/>
        <v>0</v>
      </c>
      <c r="I650" s="14">
        <v>44723</v>
      </c>
      <c r="J650" s="12" t="s">
        <v>38</v>
      </c>
      <c r="K650" s="12" t="s">
        <v>19</v>
      </c>
      <c r="L650" s="12" t="s">
        <v>40</v>
      </c>
      <c r="M650" s="12">
        <v>230.00899999999999</v>
      </c>
      <c r="N650" s="12">
        <v>196.68600000000001</v>
      </c>
      <c r="O650" s="12">
        <v>4</v>
      </c>
      <c r="Q650" s="13">
        <f t="shared" si="25"/>
        <v>0.81458390396814018</v>
      </c>
    </row>
    <row r="651" spans="1:17" x14ac:dyDescent="0.25">
      <c r="A651" s="12">
        <f t="shared" si="26"/>
        <v>6</v>
      </c>
      <c r="B651" s="12">
        <v>2022</v>
      </c>
      <c r="C651" s="12">
        <v>6930</v>
      </c>
      <c r="D651" s="12">
        <v>1015307</v>
      </c>
      <c r="E651" s="12" t="s">
        <v>13</v>
      </c>
      <c r="F651" s="12" t="s">
        <v>14</v>
      </c>
      <c r="G651" s="25">
        <v>1015307</v>
      </c>
      <c r="H651" s="12">
        <f t="shared" si="24"/>
        <v>0</v>
      </c>
      <c r="I651" s="14">
        <v>44724</v>
      </c>
      <c r="J651" s="12" t="s">
        <v>38</v>
      </c>
      <c r="K651" s="12" t="s">
        <v>19</v>
      </c>
      <c r="L651" s="12" t="s">
        <v>40</v>
      </c>
      <c r="M651" s="12">
        <v>230.00800000000001</v>
      </c>
      <c r="N651" s="12">
        <v>183.25</v>
      </c>
      <c r="O651" s="12">
        <v>4.3</v>
      </c>
      <c r="Q651" s="13">
        <f t="shared" si="25"/>
        <v>0.82267650396288849</v>
      </c>
    </row>
    <row r="652" spans="1:17" x14ac:dyDescent="0.25">
      <c r="A652" s="12">
        <f t="shared" si="26"/>
        <v>6</v>
      </c>
      <c r="B652" s="12">
        <v>2022</v>
      </c>
      <c r="C652" s="12">
        <v>6931</v>
      </c>
      <c r="D652" s="12">
        <v>1015361</v>
      </c>
      <c r="E652" s="12" t="s">
        <v>13</v>
      </c>
      <c r="F652" s="12" t="s">
        <v>14</v>
      </c>
      <c r="G652" s="25">
        <v>1015361</v>
      </c>
      <c r="H652" s="12">
        <f t="shared" si="24"/>
        <v>0</v>
      </c>
      <c r="I652" s="14">
        <v>44725</v>
      </c>
      <c r="J652" s="12" t="s">
        <v>38</v>
      </c>
      <c r="K652" s="12" t="s">
        <v>19</v>
      </c>
      <c r="L652" s="12" t="s">
        <v>40</v>
      </c>
      <c r="M652" s="12">
        <v>230.006</v>
      </c>
      <c r="N652" s="12">
        <v>185.93299999999999</v>
      </c>
      <c r="O652" s="12">
        <v>3.8</v>
      </c>
      <c r="Q652" s="13">
        <f t="shared" si="25"/>
        <v>0.85512306040198438</v>
      </c>
    </row>
    <row r="653" spans="1:17" x14ac:dyDescent="0.25">
      <c r="A653" s="12">
        <f t="shared" si="26"/>
        <v>6</v>
      </c>
      <c r="B653" s="12">
        <v>2022</v>
      </c>
      <c r="C653" s="12">
        <v>6932</v>
      </c>
      <c r="D653" s="12">
        <v>1015362</v>
      </c>
      <c r="E653" s="12" t="s">
        <v>13</v>
      </c>
      <c r="F653" s="12" t="s">
        <v>14</v>
      </c>
      <c r="G653" s="25">
        <v>1015362</v>
      </c>
      <c r="H653" s="12">
        <f t="shared" si="24"/>
        <v>0</v>
      </c>
      <c r="I653" s="14">
        <v>44726</v>
      </c>
      <c r="J653" s="12" t="s">
        <v>38</v>
      </c>
      <c r="K653" s="12" t="s">
        <v>19</v>
      </c>
      <c r="L653" s="12" t="s">
        <v>40</v>
      </c>
      <c r="M653" s="12">
        <v>230.00700000000001</v>
      </c>
      <c r="N653" s="12">
        <v>188.73</v>
      </c>
      <c r="O653" s="12">
        <v>3.8</v>
      </c>
      <c r="Q653" s="13">
        <f t="shared" si="25"/>
        <v>0.79671141873326146</v>
      </c>
    </row>
    <row r="654" spans="1:17" x14ac:dyDescent="0.25">
      <c r="A654" s="12">
        <f t="shared" si="26"/>
        <v>6</v>
      </c>
      <c r="B654" s="12">
        <v>2022</v>
      </c>
      <c r="C654" s="12">
        <v>6933</v>
      </c>
      <c r="D654" s="20">
        <v>1015364</v>
      </c>
      <c r="E654" s="12" t="s">
        <v>13</v>
      </c>
      <c r="F654" s="12" t="s">
        <v>14</v>
      </c>
      <c r="G654" s="25"/>
      <c r="H654" s="12">
        <f t="shared" si="24"/>
        <v>1015364</v>
      </c>
      <c r="I654" s="14">
        <v>44727</v>
      </c>
      <c r="J654" s="12" t="s">
        <v>51</v>
      </c>
      <c r="K654" s="12" t="s">
        <v>19</v>
      </c>
      <c r="L654" s="12" t="s">
        <v>35</v>
      </c>
      <c r="M654" s="12">
        <v>230.01</v>
      </c>
      <c r="N654" s="12">
        <v>189.64599999999999</v>
      </c>
      <c r="Q654" s="13">
        <f t="shared" si="25"/>
        <v>0.80838325956714174</v>
      </c>
    </row>
    <row r="655" spans="1:17" x14ac:dyDescent="0.25">
      <c r="A655" s="12">
        <f t="shared" si="26"/>
        <v>6</v>
      </c>
      <c r="B655" s="12">
        <v>2022</v>
      </c>
      <c r="C655" s="12">
        <v>6934</v>
      </c>
      <c r="D655" s="20">
        <v>1015451</v>
      </c>
      <c r="E655" s="12" t="s">
        <v>13</v>
      </c>
      <c r="F655" s="12" t="s">
        <v>14</v>
      </c>
      <c r="G655" s="25"/>
      <c r="H655" s="12">
        <f t="shared" si="24"/>
        <v>1015451</v>
      </c>
      <c r="I655" s="14">
        <v>44728</v>
      </c>
      <c r="J655" s="12" t="s">
        <v>51</v>
      </c>
      <c r="K655" s="12" t="s">
        <v>19</v>
      </c>
      <c r="L655" s="12" t="s">
        <v>35</v>
      </c>
      <c r="M655" s="12">
        <v>230.01</v>
      </c>
      <c r="N655" s="12">
        <v>193.90899999999999</v>
      </c>
      <c r="Q655" s="13">
        <f t="shared" si="25"/>
        <v>0.82054024442734341</v>
      </c>
    </row>
    <row r="656" spans="1:17" x14ac:dyDescent="0.25">
      <c r="A656" s="12">
        <f t="shared" si="26"/>
        <v>6</v>
      </c>
      <c r="B656" s="12">
        <v>2022</v>
      </c>
      <c r="C656" s="12">
        <v>6935</v>
      </c>
      <c r="D656" s="12">
        <v>1015585</v>
      </c>
      <c r="E656" s="12" t="s">
        <v>13</v>
      </c>
      <c r="F656" s="12" t="s">
        <v>14</v>
      </c>
      <c r="G656" s="25">
        <v>1015585</v>
      </c>
      <c r="H656" s="12">
        <f t="shared" si="24"/>
        <v>0</v>
      </c>
      <c r="I656" s="14">
        <v>44729</v>
      </c>
      <c r="J656" s="12" t="s">
        <v>51</v>
      </c>
      <c r="K656" s="12" t="s">
        <v>19</v>
      </c>
      <c r="L656" s="12" t="s">
        <v>41</v>
      </c>
      <c r="M656" s="12">
        <v>229.988</v>
      </c>
      <c r="N656" s="12">
        <v>195.232</v>
      </c>
      <c r="O656" s="12">
        <v>3.8</v>
      </c>
      <c r="Q656" s="13">
        <f t="shared" si="25"/>
        <v>0.82451197774009821</v>
      </c>
    </row>
    <row r="657" spans="1:17" x14ac:dyDescent="0.25">
      <c r="A657" s="12">
        <f t="shared" si="26"/>
        <v>6</v>
      </c>
      <c r="B657" s="12">
        <v>2022</v>
      </c>
      <c r="C657" s="12">
        <v>6936</v>
      </c>
      <c r="D657" s="12">
        <v>1015626</v>
      </c>
      <c r="E657" s="12" t="s">
        <v>13</v>
      </c>
      <c r="F657" s="12" t="s">
        <v>14</v>
      </c>
      <c r="G657" s="25">
        <v>1015626</v>
      </c>
      <c r="H657" s="12">
        <f t="shared" si="24"/>
        <v>0</v>
      </c>
      <c r="I657" s="14">
        <v>44730</v>
      </c>
      <c r="J657" s="12" t="s">
        <v>51</v>
      </c>
      <c r="K657" s="12" t="s">
        <v>19</v>
      </c>
      <c r="L657" s="12" t="s">
        <v>41</v>
      </c>
      <c r="M657" s="12">
        <v>229.989</v>
      </c>
      <c r="N657" s="12">
        <v>189.75</v>
      </c>
      <c r="O657" s="12">
        <v>4.4000000000000004</v>
      </c>
      <c r="Q657" s="13">
        <f t="shared" si="25"/>
        <v>0.84304595452371633</v>
      </c>
    </row>
    <row r="658" spans="1:17" x14ac:dyDescent="0.25">
      <c r="A658" s="12">
        <f t="shared" si="26"/>
        <v>6</v>
      </c>
      <c r="B658" s="12">
        <v>2022</v>
      </c>
      <c r="C658" s="12">
        <v>6937</v>
      </c>
      <c r="D658" s="12">
        <v>1015706</v>
      </c>
      <c r="E658" s="12" t="s">
        <v>13</v>
      </c>
      <c r="F658" s="12" t="s">
        <v>14</v>
      </c>
      <c r="G658" s="25">
        <v>1015706</v>
      </c>
      <c r="H658" s="12">
        <f t="shared" si="24"/>
        <v>0</v>
      </c>
      <c r="I658" s="14">
        <v>44731</v>
      </c>
      <c r="J658" s="12" t="s">
        <v>18</v>
      </c>
      <c r="K658" s="12" t="s">
        <v>19</v>
      </c>
      <c r="L658" s="12" t="s">
        <v>40</v>
      </c>
      <c r="M658" s="12">
        <v>230.00200000000001</v>
      </c>
      <c r="N658" s="12">
        <v>188.15</v>
      </c>
      <c r="O658" s="12">
        <v>3.5</v>
      </c>
      <c r="P658" s="12">
        <v>13.9</v>
      </c>
      <c r="Q658" s="13">
        <f t="shared" si="25"/>
        <v>0.84887907195158008</v>
      </c>
    </row>
    <row r="659" spans="1:17" x14ac:dyDescent="0.25">
      <c r="A659" s="12">
        <f t="shared" si="26"/>
        <v>6</v>
      </c>
      <c r="B659" s="12">
        <v>2022</v>
      </c>
      <c r="C659" s="12">
        <v>6938</v>
      </c>
      <c r="D659" s="12">
        <v>1015814</v>
      </c>
      <c r="E659" s="12" t="s">
        <v>13</v>
      </c>
      <c r="F659" s="12" t="s">
        <v>14</v>
      </c>
      <c r="G659" s="25">
        <v>1015814</v>
      </c>
      <c r="H659" s="12">
        <f t="shared" si="24"/>
        <v>0</v>
      </c>
      <c r="I659" s="14">
        <v>44732</v>
      </c>
      <c r="J659" s="12" t="s">
        <v>18</v>
      </c>
      <c r="K659" s="12" t="s">
        <v>19</v>
      </c>
      <c r="L659" s="12" t="s">
        <v>40</v>
      </c>
      <c r="M659" s="12">
        <v>230.005</v>
      </c>
      <c r="N659" s="12">
        <v>193.41</v>
      </c>
      <c r="O659" s="12">
        <v>4.4000000000000004</v>
      </c>
      <c r="Q659" s="13">
        <f t="shared" si="25"/>
        <v>0.82503945840888038</v>
      </c>
    </row>
    <row r="660" spans="1:17" x14ac:dyDescent="0.25">
      <c r="A660" s="12">
        <f t="shared" si="26"/>
        <v>6</v>
      </c>
      <c r="B660" s="12">
        <v>2022</v>
      </c>
      <c r="C660" s="12">
        <v>6939</v>
      </c>
      <c r="D660" s="12">
        <v>1015816</v>
      </c>
      <c r="E660" s="12" t="s">
        <v>13</v>
      </c>
      <c r="F660" s="12" t="s">
        <v>14</v>
      </c>
      <c r="G660" s="25">
        <v>1015816</v>
      </c>
      <c r="H660" s="12">
        <f t="shared" si="24"/>
        <v>0</v>
      </c>
      <c r="I660" s="14">
        <v>44733</v>
      </c>
      <c r="J660" s="12" t="s">
        <v>18</v>
      </c>
      <c r="K660" s="12" t="s">
        <v>19</v>
      </c>
      <c r="L660" s="12" t="s">
        <v>40</v>
      </c>
      <c r="M660" s="12">
        <v>230.006</v>
      </c>
      <c r="N660" s="12">
        <v>180.34800000000001</v>
      </c>
      <c r="O660" s="12">
        <v>3.6</v>
      </c>
      <c r="Q660" s="13">
        <f t="shared" si="25"/>
        <v>0.81803636490117482</v>
      </c>
    </row>
    <row r="661" spans="1:17" x14ac:dyDescent="0.25">
      <c r="A661" s="12">
        <f t="shared" si="26"/>
        <v>6</v>
      </c>
      <c r="B661" s="12">
        <v>2022</v>
      </c>
      <c r="C661" s="12">
        <v>6940</v>
      </c>
      <c r="D661" s="12">
        <v>1015819</v>
      </c>
      <c r="E661" s="12" t="s">
        <v>13</v>
      </c>
      <c r="F661" s="12" t="s">
        <v>14</v>
      </c>
      <c r="G661" s="25">
        <v>1015819</v>
      </c>
      <c r="H661" s="12">
        <f t="shared" si="24"/>
        <v>0</v>
      </c>
      <c r="I661" s="14">
        <v>44734</v>
      </c>
      <c r="J661" s="12" t="s">
        <v>18</v>
      </c>
      <c r="K661" s="12" t="s">
        <v>19</v>
      </c>
      <c r="L661" s="12" t="s">
        <v>40</v>
      </c>
      <c r="M661" s="12">
        <v>230.00399999999999</v>
      </c>
      <c r="N661" s="12">
        <v>191.47300000000001</v>
      </c>
      <c r="O661" s="12">
        <v>4.2</v>
      </c>
      <c r="Q661" s="13">
        <f t="shared" si="25"/>
        <v>0.8408947631573227</v>
      </c>
    </row>
    <row r="662" spans="1:17" x14ac:dyDescent="0.25">
      <c r="A662" s="12">
        <f t="shared" si="26"/>
        <v>6</v>
      </c>
      <c r="B662" s="12">
        <v>2022</v>
      </c>
      <c r="C662" s="12">
        <v>6941</v>
      </c>
      <c r="D662" s="12">
        <v>1015928</v>
      </c>
      <c r="E662" s="12" t="s">
        <v>13</v>
      </c>
      <c r="F662" s="12" t="s">
        <v>14</v>
      </c>
      <c r="G662" s="25">
        <v>1015928</v>
      </c>
      <c r="H662" s="12">
        <f t="shared" si="24"/>
        <v>0</v>
      </c>
      <c r="I662" s="14">
        <v>44735</v>
      </c>
      <c r="J662" s="12" t="s">
        <v>18</v>
      </c>
      <c r="K662" s="12" t="s">
        <v>19</v>
      </c>
      <c r="L662" s="12" t="s">
        <v>40</v>
      </c>
      <c r="M662" s="12">
        <v>230.005</v>
      </c>
      <c r="N662" s="12">
        <v>183.68199999999999</v>
      </c>
      <c r="O662" s="12">
        <v>4.0999999999999996</v>
      </c>
      <c r="Q662" s="13">
        <f t="shared" si="25"/>
        <v>0.78410128431432224</v>
      </c>
    </row>
    <row r="663" spans="1:17" x14ac:dyDescent="0.25">
      <c r="A663" s="12">
        <f t="shared" si="26"/>
        <v>6</v>
      </c>
      <c r="B663" s="12">
        <v>2022</v>
      </c>
      <c r="C663" s="12">
        <v>6942</v>
      </c>
      <c r="D663" s="12">
        <v>1016009</v>
      </c>
      <c r="E663" s="12" t="s">
        <v>13</v>
      </c>
      <c r="F663" s="12" t="s">
        <v>14</v>
      </c>
      <c r="G663" s="25">
        <v>1016009</v>
      </c>
      <c r="H663" s="12">
        <f t="shared" si="24"/>
        <v>0</v>
      </c>
      <c r="I663" s="14">
        <v>44736</v>
      </c>
      <c r="J663" s="12" t="s">
        <v>36</v>
      </c>
      <c r="K663" s="12" t="s">
        <v>20</v>
      </c>
      <c r="L663" s="12" t="s">
        <v>42</v>
      </c>
      <c r="M663" s="12">
        <v>230</v>
      </c>
      <c r="N663" s="12">
        <v>183.75800000000001</v>
      </c>
      <c r="O663" s="12">
        <v>4.8</v>
      </c>
      <c r="P663" s="12">
        <v>13.6</v>
      </c>
      <c r="Q663" s="13">
        <f t="shared" si="25"/>
        <v>0.83247682648997423</v>
      </c>
    </row>
    <row r="664" spans="1:17" x14ac:dyDescent="0.25">
      <c r="A664" s="12">
        <f t="shared" si="26"/>
        <v>6</v>
      </c>
      <c r="B664" s="12">
        <v>2022</v>
      </c>
      <c r="C664" s="12">
        <v>6943</v>
      </c>
      <c r="D664" s="12">
        <v>1016067</v>
      </c>
      <c r="E664" s="12" t="s">
        <v>13</v>
      </c>
      <c r="F664" s="12" t="s">
        <v>14</v>
      </c>
      <c r="G664" s="25">
        <v>1016067</v>
      </c>
      <c r="H664" s="12">
        <f t="shared" si="24"/>
        <v>0</v>
      </c>
      <c r="I664" s="14">
        <v>44737</v>
      </c>
      <c r="J664" s="12" t="s">
        <v>36</v>
      </c>
      <c r="K664" s="12" t="s">
        <v>20</v>
      </c>
      <c r="L664" s="12" t="s">
        <v>42</v>
      </c>
      <c r="M664" s="12">
        <v>230</v>
      </c>
      <c r="N664" s="12">
        <v>181.05199999999999</v>
      </c>
      <c r="O664" s="12">
        <v>4</v>
      </c>
      <c r="Q664" s="13">
        <f t="shared" si="25"/>
        <v>0.79860003043412098</v>
      </c>
    </row>
    <row r="665" spans="1:17" x14ac:dyDescent="0.25">
      <c r="A665" s="12">
        <f t="shared" si="26"/>
        <v>6</v>
      </c>
      <c r="B665" s="12">
        <v>2022</v>
      </c>
      <c r="C665" s="12">
        <v>6944</v>
      </c>
      <c r="D665" s="12">
        <v>1016163</v>
      </c>
      <c r="E665" s="12" t="s">
        <v>13</v>
      </c>
      <c r="F665" s="12" t="s">
        <v>14</v>
      </c>
      <c r="G665" s="25">
        <v>1016163</v>
      </c>
      <c r="H665" s="12">
        <f t="shared" si="24"/>
        <v>0</v>
      </c>
      <c r="I665" s="14">
        <v>44738</v>
      </c>
      <c r="J665" s="12" t="s">
        <v>18</v>
      </c>
      <c r="K665" s="12" t="s">
        <v>19</v>
      </c>
      <c r="L665" s="12" t="s">
        <v>40</v>
      </c>
      <c r="M665" s="12">
        <v>230.01400000000001</v>
      </c>
      <c r="N665" s="12">
        <v>190.31399999999999</v>
      </c>
      <c r="O665" s="12">
        <v>4.2</v>
      </c>
      <c r="Q665" s="13">
        <f t="shared" si="25"/>
        <v>0.79894782608695658</v>
      </c>
    </row>
    <row r="666" spans="1:17" x14ac:dyDescent="0.25">
      <c r="A666" s="12">
        <f t="shared" si="26"/>
        <v>6</v>
      </c>
      <c r="B666" s="12">
        <v>2022</v>
      </c>
      <c r="C666" s="12">
        <v>6945</v>
      </c>
      <c r="D666" s="12">
        <v>1016234</v>
      </c>
      <c r="E666" s="12" t="s">
        <v>13</v>
      </c>
      <c r="F666" s="12" t="s">
        <v>14</v>
      </c>
      <c r="G666" s="25">
        <v>1016234</v>
      </c>
      <c r="H666" s="12">
        <f t="shared" si="24"/>
        <v>0</v>
      </c>
      <c r="I666" s="14">
        <v>44739</v>
      </c>
      <c r="J666" s="12" t="s">
        <v>18</v>
      </c>
      <c r="K666" s="12" t="s">
        <v>19</v>
      </c>
      <c r="L666" s="12" t="s">
        <v>40</v>
      </c>
      <c r="M666" s="12">
        <v>230.00899999999999</v>
      </c>
      <c r="N666" s="12">
        <v>187.55500000000001</v>
      </c>
      <c r="O666" s="12">
        <v>4.2</v>
      </c>
      <c r="Q666" s="13">
        <f t="shared" si="25"/>
        <v>0.78718260869565215</v>
      </c>
    </row>
    <row r="667" spans="1:17" x14ac:dyDescent="0.25">
      <c r="A667" s="12">
        <f t="shared" si="26"/>
        <v>6</v>
      </c>
      <c r="B667" s="12">
        <v>2022</v>
      </c>
      <c r="C667" s="12">
        <v>6946</v>
      </c>
      <c r="D667" s="12">
        <v>1016236</v>
      </c>
      <c r="E667" s="12" t="s">
        <v>13</v>
      </c>
      <c r="F667" s="12" t="s">
        <v>14</v>
      </c>
      <c r="G667" s="25">
        <v>1016236</v>
      </c>
      <c r="H667" s="12">
        <f t="shared" si="24"/>
        <v>0</v>
      </c>
      <c r="I667" s="14">
        <v>44740</v>
      </c>
      <c r="J667" s="12" t="s">
        <v>18</v>
      </c>
      <c r="K667" s="12" t="s">
        <v>19</v>
      </c>
      <c r="L667" s="12" t="s">
        <v>40</v>
      </c>
      <c r="M667" s="12">
        <v>230.00899999999999</v>
      </c>
      <c r="N667" s="12">
        <v>186.113</v>
      </c>
      <c r="O667" s="12">
        <v>4.9000000000000004</v>
      </c>
      <c r="Q667" s="13">
        <f t="shared" si="25"/>
        <v>0.82740181032458893</v>
      </c>
    </row>
    <row r="668" spans="1:17" x14ac:dyDescent="0.25">
      <c r="A668" s="12">
        <f t="shared" si="26"/>
        <v>6</v>
      </c>
      <c r="B668" s="12">
        <v>2022</v>
      </c>
      <c r="C668" s="12">
        <v>6947</v>
      </c>
      <c r="D668" s="12">
        <v>1016238</v>
      </c>
      <c r="E668" s="12" t="s">
        <v>13</v>
      </c>
      <c r="F668" s="12" t="s">
        <v>14</v>
      </c>
      <c r="G668" s="25">
        <v>1016238</v>
      </c>
      <c r="H668" s="12">
        <f t="shared" si="24"/>
        <v>0</v>
      </c>
      <c r="I668" s="14">
        <v>44741</v>
      </c>
      <c r="J668" s="12" t="s">
        <v>18</v>
      </c>
      <c r="K668" s="12" t="s">
        <v>19</v>
      </c>
      <c r="L668" s="12" t="s">
        <v>40</v>
      </c>
      <c r="M668" s="12">
        <v>230.00299999999999</v>
      </c>
      <c r="N668" s="12">
        <v>190.416</v>
      </c>
      <c r="O668" s="12">
        <v>4.5999999999999996</v>
      </c>
      <c r="Q668" s="13">
        <f t="shared" si="25"/>
        <v>0.8154246138194593</v>
      </c>
    </row>
    <row r="669" spans="1:17" x14ac:dyDescent="0.25">
      <c r="A669" s="12">
        <f t="shared" si="26"/>
        <v>6</v>
      </c>
      <c r="B669" s="12">
        <v>2022</v>
      </c>
      <c r="C669" s="12">
        <v>6948</v>
      </c>
      <c r="D669" s="12">
        <v>1016340</v>
      </c>
      <c r="E669" s="12" t="s">
        <v>13</v>
      </c>
      <c r="F669" s="12" t="s">
        <v>14</v>
      </c>
      <c r="G669" s="25">
        <v>1016340</v>
      </c>
      <c r="H669" s="12">
        <f t="shared" si="24"/>
        <v>0</v>
      </c>
      <c r="I669" s="14">
        <v>44742</v>
      </c>
      <c r="J669" s="12" t="s">
        <v>18</v>
      </c>
      <c r="K669" s="12" t="s">
        <v>19</v>
      </c>
      <c r="L669" s="12" t="s">
        <v>40</v>
      </c>
      <c r="M669" s="12">
        <v>230.00200000000001</v>
      </c>
      <c r="N669" s="12">
        <v>183.14</v>
      </c>
      <c r="O669" s="12">
        <v>4.4000000000000004</v>
      </c>
      <c r="Q669" s="13">
        <f t="shared" si="25"/>
        <v>0.80915529392328134</v>
      </c>
    </row>
    <row r="670" spans="1:17" x14ac:dyDescent="0.25">
      <c r="A670" s="12">
        <f t="shared" si="26"/>
        <v>7</v>
      </c>
      <c r="B670" s="12">
        <v>2022</v>
      </c>
      <c r="C670" s="12">
        <v>6949</v>
      </c>
      <c r="D670" s="20">
        <v>1016413</v>
      </c>
      <c r="E670" s="12" t="s">
        <v>13</v>
      </c>
      <c r="F670" s="12" t="s">
        <v>14</v>
      </c>
      <c r="G670" s="25"/>
      <c r="H670" s="12">
        <f t="shared" si="24"/>
        <v>1016413</v>
      </c>
      <c r="I670" s="14">
        <v>44743</v>
      </c>
      <c r="J670" s="12" t="s">
        <v>51</v>
      </c>
      <c r="K670" s="12" t="s">
        <v>19</v>
      </c>
      <c r="L670" s="12" t="s">
        <v>35</v>
      </c>
      <c r="M670" s="12">
        <v>230.00299999999999</v>
      </c>
      <c r="N670" s="12">
        <v>194.715</v>
      </c>
      <c r="Q670" s="13">
        <f t="shared" si="25"/>
        <v>0.82788485367582165</v>
      </c>
    </row>
    <row r="671" spans="1:17" x14ac:dyDescent="0.25">
      <c r="A671" s="12">
        <f t="shared" si="26"/>
        <v>7</v>
      </c>
      <c r="B671" s="12">
        <v>2022</v>
      </c>
      <c r="C671" s="12">
        <v>6950</v>
      </c>
      <c r="D671" s="20">
        <v>1016536</v>
      </c>
      <c r="E671" s="12" t="s">
        <v>13</v>
      </c>
      <c r="F671" s="12" t="s">
        <v>14</v>
      </c>
      <c r="G671" s="25"/>
      <c r="H671" s="12">
        <f t="shared" si="24"/>
        <v>1016536</v>
      </c>
      <c r="I671" s="14">
        <v>44744</v>
      </c>
      <c r="J671" s="12" t="s">
        <v>51</v>
      </c>
      <c r="K671" s="12" t="s">
        <v>19</v>
      </c>
      <c r="L671" s="12" t="s">
        <v>35</v>
      </c>
      <c r="M671" s="12">
        <v>230.00200000000001</v>
      </c>
      <c r="N671" s="12">
        <v>186.31</v>
      </c>
      <c r="Q671" s="13">
        <f t="shared" si="25"/>
        <v>0.79625394561786411</v>
      </c>
    </row>
    <row r="672" spans="1:17" x14ac:dyDescent="0.25">
      <c r="A672" s="12">
        <f t="shared" si="26"/>
        <v>7</v>
      </c>
      <c r="B672" s="12">
        <v>2022</v>
      </c>
      <c r="C672" s="12">
        <v>6951</v>
      </c>
      <c r="D672" s="20">
        <v>1016613</v>
      </c>
      <c r="E672" s="12" t="s">
        <v>13</v>
      </c>
      <c r="F672" s="12" t="s">
        <v>14</v>
      </c>
      <c r="G672" s="25"/>
      <c r="H672" s="12">
        <f t="shared" si="24"/>
        <v>1016613</v>
      </c>
      <c r="I672" s="14">
        <v>44745</v>
      </c>
      <c r="J672" s="12" t="s">
        <v>51</v>
      </c>
      <c r="K672" s="12" t="s">
        <v>19</v>
      </c>
      <c r="L672" s="12" t="s">
        <v>35</v>
      </c>
      <c r="M672" s="12">
        <v>230.005</v>
      </c>
      <c r="N672" s="12">
        <v>194.90299999999999</v>
      </c>
      <c r="Q672" s="13">
        <f t="shared" si="25"/>
        <v>0.84657591422720579</v>
      </c>
    </row>
    <row r="673" spans="1:17" x14ac:dyDescent="0.25">
      <c r="A673" s="12">
        <f t="shared" si="26"/>
        <v>7</v>
      </c>
      <c r="B673" s="12">
        <v>2022</v>
      </c>
      <c r="C673" s="12">
        <v>6952</v>
      </c>
      <c r="D673" s="20">
        <v>1016670</v>
      </c>
      <c r="E673" s="12" t="s">
        <v>13</v>
      </c>
      <c r="F673" s="12" t="s">
        <v>14</v>
      </c>
      <c r="G673" s="25"/>
      <c r="H673" s="12">
        <f t="shared" si="24"/>
        <v>1016670</v>
      </c>
      <c r="I673" s="14">
        <v>44746</v>
      </c>
      <c r="J673" s="12" t="s">
        <v>51</v>
      </c>
      <c r="K673" s="12" t="s">
        <v>19</v>
      </c>
      <c r="L673" s="12" t="s">
        <v>35</v>
      </c>
      <c r="M673" s="12">
        <v>230.006</v>
      </c>
      <c r="N673" s="12">
        <v>186.68100000000001</v>
      </c>
      <c r="Q673" s="13">
        <f t="shared" si="25"/>
        <v>0.81003643446578721</v>
      </c>
    </row>
    <row r="674" spans="1:17" x14ac:dyDescent="0.25">
      <c r="A674" s="12">
        <f t="shared" si="26"/>
        <v>7</v>
      </c>
      <c r="B674" s="12">
        <v>2022</v>
      </c>
      <c r="C674" s="12">
        <v>6953</v>
      </c>
      <c r="D674" s="12">
        <v>1016672</v>
      </c>
      <c r="E674" s="12" t="s">
        <v>13</v>
      </c>
      <c r="F674" s="12" t="s">
        <v>14</v>
      </c>
      <c r="G674" s="25">
        <v>1016672</v>
      </c>
      <c r="H674" s="12">
        <f t="shared" ref="H674:H737" si="27">D674-G674</f>
        <v>0</v>
      </c>
      <c r="I674" s="14">
        <v>44747</v>
      </c>
      <c r="J674" s="12" t="s">
        <v>18</v>
      </c>
      <c r="K674" s="12" t="s">
        <v>19</v>
      </c>
      <c r="L674" s="12" t="s">
        <v>40</v>
      </c>
      <c r="M674" s="12">
        <v>230.00200000000001</v>
      </c>
      <c r="N674" s="12">
        <v>186.6</v>
      </c>
      <c r="O674" s="12">
        <v>3.6</v>
      </c>
      <c r="P674" s="12">
        <v>14.2</v>
      </c>
      <c r="Q674" s="13">
        <f t="shared" si="25"/>
        <v>0.84738592639290444</v>
      </c>
    </row>
    <row r="675" spans="1:17" x14ac:dyDescent="0.25">
      <c r="A675" s="12">
        <f t="shared" si="26"/>
        <v>7</v>
      </c>
      <c r="B675" s="12">
        <v>2022</v>
      </c>
      <c r="C675" s="12">
        <v>6954</v>
      </c>
      <c r="D675" s="12">
        <v>1016701</v>
      </c>
      <c r="E675" s="12" t="s">
        <v>13</v>
      </c>
      <c r="F675" s="12" t="s">
        <v>14</v>
      </c>
      <c r="G675" s="25">
        <v>1016701</v>
      </c>
      <c r="H675" s="12">
        <f t="shared" si="27"/>
        <v>0</v>
      </c>
      <c r="I675" s="14">
        <v>44748</v>
      </c>
      <c r="J675" s="12" t="s">
        <v>18</v>
      </c>
      <c r="K675" s="12" t="s">
        <v>19</v>
      </c>
      <c r="L675" s="12" t="s">
        <v>40</v>
      </c>
      <c r="M675" s="12">
        <v>230.00299999999999</v>
      </c>
      <c r="N675" s="12">
        <v>195.17400000000001</v>
      </c>
      <c r="O675" s="12">
        <v>5</v>
      </c>
      <c r="Q675" s="13">
        <f t="shared" si="25"/>
        <v>0.81163534864307896</v>
      </c>
    </row>
    <row r="676" spans="1:17" x14ac:dyDescent="0.25">
      <c r="A676" s="12">
        <f t="shared" si="26"/>
        <v>7</v>
      </c>
      <c r="B676" s="12">
        <v>2022</v>
      </c>
      <c r="C676" s="12">
        <v>6955</v>
      </c>
      <c r="D676" s="12">
        <v>1016795</v>
      </c>
      <c r="E676" s="12" t="s">
        <v>13</v>
      </c>
      <c r="F676" s="12" t="s">
        <v>14</v>
      </c>
      <c r="G676" s="25">
        <v>1016795</v>
      </c>
      <c r="H676" s="12">
        <f t="shared" si="27"/>
        <v>0</v>
      </c>
      <c r="I676" s="14">
        <v>44749</v>
      </c>
      <c r="J676" s="12" t="s">
        <v>18</v>
      </c>
      <c r="K676" s="12" t="s">
        <v>19</v>
      </c>
      <c r="L676" s="12" t="s">
        <v>40</v>
      </c>
      <c r="M676" s="12">
        <v>230.00299999999999</v>
      </c>
      <c r="N676" s="12">
        <v>186.39599999999999</v>
      </c>
      <c r="O676" s="12">
        <v>4.0999999999999996</v>
      </c>
      <c r="Q676" s="13">
        <f t="shared" si="25"/>
        <v>0.8112972930670167</v>
      </c>
    </row>
    <row r="677" spans="1:17" x14ac:dyDescent="0.25">
      <c r="A677" s="12">
        <f t="shared" si="26"/>
        <v>7</v>
      </c>
      <c r="B677" s="12">
        <v>2022</v>
      </c>
      <c r="C677" s="12">
        <v>6956</v>
      </c>
      <c r="D677" s="12">
        <v>1016895</v>
      </c>
      <c r="E677" s="12" t="s">
        <v>13</v>
      </c>
      <c r="F677" s="12" t="s">
        <v>14</v>
      </c>
      <c r="G677" s="25">
        <v>1016895</v>
      </c>
      <c r="H677" s="12">
        <f t="shared" si="27"/>
        <v>0</v>
      </c>
      <c r="I677" s="14">
        <v>44750</v>
      </c>
      <c r="J677" s="12" t="s">
        <v>18</v>
      </c>
      <c r="K677" s="12" t="s">
        <v>19</v>
      </c>
      <c r="L677" s="12" t="s">
        <v>40</v>
      </c>
      <c r="M677" s="12">
        <v>229.994</v>
      </c>
      <c r="N677" s="12">
        <v>185.435</v>
      </c>
      <c r="O677" s="12">
        <v>4.5999999999999996</v>
      </c>
      <c r="Q677" s="13">
        <f t="shared" si="25"/>
        <v>0.84857154037121263</v>
      </c>
    </row>
    <row r="678" spans="1:17" x14ac:dyDescent="0.25">
      <c r="A678" s="12">
        <f t="shared" si="26"/>
        <v>7</v>
      </c>
      <c r="B678" s="12">
        <v>2022</v>
      </c>
      <c r="C678" s="12">
        <v>6957</v>
      </c>
      <c r="D678" s="12">
        <v>1016952</v>
      </c>
      <c r="E678" s="12" t="s">
        <v>13</v>
      </c>
      <c r="F678" s="12" t="s">
        <v>14</v>
      </c>
      <c r="G678" s="25">
        <v>1016952</v>
      </c>
      <c r="H678" s="12">
        <f t="shared" si="27"/>
        <v>0</v>
      </c>
      <c r="I678" s="14">
        <v>44751</v>
      </c>
      <c r="J678" s="12" t="s">
        <v>18</v>
      </c>
      <c r="K678" s="12" t="s">
        <v>19</v>
      </c>
      <c r="L678" s="12" t="s">
        <v>40</v>
      </c>
      <c r="M678" s="12">
        <v>229.995</v>
      </c>
      <c r="N678" s="12">
        <v>196.70400000000001</v>
      </c>
      <c r="O678" s="12">
        <v>3.9</v>
      </c>
      <c r="Q678" s="13">
        <f t="shared" si="25"/>
        <v>0.81040682078059856</v>
      </c>
    </row>
    <row r="679" spans="1:17" x14ac:dyDescent="0.25">
      <c r="A679" s="12">
        <f t="shared" si="26"/>
        <v>7</v>
      </c>
      <c r="B679" s="12">
        <v>2022</v>
      </c>
      <c r="C679" s="12">
        <v>6958</v>
      </c>
      <c r="D679" s="12">
        <v>1017063</v>
      </c>
      <c r="E679" s="12" t="s">
        <v>13</v>
      </c>
      <c r="F679" s="12" t="s">
        <v>14</v>
      </c>
      <c r="G679" s="25">
        <v>1017063</v>
      </c>
      <c r="H679" s="12">
        <f t="shared" si="27"/>
        <v>0</v>
      </c>
      <c r="I679" s="14">
        <v>44752</v>
      </c>
      <c r="J679" s="12" t="s">
        <v>52</v>
      </c>
      <c r="K679" s="12" t="s">
        <v>20</v>
      </c>
      <c r="L679" s="12" t="s">
        <v>44</v>
      </c>
      <c r="M679" s="12">
        <v>225.00399999999999</v>
      </c>
      <c r="N679" s="12">
        <v>183.51400000000001</v>
      </c>
      <c r="O679" s="12">
        <v>4.4000000000000004</v>
      </c>
      <c r="P679" s="12">
        <v>13.7</v>
      </c>
      <c r="Q679" s="13">
        <f t="shared" si="25"/>
        <v>0.80626016330860806</v>
      </c>
    </row>
    <row r="680" spans="1:17" x14ac:dyDescent="0.25">
      <c r="A680" s="12">
        <f t="shared" si="26"/>
        <v>7</v>
      </c>
      <c r="B680" s="12">
        <v>2022</v>
      </c>
      <c r="C680" s="12">
        <v>6959</v>
      </c>
      <c r="D680" s="12">
        <v>1017283</v>
      </c>
      <c r="E680" s="12" t="s">
        <v>13</v>
      </c>
      <c r="F680" s="12" t="s">
        <v>14</v>
      </c>
      <c r="G680" s="25">
        <v>1017283</v>
      </c>
      <c r="H680" s="12">
        <f t="shared" si="27"/>
        <v>0</v>
      </c>
      <c r="I680" s="14">
        <v>44753</v>
      </c>
      <c r="J680" s="12" t="s">
        <v>52</v>
      </c>
      <c r="K680" s="12" t="s">
        <v>20</v>
      </c>
      <c r="L680" s="12" t="s">
        <v>42</v>
      </c>
      <c r="M680" s="12">
        <v>224.99600000000001</v>
      </c>
      <c r="N680" s="12">
        <v>184.83199999999999</v>
      </c>
      <c r="O680" s="12">
        <v>3.7</v>
      </c>
      <c r="P680" s="12">
        <v>13.2</v>
      </c>
      <c r="Q680" s="13">
        <f t="shared" si="25"/>
        <v>0.85525337507337118</v>
      </c>
    </row>
    <row r="681" spans="1:17" x14ac:dyDescent="0.25">
      <c r="A681" s="12">
        <f t="shared" si="26"/>
        <v>7</v>
      </c>
      <c r="B681" s="12">
        <v>2022</v>
      </c>
      <c r="C681" s="12">
        <v>6960</v>
      </c>
      <c r="D681" s="12">
        <v>1017181</v>
      </c>
      <c r="E681" s="12" t="s">
        <v>13</v>
      </c>
      <c r="F681" s="12" t="s">
        <v>14</v>
      </c>
      <c r="G681" s="25">
        <v>1017181</v>
      </c>
      <c r="H681" s="12">
        <f t="shared" si="27"/>
        <v>0</v>
      </c>
      <c r="I681" s="14">
        <v>44754</v>
      </c>
      <c r="J681" s="12" t="s">
        <v>18</v>
      </c>
      <c r="K681" s="12" t="s">
        <v>19</v>
      </c>
      <c r="L681" s="12" t="s">
        <v>40</v>
      </c>
      <c r="M681" s="12">
        <v>230.00899999999999</v>
      </c>
      <c r="N681" s="12">
        <v>195.01499999999999</v>
      </c>
      <c r="O681" s="12">
        <v>4.8</v>
      </c>
      <c r="Q681" s="13">
        <f t="shared" si="25"/>
        <v>0.81560327816394385</v>
      </c>
    </row>
    <row r="682" spans="1:17" x14ac:dyDescent="0.25">
      <c r="A682" s="12">
        <f t="shared" si="26"/>
        <v>7</v>
      </c>
      <c r="B682" s="12">
        <v>2022</v>
      </c>
      <c r="C682" s="12">
        <v>6961</v>
      </c>
      <c r="D682" s="12">
        <v>1017182</v>
      </c>
      <c r="E682" s="12" t="s">
        <v>13</v>
      </c>
      <c r="F682" s="12" t="s">
        <v>14</v>
      </c>
      <c r="G682" s="25">
        <v>1017182</v>
      </c>
      <c r="H682" s="12">
        <f t="shared" si="27"/>
        <v>0</v>
      </c>
      <c r="I682" s="14">
        <v>44755</v>
      </c>
      <c r="J682" s="12" t="s">
        <v>18</v>
      </c>
      <c r="K682" s="12" t="s">
        <v>19</v>
      </c>
      <c r="L682" s="12" t="s">
        <v>40</v>
      </c>
      <c r="M682" s="12">
        <v>230.00899999999999</v>
      </c>
      <c r="N682" s="12">
        <v>182.38</v>
      </c>
      <c r="O682" s="12">
        <v>4.2</v>
      </c>
      <c r="Q682" s="13">
        <f t="shared" si="25"/>
        <v>0.82149015982506346</v>
      </c>
    </row>
    <row r="683" spans="1:17" x14ac:dyDescent="0.25">
      <c r="A683" s="12">
        <f t="shared" si="26"/>
        <v>7</v>
      </c>
      <c r="B683" s="12">
        <v>2022</v>
      </c>
      <c r="C683" s="12">
        <v>6962</v>
      </c>
      <c r="D683" s="12">
        <v>1017261</v>
      </c>
      <c r="E683" s="12" t="s">
        <v>13</v>
      </c>
      <c r="F683" s="12" t="s">
        <v>14</v>
      </c>
      <c r="G683" s="25">
        <v>1017261</v>
      </c>
      <c r="H683" s="12">
        <f t="shared" si="27"/>
        <v>0</v>
      </c>
      <c r="I683" s="14">
        <v>44756</v>
      </c>
      <c r="J683" s="12" t="s">
        <v>18</v>
      </c>
      <c r="K683" s="12" t="s">
        <v>19</v>
      </c>
      <c r="L683" s="12" t="s">
        <v>40</v>
      </c>
      <c r="M683" s="12">
        <v>230.01300000000001</v>
      </c>
      <c r="N683" s="12">
        <v>189.774</v>
      </c>
      <c r="O683" s="12">
        <v>4.0999999999999996</v>
      </c>
      <c r="Q683" s="13">
        <f t="shared" ref="Q683:Q746" si="28">N681/M681</f>
        <v>0.84785812729067123</v>
      </c>
    </row>
    <row r="684" spans="1:17" x14ac:dyDescent="0.25">
      <c r="A684" s="12">
        <f t="shared" si="26"/>
        <v>7</v>
      </c>
      <c r="B684" s="12">
        <v>2022</v>
      </c>
      <c r="C684" s="12">
        <v>6963</v>
      </c>
      <c r="D684" s="12">
        <v>1017298</v>
      </c>
      <c r="E684" s="12" t="s">
        <v>13</v>
      </c>
      <c r="F684" s="12" t="s">
        <v>14</v>
      </c>
      <c r="G684" s="25">
        <v>1017298</v>
      </c>
      <c r="H684" s="12">
        <f t="shared" si="27"/>
        <v>0</v>
      </c>
      <c r="I684" s="14">
        <v>44757</v>
      </c>
      <c r="J684" s="12" t="s">
        <v>18</v>
      </c>
      <c r="K684" s="12" t="s">
        <v>19</v>
      </c>
      <c r="L684" s="12" t="s">
        <v>40</v>
      </c>
      <c r="M684" s="12">
        <v>229.99600000000001</v>
      </c>
      <c r="N684" s="12">
        <v>193.483</v>
      </c>
      <c r="O684" s="12">
        <v>3.6</v>
      </c>
      <c r="P684" s="12">
        <v>13.8</v>
      </c>
      <c r="Q684" s="13">
        <f t="shared" si="28"/>
        <v>0.79292549421979142</v>
      </c>
    </row>
    <row r="685" spans="1:17" x14ac:dyDescent="0.25">
      <c r="A685" s="12">
        <f t="shared" si="26"/>
        <v>7</v>
      </c>
      <c r="B685" s="12">
        <v>2022</v>
      </c>
      <c r="C685" s="12">
        <v>6964</v>
      </c>
      <c r="D685" s="12">
        <v>1017409</v>
      </c>
      <c r="E685" s="12" t="s">
        <v>13</v>
      </c>
      <c r="F685" s="12" t="s">
        <v>14</v>
      </c>
      <c r="G685" s="25">
        <v>1017409</v>
      </c>
      <c r="H685" s="12">
        <f t="shared" si="27"/>
        <v>0</v>
      </c>
      <c r="I685" s="14">
        <v>44758</v>
      </c>
      <c r="J685" s="12" t="s">
        <v>18</v>
      </c>
      <c r="K685" s="12" t="s">
        <v>19</v>
      </c>
      <c r="L685" s="12" t="s">
        <v>40</v>
      </c>
      <c r="M685" s="12">
        <v>229.99600000000001</v>
      </c>
      <c r="N685" s="12">
        <v>183.834</v>
      </c>
      <c r="O685" s="12">
        <v>4.2</v>
      </c>
      <c r="P685" s="12">
        <v>13.8</v>
      </c>
      <c r="Q685" s="13">
        <f t="shared" si="28"/>
        <v>0.82505771412920137</v>
      </c>
    </row>
    <row r="686" spans="1:17" x14ac:dyDescent="0.25">
      <c r="A686" s="12">
        <f t="shared" si="26"/>
        <v>7</v>
      </c>
      <c r="B686" s="12">
        <v>2022</v>
      </c>
      <c r="C686" s="12">
        <v>6965</v>
      </c>
      <c r="D686" s="12">
        <v>1017529</v>
      </c>
      <c r="E686" s="12" t="s">
        <v>13</v>
      </c>
      <c r="F686" s="12" t="s">
        <v>14</v>
      </c>
      <c r="G686" s="25">
        <v>1017529</v>
      </c>
      <c r="H686" s="12">
        <f t="shared" si="27"/>
        <v>0</v>
      </c>
      <c r="I686" s="14">
        <v>44759</v>
      </c>
      <c r="J686" s="12" t="s">
        <v>18</v>
      </c>
      <c r="K686" s="12" t="s">
        <v>20</v>
      </c>
      <c r="L686" s="12" t="s">
        <v>42</v>
      </c>
      <c r="M686" s="12">
        <v>225.00800000000001</v>
      </c>
      <c r="N686" s="12">
        <v>186.667</v>
      </c>
      <c r="O686" s="12">
        <v>4.0999999999999996</v>
      </c>
      <c r="Q686" s="13">
        <f t="shared" si="28"/>
        <v>0.84124506513156749</v>
      </c>
    </row>
    <row r="687" spans="1:17" x14ac:dyDescent="0.25">
      <c r="A687" s="12">
        <f t="shared" si="26"/>
        <v>7</v>
      </c>
      <c r="B687" s="12">
        <v>2022</v>
      </c>
      <c r="C687" s="12">
        <v>6966</v>
      </c>
      <c r="D687" s="12">
        <v>1017532</v>
      </c>
      <c r="E687" s="12" t="s">
        <v>13</v>
      </c>
      <c r="F687" s="12" t="s">
        <v>14</v>
      </c>
      <c r="G687" s="25">
        <v>1017532</v>
      </c>
      <c r="H687" s="12">
        <f t="shared" si="27"/>
        <v>0</v>
      </c>
      <c r="I687" s="14">
        <v>44760</v>
      </c>
      <c r="J687" s="12" t="s">
        <v>18</v>
      </c>
      <c r="K687" s="12" t="s">
        <v>20</v>
      </c>
      <c r="L687" s="12" t="s">
        <v>42</v>
      </c>
      <c r="M687" s="12">
        <v>225.00700000000001</v>
      </c>
      <c r="N687" s="12">
        <v>183.45500000000001</v>
      </c>
      <c r="O687" s="12">
        <v>4</v>
      </c>
      <c r="Q687" s="13">
        <f t="shared" si="28"/>
        <v>0.79929216160281047</v>
      </c>
    </row>
    <row r="688" spans="1:17" x14ac:dyDescent="0.25">
      <c r="A688" s="12">
        <f t="shared" si="26"/>
        <v>7</v>
      </c>
      <c r="B688" s="12">
        <v>2022</v>
      </c>
      <c r="C688" s="12">
        <v>6967</v>
      </c>
      <c r="D688" s="12">
        <v>1017544</v>
      </c>
      <c r="E688" s="12" t="s">
        <v>13</v>
      </c>
      <c r="F688" s="12" t="s">
        <v>14</v>
      </c>
      <c r="G688" s="25">
        <v>1017544</v>
      </c>
      <c r="H688" s="12">
        <f t="shared" si="27"/>
        <v>0</v>
      </c>
      <c r="I688" s="14">
        <v>44761</v>
      </c>
      <c r="J688" s="12" t="s">
        <v>18</v>
      </c>
      <c r="K688" s="12" t="s">
        <v>19</v>
      </c>
      <c r="L688" s="12" t="s">
        <v>40</v>
      </c>
      <c r="M688" s="12">
        <v>230.01400000000001</v>
      </c>
      <c r="N688" s="12">
        <v>186.58199999999999</v>
      </c>
      <c r="O688" s="12">
        <v>3.6</v>
      </c>
      <c r="P688" s="12">
        <v>14</v>
      </c>
      <c r="Q688" s="13">
        <f t="shared" si="28"/>
        <v>0.82960161416482969</v>
      </c>
    </row>
    <row r="689" spans="1:17" x14ac:dyDescent="0.25">
      <c r="A689" s="12">
        <f t="shared" si="26"/>
        <v>7</v>
      </c>
      <c r="B689" s="12">
        <v>2022</v>
      </c>
      <c r="C689" s="12">
        <v>6968</v>
      </c>
      <c r="D689" s="12">
        <v>1017593</v>
      </c>
      <c r="E689" s="12" t="s">
        <v>13</v>
      </c>
      <c r="F689" s="12" t="s">
        <v>14</v>
      </c>
      <c r="G689" s="25">
        <v>1017593</v>
      </c>
      <c r="H689" s="12">
        <f t="shared" si="27"/>
        <v>0</v>
      </c>
      <c r="I689" s="14">
        <v>44762</v>
      </c>
      <c r="J689" s="12" t="s">
        <v>18</v>
      </c>
      <c r="K689" s="12" t="s">
        <v>19</v>
      </c>
      <c r="L689" s="12" t="s">
        <v>40</v>
      </c>
      <c r="M689" s="12">
        <v>230.00800000000001</v>
      </c>
      <c r="N689" s="12">
        <v>194.15700000000001</v>
      </c>
      <c r="O689" s="12">
        <v>4.0999999999999996</v>
      </c>
      <c r="Q689" s="13">
        <f t="shared" si="28"/>
        <v>0.81533018972743077</v>
      </c>
    </row>
    <row r="690" spans="1:17" x14ac:dyDescent="0.25">
      <c r="A690" s="12">
        <f t="shared" si="26"/>
        <v>7</v>
      </c>
      <c r="B690" s="12">
        <v>2022</v>
      </c>
      <c r="C690" s="12">
        <v>6969</v>
      </c>
      <c r="D690" s="12">
        <v>1017681</v>
      </c>
      <c r="E690" s="12" t="s">
        <v>13</v>
      </c>
      <c r="F690" s="12" t="s">
        <v>14</v>
      </c>
      <c r="G690" s="25">
        <v>1017681</v>
      </c>
      <c r="H690" s="12">
        <f t="shared" si="27"/>
        <v>0</v>
      </c>
      <c r="I690" s="14">
        <v>44763</v>
      </c>
      <c r="J690" s="12" t="s">
        <v>18</v>
      </c>
      <c r="K690" s="12" t="s">
        <v>19</v>
      </c>
      <c r="L690" s="12" t="s">
        <v>40</v>
      </c>
      <c r="M690" s="12">
        <v>230.00700000000001</v>
      </c>
      <c r="N690" s="12">
        <v>185.42599999999999</v>
      </c>
      <c r="O690" s="12">
        <v>4.0999999999999996</v>
      </c>
      <c r="P690" s="12">
        <v>14.1</v>
      </c>
      <c r="Q690" s="13">
        <f t="shared" si="28"/>
        <v>0.81117671098280963</v>
      </c>
    </row>
    <row r="691" spans="1:17" x14ac:dyDescent="0.25">
      <c r="A691" s="12">
        <f t="shared" si="26"/>
        <v>7</v>
      </c>
      <c r="B691" s="12">
        <v>2022</v>
      </c>
      <c r="C691" s="12">
        <v>6970</v>
      </c>
      <c r="D691" s="12">
        <v>1017769</v>
      </c>
      <c r="E691" s="12" t="s">
        <v>13</v>
      </c>
      <c r="F691" s="12" t="s">
        <v>14</v>
      </c>
      <c r="G691" s="25">
        <v>1017769</v>
      </c>
      <c r="H691" s="12">
        <f t="shared" si="27"/>
        <v>0</v>
      </c>
      <c r="I691" s="14">
        <v>44764</v>
      </c>
      <c r="J691" s="12" t="s">
        <v>18</v>
      </c>
      <c r="K691" s="12" t="s">
        <v>19</v>
      </c>
      <c r="L691" s="12" t="s">
        <v>40</v>
      </c>
      <c r="M691" s="12">
        <v>230.006</v>
      </c>
      <c r="N691" s="12">
        <v>191.833</v>
      </c>
      <c r="O691" s="12">
        <v>4.5999999999999996</v>
      </c>
      <c r="Q691" s="13">
        <f t="shared" si="28"/>
        <v>0.84413150846927065</v>
      </c>
    </row>
    <row r="692" spans="1:17" x14ac:dyDescent="0.25">
      <c r="A692" s="12">
        <f t="shared" si="26"/>
        <v>7</v>
      </c>
      <c r="B692" s="12">
        <v>2022</v>
      </c>
      <c r="C692" s="12">
        <v>6971</v>
      </c>
      <c r="D692" s="12">
        <v>1017809</v>
      </c>
      <c r="E692" s="12" t="s">
        <v>13</v>
      </c>
      <c r="F692" s="12" t="s">
        <v>14</v>
      </c>
      <c r="G692" s="25">
        <v>1017809</v>
      </c>
      <c r="H692" s="12">
        <f t="shared" si="27"/>
        <v>0</v>
      </c>
      <c r="I692" s="14">
        <v>44765</v>
      </c>
      <c r="J692" s="12" t="s">
        <v>18</v>
      </c>
      <c r="K692" s="12" t="s">
        <v>19</v>
      </c>
      <c r="L692" s="12" t="s">
        <v>40</v>
      </c>
      <c r="M692" s="12">
        <v>230.005</v>
      </c>
      <c r="N692" s="12">
        <v>177.143</v>
      </c>
      <c r="O692" s="12">
        <v>4.2</v>
      </c>
      <c r="Q692" s="13">
        <f t="shared" si="28"/>
        <v>0.80617546422500175</v>
      </c>
    </row>
    <row r="693" spans="1:17" x14ac:dyDescent="0.25">
      <c r="A693" s="12">
        <f t="shared" si="26"/>
        <v>7</v>
      </c>
      <c r="B693" s="12">
        <v>2022</v>
      </c>
      <c r="C693" s="12">
        <v>6972</v>
      </c>
      <c r="D693" s="12">
        <v>1017811</v>
      </c>
      <c r="E693" s="12" t="s">
        <v>13</v>
      </c>
      <c r="F693" s="12" t="s">
        <v>14</v>
      </c>
      <c r="G693" s="25">
        <v>1017811</v>
      </c>
      <c r="H693" s="12">
        <f t="shared" si="27"/>
        <v>0</v>
      </c>
      <c r="I693" s="14">
        <v>44766</v>
      </c>
      <c r="J693" s="12" t="s">
        <v>18</v>
      </c>
      <c r="K693" s="12" t="s">
        <v>20</v>
      </c>
      <c r="L693" s="12" t="s">
        <v>42</v>
      </c>
      <c r="M693" s="12">
        <v>225.00200000000001</v>
      </c>
      <c r="N693" s="12">
        <v>188.46899999999999</v>
      </c>
      <c r="O693" s="12">
        <v>4.8</v>
      </c>
      <c r="Q693" s="13">
        <f t="shared" si="28"/>
        <v>0.83403476431049628</v>
      </c>
    </row>
    <row r="694" spans="1:17" x14ac:dyDescent="0.25">
      <c r="A694" s="12">
        <f t="shared" si="26"/>
        <v>7</v>
      </c>
      <c r="B694" s="12">
        <v>2022</v>
      </c>
      <c r="C694" s="12">
        <v>6973</v>
      </c>
      <c r="D694" s="12">
        <v>1017812</v>
      </c>
      <c r="E694" s="12" t="s">
        <v>13</v>
      </c>
      <c r="F694" s="12" t="s">
        <v>14</v>
      </c>
      <c r="G694" s="25">
        <v>1017812</v>
      </c>
      <c r="H694" s="12">
        <f t="shared" si="27"/>
        <v>0</v>
      </c>
      <c r="I694" s="14">
        <v>44767</v>
      </c>
      <c r="J694" s="12" t="s">
        <v>18</v>
      </c>
      <c r="K694" s="12" t="s">
        <v>20</v>
      </c>
      <c r="L694" s="12" t="s">
        <v>42</v>
      </c>
      <c r="M694" s="12">
        <v>225.001</v>
      </c>
      <c r="N694" s="12">
        <v>183.673</v>
      </c>
      <c r="O694" s="12">
        <v>4</v>
      </c>
      <c r="Q694" s="13">
        <f t="shared" si="28"/>
        <v>0.77017021369100669</v>
      </c>
    </row>
    <row r="695" spans="1:17" x14ac:dyDescent="0.25">
      <c r="A695" s="12">
        <f t="shared" si="26"/>
        <v>7</v>
      </c>
      <c r="B695" s="12">
        <v>2022</v>
      </c>
      <c r="C695" s="12">
        <v>6974</v>
      </c>
      <c r="D695" s="12">
        <v>1017920</v>
      </c>
      <c r="E695" s="12" t="s">
        <v>13</v>
      </c>
      <c r="F695" s="12" t="s">
        <v>14</v>
      </c>
      <c r="G695" s="25">
        <v>1017920</v>
      </c>
      <c r="H695" s="12">
        <f t="shared" si="27"/>
        <v>0</v>
      </c>
      <c r="I695" s="14">
        <v>44768</v>
      </c>
      <c r="J695" s="12" t="s">
        <v>18</v>
      </c>
      <c r="K695" s="12" t="s">
        <v>20</v>
      </c>
      <c r="L695" s="12" t="s">
        <v>42</v>
      </c>
      <c r="M695" s="12">
        <v>225.00299999999999</v>
      </c>
      <c r="N695" s="12">
        <v>187.18100000000001</v>
      </c>
      <c r="O695" s="12">
        <v>4.5999999999999996</v>
      </c>
      <c r="Q695" s="13">
        <f t="shared" si="28"/>
        <v>0.83763255437729434</v>
      </c>
    </row>
    <row r="696" spans="1:17" x14ac:dyDescent="0.25">
      <c r="A696" s="12">
        <f t="shared" si="26"/>
        <v>7</v>
      </c>
      <c r="B696" s="12">
        <v>2022</v>
      </c>
      <c r="C696" s="12">
        <v>6975</v>
      </c>
      <c r="D696" s="12">
        <v>1017922</v>
      </c>
      <c r="E696" s="12" t="s">
        <v>13</v>
      </c>
      <c r="F696" s="12" t="s">
        <v>14</v>
      </c>
      <c r="G696" s="25">
        <v>1017922</v>
      </c>
      <c r="H696" s="12">
        <f t="shared" si="27"/>
        <v>0</v>
      </c>
      <c r="I696" s="14">
        <v>44769</v>
      </c>
      <c r="J696" s="12" t="s">
        <v>18</v>
      </c>
      <c r="K696" s="12" t="s">
        <v>20</v>
      </c>
      <c r="L696" s="12" t="s">
        <v>42</v>
      </c>
      <c r="M696" s="12">
        <v>225.00299999999999</v>
      </c>
      <c r="N696" s="12">
        <v>185.46600000000001</v>
      </c>
      <c r="O696" s="12">
        <v>4.0999999999999996</v>
      </c>
      <c r="Q696" s="13">
        <f t="shared" si="28"/>
        <v>0.81632081635192733</v>
      </c>
    </row>
    <row r="697" spans="1:17" x14ac:dyDescent="0.25">
      <c r="A697" s="12">
        <f t="shared" si="26"/>
        <v>7</v>
      </c>
      <c r="B697" s="12">
        <v>2022</v>
      </c>
      <c r="C697" s="12">
        <v>6976</v>
      </c>
      <c r="D697" s="12">
        <v>1017946</v>
      </c>
      <c r="E697" s="12" t="s">
        <v>13</v>
      </c>
      <c r="F697" s="12" t="s">
        <v>14</v>
      </c>
      <c r="G697" s="25">
        <v>1017946</v>
      </c>
      <c r="H697" s="12">
        <f t="shared" si="27"/>
        <v>0</v>
      </c>
      <c r="I697" s="14">
        <v>44770</v>
      </c>
      <c r="J697" s="12" t="s">
        <v>18</v>
      </c>
      <c r="K697" s="12" t="s">
        <v>19</v>
      </c>
      <c r="L697" s="12" t="s">
        <v>40</v>
      </c>
      <c r="M697" s="12">
        <v>229.999</v>
      </c>
      <c r="N697" s="12">
        <v>187.86199999999999</v>
      </c>
      <c r="O697" s="12">
        <v>3.7</v>
      </c>
      <c r="P697" s="12">
        <v>14.4</v>
      </c>
      <c r="Q697" s="13">
        <f t="shared" si="28"/>
        <v>0.83190446349604241</v>
      </c>
    </row>
    <row r="698" spans="1:17" x14ac:dyDescent="0.25">
      <c r="A698" s="12">
        <f t="shared" si="26"/>
        <v>7</v>
      </c>
      <c r="B698" s="12">
        <v>2022</v>
      </c>
      <c r="C698" s="12">
        <v>6977</v>
      </c>
      <c r="D698" s="12">
        <v>1018041</v>
      </c>
      <c r="E698" s="12" t="s">
        <v>13</v>
      </c>
      <c r="F698" s="12" t="s">
        <v>14</v>
      </c>
      <c r="G698" s="25">
        <v>1018041</v>
      </c>
      <c r="H698" s="12">
        <f t="shared" si="27"/>
        <v>0</v>
      </c>
      <c r="I698" s="14">
        <v>44771</v>
      </c>
      <c r="J698" s="12" t="s">
        <v>18</v>
      </c>
      <c r="K698" s="12" t="s">
        <v>19</v>
      </c>
      <c r="L698" s="12" t="s">
        <v>40</v>
      </c>
      <c r="M698" s="12">
        <v>230.01</v>
      </c>
      <c r="N698" s="12">
        <v>193.62100000000001</v>
      </c>
      <c r="O698" s="12">
        <v>4</v>
      </c>
      <c r="Q698" s="13">
        <f t="shared" si="28"/>
        <v>0.82428234290209468</v>
      </c>
    </row>
    <row r="699" spans="1:17" x14ac:dyDescent="0.25">
      <c r="A699" s="12">
        <f t="shared" si="26"/>
        <v>7</v>
      </c>
      <c r="B699" s="12">
        <v>2022</v>
      </c>
      <c r="C699" s="12">
        <v>6978</v>
      </c>
      <c r="D699" s="12">
        <v>1018105</v>
      </c>
      <c r="E699" s="12" t="s">
        <v>13</v>
      </c>
      <c r="F699" s="12" t="s">
        <v>14</v>
      </c>
      <c r="G699" s="25">
        <v>1018105</v>
      </c>
      <c r="H699" s="12">
        <f t="shared" si="27"/>
        <v>0</v>
      </c>
      <c r="I699" s="14">
        <v>44772</v>
      </c>
      <c r="J699" s="12" t="s">
        <v>18</v>
      </c>
      <c r="K699" s="12" t="s">
        <v>19</v>
      </c>
      <c r="L699" s="12" t="s">
        <v>40</v>
      </c>
      <c r="M699" s="12">
        <v>230.011</v>
      </c>
      <c r="N699" s="12">
        <v>189</v>
      </c>
      <c r="O699" s="12">
        <v>3.9</v>
      </c>
      <c r="Q699" s="13">
        <f t="shared" si="28"/>
        <v>0.81679485562980703</v>
      </c>
    </row>
    <row r="700" spans="1:17" x14ac:dyDescent="0.25">
      <c r="A700" s="12">
        <f t="shared" si="26"/>
        <v>7</v>
      </c>
      <c r="B700" s="12">
        <v>2022</v>
      </c>
      <c r="C700" s="12">
        <v>6979</v>
      </c>
      <c r="D700" s="12">
        <v>1018153</v>
      </c>
      <c r="E700" s="12" t="s">
        <v>13</v>
      </c>
      <c r="F700" s="12" t="s">
        <v>14</v>
      </c>
      <c r="G700" s="25">
        <v>1018153</v>
      </c>
      <c r="H700" s="12">
        <f t="shared" si="27"/>
        <v>0</v>
      </c>
      <c r="I700" s="14">
        <v>44773</v>
      </c>
      <c r="J700" s="12" t="s">
        <v>18</v>
      </c>
      <c r="K700" s="12" t="s">
        <v>19</v>
      </c>
      <c r="L700" s="12" t="s">
        <v>40</v>
      </c>
      <c r="M700" s="12">
        <v>230.006</v>
      </c>
      <c r="N700" s="12">
        <v>189</v>
      </c>
      <c r="O700" s="12">
        <v>4.5999999999999996</v>
      </c>
      <c r="Q700" s="13">
        <f t="shared" si="28"/>
        <v>0.84179383505065009</v>
      </c>
    </row>
    <row r="701" spans="1:17" x14ac:dyDescent="0.25">
      <c r="A701" s="12">
        <f t="shared" si="26"/>
        <v>8</v>
      </c>
      <c r="B701" s="12">
        <v>2022</v>
      </c>
      <c r="C701" s="12">
        <v>6980</v>
      </c>
      <c r="D701" s="12">
        <v>1018378</v>
      </c>
      <c r="E701" s="12" t="s">
        <v>13</v>
      </c>
      <c r="F701" s="12" t="s">
        <v>14</v>
      </c>
      <c r="G701" s="25">
        <v>1018378</v>
      </c>
      <c r="H701" s="12">
        <f t="shared" si="27"/>
        <v>0</v>
      </c>
      <c r="I701" s="14">
        <v>44774</v>
      </c>
      <c r="J701" s="12" t="s">
        <v>18</v>
      </c>
      <c r="K701" s="12" t="s">
        <v>19</v>
      </c>
      <c r="L701" s="12" t="s">
        <v>40</v>
      </c>
      <c r="M701" s="12">
        <v>230.006</v>
      </c>
      <c r="N701" s="12">
        <v>188.536</v>
      </c>
      <c r="O701" s="12">
        <v>4.0999999999999996</v>
      </c>
      <c r="Q701" s="13">
        <f t="shared" si="28"/>
        <v>0.82169983174717731</v>
      </c>
    </row>
    <row r="702" spans="1:17" x14ac:dyDescent="0.25">
      <c r="A702" s="12">
        <f t="shared" si="26"/>
        <v>8</v>
      </c>
      <c r="B702" s="12">
        <v>2022</v>
      </c>
      <c r="C702" s="12">
        <v>6981</v>
      </c>
      <c r="D702" s="12">
        <v>1018390</v>
      </c>
      <c r="E702" s="12" t="s">
        <v>13</v>
      </c>
      <c r="F702" s="12" t="s">
        <v>14</v>
      </c>
      <c r="G702" s="25">
        <v>1018390</v>
      </c>
      <c r="H702" s="12">
        <f t="shared" si="27"/>
        <v>0</v>
      </c>
      <c r="I702" s="14">
        <v>44775</v>
      </c>
      <c r="J702" s="12" t="s">
        <v>18</v>
      </c>
      <c r="K702" s="12" t="s">
        <v>19</v>
      </c>
      <c r="L702" s="12" t="s">
        <v>40</v>
      </c>
      <c r="M702" s="12">
        <v>230.005</v>
      </c>
      <c r="N702" s="12">
        <v>191.41800000000001</v>
      </c>
      <c r="O702" s="12">
        <v>3.7</v>
      </c>
      <c r="P702" s="12">
        <v>12.9</v>
      </c>
      <c r="Q702" s="13">
        <f t="shared" si="28"/>
        <v>0.82171769432101771</v>
      </c>
    </row>
    <row r="703" spans="1:17" x14ac:dyDescent="0.25">
      <c r="A703" s="12">
        <f t="shared" si="26"/>
        <v>8</v>
      </c>
      <c r="B703" s="12">
        <v>2022</v>
      </c>
      <c r="C703" s="12">
        <v>6982</v>
      </c>
      <c r="D703" s="12">
        <v>1018394</v>
      </c>
      <c r="E703" s="12" t="s">
        <v>13</v>
      </c>
      <c r="F703" s="12" t="s">
        <v>14</v>
      </c>
      <c r="G703" s="25">
        <v>1018394</v>
      </c>
      <c r="H703" s="12">
        <f t="shared" si="27"/>
        <v>0</v>
      </c>
      <c r="I703" s="14">
        <v>44776</v>
      </c>
      <c r="J703" s="12" t="s">
        <v>18</v>
      </c>
      <c r="K703" s="12" t="s">
        <v>19</v>
      </c>
      <c r="L703" s="12" t="s">
        <v>40</v>
      </c>
      <c r="M703" s="12">
        <v>230.00299999999999</v>
      </c>
      <c r="N703" s="12">
        <v>194.56399999999999</v>
      </c>
      <c r="O703" s="12">
        <v>4.5999999999999996</v>
      </c>
      <c r="Q703" s="13">
        <f t="shared" si="28"/>
        <v>0.81970035564289623</v>
      </c>
    </row>
    <row r="704" spans="1:17" x14ac:dyDescent="0.25">
      <c r="A704" s="12">
        <f t="shared" si="26"/>
        <v>8</v>
      </c>
      <c r="B704" s="12">
        <v>2022</v>
      </c>
      <c r="C704" s="12">
        <v>6983</v>
      </c>
      <c r="D704" s="12">
        <v>1018486</v>
      </c>
      <c r="E704" s="12" t="s">
        <v>13</v>
      </c>
      <c r="F704" s="12" t="s">
        <v>14</v>
      </c>
      <c r="G704" s="25">
        <v>1018486</v>
      </c>
      <c r="H704" s="12">
        <f t="shared" si="27"/>
        <v>0</v>
      </c>
      <c r="I704" s="14">
        <v>44777</v>
      </c>
      <c r="J704" s="12" t="s">
        <v>18</v>
      </c>
      <c r="K704" s="12" t="s">
        <v>19</v>
      </c>
      <c r="L704" s="12" t="s">
        <v>40</v>
      </c>
      <c r="M704" s="12">
        <v>230.00200000000001</v>
      </c>
      <c r="N704" s="12">
        <v>186.69900000000001</v>
      </c>
      <c r="O704" s="12">
        <v>4.0999999999999996</v>
      </c>
      <c r="Q704" s="13">
        <f t="shared" si="28"/>
        <v>0.83223408186778558</v>
      </c>
    </row>
    <row r="705" spans="1:17" x14ac:dyDescent="0.25">
      <c r="A705" s="12">
        <f t="shared" si="26"/>
        <v>8</v>
      </c>
      <c r="B705" s="12">
        <v>2022</v>
      </c>
      <c r="C705" s="12">
        <v>6984</v>
      </c>
      <c r="D705" s="12">
        <v>1018556</v>
      </c>
      <c r="E705" s="12" t="s">
        <v>13</v>
      </c>
      <c r="F705" s="12" t="s">
        <v>14</v>
      </c>
      <c r="G705" s="25">
        <v>1018556</v>
      </c>
      <c r="H705" s="12">
        <f t="shared" si="27"/>
        <v>0</v>
      </c>
      <c r="I705" s="14">
        <v>44778</v>
      </c>
      <c r="J705" s="12" t="s">
        <v>18</v>
      </c>
      <c r="K705" s="12" t="s">
        <v>19</v>
      </c>
      <c r="L705" s="12" t="s">
        <v>40</v>
      </c>
      <c r="M705" s="12">
        <v>230.001</v>
      </c>
      <c r="N705" s="12">
        <v>188.352</v>
      </c>
      <c r="O705" s="12">
        <v>4.7</v>
      </c>
      <c r="Q705" s="13">
        <f t="shared" si="28"/>
        <v>0.84591940105129071</v>
      </c>
    </row>
    <row r="706" spans="1:17" x14ac:dyDescent="0.25">
      <c r="A706" s="12">
        <f t="shared" si="26"/>
        <v>8</v>
      </c>
      <c r="B706" s="12">
        <v>2022</v>
      </c>
      <c r="C706" s="12">
        <v>6985</v>
      </c>
      <c r="D706" s="12">
        <v>1018664</v>
      </c>
      <c r="E706" s="12" t="s">
        <v>13</v>
      </c>
      <c r="F706" s="12" t="s">
        <v>14</v>
      </c>
      <c r="G706" s="25">
        <v>1018664</v>
      </c>
      <c r="H706" s="12">
        <f t="shared" si="27"/>
        <v>0</v>
      </c>
      <c r="I706" s="14">
        <v>44779</v>
      </c>
      <c r="J706" s="12" t="s">
        <v>18</v>
      </c>
      <c r="K706" s="12" t="s">
        <v>19</v>
      </c>
      <c r="L706" s="12" t="s">
        <v>40</v>
      </c>
      <c r="M706" s="12">
        <v>230.001</v>
      </c>
      <c r="N706" s="12">
        <v>185.34299999999999</v>
      </c>
      <c r="O706" s="12">
        <v>3.8</v>
      </c>
      <c r="Q706" s="13">
        <f t="shared" si="28"/>
        <v>0.81172772410674687</v>
      </c>
    </row>
    <row r="707" spans="1:17" x14ac:dyDescent="0.25">
      <c r="A707" s="12">
        <f t="shared" ref="A707:A770" si="29">MONTH(I707)</f>
        <v>8</v>
      </c>
      <c r="B707" s="12">
        <v>2022</v>
      </c>
      <c r="C707" s="12">
        <v>6986</v>
      </c>
      <c r="D707" s="12">
        <v>1018761</v>
      </c>
      <c r="E707" s="12" t="s">
        <v>13</v>
      </c>
      <c r="F707" s="12" t="s">
        <v>14</v>
      </c>
      <c r="G707" s="25">
        <v>1018761</v>
      </c>
      <c r="H707" s="12">
        <f t="shared" si="27"/>
        <v>0</v>
      </c>
      <c r="I707" s="14">
        <v>44780</v>
      </c>
      <c r="J707" s="12" t="s">
        <v>52</v>
      </c>
      <c r="K707" s="12" t="s">
        <v>20</v>
      </c>
      <c r="L707" s="12" t="s">
        <v>53</v>
      </c>
      <c r="M707" s="12">
        <v>225.001</v>
      </c>
      <c r="N707" s="12">
        <v>197.21700000000001</v>
      </c>
      <c r="O707" s="12">
        <v>4.7</v>
      </c>
      <c r="P707" s="12">
        <v>12.3</v>
      </c>
      <c r="Q707" s="13">
        <f t="shared" si="28"/>
        <v>0.81891817861661476</v>
      </c>
    </row>
    <row r="708" spans="1:17" x14ac:dyDescent="0.25">
      <c r="A708" s="12">
        <f t="shared" si="29"/>
        <v>8</v>
      </c>
      <c r="B708" s="12">
        <v>2022</v>
      </c>
      <c r="C708" s="12">
        <v>6987</v>
      </c>
      <c r="D708" s="12">
        <v>1018764</v>
      </c>
      <c r="E708" s="12" t="s">
        <v>13</v>
      </c>
      <c r="F708" s="12" t="s">
        <v>14</v>
      </c>
      <c r="G708" s="25">
        <v>1018764</v>
      </c>
      <c r="H708" s="12">
        <f t="shared" si="27"/>
        <v>0</v>
      </c>
      <c r="I708" s="14">
        <v>44781</v>
      </c>
      <c r="J708" s="12" t="s">
        <v>52</v>
      </c>
      <c r="K708" s="12" t="s">
        <v>20</v>
      </c>
      <c r="L708" s="12" t="s">
        <v>42</v>
      </c>
      <c r="M708" s="12">
        <v>225.00899999999999</v>
      </c>
      <c r="N708" s="12">
        <v>181.08600000000001</v>
      </c>
      <c r="O708" s="12">
        <v>5</v>
      </c>
      <c r="P708" s="12">
        <v>13.5</v>
      </c>
      <c r="Q708" s="13">
        <f t="shared" si="28"/>
        <v>0.80583562680162257</v>
      </c>
    </row>
    <row r="709" spans="1:17" x14ac:dyDescent="0.25">
      <c r="A709" s="12">
        <f t="shared" si="29"/>
        <v>8</v>
      </c>
      <c r="B709" s="12">
        <v>2022</v>
      </c>
      <c r="C709" s="12">
        <v>6988</v>
      </c>
      <c r="D709" s="12">
        <v>1018765</v>
      </c>
      <c r="E709" s="12" t="s">
        <v>13</v>
      </c>
      <c r="F709" s="12" t="s">
        <v>14</v>
      </c>
      <c r="G709" s="25">
        <v>1018765</v>
      </c>
      <c r="H709" s="12">
        <f t="shared" si="27"/>
        <v>0</v>
      </c>
      <c r="I709" s="14">
        <v>44782</v>
      </c>
      <c r="J709" s="12" t="s">
        <v>18</v>
      </c>
      <c r="K709" s="12" t="s">
        <v>19</v>
      </c>
      <c r="L709" s="12" t="s">
        <v>40</v>
      </c>
      <c r="M709" s="12">
        <v>229.97300000000001</v>
      </c>
      <c r="N709" s="12">
        <v>189.93600000000001</v>
      </c>
      <c r="O709" s="12">
        <v>3.8</v>
      </c>
      <c r="Q709" s="13">
        <f t="shared" si="28"/>
        <v>0.87651610437286953</v>
      </c>
    </row>
    <row r="710" spans="1:17" x14ac:dyDescent="0.25">
      <c r="A710" s="12">
        <f t="shared" si="29"/>
        <v>8</v>
      </c>
      <c r="B710" s="12">
        <v>2022</v>
      </c>
      <c r="C710" s="12">
        <v>6989</v>
      </c>
      <c r="D710" s="12">
        <v>1018864</v>
      </c>
      <c r="E710" s="12" t="s">
        <v>13</v>
      </c>
      <c r="F710" s="12" t="s">
        <v>14</v>
      </c>
      <c r="G710" s="25">
        <v>1018864</v>
      </c>
      <c r="H710" s="12">
        <f t="shared" si="27"/>
        <v>0</v>
      </c>
      <c r="I710" s="14">
        <v>44783</v>
      </c>
      <c r="J710" s="12" t="s">
        <v>18</v>
      </c>
      <c r="K710" s="12" t="s">
        <v>19</v>
      </c>
      <c r="L710" s="12" t="s">
        <v>40</v>
      </c>
      <c r="M710" s="12">
        <v>229.97300000000001</v>
      </c>
      <c r="N710" s="12">
        <v>178.958</v>
      </c>
      <c r="O710" s="12">
        <v>3.4</v>
      </c>
      <c r="Q710" s="13">
        <f t="shared" si="28"/>
        <v>0.80479447488767131</v>
      </c>
    </row>
    <row r="711" spans="1:17" x14ac:dyDescent="0.25">
      <c r="A711" s="12">
        <f t="shared" si="29"/>
        <v>8</v>
      </c>
      <c r="B711" s="12">
        <v>2022</v>
      </c>
      <c r="C711" s="12">
        <v>6990</v>
      </c>
      <c r="D711" s="12">
        <v>1018951</v>
      </c>
      <c r="E711" s="12" t="s">
        <v>13</v>
      </c>
      <c r="F711" s="12" t="s">
        <v>14</v>
      </c>
      <c r="G711" s="25">
        <v>1018951</v>
      </c>
      <c r="H711" s="12">
        <f t="shared" si="27"/>
        <v>0</v>
      </c>
      <c r="I711" s="14">
        <v>44784</v>
      </c>
      <c r="J711" s="12" t="s">
        <v>18</v>
      </c>
      <c r="K711" s="12" t="s">
        <v>19</v>
      </c>
      <c r="L711" s="12" t="s">
        <v>40</v>
      </c>
      <c r="M711" s="12">
        <v>230.01400000000001</v>
      </c>
      <c r="N711" s="12">
        <v>191.124</v>
      </c>
      <c r="O711" s="12">
        <v>4</v>
      </c>
      <c r="P711" s="12">
        <v>13.8</v>
      </c>
      <c r="Q711" s="13">
        <f t="shared" si="28"/>
        <v>0.82590564979367143</v>
      </c>
    </row>
    <row r="712" spans="1:17" x14ac:dyDescent="0.25">
      <c r="A712" s="12">
        <f t="shared" si="29"/>
        <v>8</v>
      </c>
      <c r="B712" s="12">
        <v>2022</v>
      </c>
      <c r="C712" s="12">
        <v>6991</v>
      </c>
      <c r="D712" s="12">
        <v>1019036</v>
      </c>
      <c r="E712" s="12" t="s">
        <v>13</v>
      </c>
      <c r="F712" s="12" t="s">
        <v>14</v>
      </c>
      <c r="G712" s="25">
        <v>1019036</v>
      </c>
      <c r="H712" s="12">
        <f t="shared" si="27"/>
        <v>0</v>
      </c>
      <c r="I712" s="14">
        <v>44785</v>
      </c>
      <c r="J712" s="12" t="s">
        <v>18</v>
      </c>
      <c r="K712" s="12" t="s">
        <v>19</v>
      </c>
      <c r="L712" s="12" t="s">
        <v>40</v>
      </c>
      <c r="M712" s="12">
        <v>229.999</v>
      </c>
      <c r="N712" s="12">
        <v>193.32499999999999</v>
      </c>
      <c r="O712" s="12">
        <v>3.8</v>
      </c>
      <c r="Q712" s="13">
        <f t="shared" si="28"/>
        <v>0.77816961121522954</v>
      </c>
    </row>
    <row r="713" spans="1:17" x14ac:dyDescent="0.25">
      <c r="A713" s="12">
        <f t="shared" si="29"/>
        <v>8</v>
      </c>
      <c r="B713" s="12">
        <v>2022</v>
      </c>
      <c r="C713" s="12">
        <v>6992</v>
      </c>
      <c r="D713" s="12">
        <v>1019099</v>
      </c>
      <c r="E713" s="12" t="s">
        <v>13</v>
      </c>
      <c r="F713" s="12" t="s">
        <v>14</v>
      </c>
      <c r="G713" s="25">
        <v>1019099</v>
      </c>
      <c r="H713" s="12">
        <f t="shared" si="27"/>
        <v>0</v>
      </c>
      <c r="I713" s="14">
        <v>44786</v>
      </c>
      <c r="J713" s="12" t="s">
        <v>18</v>
      </c>
      <c r="K713" s="12" t="s">
        <v>19</v>
      </c>
      <c r="L713" s="12" t="s">
        <v>40</v>
      </c>
      <c r="M713" s="12">
        <v>230</v>
      </c>
      <c r="N713" s="12">
        <v>187.303</v>
      </c>
      <c r="O713" s="12">
        <v>3.8</v>
      </c>
      <c r="Q713" s="13">
        <f t="shared" si="28"/>
        <v>0.83092333510134164</v>
      </c>
    </row>
    <row r="714" spans="1:17" x14ac:dyDescent="0.25">
      <c r="A714" s="12">
        <f t="shared" si="29"/>
        <v>8</v>
      </c>
      <c r="B714" s="12">
        <v>2022</v>
      </c>
      <c r="C714" s="12">
        <v>6993</v>
      </c>
      <c r="D714" s="12">
        <v>1019167</v>
      </c>
      <c r="E714" s="12" t="s">
        <v>13</v>
      </c>
      <c r="F714" s="12" t="s">
        <v>14</v>
      </c>
      <c r="G714" s="25">
        <v>1019167</v>
      </c>
      <c r="H714" s="12">
        <f t="shared" si="27"/>
        <v>0</v>
      </c>
      <c r="I714" s="14">
        <v>44787</v>
      </c>
      <c r="J714" s="12" t="s">
        <v>18</v>
      </c>
      <c r="K714" s="12" t="s">
        <v>20</v>
      </c>
      <c r="L714" s="12" t="s">
        <v>42</v>
      </c>
      <c r="M714" s="12">
        <v>225.00299999999999</v>
      </c>
      <c r="N714" s="12">
        <v>181.91499999999999</v>
      </c>
      <c r="O714" s="12">
        <v>3.6</v>
      </c>
      <c r="Q714" s="13">
        <f t="shared" si="28"/>
        <v>0.84054713281362092</v>
      </c>
    </row>
    <row r="715" spans="1:17" x14ac:dyDescent="0.25">
      <c r="A715" s="12">
        <f t="shared" si="29"/>
        <v>8</v>
      </c>
      <c r="B715" s="12">
        <v>2022</v>
      </c>
      <c r="C715" s="12">
        <v>6994</v>
      </c>
      <c r="D715" s="12">
        <v>1019252</v>
      </c>
      <c r="E715" s="12" t="s">
        <v>13</v>
      </c>
      <c r="F715" s="12" t="s">
        <v>14</v>
      </c>
      <c r="G715" s="25">
        <v>1019252</v>
      </c>
      <c r="H715" s="12">
        <f t="shared" si="27"/>
        <v>0</v>
      </c>
      <c r="I715" s="14">
        <v>44788</v>
      </c>
      <c r="J715" s="12" t="s">
        <v>18</v>
      </c>
      <c r="K715" s="12" t="s">
        <v>20</v>
      </c>
      <c r="L715" s="12" t="s">
        <v>42</v>
      </c>
      <c r="M715" s="12">
        <v>225.00299999999999</v>
      </c>
      <c r="N715" s="12">
        <v>179.364</v>
      </c>
      <c r="O715" s="12">
        <v>4.8</v>
      </c>
      <c r="Q715" s="13">
        <f t="shared" si="28"/>
        <v>0.81436086956521736</v>
      </c>
    </row>
    <row r="716" spans="1:17" x14ac:dyDescent="0.25">
      <c r="A716" s="12">
        <f t="shared" si="29"/>
        <v>8</v>
      </c>
      <c r="B716" s="12">
        <v>2022</v>
      </c>
      <c r="C716" s="12">
        <v>6995</v>
      </c>
      <c r="D716" s="12">
        <v>1019254</v>
      </c>
      <c r="E716" s="12" t="s">
        <v>13</v>
      </c>
      <c r="F716" s="12" t="s">
        <v>14</v>
      </c>
      <c r="G716" s="25">
        <v>1019254</v>
      </c>
      <c r="H716" s="12">
        <f t="shared" si="27"/>
        <v>0</v>
      </c>
      <c r="I716" s="14">
        <v>44789</v>
      </c>
      <c r="J716" s="12" t="s">
        <v>18</v>
      </c>
      <c r="K716" s="12" t="s">
        <v>19</v>
      </c>
      <c r="L716" s="12" t="s">
        <v>40</v>
      </c>
      <c r="M716" s="12">
        <v>229.98699999999999</v>
      </c>
      <c r="N716" s="12">
        <v>184.26599999999999</v>
      </c>
      <c r="O716" s="12">
        <v>4</v>
      </c>
      <c r="P716" s="12">
        <v>14</v>
      </c>
      <c r="Q716" s="13">
        <f t="shared" si="28"/>
        <v>0.80850033110669639</v>
      </c>
    </row>
    <row r="717" spans="1:17" x14ac:dyDescent="0.25">
      <c r="A717" s="12">
        <f t="shared" si="29"/>
        <v>8</v>
      </c>
      <c r="B717" s="12">
        <v>2022</v>
      </c>
      <c r="C717" s="12">
        <v>6996</v>
      </c>
      <c r="D717" s="12">
        <v>1019264</v>
      </c>
      <c r="E717" s="12" t="s">
        <v>13</v>
      </c>
      <c r="F717" s="12" t="s">
        <v>14</v>
      </c>
      <c r="G717" s="25">
        <v>1019264</v>
      </c>
      <c r="H717" s="12">
        <f t="shared" si="27"/>
        <v>0</v>
      </c>
      <c r="I717" s="14">
        <v>44790</v>
      </c>
      <c r="J717" s="12" t="s">
        <v>18</v>
      </c>
      <c r="K717" s="12" t="s">
        <v>19</v>
      </c>
      <c r="L717" s="12" t="s">
        <v>40</v>
      </c>
      <c r="M717" s="12">
        <v>230.00299999999999</v>
      </c>
      <c r="N717" s="12">
        <v>193.93700000000001</v>
      </c>
      <c r="O717" s="12">
        <v>4.4000000000000004</v>
      </c>
      <c r="P717" s="12">
        <v>13</v>
      </c>
      <c r="Q717" s="13">
        <f t="shared" si="28"/>
        <v>0.79716270449727344</v>
      </c>
    </row>
    <row r="718" spans="1:17" x14ac:dyDescent="0.25">
      <c r="A718" s="12">
        <f t="shared" si="29"/>
        <v>8</v>
      </c>
      <c r="B718" s="12">
        <v>2022</v>
      </c>
      <c r="C718" s="12">
        <v>6997</v>
      </c>
      <c r="D718" s="12">
        <v>1019372</v>
      </c>
      <c r="E718" s="12" t="s">
        <v>13</v>
      </c>
      <c r="F718" s="12" t="s">
        <v>14</v>
      </c>
      <c r="G718" s="25">
        <v>1019372</v>
      </c>
      <c r="H718" s="12">
        <f t="shared" si="27"/>
        <v>0</v>
      </c>
      <c r="I718" s="14">
        <v>44791</v>
      </c>
      <c r="J718" s="12" t="s">
        <v>18</v>
      </c>
      <c r="K718" s="12" t="s">
        <v>19</v>
      </c>
      <c r="L718" s="12" t="s">
        <v>40</v>
      </c>
      <c r="M718" s="12">
        <v>230.00299999999999</v>
      </c>
      <c r="N718" s="12">
        <v>187.01900000000001</v>
      </c>
      <c r="O718" s="12">
        <v>3.8</v>
      </c>
      <c r="Q718" s="13">
        <f t="shared" si="28"/>
        <v>0.80120180705865984</v>
      </c>
    </row>
    <row r="719" spans="1:17" x14ac:dyDescent="0.25">
      <c r="A719" s="12">
        <f t="shared" si="29"/>
        <v>8</v>
      </c>
      <c r="B719" s="12">
        <v>2022</v>
      </c>
      <c r="C719" s="12">
        <v>6998</v>
      </c>
      <c r="D719" s="12">
        <v>1019431</v>
      </c>
      <c r="E719" s="12" t="s">
        <v>13</v>
      </c>
      <c r="F719" s="12" t="s">
        <v>14</v>
      </c>
      <c r="G719" s="25">
        <v>1019431</v>
      </c>
      <c r="H719" s="12">
        <f t="shared" si="27"/>
        <v>0</v>
      </c>
      <c r="I719" s="14">
        <v>44792</v>
      </c>
      <c r="J719" s="12" t="s">
        <v>18</v>
      </c>
      <c r="K719" s="12" t="s">
        <v>19</v>
      </c>
      <c r="L719" s="12" t="s">
        <v>40</v>
      </c>
      <c r="M719" s="12">
        <v>230.00200000000001</v>
      </c>
      <c r="N719" s="12">
        <v>192.14</v>
      </c>
      <c r="O719" s="12">
        <v>4.5</v>
      </c>
      <c r="Q719" s="13">
        <f t="shared" si="28"/>
        <v>0.84319334965196113</v>
      </c>
    </row>
    <row r="720" spans="1:17" x14ac:dyDescent="0.25">
      <c r="A720" s="12">
        <f t="shared" si="29"/>
        <v>8</v>
      </c>
      <c r="B720" s="12">
        <v>2022</v>
      </c>
      <c r="C720" s="12">
        <v>6999</v>
      </c>
      <c r="D720" s="12">
        <v>1019505</v>
      </c>
      <c r="E720" s="12" t="s">
        <v>13</v>
      </c>
      <c r="F720" s="12" t="s">
        <v>14</v>
      </c>
      <c r="G720" s="25">
        <v>1019505</v>
      </c>
      <c r="H720" s="12">
        <f t="shared" si="27"/>
        <v>0</v>
      </c>
      <c r="I720" s="14">
        <v>44793</v>
      </c>
      <c r="J720" s="12" t="s">
        <v>18</v>
      </c>
      <c r="K720" s="12" t="s">
        <v>19</v>
      </c>
      <c r="L720" s="12" t="s">
        <v>40</v>
      </c>
      <c r="M720" s="12">
        <v>230.00200000000001</v>
      </c>
      <c r="N720" s="12">
        <v>186.54900000000001</v>
      </c>
      <c r="O720" s="12">
        <v>4</v>
      </c>
      <c r="Q720" s="13">
        <f t="shared" si="28"/>
        <v>0.81311548110242049</v>
      </c>
    </row>
    <row r="721" spans="1:17" x14ac:dyDescent="0.25">
      <c r="A721" s="12">
        <f t="shared" si="29"/>
        <v>8</v>
      </c>
      <c r="B721" s="12">
        <v>2022</v>
      </c>
      <c r="C721" s="12">
        <v>7000</v>
      </c>
      <c r="D721" s="12">
        <v>1019590</v>
      </c>
      <c r="E721" s="12" t="s">
        <v>13</v>
      </c>
      <c r="F721" s="12" t="s">
        <v>14</v>
      </c>
      <c r="G721" s="25">
        <v>1019590</v>
      </c>
      <c r="H721" s="12">
        <f t="shared" si="27"/>
        <v>0</v>
      </c>
      <c r="I721" s="14">
        <v>44794</v>
      </c>
      <c r="J721" s="12" t="s">
        <v>37</v>
      </c>
      <c r="K721" s="12" t="s">
        <v>20</v>
      </c>
      <c r="L721" s="12" t="s">
        <v>44</v>
      </c>
      <c r="M721" s="12">
        <v>224.999</v>
      </c>
      <c r="N721" s="12">
        <v>182.53700000000001</v>
      </c>
      <c r="O721" s="12">
        <v>4.2</v>
      </c>
      <c r="P721" s="12">
        <v>13</v>
      </c>
      <c r="Q721" s="13">
        <f t="shared" si="28"/>
        <v>0.83538404013878131</v>
      </c>
    </row>
    <row r="722" spans="1:17" x14ac:dyDescent="0.25">
      <c r="A722" s="12">
        <f t="shared" si="29"/>
        <v>8</v>
      </c>
      <c r="B722" s="12">
        <v>2022</v>
      </c>
      <c r="C722" s="12">
        <v>7001</v>
      </c>
      <c r="D722" s="12">
        <v>1019658</v>
      </c>
      <c r="E722" s="12" t="s">
        <v>13</v>
      </c>
      <c r="F722" s="12" t="s">
        <v>14</v>
      </c>
      <c r="G722" s="25">
        <v>1019658</v>
      </c>
      <c r="H722" s="12">
        <f t="shared" si="27"/>
        <v>0</v>
      </c>
      <c r="I722" s="14">
        <v>44795</v>
      </c>
      <c r="J722" s="12" t="s">
        <v>37</v>
      </c>
      <c r="K722" s="12" t="s">
        <v>20</v>
      </c>
      <c r="L722" s="12" t="s">
        <v>42</v>
      </c>
      <c r="M722" s="12">
        <v>229.99700000000001</v>
      </c>
      <c r="N722" s="12">
        <v>182.773</v>
      </c>
      <c r="O722" s="12">
        <v>4.4000000000000004</v>
      </c>
      <c r="Q722" s="13">
        <f t="shared" si="28"/>
        <v>0.81107555586473157</v>
      </c>
    </row>
    <row r="723" spans="1:17" x14ac:dyDescent="0.25">
      <c r="A723" s="12">
        <f t="shared" si="29"/>
        <v>8</v>
      </c>
      <c r="B723" s="12">
        <v>2022</v>
      </c>
      <c r="C723" s="12">
        <v>7002</v>
      </c>
      <c r="D723" s="12">
        <v>1019659</v>
      </c>
      <c r="E723" s="12" t="s">
        <v>13</v>
      </c>
      <c r="F723" s="12" t="s">
        <v>14</v>
      </c>
      <c r="G723" s="25">
        <v>1019659</v>
      </c>
      <c r="H723" s="12">
        <f t="shared" si="27"/>
        <v>0</v>
      </c>
      <c r="I723" s="14">
        <v>44796</v>
      </c>
      <c r="J723" s="12" t="s">
        <v>17</v>
      </c>
      <c r="K723" s="12" t="s">
        <v>19</v>
      </c>
      <c r="L723" s="12" t="s">
        <v>54</v>
      </c>
      <c r="M723" s="12">
        <v>229.99299999999999</v>
      </c>
      <c r="N723" s="12">
        <v>192.40899999999999</v>
      </c>
      <c r="O723" s="12">
        <v>5.0999999999999996</v>
      </c>
      <c r="P723" s="12">
        <v>12.3</v>
      </c>
      <c r="Q723" s="13">
        <f t="shared" si="28"/>
        <v>0.81127916124071664</v>
      </c>
    </row>
    <row r="724" spans="1:17" x14ac:dyDescent="0.25">
      <c r="A724" s="12">
        <f t="shared" si="29"/>
        <v>8</v>
      </c>
      <c r="B724" s="12">
        <v>2022</v>
      </c>
      <c r="C724" s="12">
        <v>7003</v>
      </c>
      <c r="D724" s="12">
        <v>1019660</v>
      </c>
      <c r="E724" s="12" t="s">
        <v>13</v>
      </c>
      <c r="F724" s="12" t="s">
        <v>14</v>
      </c>
      <c r="G724" s="25">
        <v>1019660</v>
      </c>
      <c r="H724" s="12">
        <f t="shared" si="27"/>
        <v>0</v>
      </c>
      <c r="I724" s="14">
        <v>44797</v>
      </c>
      <c r="J724" s="12" t="s">
        <v>18</v>
      </c>
      <c r="K724" s="12" t="s">
        <v>20</v>
      </c>
      <c r="L724" s="12" t="s">
        <v>42</v>
      </c>
      <c r="M724" s="12">
        <v>229.99600000000001</v>
      </c>
      <c r="N724" s="12">
        <v>176.518</v>
      </c>
      <c r="O724" s="12">
        <v>4.0999999999999996</v>
      </c>
      <c r="Q724" s="13">
        <f t="shared" si="28"/>
        <v>0.79467558272499195</v>
      </c>
    </row>
    <row r="725" spans="1:17" x14ac:dyDescent="0.25">
      <c r="A725" s="12">
        <f t="shared" si="29"/>
        <v>8</v>
      </c>
      <c r="B725" s="12">
        <v>2022</v>
      </c>
      <c r="C725" s="12">
        <v>7004</v>
      </c>
      <c r="D725" s="12">
        <v>1019667</v>
      </c>
      <c r="E725" s="12" t="s">
        <v>13</v>
      </c>
      <c r="F725" s="12" t="s">
        <v>14</v>
      </c>
      <c r="G725" s="25">
        <v>1019667</v>
      </c>
      <c r="H725" s="12">
        <f t="shared" si="27"/>
        <v>0</v>
      </c>
      <c r="I725" s="14">
        <v>44798</v>
      </c>
      <c r="J725" s="12" t="s">
        <v>18</v>
      </c>
      <c r="K725" s="12" t="s">
        <v>20</v>
      </c>
      <c r="L725" s="12" t="s">
        <v>42</v>
      </c>
      <c r="M725" s="12">
        <v>225.001</v>
      </c>
      <c r="N725" s="12">
        <v>184.376</v>
      </c>
      <c r="O725" s="12">
        <v>4.5</v>
      </c>
      <c r="Q725" s="13">
        <f t="shared" si="28"/>
        <v>0.83658633088833134</v>
      </c>
    </row>
    <row r="726" spans="1:17" x14ac:dyDescent="0.25">
      <c r="A726" s="12">
        <f t="shared" si="29"/>
        <v>8</v>
      </c>
      <c r="B726" s="12">
        <v>2022</v>
      </c>
      <c r="C726" s="12">
        <v>7005</v>
      </c>
      <c r="D726" s="12">
        <v>1019745</v>
      </c>
      <c r="E726" s="12" t="s">
        <v>13</v>
      </c>
      <c r="F726" s="12" t="s">
        <v>14</v>
      </c>
      <c r="G726" s="25">
        <v>1019745</v>
      </c>
      <c r="H726" s="12">
        <f t="shared" si="27"/>
        <v>0</v>
      </c>
      <c r="I726" s="14">
        <v>44799</v>
      </c>
      <c r="J726" s="12" t="s">
        <v>18</v>
      </c>
      <c r="K726" s="12" t="s">
        <v>20</v>
      </c>
      <c r="L726" s="12" t="s">
        <v>42</v>
      </c>
      <c r="M726" s="12">
        <v>225.00200000000001</v>
      </c>
      <c r="N726" s="12">
        <v>180.17</v>
      </c>
      <c r="O726" s="12">
        <v>4.5999999999999996</v>
      </c>
      <c r="Q726" s="13">
        <f t="shared" si="28"/>
        <v>0.76748291274630864</v>
      </c>
    </row>
    <row r="727" spans="1:17" x14ac:dyDescent="0.25">
      <c r="A727" s="12">
        <f t="shared" si="29"/>
        <v>8</v>
      </c>
      <c r="B727" s="12">
        <v>2022</v>
      </c>
      <c r="C727" s="12">
        <v>7006</v>
      </c>
      <c r="D727" s="12">
        <v>1019838</v>
      </c>
      <c r="E727" s="12" t="s">
        <v>13</v>
      </c>
      <c r="F727" s="12" t="s">
        <v>14</v>
      </c>
      <c r="G727" s="25">
        <v>1019838</v>
      </c>
      <c r="H727" s="12">
        <f t="shared" si="27"/>
        <v>0</v>
      </c>
      <c r="I727" s="14">
        <v>44800</v>
      </c>
      <c r="J727" s="12" t="s">
        <v>18</v>
      </c>
      <c r="K727" s="12" t="s">
        <v>20</v>
      </c>
      <c r="L727" s="12" t="s">
        <v>42</v>
      </c>
      <c r="M727" s="12">
        <v>225.00700000000001</v>
      </c>
      <c r="N727" s="12">
        <v>177.15299999999999</v>
      </c>
      <c r="O727" s="12">
        <v>4.8</v>
      </c>
      <c r="Q727" s="13">
        <f t="shared" si="28"/>
        <v>0.81944524691001375</v>
      </c>
    </row>
    <row r="728" spans="1:17" x14ac:dyDescent="0.25">
      <c r="A728" s="12">
        <f t="shared" si="29"/>
        <v>8</v>
      </c>
      <c r="B728" s="12">
        <v>2022</v>
      </c>
      <c r="C728" s="12">
        <v>7007</v>
      </c>
      <c r="D728" s="12">
        <v>1019941</v>
      </c>
      <c r="E728" s="12" t="s">
        <v>13</v>
      </c>
      <c r="F728" s="12" t="s">
        <v>14</v>
      </c>
      <c r="G728" s="25">
        <v>1019941</v>
      </c>
      <c r="H728" s="12">
        <f t="shared" si="27"/>
        <v>0</v>
      </c>
      <c r="I728" s="14">
        <v>44801</v>
      </c>
      <c r="J728" s="12" t="s">
        <v>18</v>
      </c>
      <c r="K728" s="12" t="s">
        <v>20</v>
      </c>
      <c r="L728" s="12" t="s">
        <v>42</v>
      </c>
      <c r="M728" s="12">
        <v>225.00700000000001</v>
      </c>
      <c r="N728" s="12">
        <v>188.56899999999999</v>
      </c>
      <c r="O728" s="12">
        <v>4.3</v>
      </c>
      <c r="Q728" s="13">
        <f t="shared" si="28"/>
        <v>0.80074843779166394</v>
      </c>
    </row>
    <row r="729" spans="1:17" x14ac:dyDescent="0.25">
      <c r="A729" s="12">
        <f t="shared" si="29"/>
        <v>8</v>
      </c>
      <c r="B729" s="12">
        <v>2022</v>
      </c>
      <c r="C729" s="12">
        <v>7008</v>
      </c>
      <c r="D729" s="12">
        <v>1020028</v>
      </c>
      <c r="E729" s="12" t="s">
        <v>13</v>
      </c>
      <c r="F729" s="12" t="s">
        <v>14</v>
      </c>
      <c r="G729" s="25">
        <v>1020028</v>
      </c>
      <c r="H729" s="12">
        <f t="shared" si="27"/>
        <v>0</v>
      </c>
      <c r="I729" s="14">
        <v>44802</v>
      </c>
      <c r="J729" s="12" t="s">
        <v>18</v>
      </c>
      <c r="K729" s="12" t="s">
        <v>19</v>
      </c>
      <c r="L729" s="12" t="s">
        <v>40</v>
      </c>
      <c r="M729" s="12">
        <v>230.00899999999999</v>
      </c>
      <c r="N729" s="12">
        <v>186.65299999999999</v>
      </c>
      <c r="O729" s="12">
        <v>3.8</v>
      </c>
      <c r="P729" s="12">
        <v>13.7</v>
      </c>
      <c r="Q729" s="13">
        <f t="shared" si="28"/>
        <v>0.78732217219908707</v>
      </c>
    </row>
    <row r="730" spans="1:17" x14ac:dyDescent="0.25">
      <c r="A730" s="12">
        <f t="shared" si="29"/>
        <v>8</v>
      </c>
      <c r="B730" s="12">
        <v>2022</v>
      </c>
      <c r="C730" s="12">
        <v>7009</v>
      </c>
      <c r="D730" s="12">
        <v>1020043</v>
      </c>
      <c r="E730" s="12" t="s">
        <v>13</v>
      </c>
      <c r="F730" s="12" t="s">
        <v>14</v>
      </c>
      <c r="G730" s="25">
        <v>1020043</v>
      </c>
      <c r="H730" s="12">
        <f t="shared" si="27"/>
        <v>0</v>
      </c>
      <c r="I730" s="14">
        <v>44803</v>
      </c>
      <c r="J730" s="12" t="s">
        <v>18</v>
      </c>
      <c r="K730" s="12" t="s">
        <v>19</v>
      </c>
      <c r="L730" s="12" t="s">
        <v>40</v>
      </c>
      <c r="M730" s="12">
        <v>229.999</v>
      </c>
      <c r="N730" s="12">
        <v>192.476</v>
      </c>
      <c r="O730" s="12">
        <v>3.6</v>
      </c>
      <c r="Q730" s="13">
        <f t="shared" si="28"/>
        <v>0.83805837151733054</v>
      </c>
    </row>
    <row r="731" spans="1:17" x14ac:dyDescent="0.25">
      <c r="A731" s="12">
        <f t="shared" si="29"/>
        <v>8</v>
      </c>
      <c r="B731" s="12">
        <v>2022</v>
      </c>
      <c r="C731" s="15">
        <v>7010</v>
      </c>
      <c r="D731" s="12">
        <v>1020050</v>
      </c>
      <c r="E731" s="12" t="s">
        <v>13</v>
      </c>
      <c r="F731" s="12" t="s">
        <v>14</v>
      </c>
      <c r="G731" s="25">
        <v>1020050</v>
      </c>
      <c r="H731" s="12">
        <f t="shared" si="27"/>
        <v>0</v>
      </c>
      <c r="I731" s="14">
        <v>44804</v>
      </c>
      <c r="J731" s="12" t="s">
        <v>18</v>
      </c>
      <c r="K731" s="12" t="s">
        <v>19</v>
      </c>
      <c r="L731" s="12" t="s">
        <v>40</v>
      </c>
      <c r="M731" s="12">
        <v>229.999</v>
      </c>
      <c r="N731" s="12">
        <v>185.54900000000001</v>
      </c>
      <c r="O731" s="12">
        <v>4.2</v>
      </c>
      <c r="Q731" s="13">
        <f t="shared" si="28"/>
        <v>0.81150302814237707</v>
      </c>
    </row>
    <row r="732" spans="1:17" x14ac:dyDescent="0.25">
      <c r="A732" s="12">
        <f t="shared" si="29"/>
        <v>9</v>
      </c>
      <c r="B732" s="12">
        <v>2022</v>
      </c>
      <c r="C732" s="12">
        <v>7011</v>
      </c>
      <c r="D732" s="12">
        <v>1020153</v>
      </c>
      <c r="E732" s="12" t="s">
        <v>13</v>
      </c>
      <c r="F732" s="12" t="s">
        <v>14</v>
      </c>
      <c r="G732" s="25">
        <v>1020153</v>
      </c>
      <c r="H732" s="12">
        <f t="shared" si="27"/>
        <v>0</v>
      </c>
      <c r="I732" s="14">
        <v>44805</v>
      </c>
      <c r="J732" s="12" t="s">
        <v>18</v>
      </c>
      <c r="K732" s="12" t="s">
        <v>19</v>
      </c>
      <c r="L732" s="12" t="s">
        <v>40</v>
      </c>
      <c r="M732" s="12">
        <v>229.99799999999999</v>
      </c>
      <c r="N732" s="12">
        <v>191.62</v>
      </c>
      <c r="O732" s="12">
        <v>3.9</v>
      </c>
      <c r="Q732" s="13">
        <f t="shared" si="28"/>
        <v>0.8368558124165757</v>
      </c>
    </row>
    <row r="733" spans="1:17" x14ac:dyDescent="0.25">
      <c r="A733" s="12">
        <f t="shared" si="29"/>
        <v>9</v>
      </c>
      <c r="B733" s="12">
        <v>2022</v>
      </c>
      <c r="C733" s="12">
        <v>7012</v>
      </c>
      <c r="D733" s="12">
        <v>1020210</v>
      </c>
      <c r="E733" s="12" t="s">
        <v>13</v>
      </c>
      <c r="F733" s="12" t="s">
        <v>14</v>
      </c>
      <c r="G733" s="25">
        <v>1020210</v>
      </c>
      <c r="H733" s="12">
        <f t="shared" si="27"/>
        <v>0</v>
      </c>
      <c r="I733" s="14">
        <v>44806</v>
      </c>
      <c r="J733" s="12" t="s">
        <v>18</v>
      </c>
      <c r="K733" s="12" t="s">
        <v>19</v>
      </c>
      <c r="L733" s="12" t="s">
        <v>40</v>
      </c>
      <c r="M733" s="12">
        <v>229.99799999999999</v>
      </c>
      <c r="N733" s="12">
        <v>181.25299999999999</v>
      </c>
      <c r="O733" s="12">
        <v>4.4000000000000004</v>
      </c>
      <c r="Q733" s="13">
        <f t="shared" si="28"/>
        <v>0.80673829016647902</v>
      </c>
    </row>
    <row r="734" spans="1:17" x14ac:dyDescent="0.25">
      <c r="A734" s="12">
        <f t="shared" si="29"/>
        <v>9</v>
      </c>
      <c r="B734" s="12">
        <v>2022</v>
      </c>
      <c r="C734" s="12">
        <v>7013</v>
      </c>
      <c r="D734" s="12">
        <v>1020290</v>
      </c>
      <c r="E734" s="12" t="s">
        <v>13</v>
      </c>
      <c r="F734" s="12" t="s">
        <v>14</v>
      </c>
      <c r="G734" s="25">
        <v>1020290</v>
      </c>
      <c r="H734" s="12">
        <f t="shared" si="27"/>
        <v>0</v>
      </c>
      <c r="I734" s="14">
        <v>44807</v>
      </c>
      <c r="J734" s="12" t="s">
        <v>17</v>
      </c>
      <c r="K734" s="12" t="s">
        <v>20</v>
      </c>
      <c r="L734" s="12" t="s">
        <v>44</v>
      </c>
      <c r="M734" s="12">
        <v>230.00800000000001</v>
      </c>
      <c r="N734" s="12">
        <v>182.7</v>
      </c>
      <c r="O734" s="12">
        <v>4.3</v>
      </c>
      <c r="P734" s="12">
        <v>12.9</v>
      </c>
      <c r="Q734" s="13">
        <f t="shared" si="28"/>
        <v>0.83313767945808226</v>
      </c>
    </row>
    <row r="735" spans="1:17" x14ac:dyDescent="0.25">
      <c r="A735" s="12">
        <f t="shared" si="29"/>
        <v>9</v>
      </c>
      <c r="B735" s="12">
        <v>2022</v>
      </c>
      <c r="C735" s="12">
        <v>7014</v>
      </c>
      <c r="D735" s="12">
        <v>1020362</v>
      </c>
      <c r="E735" s="12" t="s">
        <v>13</v>
      </c>
      <c r="F735" s="12" t="s">
        <v>14</v>
      </c>
      <c r="G735" s="25">
        <v>1020362</v>
      </c>
      <c r="H735" s="12">
        <f t="shared" si="27"/>
        <v>0</v>
      </c>
      <c r="I735" s="14">
        <v>44808</v>
      </c>
      <c r="J735" s="12" t="s">
        <v>18</v>
      </c>
      <c r="K735" s="12" t="s">
        <v>19</v>
      </c>
      <c r="L735" s="12" t="s">
        <v>40</v>
      </c>
      <c r="M735" s="12">
        <v>230.005</v>
      </c>
      <c r="N735" s="12">
        <v>190.23400000000001</v>
      </c>
      <c r="O735" s="12">
        <v>4.2</v>
      </c>
      <c r="Q735" s="13">
        <f t="shared" si="28"/>
        <v>0.78806337446412578</v>
      </c>
    </row>
    <row r="736" spans="1:17" x14ac:dyDescent="0.25">
      <c r="A736" s="12">
        <f t="shared" si="29"/>
        <v>9</v>
      </c>
      <c r="B736" s="12">
        <v>2022</v>
      </c>
      <c r="C736" s="12">
        <v>7015</v>
      </c>
      <c r="D736" s="12">
        <v>1020439</v>
      </c>
      <c r="E736" s="12" t="s">
        <v>13</v>
      </c>
      <c r="F736" s="12" t="s">
        <v>14</v>
      </c>
      <c r="G736" s="25">
        <v>1020439</v>
      </c>
      <c r="H736" s="12">
        <f t="shared" si="27"/>
        <v>0</v>
      </c>
      <c r="I736" s="14">
        <v>44809</v>
      </c>
      <c r="J736" s="12" t="s">
        <v>18</v>
      </c>
      <c r="K736" s="12" t="s">
        <v>19</v>
      </c>
      <c r="L736" s="12" t="s">
        <v>40</v>
      </c>
      <c r="M736" s="12">
        <v>230.006</v>
      </c>
      <c r="N736" s="12">
        <v>189.21899999999999</v>
      </c>
      <c r="O736" s="12">
        <v>3.7</v>
      </c>
      <c r="Q736" s="13">
        <f t="shared" si="28"/>
        <v>0.79432019755834571</v>
      </c>
    </row>
    <row r="737" spans="1:17" x14ac:dyDescent="0.25">
      <c r="A737" s="12">
        <f t="shared" si="29"/>
        <v>9</v>
      </c>
      <c r="B737" s="12">
        <v>2022</v>
      </c>
      <c r="C737" s="12">
        <v>7016</v>
      </c>
      <c r="D737" s="12">
        <v>1020455</v>
      </c>
      <c r="E737" s="12" t="s">
        <v>13</v>
      </c>
      <c r="F737" s="12" t="s">
        <v>14</v>
      </c>
      <c r="G737" s="25">
        <v>1020455</v>
      </c>
      <c r="H737" s="12">
        <f t="shared" si="27"/>
        <v>0</v>
      </c>
      <c r="I737" s="14">
        <v>44810</v>
      </c>
      <c r="J737" s="12" t="s">
        <v>18</v>
      </c>
      <c r="K737" s="12" t="s">
        <v>19</v>
      </c>
      <c r="L737" s="12" t="s">
        <v>40</v>
      </c>
      <c r="M737" s="12">
        <v>230</v>
      </c>
      <c r="N737" s="12">
        <v>193.83099999999999</v>
      </c>
      <c r="O737" s="12">
        <v>4.5999999999999996</v>
      </c>
      <c r="Q737" s="13">
        <f t="shared" si="28"/>
        <v>0.82708636768765897</v>
      </c>
    </row>
    <row r="738" spans="1:17" x14ac:dyDescent="0.25">
      <c r="A738" s="12">
        <f t="shared" si="29"/>
        <v>9</v>
      </c>
      <c r="B738" s="12">
        <v>2022</v>
      </c>
      <c r="C738" s="12">
        <v>7017</v>
      </c>
      <c r="D738" s="12">
        <v>1020458</v>
      </c>
      <c r="E738" s="12" t="s">
        <v>13</v>
      </c>
      <c r="F738" s="12" t="s">
        <v>14</v>
      </c>
      <c r="G738" s="25">
        <v>1020458</v>
      </c>
      <c r="H738" s="12">
        <f t="shared" ref="H738:H801" si="30">D738-G738</f>
        <v>0</v>
      </c>
      <c r="I738" s="14">
        <v>44811</v>
      </c>
      <c r="J738" s="12" t="s">
        <v>18</v>
      </c>
      <c r="K738" s="12" t="s">
        <v>19</v>
      </c>
      <c r="L738" s="12" t="s">
        <v>40</v>
      </c>
      <c r="M738" s="12">
        <v>230</v>
      </c>
      <c r="N738" s="12">
        <v>187.744</v>
      </c>
      <c r="O738" s="12">
        <v>3.7</v>
      </c>
      <c r="Q738" s="13">
        <f t="shared" si="28"/>
        <v>0.82266984339538962</v>
      </c>
    </row>
    <row r="739" spans="1:17" x14ac:dyDescent="0.25">
      <c r="A739" s="12">
        <f t="shared" si="29"/>
        <v>9</v>
      </c>
      <c r="B739" s="12">
        <v>2022</v>
      </c>
      <c r="C739" s="12">
        <v>7018</v>
      </c>
      <c r="D739" s="12">
        <v>1020535</v>
      </c>
      <c r="E739" s="12" t="s">
        <v>13</v>
      </c>
      <c r="F739" s="12" t="s">
        <v>14</v>
      </c>
      <c r="G739" s="25">
        <v>1020535</v>
      </c>
      <c r="H739" s="12">
        <f t="shared" si="30"/>
        <v>0</v>
      </c>
      <c r="I739" s="14">
        <v>44812</v>
      </c>
      <c r="J739" s="12" t="s">
        <v>18</v>
      </c>
      <c r="K739" s="12" t="s">
        <v>19</v>
      </c>
      <c r="L739" s="12" t="s">
        <v>40</v>
      </c>
      <c r="M739" s="12">
        <v>229.994</v>
      </c>
      <c r="N739" s="12">
        <v>186.20699999999999</v>
      </c>
      <c r="O739" s="12">
        <v>4.0999999999999996</v>
      </c>
      <c r="P739" s="12">
        <v>13.6</v>
      </c>
      <c r="Q739" s="13">
        <f t="shared" si="28"/>
        <v>0.84274347826086948</v>
      </c>
    </row>
    <row r="740" spans="1:17" x14ac:dyDescent="0.25">
      <c r="A740" s="12">
        <f t="shared" si="29"/>
        <v>9</v>
      </c>
      <c r="B740" s="12">
        <v>2022</v>
      </c>
      <c r="C740" s="12">
        <v>7019</v>
      </c>
      <c r="D740" s="12">
        <v>1020588</v>
      </c>
      <c r="E740" s="12" t="s">
        <v>13</v>
      </c>
      <c r="F740" s="12" t="s">
        <v>14</v>
      </c>
      <c r="G740" s="25">
        <v>1020588</v>
      </c>
      <c r="H740" s="12">
        <f t="shared" si="30"/>
        <v>0</v>
      </c>
      <c r="I740" s="14">
        <v>44813</v>
      </c>
      <c r="J740" s="12" t="s">
        <v>18</v>
      </c>
      <c r="K740" s="12" t="s">
        <v>20</v>
      </c>
      <c r="L740" s="12" t="s">
        <v>42</v>
      </c>
      <c r="M740" s="12">
        <v>229.99299999999999</v>
      </c>
      <c r="N740" s="12">
        <v>177.238</v>
      </c>
      <c r="O740" s="12">
        <v>4</v>
      </c>
      <c r="Q740" s="13">
        <f t="shared" si="28"/>
        <v>0.81627826086956523</v>
      </c>
    </row>
    <row r="741" spans="1:17" x14ac:dyDescent="0.25">
      <c r="A741" s="12">
        <f t="shared" si="29"/>
        <v>9</v>
      </c>
      <c r="B741" s="12">
        <v>2022</v>
      </c>
      <c r="C741" s="12">
        <v>7020</v>
      </c>
      <c r="D741" s="12">
        <v>1020679</v>
      </c>
      <c r="E741" s="12" t="s">
        <v>13</v>
      </c>
      <c r="F741" s="12" t="s">
        <v>14</v>
      </c>
      <c r="G741" s="25">
        <v>1020679</v>
      </c>
      <c r="H741" s="12">
        <f t="shared" si="30"/>
        <v>0</v>
      </c>
      <c r="I741" s="14">
        <v>44814</v>
      </c>
      <c r="J741" s="12" t="s">
        <v>18</v>
      </c>
      <c r="K741" s="12" t="s">
        <v>20</v>
      </c>
      <c r="L741" s="12" t="s">
        <v>42</v>
      </c>
      <c r="M741" s="12">
        <v>229.994</v>
      </c>
      <c r="N741" s="12">
        <v>187.88800000000001</v>
      </c>
      <c r="O741" s="12">
        <v>4.5999999999999996</v>
      </c>
      <c r="Q741" s="13">
        <f t="shared" si="28"/>
        <v>0.80961677261145937</v>
      </c>
    </row>
    <row r="742" spans="1:17" x14ac:dyDescent="0.25">
      <c r="A742" s="12">
        <f t="shared" si="29"/>
        <v>9</v>
      </c>
      <c r="B742" s="12">
        <v>2022</v>
      </c>
      <c r="C742" s="12">
        <v>7021</v>
      </c>
      <c r="D742" s="12">
        <v>1020725</v>
      </c>
      <c r="E742" s="12" t="s">
        <v>13</v>
      </c>
      <c r="F742" s="12" t="s">
        <v>14</v>
      </c>
      <c r="G742" s="25">
        <v>1020725</v>
      </c>
      <c r="H742" s="12">
        <f t="shared" si="30"/>
        <v>0</v>
      </c>
      <c r="I742" s="14">
        <v>44815</v>
      </c>
      <c r="J742" s="12" t="s">
        <v>17</v>
      </c>
      <c r="K742" s="12" t="s">
        <v>20</v>
      </c>
      <c r="L742" s="12" t="s">
        <v>56</v>
      </c>
      <c r="M742" s="12">
        <v>230.001</v>
      </c>
      <c r="N742" s="12">
        <v>187.32900000000001</v>
      </c>
      <c r="O742" s="12">
        <v>5.3</v>
      </c>
      <c r="Q742" s="13">
        <f t="shared" si="28"/>
        <v>0.77062345375728825</v>
      </c>
    </row>
    <row r="743" spans="1:17" x14ac:dyDescent="0.25">
      <c r="A743" s="12">
        <f t="shared" si="29"/>
        <v>9</v>
      </c>
      <c r="B743" s="12">
        <v>2022</v>
      </c>
      <c r="C743" s="12">
        <v>7022</v>
      </c>
      <c r="D743" s="12">
        <v>1020778</v>
      </c>
      <c r="E743" s="12" t="s">
        <v>13</v>
      </c>
      <c r="F743" s="12" t="s">
        <v>14</v>
      </c>
      <c r="G743" s="25">
        <v>1020778</v>
      </c>
      <c r="H743" s="12">
        <f t="shared" si="30"/>
        <v>0</v>
      </c>
      <c r="I743" s="14">
        <v>44816</v>
      </c>
      <c r="J743" s="12" t="s">
        <v>18</v>
      </c>
      <c r="K743" s="12" t="s">
        <v>20</v>
      </c>
      <c r="L743" s="12" t="s">
        <v>42</v>
      </c>
      <c r="M743" s="12">
        <v>229.99799999999999</v>
      </c>
      <c r="N743" s="12">
        <v>197.32900000000001</v>
      </c>
      <c r="O743" s="12">
        <v>4.7</v>
      </c>
      <c r="P743" s="12">
        <v>10.8</v>
      </c>
      <c r="Q743" s="13">
        <f t="shared" si="28"/>
        <v>0.81692565893023295</v>
      </c>
    </row>
    <row r="744" spans="1:17" x14ac:dyDescent="0.25">
      <c r="A744" s="12">
        <f t="shared" si="29"/>
        <v>9</v>
      </c>
      <c r="B744" s="12">
        <v>2022</v>
      </c>
      <c r="C744" s="12">
        <v>7023</v>
      </c>
      <c r="D744" s="12">
        <v>1020779</v>
      </c>
      <c r="E744" s="12" t="s">
        <v>13</v>
      </c>
      <c r="F744" s="12" t="s">
        <v>14</v>
      </c>
      <c r="G744" s="25">
        <v>1020779</v>
      </c>
      <c r="H744" s="12">
        <f t="shared" si="30"/>
        <v>0</v>
      </c>
      <c r="I744" s="14">
        <v>44817</v>
      </c>
      <c r="J744" s="12" t="s">
        <v>18</v>
      </c>
      <c r="K744" s="12" t="s">
        <v>20</v>
      </c>
      <c r="L744" s="12" t="s">
        <v>42</v>
      </c>
      <c r="M744" s="12">
        <v>230.00899999999999</v>
      </c>
      <c r="N744" s="12">
        <v>184.25</v>
      </c>
      <c r="O744" s="12">
        <v>4.3</v>
      </c>
      <c r="Q744" s="13">
        <f t="shared" si="28"/>
        <v>0.81447037186794846</v>
      </c>
    </row>
    <row r="745" spans="1:17" x14ac:dyDescent="0.25">
      <c r="A745" s="12">
        <f t="shared" si="29"/>
        <v>9</v>
      </c>
      <c r="B745" s="12">
        <v>2022</v>
      </c>
      <c r="C745" s="12">
        <v>7024</v>
      </c>
      <c r="D745" s="12">
        <v>1020809</v>
      </c>
      <c r="E745" s="12" t="s">
        <v>13</v>
      </c>
      <c r="F745" s="12" t="s">
        <v>14</v>
      </c>
      <c r="G745" s="25">
        <v>1020809</v>
      </c>
      <c r="H745" s="12">
        <f t="shared" si="30"/>
        <v>0</v>
      </c>
      <c r="I745" s="14">
        <v>44818</v>
      </c>
      <c r="J745" s="12" t="s">
        <v>18</v>
      </c>
      <c r="K745" s="12" t="s">
        <v>20</v>
      </c>
      <c r="L745" s="12" t="s">
        <v>42</v>
      </c>
      <c r="M745" s="12">
        <v>230.00899999999999</v>
      </c>
      <c r="N745" s="12">
        <v>185.64</v>
      </c>
      <c r="O745" s="12">
        <v>4.7</v>
      </c>
      <c r="Q745" s="13">
        <f t="shared" si="28"/>
        <v>0.85795963443160383</v>
      </c>
    </row>
    <row r="746" spans="1:17" x14ac:dyDescent="0.25">
      <c r="A746" s="12">
        <f t="shared" si="29"/>
        <v>9</v>
      </c>
      <c r="B746" s="12">
        <v>2022</v>
      </c>
      <c r="C746" s="12">
        <v>7025</v>
      </c>
      <c r="D746" s="12">
        <v>1020871</v>
      </c>
      <c r="E746" s="12" t="s">
        <v>13</v>
      </c>
      <c r="F746" s="12" t="s">
        <v>14</v>
      </c>
      <c r="G746" s="25">
        <v>1020871</v>
      </c>
      <c r="H746" s="12">
        <f t="shared" si="30"/>
        <v>0</v>
      </c>
      <c r="I746" s="14">
        <v>44819</v>
      </c>
      <c r="J746" s="12" t="s">
        <v>18</v>
      </c>
      <c r="K746" s="12" t="s">
        <v>19</v>
      </c>
      <c r="L746" s="12" t="s">
        <v>40</v>
      </c>
      <c r="M746" s="12">
        <v>230.00700000000001</v>
      </c>
      <c r="N746" s="12">
        <v>190.87899999999999</v>
      </c>
      <c r="O746" s="12">
        <v>3.9</v>
      </c>
      <c r="Q746" s="13">
        <f t="shared" si="28"/>
        <v>0.80105561086740085</v>
      </c>
    </row>
    <row r="747" spans="1:17" x14ac:dyDescent="0.25">
      <c r="A747" s="12">
        <f t="shared" si="29"/>
        <v>9</v>
      </c>
      <c r="B747" s="12">
        <v>2022</v>
      </c>
      <c r="C747" s="12">
        <v>7026</v>
      </c>
      <c r="D747" s="12">
        <v>1020920</v>
      </c>
      <c r="E747" s="12" t="s">
        <v>13</v>
      </c>
      <c r="F747" s="12" t="s">
        <v>14</v>
      </c>
      <c r="G747" s="25">
        <v>1020920</v>
      </c>
      <c r="H747" s="12">
        <f t="shared" si="30"/>
        <v>0</v>
      </c>
      <c r="I747" s="14">
        <v>44820</v>
      </c>
      <c r="J747" s="12" t="s">
        <v>18</v>
      </c>
      <c r="K747" s="12" t="s">
        <v>19</v>
      </c>
      <c r="L747" s="12" t="s">
        <v>40</v>
      </c>
      <c r="M747" s="12">
        <v>230.00800000000001</v>
      </c>
      <c r="N747" s="12">
        <v>185.90799999999999</v>
      </c>
      <c r="O747" s="12">
        <v>4.5</v>
      </c>
      <c r="Q747" s="13">
        <f t="shared" ref="Q747:Q810" si="31">N745/M745</f>
        <v>0.80709885265359183</v>
      </c>
    </row>
    <row r="748" spans="1:17" x14ac:dyDescent="0.25">
      <c r="A748" s="12">
        <f t="shared" si="29"/>
        <v>9</v>
      </c>
      <c r="B748" s="12">
        <v>2022</v>
      </c>
      <c r="C748" s="12">
        <v>7027</v>
      </c>
      <c r="D748" s="12">
        <v>1020963</v>
      </c>
      <c r="E748" s="12" t="s">
        <v>13</v>
      </c>
      <c r="F748" s="12" t="s">
        <v>14</v>
      </c>
      <c r="G748" s="25">
        <v>1020963</v>
      </c>
      <c r="H748" s="12">
        <f t="shared" si="30"/>
        <v>0</v>
      </c>
      <c r="I748" s="14">
        <v>44821</v>
      </c>
      <c r="J748" s="12" t="s">
        <v>18</v>
      </c>
      <c r="K748" s="12" t="s">
        <v>19</v>
      </c>
      <c r="L748" s="12" t="s">
        <v>40</v>
      </c>
      <c r="M748" s="12">
        <v>230.006</v>
      </c>
      <c r="N748" s="12">
        <v>189.53299999999999</v>
      </c>
      <c r="O748" s="12">
        <v>4.2</v>
      </c>
      <c r="Q748" s="13">
        <f t="shared" si="31"/>
        <v>0.82988343833013767</v>
      </c>
    </row>
    <row r="749" spans="1:17" x14ac:dyDescent="0.25">
      <c r="A749" s="12">
        <f t="shared" si="29"/>
        <v>9</v>
      </c>
      <c r="B749" s="12">
        <v>2022</v>
      </c>
      <c r="C749" s="12">
        <v>7028</v>
      </c>
      <c r="D749" s="12">
        <v>1021035</v>
      </c>
      <c r="E749" s="12" t="s">
        <v>13</v>
      </c>
      <c r="F749" s="12" t="s">
        <v>14</v>
      </c>
      <c r="G749" s="25">
        <v>1021035</v>
      </c>
      <c r="H749" s="12">
        <f t="shared" si="30"/>
        <v>0</v>
      </c>
      <c r="I749" s="14">
        <v>44822</v>
      </c>
      <c r="J749" s="12" t="s">
        <v>18</v>
      </c>
      <c r="K749" s="12" t="s">
        <v>19</v>
      </c>
      <c r="L749" s="12" t="s">
        <v>40</v>
      </c>
      <c r="M749" s="12">
        <v>230.006</v>
      </c>
      <c r="N749" s="12">
        <v>184.15899999999999</v>
      </c>
      <c r="O749" s="12">
        <v>4.4000000000000004</v>
      </c>
      <c r="Q749" s="13">
        <f t="shared" si="31"/>
        <v>0.80826753852039923</v>
      </c>
    </row>
    <row r="750" spans="1:17" x14ac:dyDescent="0.25">
      <c r="A750" s="12">
        <f t="shared" si="29"/>
        <v>9</v>
      </c>
      <c r="B750" s="12">
        <v>2022</v>
      </c>
      <c r="C750" s="12">
        <v>7029</v>
      </c>
      <c r="D750" s="12">
        <v>1021036</v>
      </c>
      <c r="E750" s="12" t="s">
        <v>13</v>
      </c>
      <c r="F750" s="12" t="s">
        <v>14</v>
      </c>
      <c r="G750" s="25">
        <v>1021036</v>
      </c>
      <c r="H750" s="12">
        <f t="shared" si="30"/>
        <v>0</v>
      </c>
      <c r="I750" s="14">
        <v>44823</v>
      </c>
      <c r="J750" s="12" t="s">
        <v>37</v>
      </c>
      <c r="K750" s="12" t="s">
        <v>19</v>
      </c>
      <c r="L750" s="12" t="s">
        <v>40</v>
      </c>
      <c r="M750" s="12">
        <v>230.00700000000001</v>
      </c>
      <c r="N750" s="12">
        <v>191.32400000000001</v>
      </c>
      <c r="O750" s="12">
        <v>3.5</v>
      </c>
      <c r="Q750" s="13">
        <f t="shared" si="31"/>
        <v>0.82403502517325633</v>
      </c>
    </row>
    <row r="751" spans="1:17" x14ac:dyDescent="0.25">
      <c r="A751" s="12">
        <f t="shared" si="29"/>
        <v>9</v>
      </c>
      <c r="B751" s="12">
        <v>2022</v>
      </c>
      <c r="C751" s="12">
        <v>7030</v>
      </c>
      <c r="D751" s="12">
        <v>1021037</v>
      </c>
      <c r="E751" s="12" t="s">
        <v>13</v>
      </c>
      <c r="F751" s="12" t="s">
        <v>14</v>
      </c>
      <c r="G751" s="25">
        <v>1021037</v>
      </c>
      <c r="H751" s="12">
        <f t="shared" si="30"/>
        <v>0</v>
      </c>
      <c r="I751" s="14">
        <v>44824</v>
      </c>
      <c r="J751" s="12" t="s">
        <v>37</v>
      </c>
      <c r="K751" s="12" t="s">
        <v>19</v>
      </c>
      <c r="L751" s="12" t="s">
        <v>40</v>
      </c>
      <c r="M751" s="12">
        <v>230.00700000000001</v>
      </c>
      <c r="N751" s="12">
        <v>187.852</v>
      </c>
      <c r="O751" s="12">
        <v>4.0999999999999996</v>
      </c>
      <c r="Q751" s="13">
        <f t="shared" si="31"/>
        <v>0.80067041729346189</v>
      </c>
    </row>
    <row r="752" spans="1:17" x14ac:dyDescent="0.25">
      <c r="A752" s="12">
        <f t="shared" si="29"/>
        <v>9</v>
      </c>
      <c r="B752" s="12">
        <v>2022</v>
      </c>
      <c r="C752" s="12">
        <v>7031</v>
      </c>
      <c r="D752" s="12">
        <v>1021117</v>
      </c>
      <c r="E752" s="12" t="s">
        <v>13</v>
      </c>
      <c r="F752" s="12" t="s">
        <v>14</v>
      </c>
      <c r="G752" s="25">
        <v>1021117</v>
      </c>
      <c r="H752" s="12">
        <f t="shared" si="30"/>
        <v>0</v>
      </c>
      <c r="I752" s="14">
        <v>44825</v>
      </c>
      <c r="J752" s="12" t="s">
        <v>37</v>
      </c>
      <c r="K752" s="12" t="s">
        <v>19</v>
      </c>
      <c r="L752" s="12" t="s">
        <v>40</v>
      </c>
      <c r="M752" s="12">
        <v>230.005</v>
      </c>
      <c r="N752" s="12">
        <v>183.15600000000001</v>
      </c>
      <c r="O752" s="12">
        <v>4.2</v>
      </c>
      <c r="Q752" s="13">
        <f t="shared" si="31"/>
        <v>0.8318181620559375</v>
      </c>
    </row>
    <row r="753" spans="1:17" x14ac:dyDescent="0.25">
      <c r="A753" s="12">
        <f t="shared" si="29"/>
        <v>9</v>
      </c>
      <c r="B753" s="12">
        <v>2022</v>
      </c>
      <c r="C753" s="12">
        <v>7032</v>
      </c>
      <c r="D753" s="12">
        <v>1021215</v>
      </c>
      <c r="E753" s="12" t="s">
        <v>13</v>
      </c>
      <c r="F753" s="12" t="s">
        <v>14</v>
      </c>
      <c r="G753" s="25">
        <v>1021215</v>
      </c>
      <c r="H753" s="12">
        <f t="shared" si="30"/>
        <v>0</v>
      </c>
      <c r="I753" s="14">
        <v>44826</v>
      </c>
      <c r="J753" s="12" t="s">
        <v>37</v>
      </c>
      <c r="K753" s="12" t="s">
        <v>19</v>
      </c>
      <c r="L753" s="12" t="s">
        <v>40</v>
      </c>
      <c r="M753" s="12">
        <v>230.00399999999999</v>
      </c>
      <c r="N753" s="12">
        <v>195.542</v>
      </c>
      <c r="O753" s="12">
        <v>4.3</v>
      </c>
      <c r="Q753" s="13">
        <f t="shared" si="31"/>
        <v>0.81672296930093435</v>
      </c>
    </row>
    <row r="754" spans="1:17" x14ac:dyDescent="0.25">
      <c r="A754" s="12">
        <f t="shared" si="29"/>
        <v>9</v>
      </c>
      <c r="B754" s="12">
        <v>2022</v>
      </c>
      <c r="C754" s="12">
        <v>7033</v>
      </c>
      <c r="D754" s="12">
        <v>1021314</v>
      </c>
      <c r="E754" s="12" t="s">
        <v>13</v>
      </c>
      <c r="F754" s="12" t="s">
        <v>14</v>
      </c>
      <c r="G754" s="25">
        <v>1021314</v>
      </c>
      <c r="H754" s="12">
        <f t="shared" si="30"/>
        <v>0</v>
      </c>
      <c r="I754" s="14">
        <v>44827</v>
      </c>
      <c r="J754" s="12" t="s">
        <v>17</v>
      </c>
      <c r="K754" s="12" t="s">
        <v>19</v>
      </c>
      <c r="L754" s="12" t="s">
        <v>54</v>
      </c>
      <c r="M754" s="12">
        <v>229.99700000000001</v>
      </c>
      <c r="N754" s="12">
        <v>195.53100000000001</v>
      </c>
      <c r="O754" s="12">
        <v>3.9</v>
      </c>
      <c r="P754" s="12">
        <v>12</v>
      </c>
      <c r="Q754" s="13">
        <f t="shared" si="31"/>
        <v>0.79631312362774731</v>
      </c>
    </row>
    <row r="755" spans="1:17" x14ac:dyDescent="0.25">
      <c r="A755" s="12">
        <f t="shared" si="29"/>
        <v>9</v>
      </c>
      <c r="B755" s="12">
        <v>2022</v>
      </c>
      <c r="C755" s="12">
        <v>7034</v>
      </c>
      <c r="D755" s="12">
        <v>1021379</v>
      </c>
      <c r="E755" s="12" t="s">
        <v>13</v>
      </c>
      <c r="F755" s="12" t="s">
        <v>14</v>
      </c>
      <c r="G755" s="25">
        <v>1021379</v>
      </c>
      <c r="H755" s="12">
        <f t="shared" si="30"/>
        <v>0</v>
      </c>
      <c r="I755" s="14">
        <v>44828</v>
      </c>
      <c r="J755" s="12" t="s">
        <v>17</v>
      </c>
      <c r="K755" s="12" t="s">
        <v>20</v>
      </c>
      <c r="L755" s="12" t="s">
        <v>56</v>
      </c>
      <c r="M755" s="12">
        <v>230.00299999999999</v>
      </c>
      <c r="N755" s="12">
        <v>196.52500000000001</v>
      </c>
      <c r="O755" s="12">
        <v>4.5999999999999996</v>
      </c>
      <c r="Q755" s="13">
        <f t="shared" si="31"/>
        <v>0.85016782316829276</v>
      </c>
    </row>
    <row r="756" spans="1:17" x14ac:dyDescent="0.25">
      <c r="A756" s="12">
        <f t="shared" si="29"/>
        <v>9</v>
      </c>
      <c r="B756" s="12">
        <v>2022</v>
      </c>
      <c r="C756" s="12">
        <v>7035</v>
      </c>
      <c r="D756" s="12">
        <v>1021453</v>
      </c>
      <c r="E756" s="12" t="s">
        <v>13</v>
      </c>
      <c r="F756" s="12" t="s">
        <v>14</v>
      </c>
      <c r="G756" s="25">
        <v>1021453</v>
      </c>
      <c r="H756" s="12">
        <f t="shared" si="30"/>
        <v>0</v>
      </c>
      <c r="I756" s="14">
        <v>44829</v>
      </c>
      <c r="J756" s="12" t="s">
        <v>17</v>
      </c>
      <c r="K756" s="12" t="s">
        <v>20</v>
      </c>
      <c r="L756" s="12" t="s">
        <v>56</v>
      </c>
      <c r="M756" s="12">
        <v>230.00200000000001</v>
      </c>
      <c r="N756" s="12">
        <v>199.01300000000001</v>
      </c>
      <c r="O756" s="12">
        <v>4.5</v>
      </c>
      <c r="Q756" s="13">
        <f t="shared" si="31"/>
        <v>0.85014587146788867</v>
      </c>
    </row>
    <row r="757" spans="1:17" x14ac:dyDescent="0.25">
      <c r="A757" s="12">
        <f t="shared" si="29"/>
        <v>9</v>
      </c>
      <c r="B757" s="12">
        <v>2022</v>
      </c>
      <c r="C757" s="12">
        <v>7036</v>
      </c>
      <c r="D757" s="12">
        <v>1021532</v>
      </c>
      <c r="E757" s="12" t="s">
        <v>13</v>
      </c>
      <c r="F757" s="12" t="s">
        <v>14</v>
      </c>
      <c r="G757" s="25">
        <v>1021532</v>
      </c>
      <c r="H757" s="12">
        <f t="shared" si="30"/>
        <v>0</v>
      </c>
      <c r="I757" s="14">
        <v>44830</v>
      </c>
      <c r="J757" s="12" t="s">
        <v>18</v>
      </c>
      <c r="K757" s="12" t="s">
        <v>19</v>
      </c>
      <c r="L757" s="12" t="s">
        <v>40</v>
      </c>
      <c r="M757" s="12">
        <v>229.995</v>
      </c>
      <c r="N757" s="12">
        <v>191.22900000000001</v>
      </c>
      <c r="O757" s="12">
        <v>4.3</v>
      </c>
      <c r="P757" s="12">
        <v>13.7</v>
      </c>
      <c r="Q757" s="13">
        <f t="shared" si="31"/>
        <v>0.85444537679943311</v>
      </c>
    </row>
    <row r="758" spans="1:17" x14ac:dyDescent="0.25">
      <c r="A758" s="12">
        <f t="shared" si="29"/>
        <v>9</v>
      </c>
      <c r="B758" s="12">
        <v>2022</v>
      </c>
      <c r="C758" s="12">
        <v>7037</v>
      </c>
      <c r="D758" s="12">
        <v>1021533</v>
      </c>
      <c r="E758" s="12" t="s">
        <v>13</v>
      </c>
      <c r="F758" s="12" t="s">
        <v>14</v>
      </c>
      <c r="G758" s="25">
        <v>1021533</v>
      </c>
      <c r="H758" s="12">
        <f t="shared" si="30"/>
        <v>0</v>
      </c>
      <c r="I758" s="14">
        <v>44831</v>
      </c>
      <c r="J758" s="12" t="s">
        <v>18</v>
      </c>
      <c r="K758" s="12" t="s">
        <v>19</v>
      </c>
      <c r="L758" s="12" t="s">
        <v>40</v>
      </c>
      <c r="M758" s="12">
        <v>230.00399999999999</v>
      </c>
      <c r="N758" s="12">
        <v>189.994</v>
      </c>
      <c r="O758" s="12">
        <v>3.9</v>
      </c>
      <c r="P758" s="12">
        <v>13.9</v>
      </c>
      <c r="Q758" s="13">
        <f t="shared" si="31"/>
        <v>0.86526638898792185</v>
      </c>
    </row>
    <row r="759" spans="1:17" x14ac:dyDescent="0.25">
      <c r="A759" s="12">
        <f t="shared" si="29"/>
        <v>9</v>
      </c>
      <c r="B759" s="12">
        <v>2022</v>
      </c>
      <c r="C759" s="12">
        <v>7038</v>
      </c>
      <c r="D759" s="12">
        <v>1021545</v>
      </c>
      <c r="E759" s="12" t="s">
        <v>13</v>
      </c>
      <c r="F759" s="12" t="s">
        <v>14</v>
      </c>
      <c r="G759" s="25">
        <v>1021545</v>
      </c>
      <c r="H759" s="12">
        <f t="shared" si="30"/>
        <v>0</v>
      </c>
      <c r="I759" s="14">
        <v>44832</v>
      </c>
      <c r="J759" s="12" t="s">
        <v>18</v>
      </c>
      <c r="K759" s="12" t="s">
        <v>19</v>
      </c>
      <c r="L759" s="12" t="s">
        <v>40</v>
      </c>
      <c r="M759" s="12">
        <v>230.00299999999999</v>
      </c>
      <c r="N759" s="12">
        <v>192.19900000000001</v>
      </c>
      <c r="O759" s="12">
        <v>4.0999999999999996</v>
      </c>
      <c r="P759" s="12">
        <v>13.9</v>
      </c>
      <c r="Q759" s="13">
        <f t="shared" si="31"/>
        <v>0.83144850975021201</v>
      </c>
    </row>
    <row r="760" spans="1:17" x14ac:dyDescent="0.25">
      <c r="A760" s="12">
        <f t="shared" si="29"/>
        <v>9</v>
      </c>
      <c r="B760" s="12">
        <v>2022</v>
      </c>
      <c r="C760" s="12">
        <v>7039</v>
      </c>
      <c r="D760" s="12">
        <v>1021652</v>
      </c>
      <c r="E760" s="12" t="s">
        <v>13</v>
      </c>
      <c r="F760" s="12" t="s">
        <v>14</v>
      </c>
      <c r="G760" s="25">
        <v>1021652</v>
      </c>
      <c r="H760" s="12">
        <f t="shared" si="30"/>
        <v>0</v>
      </c>
      <c r="I760" s="14">
        <v>44833</v>
      </c>
      <c r="J760" s="12" t="s">
        <v>18</v>
      </c>
      <c r="K760" s="12" t="s">
        <v>19</v>
      </c>
      <c r="L760" s="12" t="s">
        <v>40</v>
      </c>
      <c r="M760" s="12">
        <v>230</v>
      </c>
      <c r="N760" s="12">
        <v>191.904</v>
      </c>
      <c r="O760" s="12">
        <v>4.0999999999999996</v>
      </c>
      <c r="Q760" s="13">
        <f t="shared" si="31"/>
        <v>0.82604650353906894</v>
      </c>
    </row>
    <row r="761" spans="1:17" x14ac:dyDescent="0.25">
      <c r="A761" s="12">
        <f t="shared" si="29"/>
        <v>9</v>
      </c>
      <c r="B761" s="12">
        <v>2022</v>
      </c>
      <c r="C761" s="12">
        <v>7040</v>
      </c>
      <c r="D761" s="12">
        <v>1021762</v>
      </c>
      <c r="E761" s="12" t="s">
        <v>13</v>
      </c>
      <c r="F761" s="12" t="s">
        <v>14</v>
      </c>
      <c r="G761" s="25">
        <v>1021762</v>
      </c>
      <c r="H761" s="12">
        <f t="shared" si="30"/>
        <v>0</v>
      </c>
      <c r="I761" s="14">
        <v>44834</v>
      </c>
      <c r="J761" s="12" t="s">
        <v>18</v>
      </c>
      <c r="K761" s="12" t="s">
        <v>19</v>
      </c>
      <c r="L761" s="12" t="s">
        <v>40</v>
      </c>
      <c r="M761" s="12">
        <v>230.001</v>
      </c>
      <c r="N761" s="12">
        <v>189.059</v>
      </c>
      <c r="O761" s="12">
        <v>4.0999999999999996</v>
      </c>
      <c r="Q761" s="13">
        <f t="shared" si="31"/>
        <v>0.8356369264748722</v>
      </c>
    </row>
    <row r="762" spans="1:17" x14ac:dyDescent="0.25">
      <c r="A762" s="12">
        <f t="shared" si="29"/>
        <v>10</v>
      </c>
      <c r="B762" s="12">
        <v>2022</v>
      </c>
      <c r="C762" s="12">
        <v>7041</v>
      </c>
      <c r="D762" s="12">
        <v>1021807</v>
      </c>
      <c r="E762" s="12" t="s">
        <v>13</v>
      </c>
      <c r="F762" s="12" t="s">
        <v>14</v>
      </c>
      <c r="G762" s="25">
        <v>1021807</v>
      </c>
      <c r="H762" s="12">
        <f t="shared" si="30"/>
        <v>0</v>
      </c>
      <c r="I762" s="14">
        <v>44835</v>
      </c>
      <c r="J762" s="12" t="s">
        <v>17</v>
      </c>
      <c r="K762" s="12" t="s">
        <v>19</v>
      </c>
      <c r="L762" s="12" t="s">
        <v>55</v>
      </c>
      <c r="M762" s="12">
        <v>230.02500000000001</v>
      </c>
      <c r="N762" s="12">
        <v>195.571</v>
      </c>
      <c r="O762" s="12">
        <v>4.3</v>
      </c>
      <c r="P762" s="12">
        <v>12</v>
      </c>
      <c r="Q762" s="13">
        <f t="shared" si="31"/>
        <v>0.83436521739130431</v>
      </c>
    </row>
    <row r="763" spans="1:17" x14ac:dyDescent="0.25">
      <c r="A763" s="12">
        <f t="shared" si="29"/>
        <v>10</v>
      </c>
      <c r="B763" s="12">
        <v>2022</v>
      </c>
      <c r="C763" s="12">
        <v>7042</v>
      </c>
      <c r="D763" s="12">
        <v>1021896</v>
      </c>
      <c r="E763" s="12" t="s">
        <v>13</v>
      </c>
      <c r="F763" s="12" t="s">
        <v>14</v>
      </c>
      <c r="G763" s="25">
        <v>1021896</v>
      </c>
      <c r="H763" s="12">
        <f t="shared" si="30"/>
        <v>0</v>
      </c>
      <c r="I763" s="14">
        <v>44836</v>
      </c>
      <c r="J763" s="12" t="s">
        <v>18</v>
      </c>
      <c r="K763" s="12" t="s">
        <v>19</v>
      </c>
      <c r="L763" s="12" t="s">
        <v>40</v>
      </c>
      <c r="M763" s="12">
        <v>229.999</v>
      </c>
      <c r="N763" s="12">
        <v>190.751</v>
      </c>
      <c r="O763" s="12">
        <v>4.3</v>
      </c>
      <c r="Q763" s="13">
        <f t="shared" si="31"/>
        <v>0.82199207829531173</v>
      </c>
    </row>
    <row r="764" spans="1:17" x14ac:dyDescent="0.25">
      <c r="A764" s="12">
        <f t="shared" si="29"/>
        <v>10</v>
      </c>
      <c r="B764" s="12">
        <v>2022</v>
      </c>
      <c r="C764" s="12">
        <v>7043</v>
      </c>
      <c r="D764" s="12">
        <v>1021997</v>
      </c>
      <c r="E764" s="12" t="s">
        <v>13</v>
      </c>
      <c r="F764" s="12" t="s">
        <v>14</v>
      </c>
      <c r="G764" s="25">
        <v>1021997</v>
      </c>
      <c r="H764" s="12">
        <f t="shared" si="30"/>
        <v>0</v>
      </c>
      <c r="I764" s="14">
        <v>44837</v>
      </c>
      <c r="J764" s="12" t="s">
        <v>18</v>
      </c>
      <c r="K764" s="12" t="s">
        <v>19</v>
      </c>
      <c r="L764" s="12" t="s">
        <v>40</v>
      </c>
      <c r="M764" s="12">
        <v>229.99799999999999</v>
      </c>
      <c r="N764" s="12">
        <v>188.602</v>
      </c>
      <c r="O764" s="12">
        <v>4.2</v>
      </c>
      <c r="Q764" s="13">
        <f t="shared" si="31"/>
        <v>0.85021628083903922</v>
      </c>
    </row>
    <row r="765" spans="1:17" x14ac:dyDescent="0.25">
      <c r="A765" s="12">
        <f t="shared" si="29"/>
        <v>10</v>
      </c>
      <c r="B765" s="12">
        <v>2022</v>
      </c>
      <c r="C765" s="12">
        <v>7044</v>
      </c>
      <c r="D765" s="12">
        <v>1021999</v>
      </c>
      <c r="E765" s="12" t="s">
        <v>13</v>
      </c>
      <c r="F765" s="12" t="s">
        <v>14</v>
      </c>
      <c r="G765" s="25">
        <v>1021999</v>
      </c>
      <c r="H765" s="12">
        <f t="shared" si="30"/>
        <v>0</v>
      </c>
      <c r="I765" s="14">
        <v>44838</v>
      </c>
      <c r="J765" s="12" t="s">
        <v>18</v>
      </c>
      <c r="K765" s="12" t="s">
        <v>19</v>
      </c>
      <c r="L765" s="12" t="s">
        <v>40</v>
      </c>
      <c r="M765" s="12">
        <v>230.00399999999999</v>
      </c>
      <c r="N765" s="12">
        <v>192.571</v>
      </c>
      <c r="O765" s="12">
        <v>4.4000000000000004</v>
      </c>
      <c r="P765" s="12">
        <v>13.6</v>
      </c>
      <c r="Q765" s="13">
        <f t="shared" si="31"/>
        <v>0.82935577980773834</v>
      </c>
    </row>
    <row r="766" spans="1:17" x14ac:dyDescent="0.25">
      <c r="A766" s="12">
        <f t="shared" si="29"/>
        <v>10</v>
      </c>
      <c r="B766" s="12">
        <v>2022</v>
      </c>
      <c r="C766" s="12">
        <v>7045</v>
      </c>
      <c r="D766" s="12">
        <v>1022008</v>
      </c>
      <c r="E766" s="12" t="s">
        <v>13</v>
      </c>
      <c r="F766" s="12" t="s">
        <v>14</v>
      </c>
      <c r="G766" s="25">
        <v>1022008</v>
      </c>
      <c r="H766" s="12">
        <f t="shared" si="30"/>
        <v>0</v>
      </c>
      <c r="I766" s="14">
        <v>44839</v>
      </c>
      <c r="J766" s="12" t="s">
        <v>18</v>
      </c>
      <c r="K766" s="12" t="s">
        <v>19</v>
      </c>
      <c r="L766" s="12" t="s">
        <v>40</v>
      </c>
      <c r="M766" s="12">
        <v>230.00399999999999</v>
      </c>
      <c r="N766" s="12">
        <v>188.203</v>
      </c>
      <c r="O766" s="12">
        <v>3.8</v>
      </c>
      <c r="Q766" s="13">
        <f t="shared" si="31"/>
        <v>0.82001582622457592</v>
      </c>
    </row>
    <row r="767" spans="1:17" x14ac:dyDescent="0.25">
      <c r="A767" s="12">
        <f t="shared" si="29"/>
        <v>10</v>
      </c>
      <c r="B767" s="12">
        <v>2022</v>
      </c>
      <c r="C767" s="12">
        <v>7046</v>
      </c>
      <c r="D767" s="12">
        <v>1022144</v>
      </c>
      <c r="E767" s="12" t="s">
        <v>13</v>
      </c>
      <c r="F767" s="12" t="s">
        <v>14</v>
      </c>
      <c r="G767" s="25">
        <v>1022144</v>
      </c>
      <c r="H767" s="12">
        <f t="shared" si="30"/>
        <v>0</v>
      </c>
      <c r="I767" s="14">
        <v>44840</v>
      </c>
      <c r="J767" s="12" t="s">
        <v>18</v>
      </c>
      <c r="K767" s="12" t="s">
        <v>19</v>
      </c>
      <c r="L767" s="12" t="s">
        <v>40</v>
      </c>
      <c r="M767" s="12">
        <v>230.005</v>
      </c>
      <c r="N767" s="12">
        <v>189.00200000000001</v>
      </c>
      <c r="O767" s="12">
        <v>3.9</v>
      </c>
      <c r="P767" s="12">
        <v>14</v>
      </c>
      <c r="Q767" s="13">
        <f t="shared" si="31"/>
        <v>0.8372506565103216</v>
      </c>
    </row>
    <row r="768" spans="1:17" x14ac:dyDescent="0.25">
      <c r="A768" s="12">
        <f t="shared" si="29"/>
        <v>10</v>
      </c>
      <c r="B768" s="12">
        <v>2022</v>
      </c>
      <c r="C768" s="12">
        <v>7047</v>
      </c>
      <c r="D768" s="12">
        <v>1022223</v>
      </c>
      <c r="E768" s="12" t="s">
        <v>13</v>
      </c>
      <c r="F768" s="12" t="s">
        <v>14</v>
      </c>
      <c r="G768" s="25">
        <v>1022223</v>
      </c>
      <c r="H768" s="12">
        <f t="shared" si="30"/>
        <v>0</v>
      </c>
      <c r="I768" s="14">
        <v>44841</v>
      </c>
      <c r="J768" s="12" t="s">
        <v>17</v>
      </c>
      <c r="K768" s="12" t="s">
        <v>19</v>
      </c>
      <c r="L768" s="12" t="s">
        <v>78</v>
      </c>
      <c r="M768" s="12">
        <v>230.02500000000001</v>
      </c>
      <c r="N768" s="12">
        <v>192.78800000000001</v>
      </c>
      <c r="O768" s="12">
        <v>3.8</v>
      </c>
      <c r="P768" s="12">
        <v>11.7</v>
      </c>
      <c r="Q768" s="13">
        <f t="shared" si="31"/>
        <v>0.81825968244030545</v>
      </c>
    </row>
    <row r="769" spans="1:17" x14ac:dyDescent="0.25">
      <c r="A769" s="12">
        <f t="shared" si="29"/>
        <v>10</v>
      </c>
      <c r="B769" s="12">
        <v>2022</v>
      </c>
      <c r="C769" s="12">
        <v>7048</v>
      </c>
      <c r="D769" s="12">
        <v>1022331</v>
      </c>
      <c r="E769" s="12" t="s">
        <v>13</v>
      </c>
      <c r="F769" s="12" t="s">
        <v>14</v>
      </c>
      <c r="G769" s="25">
        <v>1022331</v>
      </c>
      <c r="H769" s="12">
        <f t="shared" si="30"/>
        <v>0</v>
      </c>
      <c r="I769" s="14">
        <v>44842</v>
      </c>
      <c r="J769" s="12" t="s">
        <v>17</v>
      </c>
      <c r="K769" s="12" t="s">
        <v>19</v>
      </c>
      <c r="L769" s="12" t="s">
        <v>41</v>
      </c>
      <c r="M769" s="12">
        <v>230.006</v>
      </c>
      <c r="N769" s="12">
        <v>188.601</v>
      </c>
      <c r="O769" s="12">
        <v>3.7</v>
      </c>
      <c r="P769" s="12">
        <v>13.9</v>
      </c>
      <c r="Q769" s="13">
        <f t="shared" si="31"/>
        <v>0.82172996239212193</v>
      </c>
    </row>
    <row r="770" spans="1:17" x14ac:dyDescent="0.25">
      <c r="A770" s="12">
        <f t="shared" si="29"/>
        <v>10</v>
      </c>
      <c r="B770" s="12">
        <v>2022</v>
      </c>
      <c r="C770" s="12">
        <v>7049</v>
      </c>
      <c r="D770" s="12">
        <v>1023530</v>
      </c>
      <c r="E770" s="12" t="s">
        <v>13</v>
      </c>
      <c r="F770" s="12" t="s">
        <v>14</v>
      </c>
      <c r="G770" s="25">
        <v>1023530</v>
      </c>
      <c r="H770" s="12">
        <f t="shared" si="30"/>
        <v>0</v>
      </c>
      <c r="I770" s="14">
        <v>44856</v>
      </c>
      <c r="J770" s="12" t="s">
        <v>18</v>
      </c>
      <c r="K770" s="12" t="s">
        <v>20</v>
      </c>
      <c r="L770" s="12" t="s">
        <v>53</v>
      </c>
      <c r="M770" s="12">
        <v>230</v>
      </c>
      <c r="N770" s="12">
        <v>198.874</v>
      </c>
      <c r="O770" s="12">
        <v>3.6</v>
      </c>
      <c r="P770" s="12">
        <v>14.2</v>
      </c>
      <c r="Q770" s="13">
        <f t="shared" si="31"/>
        <v>0.83811759591348767</v>
      </c>
    </row>
    <row r="771" spans="1:17" x14ac:dyDescent="0.25">
      <c r="A771" s="12">
        <f t="shared" ref="A771:A834" si="32">MONTH(I771)</f>
        <v>10</v>
      </c>
      <c r="B771" s="12">
        <v>2022</v>
      </c>
      <c r="C771" s="12">
        <v>7050</v>
      </c>
      <c r="D771" s="12">
        <v>1022509</v>
      </c>
      <c r="E771" s="12" t="s">
        <v>13</v>
      </c>
      <c r="F771" s="12" t="s">
        <v>14</v>
      </c>
      <c r="G771" s="25">
        <v>1022509</v>
      </c>
      <c r="H771" s="12">
        <f t="shared" si="30"/>
        <v>0</v>
      </c>
      <c r="I771" s="14">
        <v>44844</v>
      </c>
      <c r="J771" s="12" t="s">
        <v>18</v>
      </c>
      <c r="K771" s="12" t="s">
        <v>19</v>
      </c>
      <c r="L771" s="12" t="s">
        <v>40</v>
      </c>
      <c r="M771" s="12">
        <v>230.005</v>
      </c>
      <c r="N771" s="12">
        <v>179.62200000000001</v>
      </c>
      <c r="O771" s="12">
        <v>4.3</v>
      </c>
      <c r="Q771" s="13">
        <f t="shared" si="31"/>
        <v>0.81998295696634005</v>
      </c>
    </row>
    <row r="772" spans="1:17" x14ac:dyDescent="0.25">
      <c r="A772" s="12">
        <f t="shared" si="32"/>
        <v>10</v>
      </c>
      <c r="B772" s="12">
        <v>2022</v>
      </c>
      <c r="C772" s="12">
        <v>7051</v>
      </c>
      <c r="D772" s="12">
        <v>1022511</v>
      </c>
      <c r="E772" s="12" t="s">
        <v>13</v>
      </c>
      <c r="F772" s="12" t="s">
        <v>14</v>
      </c>
      <c r="G772" s="25">
        <v>1022511</v>
      </c>
      <c r="H772" s="12">
        <f t="shared" si="30"/>
        <v>0</v>
      </c>
      <c r="I772" s="14">
        <v>44845</v>
      </c>
      <c r="J772" s="12" t="s">
        <v>18</v>
      </c>
      <c r="K772" s="12" t="s">
        <v>19</v>
      </c>
      <c r="L772" s="12" t="s">
        <v>40</v>
      </c>
      <c r="M772" s="12">
        <v>230.00399999999999</v>
      </c>
      <c r="N772" s="12">
        <v>202.07499999999999</v>
      </c>
      <c r="O772" s="12">
        <v>3.9</v>
      </c>
      <c r="Q772" s="13">
        <f t="shared" si="31"/>
        <v>0.86466956521739124</v>
      </c>
    </row>
    <row r="773" spans="1:17" x14ac:dyDescent="0.25">
      <c r="A773" s="12">
        <f t="shared" si="32"/>
        <v>10</v>
      </c>
      <c r="B773" s="12">
        <v>2022</v>
      </c>
      <c r="C773" s="12">
        <v>7052</v>
      </c>
      <c r="D773" s="12">
        <v>1022514</v>
      </c>
      <c r="E773" s="12" t="s">
        <v>13</v>
      </c>
      <c r="F773" s="12" t="s">
        <v>14</v>
      </c>
      <c r="G773" s="25">
        <v>1022514</v>
      </c>
      <c r="H773" s="12">
        <f t="shared" si="30"/>
        <v>0</v>
      </c>
      <c r="I773" s="14">
        <v>44846</v>
      </c>
      <c r="J773" s="12" t="s">
        <v>18</v>
      </c>
      <c r="K773" s="12" t="s">
        <v>19</v>
      </c>
      <c r="L773" s="12" t="s">
        <v>40</v>
      </c>
      <c r="M773" s="12">
        <v>230.01</v>
      </c>
      <c r="N773" s="12">
        <v>189.691</v>
      </c>
      <c r="O773" s="12">
        <v>3.9</v>
      </c>
      <c r="Q773" s="13">
        <f t="shared" si="31"/>
        <v>0.78094824025564669</v>
      </c>
    </row>
    <row r="774" spans="1:17" x14ac:dyDescent="0.25">
      <c r="A774" s="12">
        <f t="shared" si="32"/>
        <v>10</v>
      </c>
      <c r="B774" s="12">
        <v>2022</v>
      </c>
      <c r="C774" s="12">
        <v>7053</v>
      </c>
      <c r="D774" s="12">
        <v>1022670</v>
      </c>
      <c r="E774" s="12" t="s">
        <v>13</v>
      </c>
      <c r="F774" s="12" t="s">
        <v>14</v>
      </c>
      <c r="G774" s="25">
        <v>1022670</v>
      </c>
      <c r="H774" s="12">
        <f t="shared" si="30"/>
        <v>0</v>
      </c>
      <c r="I774" s="14">
        <v>44847</v>
      </c>
      <c r="J774" s="12" t="s">
        <v>18</v>
      </c>
      <c r="K774" s="12" t="s">
        <v>19</v>
      </c>
      <c r="L774" s="12" t="s">
        <v>40</v>
      </c>
      <c r="M774" s="12">
        <v>230.01</v>
      </c>
      <c r="N774" s="12">
        <v>192.87</v>
      </c>
      <c r="O774" s="12">
        <v>3.6</v>
      </c>
      <c r="Q774" s="13">
        <f t="shared" si="31"/>
        <v>0.87857167701431282</v>
      </c>
    </row>
    <row r="775" spans="1:17" x14ac:dyDescent="0.25">
      <c r="A775" s="12">
        <f t="shared" si="32"/>
        <v>10</v>
      </c>
      <c r="B775" s="12">
        <v>2022</v>
      </c>
      <c r="C775" s="12">
        <v>7054</v>
      </c>
      <c r="D775" s="12">
        <v>1022832</v>
      </c>
      <c r="E775" s="12" t="s">
        <v>13</v>
      </c>
      <c r="F775" s="12" t="s">
        <v>14</v>
      </c>
      <c r="G775" s="25">
        <v>1022832</v>
      </c>
      <c r="H775" s="12">
        <f t="shared" si="30"/>
        <v>0</v>
      </c>
      <c r="I775" s="14">
        <v>44848</v>
      </c>
      <c r="J775" s="12" t="s">
        <v>17</v>
      </c>
      <c r="K775" s="12" t="s">
        <v>19</v>
      </c>
      <c r="L775" s="12" t="s">
        <v>58</v>
      </c>
      <c r="M775" s="12">
        <v>232</v>
      </c>
      <c r="N775" s="12">
        <v>197.88300000000001</v>
      </c>
      <c r="O775" s="12">
        <v>4.4000000000000004</v>
      </c>
      <c r="P775" s="12">
        <v>12</v>
      </c>
      <c r="Q775" s="13">
        <f t="shared" si="31"/>
        <v>0.82470762140776488</v>
      </c>
    </row>
    <row r="776" spans="1:17" x14ac:dyDescent="0.25">
      <c r="A776" s="12">
        <f t="shared" si="32"/>
        <v>10</v>
      </c>
      <c r="B776" s="12">
        <v>2022</v>
      </c>
      <c r="C776" s="12">
        <v>7055</v>
      </c>
      <c r="D776" s="12">
        <v>1022947</v>
      </c>
      <c r="E776" s="12" t="s">
        <v>13</v>
      </c>
      <c r="F776" s="12" t="s">
        <v>14</v>
      </c>
      <c r="G776" s="25">
        <v>1022947</v>
      </c>
      <c r="H776" s="12">
        <f t="shared" si="30"/>
        <v>0</v>
      </c>
      <c r="I776" s="14">
        <v>44849</v>
      </c>
      <c r="J776" s="12" t="s">
        <v>18</v>
      </c>
      <c r="K776" s="12" t="s">
        <v>20</v>
      </c>
      <c r="L776" s="12" t="s">
        <v>56</v>
      </c>
      <c r="M776" s="12">
        <v>234.99799999999999</v>
      </c>
      <c r="N776" s="12">
        <v>196.27600000000001</v>
      </c>
      <c r="O776" s="12">
        <v>4.7</v>
      </c>
      <c r="Q776" s="13">
        <f t="shared" si="31"/>
        <v>0.83852875961914708</v>
      </c>
    </row>
    <row r="777" spans="1:17" x14ac:dyDescent="0.25">
      <c r="A777" s="12">
        <f t="shared" si="32"/>
        <v>10</v>
      </c>
      <c r="B777" s="12">
        <v>2022</v>
      </c>
      <c r="C777" s="12">
        <v>7056</v>
      </c>
      <c r="D777" s="12">
        <v>1023057</v>
      </c>
      <c r="E777" s="12" t="s">
        <v>13</v>
      </c>
      <c r="F777" s="12" t="s">
        <v>14</v>
      </c>
      <c r="G777" s="25">
        <v>1023057</v>
      </c>
      <c r="H777" s="12">
        <f t="shared" si="30"/>
        <v>0</v>
      </c>
      <c r="I777" s="14">
        <v>44850</v>
      </c>
      <c r="J777" s="12" t="s">
        <v>18</v>
      </c>
      <c r="K777" s="12" t="s">
        <v>20</v>
      </c>
      <c r="L777" s="12" t="s">
        <v>56</v>
      </c>
      <c r="M777" s="12">
        <v>234.99799999999999</v>
      </c>
      <c r="N777" s="12">
        <v>203.21700000000001</v>
      </c>
      <c r="O777" s="12">
        <v>4.8</v>
      </c>
      <c r="Q777" s="13">
        <f t="shared" si="31"/>
        <v>0.85294396551724139</v>
      </c>
    </row>
    <row r="778" spans="1:17" x14ac:dyDescent="0.25">
      <c r="A778" s="12">
        <f t="shared" si="32"/>
        <v>10</v>
      </c>
      <c r="B778" s="12">
        <v>2022</v>
      </c>
      <c r="C778" s="12">
        <v>7057</v>
      </c>
      <c r="D778" s="12">
        <v>1023181</v>
      </c>
      <c r="E778" s="12" t="s">
        <v>13</v>
      </c>
      <c r="F778" s="12" t="s">
        <v>14</v>
      </c>
      <c r="G778" s="25">
        <v>1023181</v>
      </c>
      <c r="H778" s="12">
        <f t="shared" si="30"/>
        <v>0</v>
      </c>
      <c r="I778" s="14">
        <v>44851</v>
      </c>
      <c r="J778" s="12" t="s">
        <v>17</v>
      </c>
      <c r="K778" s="12" t="s">
        <v>19</v>
      </c>
      <c r="L778" s="12" t="s">
        <v>55</v>
      </c>
      <c r="M778" s="12">
        <v>232.005</v>
      </c>
      <c r="N778" s="12">
        <v>195.09200000000001</v>
      </c>
      <c r="O778" s="12">
        <v>4.3</v>
      </c>
      <c r="Q778" s="13">
        <f t="shared" si="31"/>
        <v>0.83522412956706027</v>
      </c>
    </row>
    <row r="779" spans="1:17" x14ac:dyDescent="0.25">
      <c r="A779" s="12">
        <f t="shared" si="32"/>
        <v>10</v>
      </c>
      <c r="B779" s="12">
        <v>2022</v>
      </c>
      <c r="C779" s="12">
        <v>7058</v>
      </c>
      <c r="D779" s="12">
        <v>1023196</v>
      </c>
      <c r="E779" s="12" t="s">
        <v>13</v>
      </c>
      <c r="F779" s="12" t="s">
        <v>14</v>
      </c>
      <c r="G779" s="25">
        <v>1023196</v>
      </c>
      <c r="H779" s="12">
        <f t="shared" si="30"/>
        <v>0</v>
      </c>
      <c r="I779" s="14">
        <v>44852</v>
      </c>
      <c r="J779" s="12" t="s">
        <v>18</v>
      </c>
      <c r="K779" s="12" t="s">
        <v>19</v>
      </c>
      <c r="L779" s="12" t="s">
        <v>40</v>
      </c>
      <c r="M779" s="12">
        <v>230.00700000000001</v>
      </c>
      <c r="N779" s="12">
        <v>189.846</v>
      </c>
      <c r="O779" s="12">
        <v>4.2</v>
      </c>
      <c r="Q779" s="13">
        <f t="shared" si="31"/>
        <v>0.86476055115362693</v>
      </c>
    </row>
    <row r="780" spans="1:17" x14ac:dyDescent="0.25">
      <c r="A780" s="12">
        <f t="shared" si="32"/>
        <v>10</v>
      </c>
      <c r="B780" s="12">
        <v>2022</v>
      </c>
      <c r="C780" s="12">
        <v>7059</v>
      </c>
      <c r="D780" s="12">
        <v>1023242</v>
      </c>
      <c r="E780" s="12" t="s">
        <v>13</v>
      </c>
      <c r="F780" s="12" t="s">
        <v>14</v>
      </c>
      <c r="G780" s="25">
        <v>1023242</v>
      </c>
      <c r="H780" s="12">
        <f t="shared" si="30"/>
        <v>0</v>
      </c>
      <c r="I780" s="14">
        <v>44853</v>
      </c>
      <c r="J780" s="12" t="s">
        <v>18</v>
      </c>
      <c r="K780" s="12" t="s">
        <v>19</v>
      </c>
      <c r="L780" s="12" t="s">
        <v>40</v>
      </c>
      <c r="M780" s="12">
        <v>230.00700000000001</v>
      </c>
      <c r="N780" s="12">
        <v>190.75</v>
      </c>
      <c r="O780" s="12">
        <v>4.0999999999999996</v>
      </c>
      <c r="Q780" s="13">
        <f t="shared" si="31"/>
        <v>0.84089567035193213</v>
      </c>
    </row>
    <row r="781" spans="1:17" x14ac:dyDescent="0.25">
      <c r="A781" s="12">
        <f t="shared" si="32"/>
        <v>10</v>
      </c>
      <c r="B781" s="12">
        <v>2022</v>
      </c>
      <c r="C781" s="12">
        <v>7060</v>
      </c>
      <c r="D781" s="12">
        <v>1023366</v>
      </c>
      <c r="E781" s="12" t="s">
        <v>13</v>
      </c>
      <c r="F781" s="12" t="s">
        <v>14</v>
      </c>
      <c r="G781" s="25">
        <v>1023366</v>
      </c>
      <c r="H781" s="12">
        <f t="shared" si="30"/>
        <v>0</v>
      </c>
      <c r="I781" s="14">
        <v>44854</v>
      </c>
      <c r="J781" s="12" t="s">
        <v>18</v>
      </c>
      <c r="K781" s="12" t="s">
        <v>19</v>
      </c>
      <c r="L781" s="12" t="s">
        <v>40</v>
      </c>
      <c r="M781" s="12">
        <v>230.005</v>
      </c>
      <c r="N781" s="12">
        <v>192.15199999999999</v>
      </c>
      <c r="O781" s="12">
        <v>4.2</v>
      </c>
      <c r="Q781" s="13">
        <f t="shared" si="31"/>
        <v>0.82539227067002308</v>
      </c>
    </row>
    <row r="782" spans="1:17" x14ac:dyDescent="0.25">
      <c r="A782" s="12">
        <f t="shared" si="32"/>
        <v>10</v>
      </c>
      <c r="B782" s="12">
        <v>2022</v>
      </c>
      <c r="C782" s="12">
        <v>7061</v>
      </c>
      <c r="D782" s="12">
        <v>1023484</v>
      </c>
      <c r="E782" s="12" t="s">
        <v>13</v>
      </c>
      <c r="F782" s="12" t="s">
        <v>14</v>
      </c>
      <c r="G782" s="25">
        <v>1023484</v>
      </c>
      <c r="H782" s="12">
        <f t="shared" si="30"/>
        <v>0</v>
      </c>
      <c r="I782" s="14">
        <v>44855</v>
      </c>
      <c r="J782" s="12" t="s">
        <v>18</v>
      </c>
      <c r="K782" s="12" t="s">
        <v>19</v>
      </c>
      <c r="L782" s="12" t="s">
        <v>40</v>
      </c>
      <c r="M782" s="12">
        <v>230.006</v>
      </c>
      <c r="N782" s="12">
        <v>189.43799999999999</v>
      </c>
      <c r="O782" s="12">
        <v>4.0999999999999996</v>
      </c>
      <c r="Q782" s="13">
        <f t="shared" si="31"/>
        <v>0.82932258583434415</v>
      </c>
    </row>
    <row r="783" spans="1:17" x14ac:dyDescent="0.25">
      <c r="A783" s="12">
        <f t="shared" si="32"/>
        <v>10</v>
      </c>
      <c r="B783" s="12">
        <v>2022</v>
      </c>
      <c r="C783" s="12">
        <v>7062</v>
      </c>
      <c r="D783" s="12">
        <v>1023607</v>
      </c>
      <c r="E783" s="12" t="s">
        <v>13</v>
      </c>
      <c r="F783" s="12" t="s">
        <v>14</v>
      </c>
      <c r="G783" s="25">
        <v>1023607</v>
      </c>
      <c r="H783" s="12">
        <f t="shared" si="30"/>
        <v>0</v>
      </c>
      <c r="I783" s="14">
        <v>44857</v>
      </c>
      <c r="J783" s="12" t="s">
        <v>18</v>
      </c>
      <c r="K783" s="12" t="s">
        <v>20</v>
      </c>
      <c r="L783" s="12" t="s">
        <v>53</v>
      </c>
      <c r="M783" s="12">
        <v>229.999</v>
      </c>
      <c r="N783" s="12">
        <v>196.98699999999999</v>
      </c>
      <c r="O783" s="12">
        <v>4.9000000000000004</v>
      </c>
      <c r="Q783" s="13">
        <f t="shared" si="31"/>
        <v>0.83542531684093824</v>
      </c>
    </row>
    <row r="784" spans="1:17" x14ac:dyDescent="0.25">
      <c r="A784" s="12">
        <f t="shared" si="32"/>
        <v>10</v>
      </c>
      <c r="B784" s="12">
        <v>2022</v>
      </c>
      <c r="C784" s="12">
        <v>7063</v>
      </c>
      <c r="D784" s="12">
        <v>1023754</v>
      </c>
      <c r="E784" s="12" t="s">
        <v>13</v>
      </c>
      <c r="F784" s="12" t="s">
        <v>14</v>
      </c>
      <c r="G784" s="25">
        <v>1023754</v>
      </c>
      <c r="H784" s="12">
        <f t="shared" si="30"/>
        <v>0</v>
      </c>
      <c r="I784" s="14">
        <v>44858</v>
      </c>
      <c r="J784" s="12" t="s">
        <v>18</v>
      </c>
      <c r="K784" s="12" t="s">
        <v>19</v>
      </c>
      <c r="L784" s="12" t="s">
        <v>40</v>
      </c>
      <c r="M784" s="12">
        <v>229.98500000000001</v>
      </c>
      <c r="N784" s="12">
        <v>190.767</v>
      </c>
      <c r="O784" s="12">
        <v>5.4</v>
      </c>
      <c r="Q784" s="13">
        <f t="shared" si="31"/>
        <v>0.82362199246976164</v>
      </c>
    </row>
    <row r="785" spans="1:17" x14ac:dyDescent="0.25">
      <c r="A785" s="12">
        <f t="shared" si="32"/>
        <v>10</v>
      </c>
      <c r="B785" s="12">
        <v>2022</v>
      </c>
      <c r="C785" s="12">
        <v>7064</v>
      </c>
      <c r="D785" s="12">
        <v>1023864</v>
      </c>
      <c r="E785" s="12" t="s">
        <v>13</v>
      </c>
      <c r="F785" s="12" t="s">
        <v>14</v>
      </c>
      <c r="G785" s="25">
        <v>1023864</v>
      </c>
      <c r="H785" s="12">
        <f t="shared" si="30"/>
        <v>0</v>
      </c>
      <c r="I785" s="14">
        <v>44859</v>
      </c>
      <c r="J785" s="12" t="s">
        <v>18</v>
      </c>
      <c r="K785" s="12" t="s">
        <v>19</v>
      </c>
      <c r="L785" s="12" t="s">
        <v>40</v>
      </c>
      <c r="M785" s="12">
        <v>230.006</v>
      </c>
      <c r="N785" s="12">
        <v>185.45400000000001</v>
      </c>
      <c r="O785" s="12">
        <v>4.3</v>
      </c>
      <c r="P785" s="12">
        <v>13.8</v>
      </c>
      <c r="Q785" s="13">
        <f t="shared" si="31"/>
        <v>0.85646894116930938</v>
      </c>
    </row>
    <row r="786" spans="1:17" x14ac:dyDescent="0.25">
      <c r="A786" s="12">
        <f t="shared" si="32"/>
        <v>10</v>
      </c>
      <c r="B786" s="12">
        <v>2022</v>
      </c>
      <c r="C786" s="12">
        <v>7065</v>
      </c>
      <c r="D786" s="12">
        <v>1023866</v>
      </c>
      <c r="E786" s="12" t="s">
        <v>13</v>
      </c>
      <c r="F786" s="12" t="s">
        <v>14</v>
      </c>
      <c r="G786" s="25">
        <v>1023866</v>
      </c>
      <c r="H786" s="12">
        <f t="shared" si="30"/>
        <v>0</v>
      </c>
      <c r="I786" s="14">
        <v>44860</v>
      </c>
      <c r="J786" s="12" t="s">
        <v>18</v>
      </c>
      <c r="K786" s="12" t="s">
        <v>19</v>
      </c>
      <c r="L786" s="12" t="s">
        <v>40</v>
      </c>
      <c r="M786" s="12">
        <v>230.005</v>
      </c>
      <c r="N786" s="12">
        <v>195.07499999999999</v>
      </c>
      <c r="O786" s="12">
        <v>4.3</v>
      </c>
      <c r="Q786" s="13">
        <f t="shared" si="31"/>
        <v>0.82947583538056824</v>
      </c>
    </row>
    <row r="787" spans="1:17" x14ac:dyDescent="0.25">
      <c r="A787" s="12">
        <f t="shared" si="32"/>
        <v>10</v>
      </c>
      <c r="B787" s="12">
        <v>2022</v>
      </c>
      <c r="C787" s="12">
        <v>7066</v>
      </c>
      <c r="D787" s="12">
        <v>1023869</v>
      </c>
      <c r="E787" s="12" t="s">
        <v>13</v>
      </c>
      <c r="F787" s="12" t="s">
        <v>14</v>
      </c>
      <c r="G787" s="25">
        <v>1023869</v>
      </c>
      <c r="H787" s="12">
        <f t="shared" si="30"/>
        <v>0</v>
      </c>
      <c r="I787" s="14">
        <v>44861</v>
      </c>
      <c r="J787" s="12" t="s">
        <v>18</v>
      </c>
      <c r="K787" s="12" t="s">
        <v>19</v>
      </c>
      <c r="L787" s="12" t="s">
        <v>40</v>
      </c>
      <c r="M787" s="12">
        <v>230.005</v>
      </c>
      <c r="N787" s="12">
        <v>185.70099999999999</v>
      </c>
      <c r="O787" s="12">
        <v>3.9</v>
      </c>
      <c r="Q787" s="13">
        <f t="shared" si="31"/>
        <v>0.80630070519899488</v>
      </c>
    </row>
    <row r="788" spans="1:17" x14ac:dyDescent="0.25">
      <c r="A788" s="12">
        <f t="shared" si="32"/>
        <v>10</v>
      </c>
      <c r="B788" s="12">
        <v>2022</v>
      </c>
      <c r="C788" s="12">
        <v>7067</v>
      </c>
      <c r="D788" s="12">
        <v>1024047</v>
      </c>
      <c r="E788" s="12" t="s">
        <v>13</v>
      </c>
      <c r="F788" s="12" t="s">
        <v>14</v>
      </c>
      <c r="G788" s="25">
        <v>1024047</v>
      </c>
      <c r="H788" s="12">
        <f t="shared" si="30"/>
        <v>0</v>
      </c>
      <c r="I788" s="14">
        <v>44862</v>
      </c>
      <c r="J788" s="12" t="s">
        <v>18</v>
      </c>
      <c r="K788" s="12" t="s">
        <v>19</v>
      </c>
      <c r="L788" s="12" t="s">
        <v>40</v>
      </c>
      <c r="M788" s="12">
        <v>230.00399999999999</v>
      </c>
      <c r="N788" s="12">
        <v>189.077</v>
      </c>
      <c r="O788" s="12">
        <v>3.8</v>
      </c>
      <c r="Q788" s="13">
        <f t="shared" si="31"/>
        <v>0.8481337362231256</v>
      </c>
    </row>
    <row r="789" spans="1:17" x14ac:dyDescent="0.25">
      <c r="A789" s="12">
        <f t="shared" si="32"/>
        <v>10</v>
      </c>
      <c r="B789" s="12">
        <v>2022</v>
      </c>
      <c r="C789" s="12">
        <v>7068</v>
      </c>
      <c r="D789" s="12">
        <v>1024203</v>
      </c>
      <c r="E789" s="12" t="s">
        <v>13</v>
      </c>
      <c r="F789" s="12" t="s">
        <v>14</v>
      </c>
      <c r="G789" s="25">
        <v>1024203</v>
      </c>
      <c r="H789" s="12">
        <f t="shared" si="30"/>
        <v>0</v>
      </c>
      <c r="I789" s="14">
        <v>44863</v>
      </c>
      <c r="J789" s="12" t="s">
        <v>18</v>
      </c>
      <c r="K789" s="12" t="s">
        <v>19</v>
      </c>
      <c r="L789" s="12" t="s">
        <v>55</v>
      </c>
      <c r="M789" s="12">
        <v>231.97900000000001</v>
      </c>
      <c r="N789" s="12">
        <v>191.76499999999999</v>
      </c>
      <c r="O789" s="12">
        <v>4</v>
      </c>
      <c r="Q789" s="13">
        <f t="shared" si="31"/>
        <v>0.80737810047607661</v>
      </c>
    </row>
    <row r="790" spans="1:17" x14ac:dyDescent="0.25">
      <c r="A790" s="12">
        <f t="shared" si="32"/>
        <v>10</v>
      </c>
      <c r="B790" s="12">
        <v>2022</v>
      </c>
      <c r="C790" s="12">
        <v>7069</v>
      </c>
      <c r="D790" s="12">
        <v>1024325</v>
      </c>
      <c r="E790" s="12" t="s">
        <v>13</v>
      </c>
      <c r="F790" s="12" t="s">
        <v>14</v>
      </c>
      <c r="G790" s="25">
        <v>1024325</v>
      </c>
      <c r="H790" s="12">
        <f t="shared" si="30"/>
        <v>0</v>
      </c>
      <c r="I790" s="14">
        <v>44864</v>
      </c>
      <c r="J790" s="12" t="s">
        <v>18</v>
      </c>
      <c r="K790" s="12" t="s">
        <v>19</v>
      </c>
      <c r="L790" s="12" t="s">
        <v>40</v>
      </c>
      <c r="M790" s="12">
        <v>230</v>
      </c>
      <c r="N790" s="12">
        <v>186.18600000000001</v>
      </c>
      <c r="O790" s="12">
        <v>4</v>
      </c>
      <c r="Q790" s="13">
        <f t="shared" si="31"/>
        <v>0.8220596163544982</v>
      </c>
    </row>
    <row r="791" spans="1:17" x14ac:dyDescent="0.25">
      <c r="A791" s="12">
        <f t="shared" si="32"/>
        <v>10</v>
      </c>
      <c r="B791" s="12">
        <v>2022</v>
      </c>
      <c r="C791" s="12">
        <v>7070</v>
      </c>
      <c r="D791" s="12">
        <v>1024441</v>
      </c>
      <c r="E791" s="12" t="s">
        <v>13</v>
      </c>
      <c r="F791" s="12" t="s">
        <v>14</v>
      </c>
      <c r="G791" s="25">
        <v>1024441</v>
      </c>
      <c r="H791" s="12">
        <f t="shared" si="30"/>
        <v>0</v>
      </c>
      <c r="I791" s="14">
        <v>44865</v>
      </c>
      <c r="J791" s="12" t="s">
        <v>18</v>
      </c>
      <c r="K791" s="12" t="s">
        <v>19</v>
      </c>
      <c r="L791" s="12" t="s">
        <v>40</v>
      </c>
      <c r="M791" s="12">
        <v>230</v>
      </c>
      <c r="N791" s="12">
        <v>192.89599999999999</v>
      </c>
      <c r="O791" s="12">
        <v>4</v>
      </c>
      <c r="Q791" s="13">
        <f t="shared" si="31"/>
        <v>0.82664810176783232</v>
      </c>
    </row>
    <row r="792" spans="1:17" x14ac:dyDescent="0.25">
      <c r="A792" s="12">
        <f t="shared" si="32"/>
        <v>11</v>
      </c>
      <c r="B792" s="12">
        <v>2022</v>
      </c>
      <c r="C792" s="12">
        <v>7071</v>
      </c>
      <c r="D792" s="12">
        <v>1024564</v>
      </c>
      <c r="E792" s="12" t="s">
        <v>13</v>
      </c>
      <c r="F792" s="12" t="s">
        <v>14</v>
      </c>
      <c r="G792" s="25">
        <v>1024564</v>
      </c>
      <c r="H792" s="12">
        <f t="shared" si="30"/>
        <v>0</v>
      </c>
      <c r="I792" s="14">
        <v>44866</v>
      </c>
      <c r="J792" s="12" t="s">
        <v>18</v>
      </c>
      <c r="K792" s="12" t="s">
        <v>20</v>
      </c>
      <c r="L792" s="12" t="s">
        <v>56</v>
      </c>
      <c r="M792" s="12">
        <v>235.03399999999999</v>
      </c>
      <c r="N792" s="12">
        <v>194.87</v>
      </c>
      <c r="O792" s="12">
        <v>5.8</v>
      </c>
      <c r="Q792" s="13">
        <f t="shared" si="31"/>
        <v>0.80950434782608693</v>
      </c>
    </row>
    <row r="793" spans="1:17" x14ac:dyDescent="0.25">
      <c r="A793" s="12">
        <f t="shared" si="32"/>
        <v>11</v>
      </c>
      <c r="B793" s="12">
        <v>2022</v>
      </c>
      <c r="C793" s="12">
        <v>7072</v>
      </c>
      <c r="D793" s="12">
        <v>1024567</v>
      </c>
      <c r="E793" s="12" t="s">
        <v>13</v>
      </c>
      <c r="F793" s="12" t="s">
        <v>14</v>
      </c>
      <c r="G793" s="25">
        <v>1024567</v>
      </c>
      <c r="H793" s="12">
        <f t="shared" si="30"/>
        <v>0</v>
      </c>
      <c r="I793" s="14">
        <v>44867</v>
      </c>
      <c r="J793" s="12" t="s">
        <v>18</v>
      </c>
      <c r="K793" s="12" t="s">
        <v>20</v>
      </c>
      <c r="L793" s="12" t="s">
        <v>56</v>
      </c>
      <c r="M793" s="12">
        <v>235.03399999999999</v>
      </c>
      <c r="N793" s="12">
        <v>188.35400000000001</v>
      </c>
      <c r="O793" s="12">
        <v>4.8</v>
      </c>
      <c r="Q793" s="13">
        <f t="shared" si="31"/>
        <v>0.83867826086956521</v>
      </c>
    </row>
    <row r="794" spans="1:17" x14ac:dyDescent="0.25">
      <c r="A794" s="12">
        <f t="shared" si="32"/>
        <v>11</v>
      </c>
      <c r="B794" s="12">
        <v>2022</v>
      </c>
      <c r="C794" s="12">
        <v>7073</v>
      </c>
      <c r="D794" s="12">
        <v>1024600</v>
      </c>
      <c r="E794" s="12" t="s">
        <v>13</v>
      </c>
      <c r="F794" s="12" t="s">
        <v>14</v>
      </c>
      <c r="G794" s="25">
        <v>1024600</v>
      </c>
      <c r="H794" s="12">
        <f t="shared" si="30"/>
        <v>0</v>
      </c>
      <c r="I794" s="14">
        <v>44868</v>
      </c>
      <c r="J794" s="12" t="s">
        <v>18</v>
      </c>
      <c r="K794" s="12" t="s">
        <v>20</v>
      </c>
      <c r="L794" s="12" t="s">
        <v>56</v>
      </c>
      <c r="M794" s="12">
        <v>234.999</v>
      </c>
      <c r="N794" s="12">
        <v>195.96199999999999</v>
      </c>
      <c r="O794" s="12">
        <v>3.9</v>
      </c>
      <c r="Q794" s="13">
        <f t="shared" si="31"/>
        <v>0.82911408562165478</v>
      </c>
    </row>
    <row r="795" spans="1:17" x14ac:dyDescent="0.25">
      <c r="A795" s="12">
        <f t="shared" si="32"/>
        <v>11</v>
      </c>
      <c r="B795" s="12">
        <v>2022</v>
      </c>
      <c r="C795" s="12">
        <v>7074</v>
      </c>
      <c r="D795" s="12">
        <v>1024796</v>
      </c>
      <c r="E795" s="12" t="s">
        <v>13</v>
      </c>
      <c r="F795" s="12" t="s">
        <v>14</v>
      </c>
      <c r="G795" s="25">
        <v>1024796</v>
      </c>
      <c r="H795" s="12">
        <f t="shared" si="30"/>
        <v>0</v>
      </c>
      <c r="I795" s="14">
        <v>44869</v>
      </c>
      <c r="J795" s="12" t="s">
        <v>18</v>
      </c>
      <c r="K795" s="12" t="s">
        <v>20</v>
      </c>
      <c r="L795" s="12" t="s">
        <v>56</v>
      </c>
      <c r="M795" s="12">
        <v>235.01400000000001</v>
      </c>
      <c r="N795" s="12">
        <v>198.38200000000001</v>
      </c>
      <c r="O795" s="12">
        <v>5.7</v>
      </c>
      <c r="P795" s="12">
        <v>11.6</v>
      </c>
      <c r="Q795" s="13">
        <f t="shared" si="31"/>
        <v>0.80139043712824531</v>
      </c>
    </row>
    <row r="796" spans="1:17" x14ac:dyDescent="0.25">
      <c r="A796" s="12">
        <f t="shared" si="32"/>
        <v>11</v>
      </c>
      <c r="B796" s="12">
        <v>2022</v>
      </c>
      <c r="C796" s="12">
        <v>7075</v>
      </c>
      <c r="D796" s="12">
        <v>1025001</v>
      </c>
      <c r="E796" s="12" t="s">
        <v>13</v>
      </c>
      <c r="F796" s="12" t="s">
        <v>14</v>
      </c>
      <c r="G796" s="25">
        <v>1025001</v>
      </c>
      <c r="H796" s="12">
        <f t="shared" si="30"/>
        <v>0</v>
      </c>
      <c r="I796" s="14">
        <v>44870</v>
      </c>
      <c r="J796" s="12" t="s">
        <v>18</v>
      </c>
      <c r="K796" s="12" t="s">
        <v>20</v>
      </c>
      <c r="L796" s="12" t="s">
        <v>56</v>
      </c>
      <c r="M796" s="12">
        <v>235.01499999999999</v>
      </c>
      <c r="N796" s="12">
        <v>193.08199999999999</v>
      </c>
      <c r="O796" s="12">
        <v>5</v>
      </c>
      <c r="Q796" s="13">
        <f t="shared" si="31"/>
        <v>0.83388439950808302</v>
      </c>
    </row>
    <row r="797" spans="1:17" x14ac:dyDescent="0.25">
      <c r="A797" s="12">
        <f t="shared" si="32"/>
        <v>11</v>
      </c>
      <c r="B797" s="12">
        <v>2022</v>
      </c>
      <c r="C797" s="12">
        <v>7076</v>
      </c>
      <c r="D797" s="12">
        <v>1025056</v>
      </c>
      <c r="E797" s="12" t="s">
        <v>13</v>
      </c>
      <c r="F797" s="12" t="s">
        <v>14</v>
      </c>
      <c r="G797" s="25">
        <v>1025056</v>
      </c>
      <c r="H797" s="12">
        <f t="shared" si="30"/>
        <v>0</v>
      </c>
      <c r="I797" s="14">
        <v>44871</v>
      </c>
      <c r="J797" s="12" t="s">
        <v>18</v>
      </c>
      <c r="K797" s="12" t="s">
        <v>19</v>
      </c>
      <c r="L797" s="12" t="s">
        <v>55</v>
      </c>
      <c r="M797" s="12">
        <v>232.00800000000001</v>
      </c>
      <c r="N797" s="12">
        <v>194.23400000000001</v>
      </c>
      <c r="O797" s="12">
        <v>4.8</v>
      </c>
      <c r="Q797" s="13">
        <f t="shared" si="31"/>
        <v>0.84412843490175049</v>
      </c>
    </row>
    <row r="798" spans="1:17" x14ac:dyDescent="0.25">
      <c r="A798" s="12">
        <f t="shared" si="32"/>
        <v>11</v>
      </c>
      <c r="B798" s="12">
        <v>2022</v>
      </c>
      <c r="C798" s="12">
        <v>7077</v>
      </c>
      <c r="D798" s="12">
        <v>1025203</v>
      </c>
      <c r="E798" s="12" t="s">
        <v>13</v>
      </c>
      <c r="F798" s="12" t="s">
        <v>14</v>
      </c>
      <c r="G798" s="25">
        <v>1025203</v>
      </c>
      <c r="H798" s="12">
        <f t="shared" si="30"/>
        <v>0</v>
      </c>
      <c r="I798" s="14">
        <v>44872</v>
      </c>
      <c r="J798" s="12" t="s">
        <v>18</v>
      </c>
      <c r="K798" s="12" t="s">
        <v>19</v>
      </c>
      <c r="L798" s="12" t="s">
        <v>55</v>
      </c>
      <c r="M798" s="12">
        <v>232.00800000000001</v>
      </c>
      <c r="N798" s="12">
        <v>191.54499999999999</v>
      </c>
      <c r="O798" s="12">
        <v>4.0999999999999996</v>
      </c>
      <c r="Q798" s="13">
        <f t="shared" si="31"/>
        <v>0.82157309107929288</v>
      </c>
    </row>
    <row r="799" spans="1:17" x14ac:dyDescent="0.25">
      <c r="A799" s="12">
        <f t="shared" si="32"/>
        <v>11</v>
      </c>
      <c r="B799" s="12">
        <v>2022</v>
      </c>
      <c r="C799" s="12">
        <v>7078</v>
      </c>
      <c r="D799" s="12">
        <v>1025300</v>
      </c>
      <c r="E799" s="12" t="s">
        <v>13</v>
      </c>
      <c r="F799" s="12" t="s">
        <v>14</v>
      </c>
      <c r="G799" s="25">
        <v>1025300</v>
      </c>
      <c r="H799" s="12">
        <f t="shared" si="30"/>
        <v>0</v>
      </c>
      <c r="I799" s="14">
        <v>44873</v>
      </c>
      <c r="J799" s="12" t="s">
        <v>18</v>
      </c>
      <c r="K799" s="12" t="s">
        <v>19</v>
      </c>
      <c r="L799" s="12" t="s">
        <v>55</v>
      </c>
      <c r="M799" s="12">
        <v>231.97499999999999</v>
      </c>
      <c r="N799" s="12">
        <v>191.654</v>
      </c>
      <c r="O799" s="12">
        <v>4.0999999999999996</v>
      </c>
      <c r="Q799" s="13">
        <f t="shared" si="31"/>
        <v>0.83718664873625048</v>
      </c>
    </row>
    <row r="800" spans="1:17" x14ac:dyDescent="0.25">
      <c r="A800" s="12">
        <f t="shared" si="32"/>
        <v>11</v>
      </c>
      <c r="B800" s="12">
        <v>2022</v>
      </c>
      <c r="C800" s="12">
        <v>7079</v>
      </c>
      <c r="D800" s="12">
        <v>1025302</v>
      </c>
      <c r="E800" s="12" t="s">
        <v>13</v>
      </c>
      <c r="F800" s="12" t="s">
        <v>14</v>
      </c>
      <c r="G800" s="25">
        <v>1025302</v>
      </c>
      <c r="H800" s="12">
        <f t="shared" si="30"/>
        <v>0</v>
      </c>
      <c r="I800" s="14">
        <v>44874</v>
      </c>
      <c r="J800" s="12" t="s">
        <v>18</v>
      </c>
      <c r="K800" s="12" t="s">
        <v>19</v>
      </c>
      <c r="L800" s="12" t="s">
        <v>55</v>
      </c>
      <c r="M800" s="12">
        <v>231.99700000000001</v>
      </c>
      <c r="N800" s="12">
        <v>201.74199999999999</v>
      </c>
      <c r="O800" s="12">
        <v>3.5</v>
      </c>
      <c r="P800" s="12">
        <v>12.1</v>
      </c>
      <c r="Q800" s="13">
        <f t="shared" si="31"/>
        <v>0.82559653115409803</v>
      </c>
    </row>
    <row r="801" spans="1:17" x14ac:dyDescent="0.25">
      <c r="A801" s="12">
        <f t="shared" si="32"/>
        <v>11</v>
      </c>
      <c r="B801" s="12">
        <v>2022</v>
      </c>
      <c r="C801" s="12">
        <v>7080</v>
      </c>
      <c r="D801" s="12">
        <v>1025382</v>
      </c>
      <c r="E801" s="12" t="s">
        <v>13</v>
      </c>
      <c r="F801" s="12" t="s">
        <v>14</v>
      </c>
      <c r="G801" s="25">
        <v>1025382</v>
      </c>
      <c r="H801" s="12">
        <f t="shared" si="30"/>
        <v>0</v>
      </c>
      <c r="I801" s="14">
        <v>44875</v>
      </c>
      <c r="J801" s="12" t="s">
        <v>18</v>
      </c>
      <c r="K801" s="12" t="s">
        <v>19</v>
      </c>
      <c r="L801" s="12" t="s">
        <v>55</v>
      </c>
      <c r="M801" s="12">
        <v>231.99600000000001</v>
      </c>
      <c r="N801" s="12">
        <v>191.374</v>
      </c>
      <c r="O801" s="12">
        <v>4.3</v>
      </c>
      <c r="Q801" s="13">
        <f t="shared" si="31"/>
        <v>0.8261838560189676</v>
      </c>
    </row>
    <row r="802" spans="1:17" x14ac:dyDescent="0.25">
      <c r="A802" s="12">
        <f t="shared" si="32"/>
        <v>11</v>
      </c>
      <c r="B802" s="12">
        <v>2022</v>
      </c>
      <c r="C802" s="12">
        <v>7081</v>
      </c>
      <c r="D802" s="12">
        <v>1025388</v>
      </c>
      <c r="E802" s="12" t="s">
        <v>13</v>
      </c>
      <c r="F802" s="12" t="s">
        <v>14</v>
      </c>
      <c r="G802" s="25">
        <v>1025388</v>
      </c>
      <c r="H802" s="12">
        <f t="shared" ref="H802:H865" si="33">D802-G802</f>
        <v>0</v>
      </c>
      <c r="I802" s="14">
        <v>44876</v>
      </c>
      <c r="J802" s="12" t="s">
        <v>18</v>
      </c>
      <c r="K802" s="12" t="s">
        <v>20</v>
      </c>
      <c r="L802" s="12" t="s">
        <v>53</v>
      </c>
      <c r="M802" s="12">
        <v>235.02199999999999</v>
      </c>
      <c r="N802" s="12">
        <v>201.798</v>
      </c>
      <c r="O802" s="12">
        <v>3.7</v>
      </c>
      <c r="Q802" s="13">
        <f t="shared" si="31"/>
        <v>0.86958883089005456</v>
      </c>
    </row>
    <row r="803" spans="1:17" x14ac:dyDescent="0.25">
      <c r="A803" s="12">
        <f t="shared" si="32"/>
        <v>11</v>
      </c>
      <c r="B803" s="12">
        <v>2022</v>
      </c>
      <c r="C803" s="12">
        <v>7082</v>
      </c>
      <c r="D803" s="12">
        <v>1025392</v>
      </c>
      <c r="E803" s="12" t="s">
        <v>13</v>
      </c>
      <c r="F803" s="12" t="s">
        <v>14</v>
      </c>
      <c r="G803" s="25">
        <v>1025392</v>
      </c>
      <c r="H803" s="12">
        <f t="shared" si="33"/>
        <v>0</v>
      </c>
      <c r="I803" s="14">
        <v>44877</v>
      </c>
      <c r="J803" s="12" t="s">
        <v>18</v>
      </c>
      <c r="K803" s="12" t="s">
        <v>20</v>
      </c>
      <c r="L803" s="12" t="s">
        <v>53</v>
      </c>
      <c r="M803" s="12">
        <v>235.02099999999999</v>
      </c>
      <c r="N803" s="12">
        <v>193.245</v>
      </c>
      <c r="O803" s="12">
        <v>0</v>
      </c>
      <c r="Q803" s="13">
        <f t="shared" si="31"/>
        <v>0.82490215348540485</v>
      </c>
    </row>
    <row r="804" spans="1:17" x14ac:dyDescent="0.25">
      <c r="A804" s="12">
        <f t="shared" si="32"/>
        <v>11</v>
      </c>
      <c r="B804" s="12">
        <v>2022</v>
      </c>
      <c r="C804" s="12">
        <v>7083</v>
      </c>
      <c r="D804" s="12">
        <v>1025719</v>
      </c>
      <c r="E804" s="12" t="s">
        <v>13</v>
      </c>
      <c r="F804" s="12" t="s">
        <v>14</v>
      </c>
      <c r="G804" s="25">
        <v>1025719</v>
      </c>
      <c r="H804" s="12">
        <f t="shared" si="33"/>
        <v>0</v>
      </c>
      <c r="I804" s="14">
        <v>44878</v>
      </c>
      <c r="J804" s="12" t="s">
        <v>18</v>
      </c>
      <c r="K804" s="12" t="s">
        <v>20</v>
      </c>
      <c r="L804" s="12" t="s">
        <v>53</v>
      </c>
      <c r="M804" s="12">
        <v>235.00200000000001</v>
      </c>
      <c r="N804" s="12">
        <v>193.91499999999999</v>
      </c>
      <c r="O804" s="12">
        <v>4.0999999999999996</v>
      </c>
      <c r="Q804" s="13">
        <f t="shared" si="31"/>
        <v>0.85863451081175379</v>
      </c>
    </row>
    <row r="805" spans="1:17" x14ac:dyDescent="0.25">
      <c r="A805" s="12">
        <f t="shared" si="32"/>
        <v>11</v>
      </c>
      <c r="B805" s="12">
        <v>2022</v>
      </c>
      <c r="C805" s="12">
        <v>7084</v>
      </c>
      <c r="D805" s="12">
        <v>1025851</v>
      </c>
      <c r="E805" s="12" t="s">
        <v>13</v>
      </c>
      <c r="F805" s="12" t="s">
        <v>14</v>
      </c>
      <c r="G805" s="25">
        <v>1025851</v>
      </c>
      <c r="H805" s="12">
        <f t="shared" si="33"/>
        <v>0</v>
      </c>
      <c r="I805" s="14">
        <v>44879</v>
      </c>
      <c r="J805" s="12" t="s">
        <v>18</v>
      </c>
      <c r="K805" s="12" t="s">
        <v>20</v>
      </c>
      <c r="L805" s="12" t="s">
        <v>53</v>
      </c>
      <c r="M805" s="12">
        <v>234.999</v>
      </c>
      <c r="N805" s="12">
        <v>201.46299999999999</v>
      </c>
      <c r="O805" s="12">
        <v>4.5</v>
      </c>
      <c r="P805" s="12">
        <v>11.2</v>
      </c>
      <c r="Q805" s="13">
        <f t="shared" si="31"/>
        <v>0.82224567166338336</v>
      </c>
    </row>
    <row r="806" spans="1:17" x14ac:dyDescent="0.25">
      <c r="A806" s="12">
        <f t="shared" si="32"/>
        <v>11</v>
      </c>
      <c r="B806" s="12">
        <v>2022</v>
      </c>
      <c r="C806" s="12">
        <v>7085</v>
      </c>
      <c r="D806" s="12">
        <v>1025863</v>
      </c>
      <c r="E806" s="12" t="s">
        <v>13</v>
      </c>
      <c r="F806" s="12" t="s">
        <v>14</v>
      </c>
      <c r="G806" s="25">
        <v>1025863</v>
      </c>
      <c r="H806" s="12">
        <f t="shared" si="33"/>
        <v>0</v>
      </c>
      <c r="I806" s="14">
        <v>44880</v>
      </c>
      <c r="J806" s="12" t="s">
        <v>18</v>
      </c>
      <c r="K806" s="12" t="s">
        <v>20</v>
      </c>
      <c r="L806" s="12" t="s">
        <v>53</v>
      </c>
      <c r="M806" s="12">
        <v>234.999</v>
      </c>
      <c r="N806" s="12">
        <v>199.30199999999999</v>
      </c>
      <c r="O806" s="12">
        <v>4.5999999999999996</v>
      </c>
      <c r="Q806" s="13">
        <f t="shared" si="31"/>
        <v>0.82516319010050976</v>
      </c>
    </row>
    <row r="807" spans="1:17" x14ac:dyDescent="0.25">
      <c r="A807" s="12">
        <f t="shared" si="32"/>
        <v>11</v>
      </c>
      <c r="B807" s="12">
        <v>2022</v>
      </c>
      <c r="C807" s="12">
        <v>7086</v>
      </c>
      <c r="D807" s="12">
        <v>1025864</v>
      </c>
      <c r="E807" s="12" t="s">
        <v>13</v>
      </c>
      <c r="F807" s="12" t="s">
        <v>14</v>
      </c>
      <c r="G807" s="25">
        <v>1025864</v>
      </c>
      <c r="H807" s="12">
        <f t="shared" si="33"/>
        <v>0</v>
      </c>
      <c r="I807" s="14">
        <v>44881</v>
      </c>
      <c r="J807" s="12" t="s">
        <v>18</v>
      </c>
      <c r="K807" s="12" t="s">
        <v>19</v>
      </c>
      <c r="L807" s="12" t="s">
        <v>55</v>
      </c>
      <c r="M807" s="12">
        <v>232.005</v>
      </c>
      <c r="N807" s="12">
        <v>197.28700000000001</v>
      </c>
      <c r="O807" s="12">
        <v>5.0999999999999996</v>
      </c>
      <c r="Q807" s="13">
        <f t="shared" si="31"/>
        <v>0.85729300975748834</v>
      </c>
    </row>
    <row r="808" spans="1:17" x14ac:dyDescent="0.25">
      <c r="A808" s="12">
        <f t="shared" si="32"/>
        <v>11</v>
      </c>
      <c r="B808" s="12">
        <v>2022</v>
      </c>
      <c r="C808" s="12">
        <v>7087</v>
      </c>
      <c r="D808" s="12">
        <v>1025869</v>
      </c>
      <c r="E808" s="12" t="s">
        <v>13</v>
      </c>
      <c r="F808" s="12" t="s">
        <v>14</v>
      </c>
      <c r="G808" s="25">
        <v>1025869</v>
      </c>
      <c r="H808" s="12">
        <f t="shared" si="33"/>
        <v>0</v>
      </c>
      <c r="I808" s="14">
        <v>44882</v>
      </c>
      <c r="J808" s="12" t="s">
        <v>18</v>
      </c>
      <c r="K808" s="12" t="s">
        <v>19</v>
      </c>
      <c r="L808" s="12" t="s">
        <v>55</v>
      </c>
      <c r="M808" s="12">
        <v>232.005</v>
      </c>
      <c r="N808" s="12">
        <v>194.98599999999999</v>
      </c>
      <c r="O808" s="12">
        <v>4.8</v>
      </c>
      <c r="Q808" s="13">
        <f t="shared" si="31"/>
        <v>0.8480972259456423</v>
      </c>
    </row>
    <row r="809" spans="1:17" x14ac:dyDescent="0.25">
      <c r="A809" s="12">
        <f t="shared" si="32"/>
        <v>11</v>
      </c>
      <c r="B809" s="12">
        <v>2022</v>
      </c>
      <c r="C809" s="12">
        <v>7088</v>
      </c>
      <c r="D809" s="12">
        <v>1026149</v>
      </c>
      <c r="E809" s="12" t="s">
        <v>13</v>
      </c>
      <c r="F809" s="12" t="s">
        <v>14</v>
      </c>
      <c r="G809" s="25">
        <v>1026149</v>
      </c>
      <c r="H809" s="12">
        <f t="shared" si="33"/>
        <v>0</v>
      </c>
      <c r="I809" s="14">
        <v>44883</v>
      </c>
      <c r="J809" s="12" t="s">
        <v>18</v>
      </c>
      <c r="K809" s="12" t="s">
        <v>19</v>
      </c>
      <c r="L809" s="12" t="s">
        <v>55</v>
      </c>
      <c r="M809" s="12">
        <v>231.99700000000001</v>
      </c>
      <c r="N809" s="12">
        <v>190.48099999999999</v>
      </c>
      <c r="O809" s="12">
        <v>5.2</v>
      </c>
      <c r="Q809" s="13">
        <f t="shared" si="31"/>
        <v>0.85035667334755716</v>
      </c>
    </row>
    <row r="810" spans="1:17" x14ac:dyDescent="0.25">
      <c r="A810" s="12">
        <f t="shared" si="32"/>
        <v>11</v>
      </c>
      <c r="B810" s="12">
        <v>2022</v>
      </c>
      <c r="C810" s="12">
        <v>7089</v>
      </c>
      <c r="D810" s="12">
        <v>1026263</v>
      </c>
      <c r="E810" s="12" t="s">
        <v>13</v>
      </c>
      <c r="F810" s="12" t="s">
        <v>14</v>
      </c>
      <c r="G810" s="25">
        <v>1026263</v>
      </c>
      <c r="H810" s="12">
        <f t="shared" si="33"/>
        <v>0</v>
      </c>
      <c r="I810" s="14">
        <v>44884</v>
      </c>
      <c r="J810" s="12" t="s">
        <v>18</v>
      </c>
      <c r="K810" s="12" t="s">
        <v>19</v>
      </c>
      <c r="L810" s="12" t="s">
        <v>55</v>
      </c>
      <c r="M810" s="12">
        <v>232</v>
      </c>
      <c r="N810" s="12">
        <v>199.21299999999999</v>
      </c>
      <c r="O810" s="12">
        <v>3.8</v>
      </c>
      <c r="P810" s="12">
        <v>12.7</v>
      </c>
      <c r="Q810" s="13">
        <f t="shared" si="31"/>
        <v>0.84043878364690416</v>
      </c>
    </row>
    <row r="811" spans="1:17" x14ac:dyDescent="0.25">
      <c r="A811" s="12">
        <f t="shared" si="32"/>
        <v>11</v>
      </c>
      <c r="B811" s="12">
        <v>2022</v>
      </c>
      <c r="C811" s="12">
        <v>7090</v>
      </c>
      <c r="D811" s="12">
        <v>1026422</v>
      </c>
      <c r="E811" s="12" t="s">
        <v>13</v>
      </c>
      <c r="F811" s="12" t="s">
        <v>14</v>
      </c>
      <c r="G811" s="25">
        <v>1026422</v>
      </c>
      <c r="H811" s="12">
        <f t="shared" si="33"/>
        <v>0</v>
      </c>
      <c r="I811" s="14">
        <v>44885</v>
      </c>
      <c r="J811" s="12" t="s">
        <v>18</v>
      </c>
      <c r="K811" s="12" t="s">
        <v>19</v>
      </c>
      <c r="L811" s="12" t="s">
        <v>55</v>
      </c>
      <c r="M811" s="12">
        <v>232.001</v>
      </c>
      <c r="N811" s="12">
        <v>178.16</v>
      </c>
      <c r="O811" s="12">
        <v>5</v>
      </c>
      <c r="Q811" s="13">
        <f t="shared" ref="Q811:Q874" si="34">N809/M809</f>
        <v>0.82104941012168253</v>
      </c>
    </row>
    <row r="812" spans="1:17" x14ac:dyDescent="0.25">
      <c r="A812" s="12">
        <f t="shared" si="32"/>
        <v>11</v>
      </c>
      <c r="B812" s="12">
        <v>2022</v>
      </c>
      <c r="C812" s="12">
        <v>7091</v>
      </c>
      <c r="D812" s="12">
        <v>1026526</v>
      </c>
      <c r="E812" s="12" t="s">
        <v>13</v>
      </c>
      <c r="F812" s="12" t="s">
        <v>14</v>
      </c>
      <c r="G812" s="25">
        <v>1026526</v>
      </c>
      <c r="H812" s="12">
        <f t="shared" si="33"/>
        <v>0</v>
      </c>
      <c r="I812" s="14">
        <v>44886</v>
      </c>
      <c r="J812" s="12" t="s">
        <v>18</v>
      </c>
      <c r="K812" s="12" t="s">
        <v>19</v>
      </c>
      <c r="L812" s="12" t="s">
        <v>55</v>
      </c>
      <c r="M812" s="12">
        <v>232.00200000000001</v>
      </c>
      <c r="N812" s="12">
        <v>197.11699999999999</v>
      </c>
      <c r="O812" s="12">
        <v>4</v>
      </c>
      <c r="Q812" s="13">
        <f t="shared" si="34"/>
        <v>0.85867672413793106</v>
      </c>
    </row>
    <row r="813" spans="1:17" x14ac:dyDescent="0.25">
      <c r="A813" s="12">
        <f t="shared" si="32"/>
        <v>11</v>
      </c>
      <c r="B813" s="12">
        <v>2022</v>
      </c>
      <c r="C813" s="12">
        <v>7092</v>
      </c>
      <c r="D813" s="12">
        <v>1026531</v>
      </c>
      <c r="E813" s="12" t="s">
        <v>13</v>
      </c>
      <c r="F813" s="12" t="s">
        <v>14</v>
      </c>
      <c r="G813" s="25">
        <v>1026531</v>
      </c>
      <c r="H813" s="12">
        <f t="shared" si="33"/>
        <v>0</v>
      </c>
      <c r="I813" s="14">
        <v>44887</v>
      </c>
      <c r="J813" s="12" t="s">
        <v>18</v>
      </c>
      <c r="K813" s="12" t="s">
        <v>19</v>
      </c>
      <c r="L813" s="12" t="s">
        <v>55</v>
      </c>
      <c r="M813" s="12">
        <v>232.001</v>
      </c>
      <c r="N813" s="12">
        <v>189.089</v>
      </c>
      <c r="O813" s="12">
        <v>4.5</v>
      </c>
      <c r="Q813" s="13">
        <f t="shared" si="34"/>
        <v>0.76792772444946356</v>
      </c>
    </row>
    <row r="814" spans="1:17" x14ac:dyDescent="0.25">
      <c r="A814" s="12">
        <f t="shared" si="32"/>
        <v>11</v>
      </c>
      <c r="B814" s="12">
        <v>2022</v>
      </c>
      <c r="C814" s="12">
        <v>7093</v>
      </c>
      <c r="D814" s="12">
        <v>1026537</v>
      </c>
      <c r="E814" s="12" t="s">
        <v>13</v>
      </c>
      <c r="F814" s="12" t="s">
        <v>14</v>
      </c>
      <c r="G814" s="25">
        <v>1026537</v>
      </c>
      <c r="H814" s="12">
        <f t="shared" si="33"/>
        <v>0</v>
      </c>
      <c r="I814" s="14">
        <v>44888</v>
      </c>
      <c r="J814" s="12" t="s">
        <v>18</v>
      </c>
      <c r="K814" s="12" t="s">
        <v>19</v>
      </c>
      <c r="L814" s="12" t="s">
        <v>55</v>
      </c>
      <c r="M814" s="12">
        <v>232.01599999999999</v>
      </c>
      <c r="N814" s="12">
        <v>191.684</v>
      </c>
      <c r="O814" s="12">
        <v>3.9</v>
      </c>
      <c r="Q814" s="13">
        <f t="shared" si="34"/>
        <v>0.84963491694037108</v>
      </c>
    </row>
    <row r="815" spans="1:17" x14ac:dyDescent="0.25">
      <c r="A815" s="12">
        <f t="shared" si="32"/>
        <v>11</v>
      </c>
      <c r="B815" s="12">
        <v>2022</v>
      </c>
      <c r="C815" s="12">
        <v>7094</v>
      </c>
      <c r="D815" s="12">
        <v>1026593</v>
      </c>
      <c r="E815" s="12" t="s">
        <v>13</v>
      </c>
      <c r="F815" s="12" t="s">
        <v>14</v>
      </c>
      <c r="G815" s="25">
        <v>1026593</v>
      </c>
      <c r="H815" s="12">
        <f t="shared" si="33"/>
        <v>0</v>
      </c>
      <c r="I815" s="14">
        <v>44889</v>
      </c>
      <c r="J815" s="12" t="s">
        <v>18</v>
      </c>
      <c r="K815" s="12" t="s">
        <v>19</v>
      </c>
      <c r="L815" s="12" t="s">
        <v>55</v>
      </c>
      <c r="M815" s="12">
        <v>232.006</v>
      </c>
      <c r="N815" s="12">
        <v>197.65100000000001</v>
      </c>
      <c r="O815" s="12">
        <v>4.0999999999999996</v>
      </c>
      <c r="P815" s="12">
        <v>12.3</v>
      </c>
      <c r="Q815" s="13">
        <f t="shared" si="34"/>
        <v>0.81503528002034475</v>
      </c>
    </row>
    <row r="816" spans="1:17" x14ac:dyDescent="0.25">
      <c r="A816" s="12">
        <f t="shared" si="32"/>
        <v>11</v>
      </c>
      <c r="B816" s="12">
        <v>2022</v>
      </c>
      <c r="C816" s="12">
        <v>7095</v>
      </c>
      <c r="D816" s="12">
        <v>1026777</v>
      </c>
      <c r="E816" s="12" t="s">
        <v>13</v>
      </c>
      <c r="F816" s="12" t="s">
        <v>14</v>
      </c>
      <c r="G816" s="25">
        <v>1026777</v>
      </c>
      <c r="H816" s="12">
        <f t="shared" si="33"/>
        <v>0</v>
      </c>
      <c r="I816" s="14">
        <v>44890</v>
      </c>
      <c r="J816" s="12" t="s">
        <v>18</v>
      </c>
      <c r="K816" s="12" t="s">
        <v>19</v>
      </c>
      <c r="L816" s="12" t="s">
        <v>55</v>
      </c>
      <c r="M816" s="12">
        <v>232.006</v>
      </c>
      <c r="N816" s="12">
        <v>189.904</v>
      </c>
      <c r="O816" s="12">
        <v>3.6</v>
      </c>
      <c r="Q816" s="13">
        <f t="shared" si="34"/>
        <v>0.82616716088545616</v>
      </c>
    </row>
    <row r="817" spans="1:17" x14ac:dyDescent="0.25">
      <c r="A817" s="12">
        <f t="shared" si="32"/>
        <v>11</v>
      </c>
      <c r="B817" s="12">
        <v>2022</v>
      </c>
      <c r="C817" s="12">
        <v>7096</v>
      </c>
      <c r="D817" s="12">
        <v>1026931</v>
      </c>
      <c r="E817" s="12" t="s">
        <v>13</v>
      </c>
      <c r="F817" s="12" t="s">
        <v>14</v>
      </c>
      <c r="G817" s="25">
        <v>1026931</v>
      </c>
      <c r="H817" s="12">
        <f t="shared" si="33"/>
        <v>0</v>
      </c>
      <c r="I817" s="14">
        <v>44891</v>
      </c>
      <c r="J817" s="12" t="s">
        <v>18</v>
      </c>
      <c r="K817" s="12" t="s">
        <v>20</v>
      </c>
      <c r="L817" s="12" t="s">
        <v>56</v>
      </c>
      <c r="M817" s="12">
        <v>235.001</v>
      </c>
      <c r="N817" s="12">
        <v>200.64699999999999</v>
      </c>
      <c r="O817" s="12">
        <v>5.6</v>
      </c>
      <c r="Q817" s="13">
        <f t="shared" si="34"/>
        <v>0.85192193305345554</v>
      </c>
    </row>
    <row r="818" spans="1:17" x14ac:dyDescent="0.25">
      <c r="A818" s="12">
        <f t="shared" si="32"/>
        <v>11</v>
      </c>
      <c r="B818" s="12">
        <v>2022</v>
      </c>
      <c r="C818" s="12">
        <v>7097</v>
      </c>
      <c r="D818" s="12">
        <v>1027033</v>
      </c>
      <c r="E818" s="12" t="s">
        <v>13</v>
      </c>
      <c r="F818" s="12" t="s">
        <v>14</v>
      </c>
      <c r="G818" s="25">
        <v>1027033</v>
      </c>
      <c r="H818" s="12">
        <f t="shared" si="33"/>
        <v>0</v>
      </c>
      <c r="I818" s="14">
        <v>44892</v>
      </c>
      <c r="J818" s="12" t="s">
        <v>18</v>
      </c>
      <c r="K818" s="12" t="s">
        <v>20</v>
      </c>
      <c r="L818" s="12" t="s">
        <v>56</v>
      </c>
      <c r="M818" s="12">
        <v>235.001</v>
      </c>
      <c r="N818" s="12">
        <v>193.911</v>
      </c>
      <c r="O818" s="12">
        <v>4.5</v>
      </c>
      <c r="Q818" s="13">
        <f t="shared" si="34"/>
        <v>0.81853055524426088</v>
      </c>
    </row>
    <row r="819" spans="1:17" x14ac:dyDescent="0.25">
      <c r="A819" s="12">
        <f t="shared" si="32"/>
        <v>11</v>
      </c>
      <c r="B819" s="12">
        <v>2022</v>
      </c>
      <c r="C819" s="12">
        <v>7098</v>
      </c>
      <c r="D819" s="12">
        <v>1027162</v>
      </c>
      <c r="E819" s="12" t="s">
        <v>13</v>
      </c>
      <c r="F819" s="12" t="s">
        <v>14</v>
      </c>
      <c r="G819" s="25">
        <v>1027162</v>
      </c>
      <c r="H819" s="12">
        <f t="shared" si="33"/>
        <v>0</v>
      </c>
      <c r="I819" s="14">
        <v>44893</v>
      </c>
      <c r="J819" s="12" t="s">
        <v>17</v>
      </c>
      <c r="K819" s="12" t="s">
        <v>19</v>
      </c>
      <c r="L819" s="12" t="s">
        <v>78</v>
      </c>
      <c r="M819" s="12">
        <v>232.017</v>
      </c>
      <c r="N819" s="12">
        <v>191.977</v>
      </c>
      <c r="O819" s="12">
        <v>4.5</v>
      </c>
      <c r="Q819" s="13">
        <f t="shared" si="34"/>
        <v>0.853813388028136</v>
      </c>
    </row>
    <row r="820" spans="1:17" x14ac:dyDescent="0.25">
      <c r="A820" s="12">
        <f t="shared" si="32"/>
        <v>11</v>
      </c>
      <c r="B820" s="12">
        <v>2022</v>
      </c>
      <c r="C820" s="12">
        <v>7099</v>
      </c>
      <c r="D820" s="12">
        <v>1027257</v>
      </c>
      <c r="E820" s="12" t="s">
        <v>13</v>
      </c>
      <c r="F820" s="12" t="s">
        <v>14</v>
      </c>
      <c r="G820" s="25">
        <v>1027257</v>
      </c>
      <c r="H820" s="12">
        <f t="shared" si="33"/>
        <v>0</v>
      </c>
      <c r="I820" s="14">
        <v>44894</v>
      </c>
      <c r="J820" s="12" t="s">
        <v>18</v>
      </c>
      <c r="K820" s="12" t="s">
        <v>19</v>
      </c>
      <c r="L820" s="12" t="s">
        <v>54</v>
      </c>
      <c r="M820" s="12">
        <v>231.99600000000001</v>
      </c>
      <c r="N820" s="12">
        <v>196.41900000000001</v>
      </c>
      <c r="O820" s="12">
        <v>4.3</v>
      </c>
      <c r="P820" s="12">
        <v>10.8</v>
      </c>
      <c r="Q820" s="13">
        <f t="shared" si="34"/>
        <v>0.82514968021412671</v>
      </c>
    </row>
    <row r="821" spans="1:17" x14ac:dyDescent="0.25">
      <c r="A821" s="12">
        <f t="shared" si="32"/>
        <v>11</v>
      </c>
      <c r="B821" s="12">
        <v>2022</v>
      </c>
      <c r="C821" s="12">
        <v>7100</v>
      </c>
      <c r="D821" s="12">
        <v>1027259</v>
      </c>
      <c r="E821" s="12" t="s">
        <v>13</v>
      </c>
      <c r="F821" s="12" t="s">
        <v>14</v>
      </c>
      <c r="G821" s="25">
        <v>1027259</v>
      </c>
      <c r="H821" s="12">
        <f t="shared" si="33"/>
        <v>0</v>
      </c>
      <c r="I821" s="14">
        <v>44895</v>
      </c>
      <c r="J821" s="12" t="s">
        <v>18</v>
      </c>
      <c r="K821" s="12" t="s">
        <v>19</v>
      </c>
      <c r="L821" s="12" t="s">
        <v>54</v>
      </c>
      <c r="M821" s="12">
        <v>231.99600000000001</v>
      </c>
      <c r="N821" s="12">
        <v>195.67500000000001</v>
      </c>
      <c r="O821" s="12">
        <v>5.4</v>
      </c>
      <c r="Q821" s="13">
        <f t="shared" si="34"/>
        <v>0.8274264385799317</v>
      </c>
    </row>
    <row r="822" spans="1:17" x14ac:dyDescent="0.25">
      <c r="A822" s="12">
        <f t="shared" si="32"/>
        <v>12</v>
      </c>
      <c r="B822" s="12">
        <v>2022</v>
      </c>
      <c r="C822" s="12">
        <v>7101</v>
      </c>
      <c r="D822" s="12">
        <v>1027260</v>
      </c>
      <c r="E822" s="12" t="s">
        <v>13</v>
      </c>
      <c r="F822" s="12" t="s">
        <v>14</v>
      </c>
      <c r="G822" s="25">
        <v>1027260</v>
      </c>
      <c r="H822" s="12">
        <f t="shared" si="33"/>
        <v>0</v>
      </c>
      <c r="I822" s="14">
        <v>44896</v>
      </c>
      <c r="J822" s="12" t="s">
        <v>18</v>
      </c>
      <c r="K822" s="12" t="s">
        <v>19</v>
      </c>
      <c r="L822" s="12" t="s">
        <v>55</v>
      </c>
      <c r="M822" s="12">
        <v>231.999</v>
      </c>
      <c r="N822" s="12">
        <v>194.61799999999999</v>
      </c>
      <c r="O822" s="12">
        <v>3.6</v>
      </c>
      <c r="Q822" s="13">
        <f t="shared" si="34"/>
        <v>0.84664821807272539</v>
      </c>
    </row>
    <row r="823" spans="1:17" x14ac:dyDescent="0.25">
      <c r="A823" s="12">
        <f t="shared" si="32"/>
        <v>12</v>
      </c>
      <c r="B823" s="12">
        <v>2022</v>
      </c>
      <c r="C823" s="12">
        <v>7102</v>
      </c>
      <c r="D823" s="12">
        <v>1027483</v>
      </c>
      <c r="E823" s="12" t="s">
        <v>13</v>
      </c>
      <c r="F823" s="12" t="s">
        <v>14</v>
      </c>
      <c r="G823" s="25">
        <v>1027483</v>
      </c>
      <c r="H823" s="12">
        <f t="shared" si="33"/>
        <v>0</v>
      </c>
      <c r="I823" s="14">
        <v>44897</v>
      </c>
      <c r="J823" s="12" t="s">
        <v>18</v>
      </c>
      <c r="K823" s="12" t="s">
        <v>19</v>
      </c>
      <c r="L823" s="12" t="s">
        <v>55</v>
      </c>
      <c r="M823" s="12">
        <v>231.999</v>
      </c>
      <c r="N823" s="12">
        <v>190.92</v>
      </c>
      <c r="O823" s="12">
        <v>4.5999999999999996</v>
      </c>
      <c r="Q823" s="13">
        <f t="shared" si="34"/>
        <v>0.84344126622872806</v>
      </c>
    </row>
    <row r="824" spans="1:17" x14ac:dyDescent="0.25">
      <c r="A824" s="12">
        <f t="shared" si="32"/>
        <v>12</v>
      </c>
      <c r="B824" s="12">
        <v>2022</v>
      </c>
      <c r="C824" s="12">
        <v>7103</v>
      </c>
      <c r="D824" s="12">
        <v>1027634</v>
      </c>
      <c r="E824" s="12" t="s">
        <v>13</v>
      </c>
      <c r="F824" s="12" t="s">
        <v>14</v>
      </c>
      <c r="G824" s="25">
        <v>1027634</v>
      </c>
      <c r="H824" s="12">
        <f t="shared" si="33"/>
        <v>0</v>
      </c>
      <c r="I824" s="14">
        <v>44898</v>
      </c>
      <c r="J824" s="12" t="s">
        <v>18</v>
      </c>
      <c r="K824" s="12" t="s">
        <v>19</v>
      </c>
      <c r="L824" s="12" t="s">
        <v>55</v>
      </c>
      <c r="M824" s="12">
        <v>232.00299999999999</v>
      </c>
      <c r="N824" s="12">
        <v>193.25</v>
      </c>
      <c r="O824" s="12">
        <v>3.7</v>
      </c>
      <c r="Q824" s="13">
        <f t="shared" si="34"/>
        <v>0.83887430549269604</v>
      </c>
    </row>
    <row r="825" spans="1:17" x14ac:dyDescent="0.25">
      <c r="A825" s="12">
        <f t="shared" si="32"/>
        <v>12</v>
      </c>
      <c r="B825" s="12">
        <v>2022</v>
      </c>
      <c r="C825" s="12">
        <v>7104</v>
      </c>
      <c r="D825" s="12">
        <v>1027834</v>
      </c>
      <c r="E825" s="12" t="s">
        <v>13</v>
      </c>
      <c r="F825" s="12" t="s">
        <v>14</v>
      </c>
      <c r="G825" s="25">
        <v>1027834</v>
      </c>
      <c r="H825" s="12">
        <f t="shared" si="33"/>
        <v>0</v>
      </c>
      <c r="I825" s="14">
        <v>44899</v>
      </c>
      <c r="J825" s="12" t="s">
        <v>18</v>
      </c>
      <c r="K825" s="12" t="s">
        <v>19</v>
      </c>
      <c r="L825" s="12" t="s">
        <v>55</v>
      </c>
      <c r="M825" s="12">
        <v>232.01400000000001</v>
      </c>
      <c r="N825" s="12">
        <v>196.75200000000001</v>
      </c>
      <c r="O825" s="12">
        <v>4.4000000000000004</v>
      </c>
      <c r="P825" s="12">
        <v>12.8</v>
      </c>
      <c r="Q825" s="13">
        <f t="shared" si="34"/>
        <v>0.82293458161457589</v>
      </c>
    </row>
    <row r="826" spans="1:17" x14ac:dyDescent="0.25">
      <c r="A826" s="12">
        <f t="shared" si="32"/>
        <v>12</v>
      </c>
      <c r="B826" s="12">
        <v>2022</v>
      </c>
      <c r="C826" s="12">
        <v>7105</v>
      </c>
      <c r="D826" s="12">
        <v>1027887</v>
      </c>
      <c r="E826" s="12" t="s">
        <v>13</v>
      </c>
      <c r="F826" s="12" t="s">
        <v>14</v>
      </c>
      <c r="G826" s="25">
        <v>1027887</v>
      </c>
      <c r="H826" s="12">
        <f t="shared" si="33"/>
        <v>0</v>
      </c>
      <c r="I826" s="14">
        <v>44900</v>
      </c>
      <c r="J826" s="12" t="s">
        <v>18</v>
      </c>
      <c r="K826" s="12" t="s">
        <v>19</v>
      </c>
      <c r="L826" s="12" t="s">
        <v>55</v>
      </c>
      <c r="M826" s="12">
        <v>232.01300000000001</v>
      </c>
      <c r="N826" s="12">
        <v>191.11699999999999</v>
      </c>
      <c r="O826" s="12">
        <v>3.7</v>
      </c>
      <c r="Q826" s="13">
        <f t="shared" si="34"/>
        <v>0.83296336685301486</v>
      </c>
    </row>
    <row r="827" spans="1:17" x14ac:dyDescent="0.25">
      <c r="A827" s="12">
        <f t="shared" si="32"/>
        <v>12</v>
      </c>
      <c r="B827" s="12">
        <v>2022</v>
      </c>
      <c r="C827" s="12">
        <v>7106</v>
      </c>
      <c r="D827" s="12">
        <v>1027888</v>
      </c>
      <c r="E827" s="12" t="s">
        <v>13</v>
      </c>
      <c r="F827" s="12" t="s">
        <v>14</v>
      </c>
      <c r="G827" s="25">
        <v>1027888</v>
      </c>
      <c r="H827" s="12">
        <f t="shared" si="33"/>
        <v>0</v>
      </c>
      <c r="I827" s="14">
        <v>44901</v>
      </c>
      <c r="J827" s="12" t="s">
        <v>18</v>
      </c>
      <c r="K827" s="12" t="s">
        <v>19</v>
      </c>
      <c r="L827" s="12" t="s">
        <v>54</v>
      </c>
      <c r="M827" s="12">
        <v>232.03700000000001</v>
      </c>
      <c r="N827" s="12">
        <v>194.453</v>
      </c>
      <c r="O827" s="12">
        <v>3.8</v>
      </c>
      <c r="Q827" s="13">
        <f t="shared" si="34"/>
        <v>0.84801779202979133</v>
      </c>
    </row>
    <row r="828" spans="1:17" x14ac:dyDescent="0.25">
      <c r="A828" s="12">
        <f t="shared" si="32"/>
        <v>12</v>
      </c>
      <c r="B828" s="12">
        <v>2022</v>
      </c>
      <c r="C828" s="12">
        <v>7107</v>
      </c>
      <c r="D828" s="12">
        <v>1027890</v>
      </c>
      <c r="E828" s="12" t="s">
        <v>13</v>
      </c>
      <c r="F828" s="12" t="s">
        <v>14</v>
      </c>
      <c r="G828" s="25">
        <v>1027890</v>
      </c>
      <c r="H828" s="12">
        <f t="shared" si="33"/>
        <v>0</v>
      </c>
      <c r="I828" s="14">
        <v>44902</v>
      </c>
      <c r="J828" s="12" t="s">
        <v>18</v>
      </c>
      <c r="K828" s="12" t="s">
        <v>19</v>
      </c>
      <c r="L828" s="12" t="s">
        <v>54</v>
      </c>
      <c r="M828" s="12">
        <v>232.03700000000001</v>
      </c>
      <c r="N828" s="12">
        <v>188.542</v>
      </c>
      <c r="O828" s="12">
        <v>3.5</v>
      </c>
      <c r="Q828" s="13">
        <f t="shared" si="34"/>
        <v>0.82373401490433718</v>
      </c>
    </row>
    <row r="829" spans="1:17" x14ac:dyDescent="0.25">
      <c r="A829" s="12">
        <f t="shared" si="32"/>
        <v>12</v>
      </c>
      <c r="B829" s="12">
        <v>2022</v>
      </c>
      <c r="C829" s="12">
        <v>7108</v>
      </c>
      <c r="D829" s="12">
        <v>1028058</v>
      </c>
      <c r="E829" s="12" t="s">
        <v>13</v>
      </c>
      <c r="F829" s="12" t="s">
        <v>14</v>
      </c>
      <c r="G829" s="25">
        <v>1028058</v>
      </c>
      <c r="H829" s="12">
        <f t="shared" si="33"/>
        <v>0</v>
      </c>
      <c r="I829" s="14">
        <v>44903</v>
      </c>
      <c r="J829" s="12" t="s">
        <v>18</v>
      </c>
      <c r="K829" s="12" t="s">
        <v>20</v>
      </c>
      <c r="L829" s="12" t="s">
        <v>53</v>
      </c>
      <c r="M829" s="12">
        <v>235.00200000000001</v>
      </c>
      <c r="N829" s="12">
        <v>197.55600000000001</v>
      </c>
      <c r="O829" s="12">
        <v>3.8</v>
      </c>
      <c r="Q829" s="13">
        <f t="shared" si="34"/>
        <v>0.838025832087124</v>
      </c>
    </row>
    <row r="830" spans="1:17" x14ac:dyDescent="0.25">
      <c r="A830" s="12">
        <f t="shared" si="32"/>
        <v>12</v>
      </c>
      <c r="B830" s="12">
        <v>2022</v>
      </c>
      <c r="C830" s="12">
        <v>7109</v>
      </c>
      <c r="D830" s="12">
        <v>1028219</v>
      </c>
      <c r="E830" s="12" t="s">
        <v>13</v>
      </c>
      <c r="F830" s="12" t="s">
        <v>14</v>
      </c>
      <c r="G830" s="25">
        <v>1028219</v>
      </c>
      <c r="H830" s="12">
        <f t="shared" si="33"/>
        <v>0</v>
      </c>
      <c r="I830" s="14">
        <v>44904</v>
      </c>
      <c r="J830" s="12" t="s">
        <v>18</v>
      </c>
      <c r="K830" s="12" t="s">
        <v>20</v>
      </c>
      <c r="L830" s="12" t="s">
        <v>53</v>
      </c>
      <c r="M830" s="12">
        <v>235.00299999999999</v>
      </c>
      <c r="N830" s="12">
        <v>193.04</v>
      </c>
      <c r="O830" s="12">
        <v>4.9000000000000004</v>
      </c>
      <c r="Q830" s="13">
        <f t="shared" si="34"/>
        <v>0.81255144653654376</v>
      </c>
    </row>
    <row r="831" spans="1:17" x14ac:dyDescent="0.25">
      <c r="A831" s="12">
        <f t="shared" si="32"/>
        <v>12</v>
      </c>
      <c r="B831" s="12">
        <v>2022</v>
      </c>
      <c r="C831" s="12">
        <v>7110</v>
      </c>
      <c r="D831" s="12">
        <v>1028350</v>
      </c>
      <c r="E831" s="12" t="s">
        <v>13</v>
      </c>
      <c r="F831" s="12" t="s">
        <v>14</v>
      </c>
      <c r="G831" s="25">
        <v>1028350</v>
      </c>
      <c r="H831" s="12">
        <f t="shared" si="33"/>
        <v>0</v>
      </c>
      <c r="I831" s="14">
        <v>44905</v>
      </c>
      <c r="J831" s="12" t="s">
        <v>18</v>
      </c>
      <c r="K831" s="12" t="s">
        <v>20</v>
      </c>
      <c r="L831" s="12" t="s">
        <v>53</v>
      </c>
      <c r="M831" s="12">
        <v>235.02</v>
      </c>
      <c r="N831" s="12">
        <v>199.155</v>
      </c>
      <c r="O831" s="12">
        <v>5</v>
      </c>
      <c r="Q831" s="13">
        <f t="shared" si="34"/>
        <v>0.84065667526233823</v>
      </c>
    </row>
    <row r="832" spans="1:17" x14ac:dyDescent="0.25">
      <c r="A832" s="12">
        <f t="shared" si="32"/>
        <v>12</v>
      </c>
      <c r="B832" s="12">
        <v>2022</v>
      </c>
      <c r="C832" s="12">
        <v>7111</v>
      </c>
      <c r="D832" s="12">
        <v>1028513</v>
      </c>
      <c r="E832" s="12" t="s">
        <v>13</v>
      </c>
      <c r="F832" s="12" t="s">
        <v>14</v>
      </c>
      <c r="G832" s="25">
        <v>1028513</v>
      </c>
      <c r="H832" s="12">
        <f t="shared" si="33"/>
        <v>0</v>
      </c>
      <c r="I832" s="14">
        <v>44906</v>
      </c>
      <c r="J832" s="12" t="s">
        <v>18</v>
      </c>
      <c r="K832" s="12" t="s">
        <v>20</v>
      </c>
      <c r="L832" s="12" t="s">
        <v>53</v>
      </c>
      <c r="M832" s="12">
        <v>235.01900000000001</v>
      </c>
      <c r="N832" s="12">
        <v>193.94800000000001</v>
      </c>
      <c r="O832" s="12">
        <v>4.4000000000000004</v>
      </c>
      <c r="Q832" s="13">
        <f t="shared" si="34"/>
        <v>0.82143632208950523</v>
      </c>
    </row>
    <row r="833" spans="1:17" x14ac:dyDescent="0.25">
      <c r="A833" s="12">
        <f t="shared" si="32"/>
        <v>12</v>
      </c>
      <c r="B833" s="12">
        <v>2022</v>
      </c>
      <c r="C833" s="12">
        <v>7112</v>
      </c>
      <c r="D833" s="12">
        <v>1028598</v>
      </c>
      <c r="E833" s="12" t="s">
        <v>13</v>
      </c>
      <c r="F833" s="12" t="s">
        <v>14</v>
      </c>
      <c r="G833" s="25">
        <v>1028598</v>
      </c>
      <c r="H833" s="12">
        <f t="shared" si="33"/>
        <v>0</v>
      </c>
      <c r="I833" s="14">
        <v>44907</v>
      </c>
      <c r="J833" s="12" t="s">
        <v>37</v>
      </c>
      <c r="K833" s="12" t="s">
        <v>20</v>
      </c>
      <c r="L833" s="12" t="s">
        <v>53</v>
      </c>
      <c r="M833" s="12">
        <v>235.00299999999999</v>
      </c>
      <c r="N833" s="12">
        <v>181.90899999999999</v>
      </c>
      <c r="O833" s="12">
        <v>4.3</v>
      </c>
      <c r="Q833" s="13">
        <f t="shared" si="34"/>
        <v>0.84739596630074032</v>
      </c>
    </row>
    <row r="834" spans="1:17" x14ac:dyDescent="0.25">
      <c r="A834" s="12">
        <f t="shared" si="32"/>
        <v>12</v>
      </c>
      <c r="B834" s="12">
        <v>2022</v>
      </c>
      <c r="C834" s="12">
        <v>7113</v>
      </c>
      <c r="D834" s="12">
        <v>1028676</v>
      </c>
      <c r="E834" s="12" t="s">
        <v>13</v>
      </c>
      <c r="F834" s="12" t="s">
        <v>14</v>
      </c>
      <c r="G834" s="25">
        <v>1028676</v>
      </c>
      <c r="H834" s="12">
        <f t="shared" si="33"/>
        <v>0</v>
      </c>
      <c r="I834" s="14">
        <v>44908</v>
      </c>
      <c r="J834" s="12" t="s">
        <v>37</v>
      </c>
      <c r="K834" s="12" t="s">
        <v>20</v>
      </c>
      <c r="L834" s="12" t="s">
        <v>53</v>
      </c>
      <c r="M834" s="12">
        <v>235.00200000000001</v>
      </c>
      <c r="N834" s="12">
        <v>206.76</v>
      </c>
      <c r="O834" s="12">
        <v>4.0999999999999996</v>
      </c>
      <c r="Q834" s="13">
        <f t="shared" si="34"/>
        <v>0.82524391644930839</v>
      </c>
    </row>
    <row r="835" spans="1:17" x14ac:dyDescent="0.25">
      <c r="A835" s="12">
        <f t="shared" ref="A835:A898" si="35">MONTH(I835)</f>
        <v>12</v>
      </c>
      <c r="B835" s="12">
        <v>2022</v>
      </c>
      <c r="C835" s="12">
        <v>7114</v>
      </c>
      <c r="D835" s="12">
        <v>1028677</v>
      </c>
      <c r="E835" s="12" t="s">
        <v>13</v>
      </c>
      <c r="F835" s="12" t="s">
        <v>14</v>
      </c>
      <c r="G835" s="25">
        <v>1028677</v>
      </c>
      <c r="H835" s="12">
        <f t="shared" si="33"/>
        <v>0</v>
      </c>
      <c r="I835" s="14">
        <v>44909</v>
      </c>
      <c r="J835" s="12" t="s">
        <v>17</v>
      </c>
      <c r="K835" s="12" t="s">
        <v>19</v>
      </c>
      <c r="L835" s="12" t="s">
        <v>58</v>
      </c>
      <c r="M835" s="12">
        <v>232</v>
      </c>
      <c r="N835" s="12">
        <v>209.011</v>
      </c>
      <c r="O835" s="12">
        <v>4.5</v>
      </c>
      <c r="Q835" s="13">
        <f t="shared" si="34"/>
        <v>0.77407096930677477</v>
      </c>
    </row>
    <row r="836" spans="1:17" x14ac:dyDescent="0.25">
      <c r="A836" s="12">
        <f t="shared" si="35"/>
        <v>12</v>
      </c>
      <c r="B836" s="12">
        <v>2022</v>
      </c>
      <c r="C836" s="12">
        <v>7115</v>
      </c>
      <c r="D836" s="12">
        <v>1028738</v>
      </c>
      <c r="E836" s="12" t="s">
        <v>13</v>
      </c>
      <c r="F836" s="12" t="s">
        <v>14</v>
      </c>
      <c r="G836" s="25">
        <v>1028738</v>
      </c>
      <c r="H836" s="12">
        <f t="shared" si="33"/>
        <v>0</v>
      </c>
      <c r="I836" s="14">
        <v>44910</v>
      </c>
      <c r="J836" s="12" t="s">
        <v>18</v>
      </c>
      <c r="K836" s="12" t="s">
        <v>20</v>
      </c>
      <c r="L836" s="12" t="s">
        <v>79</v>
      </c>
      <c r="M836" s="12">
        <v>234.98699999999999</v>
      </c>
      <c r="N836" s="12">
        <v>202.5</v>
      </c>
      <c r="O836" s="12">
        <v>3.3</v>
      </c>
      <c r="P836" s="12">
        <v>11.4</v>
      </c>
      <c r="Q836" s="13">
        <f t="shared" si="34"/>
        <v>0.87982229938468604</v>
      </c>
    </row>
    <row r="837" spans="1:17" x14ac:dyDescent="0.25">
      <c r="A837" s="12">
        <f t="shared" si="35"/>
        <v>12</v>
      </c>
      <c r="B837" s="12">
        <v>2022</v>
      </c>
      <c r="C837" s="12">
        <v>7116</v>
      </c>
      <c r="D837" s="12">
        <v>1028892</v>
      </c>
      <c r="E837" s="12" t="s">
        <v>13</v>
      </c>
      <c r="F837" s="12" t="s">
        <v>14</v>
      </c>
      <c r="G837" s="25">
        <v>1028892</v>
      </c>
      <c r="H837" s="12">
        <f t="shared" si="33"/>
        <v>0</v>
      </c>
      <c r="I837" s="14">
        <v>44911</v>
      </c>
      <c r="J837" s="12" t="s">
        <v>18</v>
      </c>
      <c r="K837" s="12" t="s">
        <v>19</v>
      </c>
      <c r="L837" s="12" t="s">
        <v>55</v>
      </c>
      <c r="M837" s="12">
        <v>232.999</v>
      </c>
      <c r="N837" s="12">
        <v>194.351</v>
      </c>
      <c r="O837" s="12">
        <v>4.0999999999999996</v>
      </c>
      <c r="P837" s="12">
        <v>10.9</v>
      </c>
      <c r="Q837" s="13">
        <f t="shared" si="34"/>
        <v>0.90090948275862071</v>
      </c>
    </row>
    <row r="838" spans="1:17" x14ac:dyDescent="0.25">
      <c r="A838" s="12">
        <f t="shared" si="35"/>
        <v>12</v>
      </c>
      <c r="B838" s="12">
        <v>2022</v>
      </c>
      <c r="C838" s="12">
        <v>7117</v>
      </c>
      <c r="D838" s="12">
        <v>1029051</v>
      </c>
      <c r="E838" s="12" t="s">
        <v>13</v>
      </c>
      <c r="F838" s="12" t="s">
        <v>14</v>
      </c>
      <c r="G838" s="25">
        <v>1029051</v>
      </c>
      <c r="H838" s="12">
        <f t="shared" si="33"/>
        <v>0</v>
      </c>
      <c r="I838" s="14">
        <v>44912</v>
      </c>
      <c r="J838" s="12" t="s">
        <v>18</v>
      </c>
      <c r="K838" s="12" t="s">
        <v>19</v>
      </c>
      <c r="L838" s="12" t="s">
        <v>55</v>
      </c>
      <c r="M838" s="12">
        <v>232.999</v>
      </c>
      <c r="N838" s="12">
        <v>196.36799999999999</v>
      </c>
      <c r="O838" s="12">
        <v>3.6</v>
      </c>
      <c r="Q838" s="13">
        <f t="shared" si="34"/>
        <v>0.86174979892504688</v>
      </c>
    </row>
    <row r="839" spans="1:17" x14ac:dyDescent="0.25">
      <c r="A839" s="12">
        <f t="shared" si="35"/>
        <v>12</v>
      </c>
      <c r="B839" s="12">
        <v>2022</v>
      </c>
      <c r="C839" s="12">
        <v>7118</v>
      </c>
      <c r="D839" s="12">
        <v>1029130</v>
      </c>
      <c r="E839" s="12" t="s">
        <v>13</v>
      </c>
      <c r="F839" s="12" t="s">
        <v>14</v>
      </c>
      <c r="G839" s="25">
        <v>1029130</v>
      </c>
      <c r="H839" s="12">
        <f t="shared" si="33"/>
        <v>0</v>
      </c>
      <c r="I839" s="14">
        <v>44913</v>
      </c>
      <c r="J839" s="12" t="s">
        <v>18</v>
      </c>
      <c r="K839" s="12" t="s">
        <v>19</v>
      </c>
      <c r="L839" s="12" t="s">
        <v>55</v>
      </c>
      <c r="M839" s="12">
        <v>232.995</v>
      </c>
      <c r="N839" s="12">
        <v>194.87799999999999</v>
      </c>
      <c r="O839" s="12">
        <v>3.9</v>
      </c>
      <c r="Q839" s="13">
        <f t="shared" si="34"/>
        <v>0.83412804346799774</v>
      </c>
    </row>
    <row r="840" spans="1:17" x14ac:dyDescent="0.25">
      <c r="A840" s="12">
        <f t="shared" si="35"/>
        <v>12</v>
      </c>
      <c r="B840" s="12">
        <v>2022</v>
      </c>
      <c r="C840" s="12">
        <v>7119</v>
      </c>
      <c r="D840" s="12">
        <v>1029248</v>
      </c>
      <c r="E840" s="12" t="s">
        <v>13</v>
      </c>
      <c r="F840" s="12" t="s">
        <v>14</v>
      </c>
      <c r="G840" s="25">
        <v>1029248</v>
      </c>
      <c r="H840" s="12">
        <f t="shared" si="33"/>
        <v>0</v>
      </c>
      <c r="I840" s="14">
        <v>44914</v>
      </c>
      <c r="J840" s="12" t="s">
        <v>18</v>
      </c>
      <c r="K840" s="12" t="s">
        <v>19</v>
      </c>
      <c r="L840" s="12" t="s">
        <v>55</v>
      </c>
      <c r="M840" s="12">
        <v>233.00399999999999</v>
      </c>
      <c r="N840" s="12">
        <v>198.21199999999999</v>
      </c>
      <c r="O840" s="12">
        <v>3.6</v>
      </c>
      <c r="P840" s="12">
        <v>12.4</v>
      </c>
      <c r="Q840" s="13">
        <f t="shared" si="34"/>
        <v>0.84278473298168666</v>
      </c>
    </row>
    <row r="841" spans="1:17" x14ac:dyDescent="0.25">
      <c r="A841" s="12">
        <f t="shared" si="35"/>
        <v>12</v>
      </c>
      <c r="B841" s="12">
        <v>2022</v>
      </c>
      <c r="C841" s="12">
        <v>7120</v>
      </c>
      <c r="D841" s="12">
        <v>1029349</v>
      </c>
      <c r="E841" s="12" t="s">
        <v>13</v>
      </c>
      <c r="F841" s="12" t="s">
        <v>14</v>
      </c>
      <c r="G841" s="25">
        <v>1029349</v>
      </c>
      <c r="H841" s="12">
        <f t="shared" si="33"/>
        <v>0</v>
      </c>
      <c r="I841" s="14">
        <v>44915</v>
      </c>
      <c r="J841" s="12" t="s">
        <v>18</v>
      </c>
      <c r="K841" s="12" t="s">
        <v>19</v>
      </c>
      <c r="L841" s="12" t="s">
        <v>55</v>
      </c>
      <c r="M841" s="12">
        <v>233.005</v>
      </c>
      <c r="N841" s="12">
        <v>195.19499999999999</v>
      </c>
      <c r="O841" s="12">
        <v>4.3</v>
      </c>
      <c r="Q841" s="13">
        <f t="shared" si="34"/>
        <v>0.83640421468271842</v>
      </c>
    </row>
    <row r="842" spans="1:17" x14ac:dyDescent="0.25">
      <c r="A842" s="12">
        <f t="shared" si="35"/>
        <v>12</v>
      </c>
      <c r="B842" s="12">
        <v>2022</v>
      </c>
      <c r="C842" s="12">
        <v>7121</v>
      </c>
      <c r="D842" s="12">
        <v>1029350</v>
      </c>
      <c r="E842" s="12" t="s">
        <v>13</v>
      </c>
      <c r="F842" s="12" t="s">
        <v>14</v>
      </c>
      <c r="G842" s="25">
        <v>1029350</v>
      </c>
      <c r="H842" s="12">
        <f t="shared" si="33"/>
        <v>0</v>
      </c>
      <c r="I842" s="14">
        <v>44916</v>
      </c>
      <c r="J842" s="12" t="s">
        <v>37</v>
      </c>
      <c r="K842" s="12" t="s">
        <v>20</v>
      </c>
      <c r="L842" s="12" t="s">
        <v>53</v>
      </c>
      <c r="M842" s="12">
        <v>235.042</v>
      </c>
      <c r="N842" s="12">
        <v>192.33600000000001</v>
      </c>
      <c r="O842" s="12">
        <v>3.4</v>
      </c>
      <c r="Q842" s="13">
        <f t="shared" si="34"/>
        <v>0.8506806750098711</v>
      </c>
    </row>
    <row r="843" spans="1:17" x14ac:dyDescent="0.25">
      <c r="A843" s="12">
        <f t="shared" si="35"/>
        <v>12</v>
      </c>
      <c r="B843" s="12">
        <v>2022</v>
      </c>
      <c r="C843" s="12">
        <v>7122</v>
      </c>
      <c r="D843" s="12">
        <v>1029351</v>
      </c>
      <c r="E843" s="12" t="s">
        <v>13</v>
      </c>
      <c r="F843" s="12" t="s">
        <v>14</v>
      </c>
      <c r="G843" s="25">
        <v>1029351</v>
      </c>
      <c r="H843" s="12">
        <f t="shared" si="33"/>
        <v>0</v>
      </c>
      <c r="I843" s="14">
        <v>44917</v>
      </c>
      <c r="J843" s="12" t="s">
        <v>37</v>
      </c>
      <c r="K843" s="12" t="s">
        <v>20</v>
      </c>
      <c r="L843" s="12" t="s">
        <v>53</v>
      </c>
      <c r="M843" s="12">
        <v>235.04300000000001</v>
      </c>
      <c r="N843" s="12">
        <v>209.30099999999999</v>
      </c>
      <c r="O843" s="12">
        <v>4.5999999999999996</v>
      </c>
      <c r="Q843" s="13">
        <f t="shared" si="34"/>
        <v>0.83772880410291628</v>
      </c>
    </row>
    <row r="844" spans="1:17" x14ac:dyDescent="0.25">
      <c r="A844" s="12">
        <f t="shared" si="35"/>
        <v>12</v>
      </c>
      <c r="B844" s="12">
        <v>2022</v>
      </c>
      <c r="C844" s="12">
        <v>7123</v>
      </c>
      <c r="D844" s="12">
        <v>1029533</v>
      </c>
      <c r="E844" s="12" t="s">
        <v>13</v>
      </c>
      <c r="F844" s="12" t="s">
        <v>14</v>
      </c>
      <c r="G844" s="25">
        <v>1029533</v>
      </c>
      <c r="H844" s="12">
        <f t="shared" si="33"/>
        <v>0</v>
      </c>
      <c r="I844" s="14">
        <v>44918</v>
      </c>
      <c r="J844" s="12" t="s">
        <v>17</v>
      </c>
      <c r="K844" s="12" t="s">
        <v>19</v>
      </c>
      <c r="L844" s="12" t="s">
        <v>78</v>
      </c>
      <c r="M844" s="12">
        <v>233</v>
      </c>
      <c r="N844" s="12">
        <v>199.72900000000001</v>
      </c>
      <c r="O844" s="12">
        <v>5.2</v>
      </c>
      <c r="Q844" s="13">
        <f t="shared" si="34"/>
        <v>0.81830481360778073</v>
      </c>
    </row>
    <row r="845" spans="1:17" x14ac:dyDescent="0.25">
      <c r="A845" s="12">
        <f t="shared" si="35"/>
        <v>12</v>
      </c>
      <c r="B845" s="12">
        <v>2022</v>
      </c>
      <c r="C845" s="12">
        <v>7124</v>
      </c>
      <c r="D845" s="12">
        <v>1029665</v>
      </c>
      <c r="E845" s="12" t="s">
        <v>13</v>
      </c>
      <c r="F845" s="12" t="s">
        <v>14</v>
      </c>
      <c r="G845" s="25">
        <v>1029665</v>
      </c>
      <c r="H845" s="12">
        <f t="shared" si="33"/>
        <v>0</v>
      </c>
      <c r="I845" s="14">
        <v>44919</v>
      </c>
      <c r="J845" s="12" t="s">
        <v>17</v>
      </c>
      <c r="K845" s="12" t="s">
        <v>19</v>
      </c>
      <c r="L845" s="12" t="s">
        <v>58</v>
      </c>
      <c r="M845" s="12">
        <v>232.00299999999999</v>
      </c>
      <c r="N845" s="12">
        <v>194.89</v>
      </c>
      <c r="O845" s="12">
        <v>5.6</v>
      </c>
      <c r="P845" s="12">
        <v>11.9</v>
      </c>
      <c r="Q845" s="13">
        <f t="shared" si="34"/>
        <v>0.89047961436843459</v>
      </c>
    </row>
    <row r="846" spans="1:17" x14ac:dyDescent="0.25">
      <c r="A846" s="12">
        <f t="shared" si="35"/>
        <v>12</v>
      </c>
      <c r="B846" s="12">
        <v>2022</v>
      </c>
      <c r="C846" s="12">
        <v>7125</v>
      </c>
      <c r="D846" s="12">
        <v>1029775</v>
      </c>
      <c r="E846" s="12" t="s">
        <v>13</v>
      </c>
      <c r="F846" s="12" t="s">
        <v>14</v>
      </c>
      <c r="G846" s="25">
        <v>1029775</v>
      </c>
      <c r="H846" s="12">
        <f t="shared" si="33"/>
        <v>0</v>
      </c>
      <c r="I846" s="14">
        <v>44920</v>
      </c>
      <c r="J846" s="12" t="s">
        <v>17</v>
      </c>
      <c r="K846" s="12" t="s">
        <v>19</v>
      </c>
      <c r="L846" s="12" t="s">
        <v>58</v>
      </c>
      <c r="M846" s="12">
        <v>232.00299999999999</v>
      </c>
      <c r="N846" s="12">
        <v>196.33699999999999</v>
      </c>
      <c r="O846" s="12">
        <v>4.0999999999999996</v>
      </c>
      <c r="Q846" s="13">
        <f t="shared" si="34"/>
        <v>0.857206008583691</v>
      </c>
    </row>
    <row r="847" spans="1:17" x14ac:dyDescent="0.25">
      <c r="A847" s="12">
        <f t="shared" si="35"/>
        <v>12</v>
      </c>
      <c r="B847" s="12">
        <v>2022</v>
      </c>
      <c r="C847" s="12">
        <v>7126</v>
      </c>
      <c r="D847" s="12">
        <v>1029852</v>
      </c>
      <c r="E847" s="12" t="s">
        <v>13</v>
      </c>
      <c r="F847" s="12" t="s">
        <v>14</v>
      </c>
      <c r="G847" s="25">
        <v>1029852</v>
      </c>
      <c r="H847" s="12">
        <f t="shared" si="33"/>
        <v>0</v>
      </c>
      <c r="I847" s="14">
        <v>44921</v>
      </c>
      <c r="J847" s="12" t="s">
        <v>18</v>
      </c>
      <c r="K847" s="12" t="s">
        <v>20</v>
      </c>
      <c r="L847" s="12" t="s">
        <v>79</v>
      </c>
      <c r="M847" s="12">
        <v>235.023</v>
      </c>
      <c r="N847" s="12">
        <v>199.02</v>
      </c>
      <c r="O847" s="12">
        <v>3.8</v>
      </c>
      <c r="Q847" s="13">
        <f t="shared" si="34"/>
        <v>0.84003224096240137</v>
      </c>
    </row>
    <row r="848" spans="1:17" x14ac:dyDescent="0.25">
      <c r="A848" s="12">
        <f t="shared" si="35"/>
        <v>12</v>
      </c>
      <c r="B848" s="12">
        <v>2022</v>
      </c>
      <c r="C848" s="12">
        <v>7127</v>
      </c>
      <c r="D848" s="12">
        <v>1030017</v>
      </c>
      <c r="E848" s="12" t="s">
        <v>13</v>
      </c>
      <c r="F848" s="12" t="s">
        <v>14</v>
      </c>
      <c r="G848" s="25">
        <v>1030017</v>
      </c>
      <c r="H848" s="12">
        <f t="shared" si="33"/>
        <v>0</v>
      </c>
      <c r="I848" s="14">
        <v>44922</v>
      </c>
      <c r="J848" s="12" t="s">
        <v>18</v>
      </c>
      <c r="K848" s="12" t="s">
        <v>20</v>
      </c>
      <c r="L848" s="12" t="s">
        <v>79</v>
      </c>
      <c r="M848" s="12">
        <v>235.023</v>
      </c>
      <c r="N848" s="12">
        <v>204.40899999999999</v>
      </c>
      <c r="O848" s="12">
        <v>3.9</v>
      </c>
      <c r="Q848" s="13">
        <f t="shared" si="34"/>
        <v>0.8462692292772076</v>
      </c>
    </row>
    <row r="849" spans="1:17" x14ac:dyDescent="0.25">
      <c r="A849" s="12">
        <f t="shared" si="35"/>
        <v>12</v>
      </c>
      <c r="B849" s="12">
        <v>2022</v>
      </c>
      <c r="C849" s="12">
        <v>7128</v>
      </c>
      <c r="D849" s="12">
        <v>1030018</v>
      </c>
      <c r="E849" s="12" t="s">
        <v>13</v>
      </c>
      <c r="F849" s="12" t="s">
        <v>14</v>
      </c>
      <c r="G849" s="25">
        <v>1030018</v>
      </c>
      <c r="H849" s="12">
        <f t="shared" si="33"/>
        <v>0</v>
      </c>
      <c r="I849" s="14">
        <v>44923</v>
      </c>
      <c r="J849" s="12" t="s">
        <v>18</v>
      </c>
      <c r="K849" s="12" t="s">
        <v>19</v>
      </c>
      <c r="L849" s="12" t="s">
        <v>55</v>
      </c>
      <c r="M849" s="12">
        <v>233.10499999999999</v>
      </c>
      <c r="N849" s="12">
        <v>194.435</v>
      </c>
      <c r="O849" s="12">
        <v>4</v>
      </c>
      <c r="Q849" s="13">
        <f t="shared" si="34"/>
        <v>0.84681073767248316</v>
      </c>
    </row>
    <row r="850" spans="1:17" x14ac:dyDescent="0.25">
      <c r="A850" s="12">
        <f t="shared" si="35"/>
        <v>12</v>
      </c>
      <c r="B850" s="12">
        <v>2022</v>
      </c>
      <c r="C850" s="12">
        <v>7129</v>
      </c>
      <c r="D850" s="12">
        <v>1030064</v>
      </c>
      <c r="E850" s="12" t="s">
        <v>13</v>
      </c>
      <c r="F850" s="12" t="s">
        <v>14</v>
      </c>
      <c r="G850" s="25">
        <v>1030064</v>
      </c>
      <c r="H850" s="12">
        <f t="shared" si="33"/>
        <v>0</v>
      </c>
      <c r="I850" s="14">
        <v>44924</v>
      </c>
      <c r="J850" s="12" t="s">
        <v>18</v>
      </c>
      <c r="K850" s="12" t="s">
        <v>19</v>
      </c>
      <c r="L850" s="12" t="s">
        <v>55</v>
      </c>
      <c r="M850" s="12">
        <v>232.999</v>
      </c>
      <c r="N850" s="12">
        <v>196.38900000000001</v>
      </c>
      <c r="O850" s="12">
        <v>3.7</v>
      </c>
      <c r="P850" s="12">
        <v>12.4</v>
      </c>
      <c r="Q850" s="13">
        <f t="shared" si="34"/>
        <v>0.86974040838556221</v>
      </c>
    </row>
    <row r="851" spans="1:17" x14ac:dyDescent="0.25">
      <c r="A851" s="12">
        <f t="shared" si="35"/>
        <v>12</v>
      </c>
      <c r="B851" s="12">
        <v>2022</v>
      </c>
      <c r="C851" s="12">
        <v>7130</v>
      </c>
      <c r="D851" s="12">
        <v>1030195</v>
      </c>
      <c r="E851" s="12" t="s">
        <v>13</v>
      </c>
      <c r="F851" s="12" t="s">
        <v>14</v>
      </c>
      <c r="G851" s="25">
        <v>1030195</v>
      </c>
      <c r="H851" s="12">
        <f t="shared" si="33"/>
        <v>0</v>
      </c>
      <c r="I851" s="14">
        <v>44925</v>
      </c>
      <c r="J851" s="12" t="s">
        <v>18</v>
      </c>
      <c r="K851" s="12" t="s">
        <v>19</v>
      </c>
      <c r="L851" s="12" t="s">
        <v>55</v>
      </c>
      <c r="M851" s="12">
        <v>232.999</v>
      </c>
      <c r="N851" s="12">
        <v>193.37</v>
      </c>
      <c r="O851" s="12">
        <v>3.9</v>
      </c>
      <c r="Q851" s="13">
        <f t="shared" si="34"/>
        <v>0.83410909246905907</v>
      </c>
    </row>
    <row r="852" spans="1:17" x14ac:dyDescent="0.25">
      <c r="A852" s="12">
        <f t="shared" si="35"/>
        <v>12</v>
      </c>
      <c r="B852" s="12">
        <v>2022</v>
      </c>
      <c r="C852" s="12">
        <v>7131</v>
      </c>
      <c r="D852" s="12">
        <v>1030353</v>
      </c>
      <c r="E852" s="12" t="s">
        <v>13</v>
      </c>
      <c r="F852" s="12" t="s">
        <v>14</v>
      </c>
      <c r="G852" s="25">
        <v>1030353</v>
      </c>
      <c r="H852" s="12">
        <f t="shared" si="33"/>
        <v>0</v>
      </c>
      <c r="I852" s="14">
        <v>44926</v>
      </c>
      <c r="J852" s="12" t="s">
        <v>18</v>
      </c>
      <c r="K852" s="12" t="s">
        <v>19</v>
      </c>
      <c r="L852" s="12" t="s">
        <v>55</v>
      </c>
      <c r="M852" s="12">
        <v>233.04400000000001</v>
      </c>
      <c r="N852" s="12">
        <v>195.2</v>
      </c>
      <c r="O852" s="12">
        <v>3.2</v>
      </c>
      <c r="Q852" s="13">
        <f t="shared" si="34"/>
        <v>0.84287486212387186</v>
      </c>
    </row>
    <row r="853" spans="1:17" x14ac:dyDescent="0.25">
      <c r="A853" s="12">
        <f t="shared" si="35"/>
        <v>12</v>
      </c>
      <c r="B853" s="12">
        <v>2022</v>
      </c>
      <c r="C853" s="12">
        <v>7132</v>
      </c>
      <c r="D853" s="12">
        <v>1030458</v>
      </c>
      <c r="E853" s="12" t="s">
        <v>13</v>
      </c>
      <c r="F853" s="12" t="s">
        <v>14</v>
      </c>
      <c r="G853" s="25">
        <v>1030458</v>
      </c>
      <c r="H853" s="12">
        <f t="shared" si="33"/>
        <v>0</v>
      </c>
      <c r="I853" s="14">
        <v>45291</v>
      </c>
      <c r="J853" s="12" t="s">
        <v>18</v>
      </c>
      <c r="K853" s="12" t="s">
        <v>19</v>
      </c>
      <c r="L853" s="12" t="s">
        <v>55</v>
      </c>
      <c r="M853" s="33">
        <v>233.04499999999999</v>
      </c>
      <c r="N853" s="33">
        <v>206.90799999999999</v>
      </c>
      <c r="O853" s="12">
        <v>4.2</v>
      </c>
      <c r="Q853" s="13">
        <f t="shared" si="34"/>
        <v>0.82991772496877669</v>
      </c>
    </row>
    <row r="854" spans="1:17" x14ac:dyDescent="0.25">
      <c r="A854" s="12">
        <f t="shared" si="35"/>
        <v>1</v>
      </c>
      <c r="B854" s="12">
        <v>2023</v>
      </c>
      <c r="C854" s="12">
        <v>7133</v>
      </c>
      <c r="D854" s="12">
        <v>1030561</v>
      </c>
      <c r="E854" s="12" t="s">
        <v>13</v>
      </c>
      <c r="F854" s="12" t="s">
        <v>14</v>
      </c>
      <c r="G854" s="25">
        <v>1030561</v>
      </c>
      <c r="H854" s="12">
        <f t="shared" si="33"/>
        <v>0</v>
      </c>
      <c r="I854" s="14">
        <v>44927</v>
      </c>
      <c r="J854" s="12" t="s">
        <v>18</v>
      </c>
      <c r="K854" s="12" t="s">
        <v>19</v>
      </c>
      <c r="L854" s="12" t="s">
        <v>54</v>
      </c>
      <c r="M854" s="12">
        <v>233.04499999999999</v>
      </c>
      <c r="N854" s="12">
        <v>206.90799999999999</v>
      </c>
      <c r="O854" s="12">
        <v>3.4</v>
      </c>
      <c r="Q854" s="13">
        <f t="shared" si="34"/>
        <v>0.83761006505209312</v>
      </c>
    </row>
    <row r="855" spans="1:17" x14ac:dyDescent="0.25">
      <c r="A855" s="12">
        <f t="shared" si="35"/>
        <v>1</v>
      </c>
      <c r="B855" s="12">
        <v>2023</v>
      </c>
      <c r="C855" s="12">
        <v>7134</v>
      </c>
      <c r="D855" s="12">
        <v>1030562</v>
      </c>
      <c r="E855" s="12" t="s">
        <v>13</v>
      </c>
      <c r="F855" s="12" t="s">
        <v>14</v>
      </c>
      <c r="G855" s="25">
        <v>1030562</v>
      </c>
      <c r="H855" s="12">
        <f t="shared" si="33"/>
        <v>0</v>
      </c>
      <c r="I855" s="14">
        <v>44928</v>
      </c>
      <c r="J855" s="12" t="s">
        <v>18</v>
      </c>
      <c r="K855" s="12" t="s">
        <v>19</v>
      </c>
      <c r="L855" s="12" t="s">
        <v>54</v>
      </c>
      <c r="M855" s="12">
        <v>233.01300000000001</v>
      </c>
      <c r="N855" s="12">
        <v>196.61199999999999</v>
      </c>
      <c r="O855" s="12">
        <v>4.5</v>
      </c>
      <c r="Q855" s="13">
        <f t="shared" si="34"/>
        <v>0.88784569503743915</v>
      </c>
    </row>
    <row r="856" spans="1:17" x14ac:dyDescent="0.25">
      <c r="A856" s="12">
        <f t="shared" si="35"/>
        <v>1</v>
      </c>
      <c r="B856" s="12">
        <v>2023</v>
      </c>
      <c r="C856" s="12">
        <v>7135</v>
      </c>
      <c r="D856" s="12">
        <v>1030563</v>
      </c>
      <c r="E856" s="12" t="s">
        <v>13</v>
      </c>
      <c r="F856" s="12" t="s">
        <v>14</v>
      </c>
      <c r="G856" s="25">
        <v>1030563</v>
      </c>
      <c r="H856" s="12">
        <f t="shared" si="33"/>
        <v>0</v>
      </c>
      <c r="I856" s="14">
        <v>44929</v>
      </c>
      <c r="J856" s="12" t="s">
        <v>18</v>
      </c>
      <c r="K856" s="12" t="s">
        <v>19</v>
      </c>
      <c r="L856" s="12" t="s">
        <v>55</v>
      </c>
      <c r="M856" s="12">
        <v>233.012</v>
      </c>
      <c r="N856" s="12">
        <v>200.88900000000001</v>
      </c>
      <c r="O856" s="12">
        <v>3.7</v>
      </c>
      <c r="Q856" s="13">
        <f t="shared" si="34"/>
        <v>0.88784569503743915</v>
      </c>
    </row>
    <row r="857" spans="1:17" x14ac:dyDescent="0.25">
      <c r="A857" s="12">
        <f t="shared" si="35"/>
        <v>1</v>
      </c>
      <c r="B857" s="12">
        <v>2023</v>
      </c>
      <c r="C857" s="12">
        <v>7136</v>
      </c>
      <c r="D857" s="12">
        <v>1030568</v>
      </c>
      <c r="E857" s="12" t="s">
        <v>13</v>
      </c>
      <c r="F857" s="12" t="s">
        <v>14</v>
      </c>
      <c r="G857" s="25">
        <v>1030568</v>
      </c>
      <c r="H857" s="12">
        <f t="shared" si="33"/>
        <v>0</v>
      </c>
      <c r="I857" s="14">
        <v>44930</v>
      </c>
      <c r="J857" s="12" t="s">
        <v>18</v>
      </c>
      <c r="K857" s="12" t="s">
        <v>19</v>
      </c>
      <c r="L857" s="12" t="s">
        <v>55</v>
      </c>
      <c r="M857" s="12">
        <v>233.012</v>
      </c>
      <c r="N857" s="12">
        <v>178.84100000000001</v>
      </c>
      <c r="O857" s="12">
        <v>3.9</v>
      </c>
      <c r="P857" s="12">
        <v>12.6</v>
      </c>
      <c r="Q857" s="13">
        <f t="shared" si="34"/>
        <v>0.843781248256535</v>
      </c>
    </row>
    <row r="858" spans="1:17" x14ac:dyDescent="0.25">
      <c r="A858" s="12">
        <f t="shared" si="35"/>
        <v>1</v>
      </c>
      <c r="B858" s="12">
        <v>2023</v>
      </c>
      <c r="C858" s="12">
        <v>7137</v>
      </c>
      <c r="D858" s="12">
        <v>1030708</v>
      </c>
      <c r="E858" s="12" t="s">
        <v>13</v>
      </c>
      <c r="F858" s="12" t="s">
        <v>14</v>
      </c>
      <c r="G858" s="25">
        <v>1030708</v>
      </c>
      <c r="H858" s="12">
        <f t="shared" si="33"/>
        <v>0</v>
      </c>
      <c r="I858" s="14">
        <v>44931</v>
      </c>
      <c r="J858" s="12" t="s">
        <v>18</v>
      </c>
      <c r="K858" s="12" t="s">
        <v>19</v>
      </c>
      <c r="L858" s="12" t="s">
        <v>55</v>
      </c>
      <c r="M858" s="12">
        <v>233</v>
      </c>
      <c r="N858" s="12">
        <v>190.59800000000001</v>
      </c>
      <c r="O858" s="12">
        <v>3.9</v>
      </c>
      <c r="Q858" s="13">
        <f t="shared" si="34"/>
        <v>0.86214014728855171</v>
      </c>
    </row>
    <row r="859" spans="1:17" x14ac:dyDescent="0.25">
      <c r="A859" s="12">
        <f t="shared" si="35"/>
        <v>1</v>
      </c>
      <c r="B859" s="12">
        <v>2023</v>
      </c>
      <c r="C859" s="12">
        <v>7138</v>
      </c>
      <c r="D859" s="12">
        <v>1030812</v>
      </c>
      <c r="E859" s="12" t="s">
        <v>13</v>
      </c>
      <c r="F859" s="12" t="s">
        <v>14</v>
      </c>
      <c r="G859" s="25">
        <v>1030812</v>
      </c>
      <c r="H859" s="12">
        <f t="shared" si="33"/>
        <v>0</v>
      </c>
      <c r="I859" s="14">
        <v>44932</v>
      </c>
      <c r="J859" s="12" t="s">
        <v>18</v>
      </c>
      <c r="K859" s="12" t="s">
        <v>19</v>
      </c>
      <c r="L859" s="12" t="s">
        <v>55</v>
      </c>
      <c r="M859" s="12">
        <v>233.001</v>
      </c>
      <c r="N859" s="12">
        <v>199.548</v>
      </c>
      <c r="O859" s="12">
        <v>3.9</v>
      </c>
      <c r="Q859" s="13">
        <f t="shared" si="34"/>
        <v>0.76751841106895791</v>
      </c>
    </row>
    <row r="860" spans="1:17" x14ac:dyDescent="0.25">
      <c r="A860" s="12">
        <f t="shared" si="35"/>
        <v>1</v>
      </c>
      <c r="B860" s="12">
        <v>2023</v>
      </c>
      <c r="C860" s="12">
        <v>7139</v>
      </c>
      <c r="D860" s="12">
        <v>1030938</v>
      </c>
      <c r="E860" s="12" t="s">
        <v>13</v>
      </c>
      <c r="F860" s="12" t="s">
        <v>14</v>
      </c>
      <c r="G860" s="25">
        <v>1030938</v>
      </c>
      <c r="H860" s="12">
        <f t="shared" si="33"/>
        <v>0</v>
      </c>
      <c r="I860" s="14">
        <v>44933</v>
      </c>
      <c r="J860" s="12" t="s">
        <v>18</v>
      </c>
      <c r="K860" s="12" t="s">
        <v>19</v>
      </c>
      <c r="L860" s="12" t="s">
        <v>55</v>
      </c>
      <c r="M860" s="12">
        <v>233.00700000000001</v>
      </c>
      <c r="N860" s="12">
        <v>192.40700000000001</v>
      </c>
      <c r="O860" s="12">
        <v>4</v>
      </c>
      <c r="Q860" s="13">
        <f t="shared" si="34"/>
        <v>0.81801716738197428</v>
      </c>
    </row>
    <row r="861" spans="1:17" x14ac:dyDescent="0.25">
      <c r="A861" s="12">
        <f t="shared" si="35"/>
        <v>1</v>
      </c>
      <c r="B861" s="12">
        <v>2023</v>
      </c>
      <c r="C861" s="12">
        <v>7140</v>
      </c>
      <c r="D861" s="12">
        <v>1030943</v>
      </c>
      <c r="E861" s="12" t="s">
        <v>13</v>
      </c>
      <c r="F861" s="12" t="s">
        <v>14</v>
      </c>
      <c r="G861" s="25">
        <v>1030943</v>
      </c>
      <c r="H861" s="12">
        <f t="shared" si="33"/>
        <v>0</v>
      </c>
      <c r="I861" s="14">
        <v>44934</v>
      </c>
      <c r="J861" s="12" t="s">
        <v>17</v>
      </c>
      <c r="K861" s="12" t="s">
        <v>19</v>
      </c>
      <c r="L861" s="12" t="s">
        <v>58</v>
      </c>
      <c r="M861" s="12">
        <v>233.006</v>
      </c>
      <c r="N861" s="12">
        <v>195.22300000000001</v>
      </c>
      <c r="O861" s="12">
        <v>4.2</v>
      </c>
      <c r="Q861" s="13">
        <f t="shared" si="34"/>
        <v>0.85642550890339531</v>
      </c>
    </row>
    <row r="862" spans="1:17" x14ac:dyDescent="0.25">
      <c r="A862" s="12">
        <f t="shared" si="35"/>
        <v>1</v>
      </c>
      <c r="B862" s="12">
        <v>2023</v>
      </c>
      <c r="C862" s="12">
        <v>7141</v>
      </c>
      <c r="D862" s="12">
        <v>1030946</v>
      </c>
      <c r="E862" s="12" t="s">
        <v>13</v>
      </c>
      <c r="F862" s="12" t="s">
        <v>14</v>
      </c>
      <c r="G862" s="25">
        <v>1030946</v>
      </c>
      <c r="H862" s="12">
        <f t="shared" si="33"/>
        <v>0</v>
      </c>
      <c r="I862" s="14">
        <v>44935</v>
      </c>
      <c r="J862" s="12" t="s">
        <v>18</v>
      </c>
      <c r="K862" s="12" t="s">
        <v>20</v>
      </c>
      <c r="L862" s="12" t="s">
        <v>79</v>
      </c>
      <c r="M862" s="12">
        <v>232.999</v>
      </c>
      <c r="N862" s="12">
        <v>196.304</v>
      </c>
      <c r="O862" s="12">
        <v>3.4</v>
      </c>
      <c r="P862" s="12">
        <v>11.5</v>
      </c>
      <c r="Q862" s="13">
        <f t="shared" si="34"/>
        <v>0.82575630775041098</v>
      </c>
    </row>
    <row r="863" spans="1:17" x14ac:dyDescent="0.25">
      <c r="A863" s="12">
        <f t="shared" si="35"/>
        <v>1</v>
      </c>
      <c r="B863" s="12">
        <v>2023</v>
      </c>
      <c r="C863" s="12">
        <v>7142</v>
      </c>
      <c r="D863" s="12">
        <v>1030948</v>
      </c>
      <c r="E863" s="12" t="s">
        <v>13</v>
      </c>
      <c r="F863" s="12" t="s">
        <v>14</v>
      </c>
      <c r="G863" s="25">
        <v>1030948</v>
      </c>
      <c r="H863" s="12">
        <f t="shared" si="33"/>
        <v>0</v>
      </c>
      <c r="I863" s="14">
        <v>44936</v>
      </c>
      <c r="J863" s="12" t="s">
        <v>18</v>
      </c>
      <c r="K863" s="12" t="s">
        <v>20</v>
      </c>
      <c r="L863" s="12" t="s">
        <v>79</v>
      </c>
      <c r="M863" s="12">
        <v>235.00700000000001</v>
      </c>
      <c r="N863" s="12">
        <v>206.22399999999999</v>
      </c>
      <c r="O863" s="12">
        <v>4</v>
      </c>
      <c r="Q863" s="13">
        <f t="shared" si="34"/>
        <v>0.83784537737225662</v>
      </c>
    </row>
    <row r="864" spans="1:17" x14ac:dyDescent="0.25">
      <c r="A864" s="12">
        <f t="shared" si="35"/>
        <v>1</v>
      </c>
      <c r="B864" s="12">
        <v>2023</v>
      </c>
      <c r="C864" s="12">
        <v>7143</v>
      </c>
      <c r="D864" s="12">
        <v>1031151</v>
      </c>
      <c r="E864" s="12" t="s">
        <v>13</v>
      </c>
      <c r="F864" s="12" t="s">
        <v>14</v>
      </c>
      <c r="G864" s="25">
        <v>1031151</v>
      </c>
      <c r="H864" s="12">
        <f t="shared" si="33"/>
        <v>0</v>
      </c>
      <c r="I864" s="14">
        <v>44937</v>
      </c>
      <c r="J864" s="12" t="s">
        <v>18</v>
      </c>
      <c r="K864" s="12" t="s">
        <v>20</v>
      </c>
      <c r="L864" s="12" t="s">
        <v>53</v>
      </c>
      <c r="M864" s="12">
        <v>235.00800000000001</v>
      </c>
      <c r="N864" s="12">
        <v>197.999</v>
      </c>
      <c r="O864" s="12">
        <v>4.2</v>
      </c>
      <c r="Q864" s="13">
        <f t="shared" si="34"/>
        <v>0.84251005369121756</v>
      </c>
    </row>
    <row r="865" spans="1:17" x14ac:dyDescent="0.25">
      <c r="A865" s="12">
        <f t="shared" si="35"/>
        <v>1</v>
      </c>
      <c r="B865" s="12">
        <v>2023</v>
      </c>
      <c r="C865" s="12">
        <v>7144</v>
      </c>
      <c r="D865" s="12">
        <v>1031269</v>
      </c>
      <c r="E865" s="12" t="s">
        <v>13</v>
      </c>
      <c r="F865" s="12" t="s">
        <v>14</v>
      </c>
      <c r="G865" s="25">
        <v>1031269</v>
      </c>
      <c r="H865" s="12">
        <f t="shared" si="33"/>
        <v>0</v>
      </c>
      <c r="I865" s="14">
        <v>44938</v>
      </c>
      <c r="J865" s="12" t="s">
        <v>18</v>
      </c>
      <c r="K865" s="12" t="s">
        <v>20</v>
      </c>
      <c r="L865" s="12" t="s">
        <v>53</v>
      </c>
      <c r="M865" s="12">
        <v>234.999</v>
      </c>
      <c r="N865" s="12">
        <v>195.94</v>
      </c>
      <c r="O865" s="12">
        <v>4</v>
      </c>
      <c r="Q865" s="13">
        <f t="shared" si="34"/>
        <v>0.87752279719327508</v>
      </c>
    </row>
    <row r="866" spans="1:17" x14ac:dyDescent="0.25">
      <c r="A866" s="12">
        <f t="shared" si="35"/>
        <v>1</v>
      </c>
      <c r="B866" s="12">
        <v>2023</v>
      </c>
      <c r="C866" s="12">
        <v>7145</v>
      </c>
      <c r="D866" s="12">
        <v>1031378</v>
      </c>
      <c r="E866" s="12" t="s">
        <v>13</v>
      </c>
      <c r="F866" s="12" t="s">
        <v>14</v>
      </c>
      <c r="G866" s="25">
        <v>1031378</v>
      </c>
      <c r="H866" s="12">
        <f t="shared" ref="H866:H929" si="36">D866-G866</f>
        <v>0</v>
      </c>
      <c r="I866" s="14">
        <v>44939</v>
      </c>
      <c r="J866" s="12" t="s">
        <v>18</v>
      </c>
      <c r="K866" s="12" t="s">
        <v>19</v>
      </c>
      <c r="L866" s="12" t="s">
        <v>55</v>
      </c>
      <c r="M866" s="12">
        <v>235</v>
      </c>
      <c r="N866" s="12">
        <v>202.86</v>
      </c>
      <c r="O866" s="12">
        <v>4.3</v>
      </c>
      <c r="Q866" s="13">
        <f t="shared" si="34"/>
        <v>0.84252025462962954</v>
      </c>
    </row>
    <row r="867" spans="1:17" x14ac:dyDescent="0.25">
      <c r="A867" s="12">
        <f t="shared" si="35"/>
        <v>1</v>
      </c>
      <c r="B867" s="12">
        <v>2023</v>
      </c>
      <c r="C867" s="12">
        <v>7146</v>
      </c>
      <c r="D867" s="12">
        <v>1031485</v>
      </c>
      <c r="E867" s="12" t="s">
        <v>13</v>
      </c>
      <c r="F867" s="12" t="s">
        <v>14</v>
      </c>
      <c r="G867" s="25">
        <v>1031485</v>
      </c>
      <c r="H867" s="12">
        <f t="shared" si="36"/>
        <v>0</v>
      </c>
      <c r="I867" s="14">
        <v>44940</v>
      </c>
      <c r="J867" s="12" t="s">
        <v>18</v>
      </c>
      <c r="K867" s="12" t="s">
        <v>19</v>
      </c>
      <c r="L867" s="12" t="s">
        <v>55</v>
      </c>
      <c r="M867" s="12">
        <v>233.00399999999999</v>
      </c>
      <c r="N867" s="12">
        <v>195.434</v>
      </c>
      <c r="O867" s="12">
        <v>3.9</v>
      </c>
      <c r="P867" s="12">
        <v>12.5</v>
      </c>
      <c r="Q867" s="13">
        <f t="shared" si="34"/>
        <v>0.83379078208843438</v>
      </c>
    </row>
    <row r="868" spans="1:17" x14ac:dyDescent="0.25">
      <c r="A868" s="12">
        <f t="shared" si="35"/>
        <v>1</v>
      </c>
      <c r="B868" s="12">
        <v>2023</v>
      </c>
      <c r="C868" s="12">
        <v>7147</v>
      </c>
      <c r="D868" s="12">
        <v>1031587</v>
      </c>
      <c r="E868" s="12" t="s">
        <v>13</v>
      </c>
      <c r="F868" s="12" t="s">
        <v>14</v>
      </c>
      <c r="G868" s="25">
        <v>1031587</v>
      </c>
      <c r="H868" s="12">
        <f t="shared" si="36"/>
        <v>0</v>
      </c>
      <c r="I868" s="14">
        <v>44941</v>
      </c>
      <c r="J868" s="12" t="s">
        <v>18</v>
      </c>
      <c r="K868" s="12" t="s">
        <v>19</v>
      </c>
      <c r="L868" s="12" t="s">
        <v>55</v>
      </c>
      <c r="M868" s="12">
        <v>233</v>
      </c>
      <c r="N868" s="12">
        <v>191.30099999999999</v>
      </c>
      <c r="O868" s="12">
        <v>3.9</v>
      </c>
      <c r="Q868" s="13">
        <f t="shared" si="34"/>
        <v>0.86323404255319158</v>
      </c>
    </row>
    <row r="869" spans="1:17" x14ac:dyDescent="0.25">
      <c r="A869" s="12">
        <f t="shared" si="35"/>
        <v>1</v>
      </c>
      <c r="B869" s="12">
        <v>2023</v>
      </c>
      <c r="C869" s="12">
        <v>7148</v>
      </c>
      <c r="D869" s="12">
        <v>1031670</v>
      </c>
      <c r="E869" s="12" t="s">
        <v>13</v>
      </c>
      <c r="F869" s="12" t="s">
        <v>14</v>
      </c>
      <c r="G869" s="25">
        <v>1031670</v>
      </c>
      <c r="H869" s="12">
        <f t="shared" si="36"/>
        <v>0</v>
      </c>
      <c r="I869" s="14">
        <v>44942</v>
      </c>
      <c r="J869" s="12" t="s">
        <v>18</v>
      </c>
      <c r="K869" s="12" t="s">
        <v>19</v>
      </c>
      <c r="L869" s="12" t="s">
        <v>55</v>
      </c>
      <c r="M869" s="12">
        <v>233</v>
      </c>
      <c r="N869" s="12">
        <v>197.3</v>
      </c>
      <c r="O869" s="12">
        <v>3.8</v>
      </c>
      <c r="Q869" s="13">
        <f t="shared" si="34"/>
        <v>0.8387581329075896</v>
      </c>
    </row>
    <row r="870" spans="1:17" x14ac:dyDescent="0.25">
      <c r="A870" s="12">
        <f t="shared" si="35"/>
        <v>1</v>
      </c>
      <c r="B870" s="12">
        <v>2023</v>
      </c>
      <c r="C870" s="12">
        <v>7149</v>
      </c>
      <c r="D870" s="12">
        <v>1031672</v>
      </c>
      <c r="E870" s="12" t="s">
        <v>13</v>
      </c>
      <c r="F870" s="12" t="s">
        <v>14</v>
      </c>
      <c r="G870" s="25">
        <v>1031672</v>
      </c>
      <c r="H870" s="12">
        <f t="shared" si="36"/>
        <v>0</v>
      </c>
      <c r="I870" s="14">
        <v>44943</v>
      </c>
      <c r="J870" s="12" t="s">
        <v>18</v>
      </c>
      <c r="K870" s="12" t="s">
        <v>19</v>
      </c>
      <c r="L870" s="12" t="s">
        <v>55</v>
      </c>
      <c r="M870" s="12">
        <v>232.97800000000001</v>
      </c>
      <c r="N870" s="12">
        <v>197.92699999999999</v>
      </c>
      <c r="O870" s="12">
        <v>3.3</v>
      </c>
      <c r="Q870" s="13">
        <f t="shared" si="34"/>
        <v>0.82103433476394849</v>
      </c>
    </row>
    <row r="871" spans="1:17" x14ac:dyDescent="0.25">
      <c r="A871" s="12">
        <f t="shared" si="35"/>
        <v>1</v>
      </c>
      <c r="B871" s="12">
        <v>2023</v>
      </c>
      <c r="C871" s="12">
        <v>7150</v>
      </c>
      <c r="D871" s="12">
        <v>1031709</v>
      </c>
      <c r="E871" s="12" t="s">
        <v>13</v>
      </c>
      <c r="F871" s="12" t="s">
        <v>14</v>
      </c>
      <c r="G871" s="25">
        <v>1031709</v>
      </c>
      <c r="H871" s="12">
        <f t="shared" si="36"/>
        <v>0</v>
      </c>
      <c r="I871" s="14">
        <v>44944</v>
      </c>
      <c r="J871" s="12" t="s">
        <v>37</v>
      </c>
      <c r="K871" s="12" t="s">
        <v>20</v>
      </c>
      <c r="L871" s="12" t="s">
        <v>56</v>
      </c>
      <c r="M871" s="12">
        <v>232.97900000000001</v>
      </c>
      <c r="N871" s="12">
        <v>200.26499999999999</v>
      </c>
      <c r="O871" s="12">
        <v>3.8</v>
      </c>
      <c r="Q871" s="13">
        <f t="shared" si="34"/>
        <v>0.84678111587982841</v>
      </c>
    </row>
    <row r="872" spans="1:17" x14ac:dyDescent="0.25">
      <c r="A872" s="12">
        <f t="shared" si="35"/>
        <v>1</v>
      </c>
      <c r="B872" s="12">
        <v>2023</v>
      </c>
      <c r="C872" s="12">
        <v>7151</v>
      </c>
      <c r="D872" s="12">
        <v>1031900</v>
      </c>
      <c r="E872" s="12" t="s">
        <v>13</v>
      </c>
      <c r="F872" s="12" t="s">
        <v>14</v>
      </c>
      <c r="G872" s="25">
        <v>1031900</v>
      </c>
      <c r="H872" s="12">
        <f t="shared" si="36"/>
        <v>0</v>
      </c>
      <c r="I872" s="14">
        <v>44945</v>
      </c>
      <c r="J872" s="12" t="s">
        <v>37</v>
      </c>
      <c r="K872" s="12" t="s">
        <v>20</v>
      </c>
      <c r="L872" s="12" t="s">
        <v>56</v>
      </c>
      <c r="M872" s="12">
        <v>235.048</v>
      </c>
      <c r="N872" s="12">
        <v>199.09</v>
      </c>
      <c r="O872" s="12">
        <v>4.9000000000000004</v>
      </c>
      <c r="Q872" s="13">
        <f t="shared" si="34"/>
        <v>0.84955231824464106</v>
      </c>
    </row>
    <row r="873" spans="1:17" x14ac:dyDescent="0.25">
      <c r="A873" s="12">
        <f t="shared" si="35"/>
        <v>1</v>
      </c>
      <c r="B873" s="12">
        <v>2023</v>
      </c>
      <c r="C873" s="12">
        <v>7152</v>
      </c>
      <c r="D873" s="12">
        <v>1032006</v>
      </c>
      <c r="E873" s="12" t="s">
        <v>13</v>
      </c>
      <c r="F873" s="12" t="s">
        <v>14</v>
      </c>
      <c r="G873" s="25">
        <v>1032006</v>
      </c>
      <c r="H873" s="12">
        <f t="shared" si="36"/>
        <v>0</v>
      </c>
      <c r="I873" s="14">
        <v>44946</v>
      </c>
      <c r="J873" s="12" t="s">
        <v>18</v>
      </c>
      <c r="K873" s="12" t="s">
        <v>19</v>
      </c>
      <c r="L873" s="12" t="s">
        <v>55</v>
      </c>
      <c r="M873" s="12">
        <v>235.04900000000001</v>
      </c>
      <c r="N873" s="12">
        <v>204.59100000000001</v>
      </c>
      <c r="O873" s="12">
        <v>5.2</v>
      </c>
      <c r="Q873" s="13">
        <f t="shared" si="34"/>
        <v>0.85958391099626996</v>
      </c>
    </row>
    <row r="874" spans="1:17" x14ac:dyDescent="0.25">
      <c r="A874" s="12">
        <f t="shared" si="35"/>
        <v>1</v>
      </c>
      <c r="B874" s="12">
        <v>2023</v>
      </c>
      <c r="C874" s="12">
        <v>7153</v>
      </c>
      <c r="D874" s="12">
        <v>1032166</v>
      </c>
      <c r="E874" s="12" t="s">
        <v>13</v>
      </c>
      <c r="F874" s="12" t="s">
        <v>14</v>
      </c>
      <c r="G874" s="25">
        <v>1032166</v>
      </c>
      <c r="H874" s="12">
        <f t="shared" si="36"/>
        <v>0</v>
      </c>
      <c r="I874" s="14">
        <v>44947</v>
      </c>
      <c r="J874" s="12" t="s">
        <v>18</v>
      </c>
      <c r="K874" s="12" t="s">
        <v>19</v>
      </c>
      <c r="L874" s="12" t="s">
        <v>55</v>
      </c>
      <c r="M874" s="12">
        <v>232.999</v>
      </c>
      <c r="N874" s="12">
        <v>196.38499999999999</v>
      </c>
      <c r="O874" s="12">
        <v>3.2</v>
      </c>
      <c r="Q874" s="13">
        <f t="shared" si="34"/>
        <v>0.84701848133147273</v>
      </c>
    </row>
    <row r="875" spans="1:17" x14ac:dyDescent="0.25">
      <c r="A875" s="12">
        <f t="shared" si="35"/>
        <v>1</v>
      </c>
      <c r="B875" s="12">
        <v>2023</v>
      </c>
      <c r="C875" s="12">
        <v>7154</v>
      </c>
      <c r="D875" s="12">
        <v>1032302</v>
      </c>
      <c r="E875" s="12" t="s">
        <v>13</v>
      </c>
      <c r="F875" s="12" t="s">
        <v>14</v>
      </c>
      <c r="G875" s="25">
        <v>1032302</v>
      </c>
      <c r="H875" s="12">
        <f t="shared" si="36"/>
        <v>0</v>
      </c>
      <c r="I875" s="14">
        <v>44948</v>
      </c>
      <c r="J875" s="12" t="s">
        <v>18</v>
      </c>
      <c r="K875" s="12" t="s">
        <v>19</v>
      </c>
      <c r="L875" s="12" t="s">
        <v>55</v>
      </c>
      <c r="M875" s="12">
        <v>233</v>
      </c>
      <c r="N875" s="12">
        <v>197.81299999999999</v>
      </c>
      <c r="O875" s="12">
        <v>4.3</v>
      </c>
      <c r="P875" s="12">
        <v>11.9</v>
      </c>
      <c r="Q875" s="13">
        <f t="shared" ref="Q875:Q938" si="37">N873/M873</f>
        <v>0.87041850848121027</v>
      </c>
    </row>
    <row r="876" spans="1:17" x14ac:dyDescent="0.25">
      <c r="A876" s="12">
        <f t="shared" si="35"/>
        <v>1</v>
      </c>
      <c r="B876" s="12">
        <v>2023</v>
      </c>
      <c r="C876" s="12">
        <v>7155</v>
      </c>
      <c r="D876" s="12">
        <v>1032344</v>
      </c>
      <c r="E876" s="12" t="s">
        <v>13</v>
      </c>
      <c r="F876" s="12" t="s">
        <v>14</v>
      </c>
      <c r="G876" s="25">
        <v>1032344</v>
      </c>
      <c r="H876" s="12">
        <f t="shared" si="36"/>
        <v>0</v>
      </c>
      <c r="I876" s="14">
        <v>44949</v>
      </c>
      <c r="J876" s="12" t="s">
        <v>18</v>
      </c>
      <c r="K876" s="12" t="s">
        <v>19</v>
      </c>
      <c r="L876" s="12" t="s">
        <v>55</v>
      </c>
      <c r="M876" s="12">
        <v>233.006</v>
      </c>
      <c r="N876" s="12">
        <v>196.941</v>
      </c>
      <c r="O876" s="12">
        <v>3.6</v>
      </c>
      <c r="Q876" s="13">
        <f t="shared" si="37"/>
        <v>0.84285769466821747</v>
      </c>
    </row>
    <row r="877" spans="1:17" x14ac:dyDescent="0.25">
      <c r="A877" s="12">
        <f t="shared" si="35"/>
        <v>1</v>
      </c>
      <c r="B877" s="12">
        <v>2023</v>
      </c>
      <c r="C877" s="12">
        <v>7156</v>
      </c>
      <c r="D877" s="12">
        <v>1032345</v>
      </c>
      <c r="E877" s="12" t="s">
        <v>13</v>
      </c>
      <c r="F877" s="12" t="s">
        <v>14</v>
      </c>
      <c r="G877" s="25">
        <v>1032345</v>
      </c>
      <c r="H877" s="12">
        <f t="shared" si="36"/>
        <v>0</v>
      </c>
      <c r="I877" s="14">
        <v>44950</v>
      </c>
      <c r="J877" s="12" t="s">
        <v>18</v>
      </c>
      <c r="K877" s="12" t="s">
        <v>20</v>
      </c>
      <c r="L877" s="12" t="s">
        <v>79</v>
      </c>
      <c r="M877" s="12">
        <v>233.006</v>
      </c>
      <c r="N877" s="12">
        <v>201.31299999999999</v>
      </c>
      <c r="O877" s="12">
        <v>3.8</v>
      </c>
      <c r="Q877" s="13">
        <f t="shared" si="37"/>
        <v>0.84898283261802565</v>
      </c>
    </row>
    <row r="878" spans="1:17" x14ac:dyDescent="0.25">
      <c r="A878" s="12">
        <f t="shared" si="35"/>
        <v>1</v>
      </c>
      <c r="B878" s="12">
        <v>2023</v>
      </c>
      <c r="C878" s="12">
        <v>7157</v>
      </c>
      <c r="D878" s="12">
        <v>1032347</v>
      </c>
      <c r="E878" s="12" t="s">
        <v>13</v>
      </c>
      <c r="F878" s="12" t="s">
        <v>14</v>
      </c>
      <c r="G878" s="25">
        <v>1032347</v>
      </c>
      <c r="H878" s="12">
        <f t="shared" si="36"/>
        <v>0</v>
      </c>
      <c r="I878" s="14">
        <v>44951</v>
      </c>
      <c r="J878" s="12" t="s">
        <v>18</v>
      </c>
      <c r="K878" s="12" t="s">
        <v>20</v>
      </c>
      <c r="L878" s="12" t="s">
        <v>79</v>
      </c>
      <c r="M878" s="12">
        <v>235.00299999999999</v>
      </c>
      <c r="N878" s="12">
        <v>199.69200000000001</v>
      </c>
      <c r="O878" s="12">
        <v>3.4</v>
      </c>
      <c r="Q878" s="13">
        <f t="shared" si="37"/>
        <v>0.84521857806236755</v>
      </c>
    </row>
    <row r="879" spans="1:17" x14ac:dyDescent="0.25">
      <c r="A879" s="12">
        <f t="shared" si="35"/>
        <v>1</v>
      </c>
      <c r="B879" s="12">
        <v>2023</v>
      </c>
      <c r="C879" s="12">
        <v>7158</v>
      </c>
      <c r="D879" s="12">
        <v>1032556</v>
      </c>
      <c r="E879" s="12" t="s">
        <v>13</v>
      </c>
      <c r="F879" s="12" t="s">
        <v>14</v>
      </c>
      <c r="G879" s="25">
        <v>1032556</v>
      </c>
      <c r="H879" s="12">
        <f t="shared" si="36"/>
        <v>0</v>
      </c>
      <c r="I879" s="14">
        <v>44952</v>
      </c>
      <c r="J879" s="12" t="s">
        <v>18</v>
      </c>
      <c r="K879" s="12" t="s">
        <v>19</v>
      </c>
      <c r="L879" s="12" t="s">
        <v>55</v>
      </c>
      <c r="M879" s="12">
        <v>235.00299999999999</v>
      </c>
      <c r="N879" s="12">
        <v>203.572</v>
      </c>
      <c r="O879" s="12">
        <v>4</v>
      </c>
      <c r="Q879" s="13">
        <f t="shared" si="37"/>
        <v>0.86398204338085705</v>
      </c>
    </row>
    <row r="880" spans="1:17" x14ac:dyDescent="0.25">
      <c r="A880" s="12">
        <f t="shared" si="35"/>
        <v>1</v>
      </c>
      <c r="B880" s="12">
        <v>2023</v>
      </c>
      <c r="C880" s="12">
        <v>7159</v>
      </c>
      <c r="D880" s="12">
        <v>1032696</v>
      </c>
      <c r="E880" s="12" t="s">
        <v>13</v>
      </c>
      <c r="F880" s="12" t="s">
        <v>14</v>
      </c>
      <c r="G880" s="25">
        <v>1032696</v>
      </c>
      <c r="H880" s="12">
        <f t="shared" si="36"/>
        <v>0</v>
      </c>
      <c r="I880" s="14">
        <v>44953</v>
      </c>
      <c r="J880" s="12" t="s">
        <v>18</v>
      </c>
      <c r="K880" s="12" t="s">
        <v>19</v>
      </c>
      <c r="L880" s="12" t="s">
        <v>55</v>
      </c>
      <c r="M880" s="12">
        <v>235.01599999999999</v>
      </c>
      <c r="N880" s="12">
        <v>198.23599999999999</v>
      </c>
      <c r="O880" s="12">
        <v>3.4</v>
      </c>
      <c r="P880" s="12">
        <v>12</v>
      </c>
      <c r="Q880" s="13">
        <f t="shared" si="37"/>
        <v>0.84974234371476121</v>
      </c>
    </row>
    <row r="881" spans="1:17" x14ac:dyDescent="0.25">
      <c r="A881" s="12">
        <f t="shared" si="35"/>
        <v>1</v>
      </c>
      <c r="B881" s="12">
        <v>2023</v>
      </c>
      <c r="C881" s="12">
        <v>7160</v>
      </c>
      <c r="D881" s="12">
        <v>1032820</v>
      </c>
      <c r="E881" s="12" t="s">
        <v>13</v>
      </c>
      <c r="F881" s="12" t="s">
        <v>14</v>
      </c>
      <c r="G881" s="25">
        <v>1032820</v>
      </c>
      <c r="H881" s="12">
        <f t="shared" si="36"/>
        <v>0</v>
      </c>
      <c r="I881" s="14">
        <v>44954</v>
      </c>
      <c r="J881" s="12" t="s">
        <v>18</v>
      </c>
      <c r="K881" s="12" t="s">
        <v>19</v>
      </c>
      <c r="L881" s="12" t="s">
        <v>55</v>
      </c>
      <c r="M881" s="12">
        <v>234.999</v>
      </c>
      <c r="N881" s="12">
        <v>197.52199999999999</v>
      </c>
      <c r="O881" s="12">
        <v>3.9</v>
      </c>
      <c r="Q881" s="13">
        <f t="shared" si="37"/>
        <v>0.86625277124121824</v>
      </c>
    </row>
    <row r="882" spans="1:17" x14ac:dyDescent="0.25">
      <c r="A882" s="12">
        <f t="shared" si="35"/>
        <v>1</v>
      </c>
      <c r="B882" s="12">
        <v>2023</v>
      </c>
      <c r="C882" s="12">
        <v>7161</v>
      </c>
      <c r="D882" s="12">
        <v>1032981</v>
      </c>
      <c r="E882" s="12" t="s">
        <v>13</v>
      </c>
      <c r="F882" s="12" t="s">
        <v>14</v>
      </c>
      <c r="G882" s="25">
        <v>1032981</v>
      </c>
      <c r="H882" s="12">
        <f t="shared" si="36"/>
        <v>0</v>
      </c>
      <c r="I882" s="14">
        <v>44955</v>
      </c>
      <c r="J882" s="12" t="s">
        <v>18</v>
      </c>
      <c r="K882" s="12" t="s">
        <v>19</v>
      </c>
      <c r="L882" s="12" t="s">
        <v>55</v>
      </c>
      <c r="M882" s="12">
        <v>235</v>
      </c>
      <c r="N882" s="12">
        <v>199.16900000000001</v>
      </c>
      <c r="O882" s="12">
        <v>3.7</v>
      </c>
      <c r="Q882" s="13">
        <f t="shared" si="37"/>
        <v>0.84350001702011779</v>
      </c>
    </row>
    <row r="883" spans="1:17" x14ac:dyDescent="0.25">
      <c r="A883" s="12">
        <f t="shared" si="35"/>
        <v>1</v>
      </c>
      <c r="B883" s="12">
        <v>2023</v>
      </c>
      <c r="C883" s="12">
        <v>7162</v>
      </c>
      <c r="D883" s="12">
        <v>1033091</v>
      </c>
      <c r="E883" s="12" t="s">
        <v>13</v>
      </c>
      <c r="F883" s="12" t="s">
        <v>14</v>
      </c>
      <c r="G883" s="25">
        <v>1033091</v>
      </c>
      <c r="H883" s="12">
        <f t="shared" si="36"/>
        <v>0</v>
      </c>
      <c r="I883" s="14">
        <v>44956</v>
      </c>
      <c r="J883" s="12" t="s">
        <v>18</v>
      </c>
      <c r="K883" s="12" t="s">
        <v>19</v>
      </c>
      <c r="L883" s="12" t="s">
        <v>55</v>
      </c>
      <c r="M883" s="12">
        <v>235.00200000000001</v>
      </c>
      <c r="N883" s="12">
        <v>193.85300000000001</v>
      </c>
      <c r="O883" s="12">
        <v>3.7</v>
      </c>
      <c r="Q883" s="13">
        <f t="shared" si="37"/>
        <v>0.84052272562861963</v>
      </c>
    </row>
    <row r="884" spans="1:17" x14ac:dyDescent="0.25">
      <c r="A884" s="12">
        <f t="shared" si="35"/>
        <v>1</v>
      </c>
      <c r="B884" s="12">
        <v>2023</v>
      </c>
      <c r="C884" s="12">
        <v>7163</v>
      </c>
      <c r="D884" s="12">
        <v>1033092</v>
      </c>
      <c r="E884" s="12" t="s">
        <v>13</v>
      </c>
      <c r="F884" s="12" t="s">
        <v>14</v>
      </c>
      <c r="G884" s="25">
        <v>1033092</v>
      </c>
      <c r="H884" s="12">
        <f t="shared" si="36"/>
        <v>0</v>
      </c>
      <c r="I884" s="14">
        <v>44957</v>
      </c>
      <c r="J884" s="12" t="s">
        <v>46</v>
      </c>
      <c r="K884" s="12" t="s">
        <v>20</v>
      </c>
      <c r="L884" s="12" t="s">
        <v>48</v>
      </c>
      <c r="M884" s="12">
        <v>235.001</v>
      </c>
      <c r="N884" s="12">
        <v>201.35599999999999</v>
      </c>
      <c r="O884" s="12">
        <v>3.4</v>
      </c>
      <c r="Q884" s="13">
        <f t="shared" si="37"/>
        <v>0.84752765957446818</v>
      </c>
    </row>
    <row r="885" spans="1:17" x14ac:dyDescent="0.25">
      <c r="A885" s="12">
        <f t="shared" si="35"/>
        <v>2</v>
      </c>
      <c r="B885" s="12">
        <v>2023</v>
      </c>
      <c r="C885" s="12">
        <v>7164</v>
      </c>
      <c r="D885" s="12">
        <v>1033121</v>
      </c>
      <c r="E885" s="12" t="s">
        <v>13</v>
      </c>
      <c r="F885" s="12" t="s">
        <v>14</v>
      </c>
      <c r="G885" s="25">
        <v>1033121</v>
      </c>
      <c r="H885" s="12">
        <f t="shared" si="36"/>
        <v>0</v>
      </c>
      <c r="I885" s="14">
        <v>44958</v>
      </c>
      <c r="J885" s="12" t="s">
        <v>18</v>
      </c>
      <c r="K885" s="12" t="s">
        <v>20</v>
      </c>
      <c r="L885" s="12" t="s">
        <v>53</v>
      </c>
      <c r="M885" s="12">
        <v>230.03299999999999</v>
      </c>
      <c r="N885" s="12">
        <v>195.446</v>
      </c>
      <c r="O885" s="12">
        <v>4.2</v>
      </c>
      <c r="Q885" s="13">
        <f t="shared" si="37"/>
        <v>0.82489936255861651</v>
      </c>
    </row>
    <row r="886" spans="1:17" x14ac:dyDescent="0.25">
      <c r="A886" s="12">
        <f t="shared" si="35"/>
        <v>2</v>
      </c>
      <c r="B886" s="12">
        <v>2023</v>
      </c>
      <c r="C886" s="12">
        <v>7165</v>
      </c>
      <c r="D886" s="12">
        <v>1033336</v>
      </c>
      <c r="E886" s="12" t="s">
        <v>13</v>
      </c>
      <c r="F886" s="12" t="s">
        <v>14</v>
      </c>
      <c r="G886" s="25">
        <v>1033336</v>
      </c>
      <c r="H886" s="12">
        <f t="shared" si="36"/>
        <v>0</v>
      </c>
      <c r="I886" s="14">
        <v>44959</v>
      </c>
      <c r="J886" s="12" t="s">
        <v>18</v>
      </c>
      <c r="K886" s="12" t="s">
        <v>20</v>
      </c>
      <c r="L886" s="12" t="s">
        <v>53</v>
      </c>
      <c r="M886" s="12">
        <v>235.00700000000001</v>
      </c>
      <c r="N886" s="12">
        <v>197.43199999999999</v>
      </c>
      <c r="O886" s="12">
        <v>3.9</v>
      </c>
      <c r="Q886" s="13">
        <f t="shared" si="37"/>
        <v>0.85683039646639803</v>
      </c>
    </row>
    <row r="887" spans="1:17" x14ac:dyDescent="0.25">
      <c r="A887" s="12">
        <f t="shared" si="35"/>
        <v>2</v>
      </c>
      <c r="B887" s="12">
        <v>2023</v>
      </c>
      <c r="C887" s="12">
        <v>7166</v>
      </c>
      <c r="D887" s="12">
        <v>1033414</v>
      </c>
      <c r="E887" s="12" t="s">
        <v>13</v>
      </c>
      <c r="F887" s="12" t="s">
        <v>14</v>
      </c>
      <c r="G887" s="25">
        <v>1033414</v>
      </c>
      <c r="H887" s="12">
        <f t="shared" si="36"/>
        <v>0</v>
      </c>
      <c r="I887" s="14">
        <v>44960</v>
      </c>
      <c r="J887" s="12" t="s">
        <v>18</v>
      </c>
      <c r="K887" s="12" t="s">
        <v>19</v>
      </c>
      <c r="L887" s="12" t="s">
        <v>55</v>
      </c>
      <c r="M887" s="12">
        <v>235.00700000000001</v>
      </c>
      <c r="N887" s="12">
        <v>203.40899999999999</v>
      </c>
      <c r="O887" s="12">
        <v>4.5</v>
      </c>
      <c r="Q887" s="13">
        <f t="shared" si="37"/>
        <v>0.84964331204653254</v>
      </c>
    </row>
    <row r="888" spans="1:17" x14ac:dyDescent="0.25">
      <c r="A888" s="12">
        <f t="shared" si="35"/>
        <v>2</v>
      </c>
      <c r="B888" s="12">
        <v>2023</v>
      </c>
      <c r="C888" s="12">
        <v>7167</v>
      </c>
      <c r="D888" s="12">
        <v>1033513</v>
      </c>
      <c r="E888" s="12" t="s">
        <v>13</v>
      </c>
      <c r="F888" s="12" t="s">
        <v>14</v>
      </c>
      <c r="G888" s="25">
        <v>1033513</v>
      </c>
      <c r="H888" s="12">
        <f t="shared" si="36"/>
        <v>0</v>
      </c>
      <c r="I888" s="14">
        <v>44961</v>
      </c>
      <c r="J888" s="12" t="s">
        <v>18</v>
      </c>
      <c r="K888" s="12" t="s">
        <v>19</v>
      </c>
      <c r="L888" s="12" t="s">
        <v>55</v>
      </c>
      <c r="M888" s="12">
        <v>235.00800000000001</v>
      </c>
      <c r="N888" s="12">
        <v>197.99700000000001</v>
      </c>
      <c r="O888" s="12">
        <v>3.6</v>
      </c>
      <c r="Q888" s="13">
        <f t="shared" si="37"/>
        <v>0.84011114562544942</v>
      </c>
    </row>
    <row r="889" spans="1:17" x14ac:dyDescent="0.25">
      <c r="A889" s="12">
        <f t="shared" si="35"/>
        <v>2</v>
      </c>
      <c r="B889" s="12">
        <v>2023</v>
      </c>
      <c r="C889" s="12">
        <v>7168</v>
      </c>
      <c r="D889" s="12">
        <v>1033601</v>
      </c>
      <c r="E889" s="12" t="s">
        <v>13</v>
      </c>
      <c r="F889" s="12" t="s">
        <v>14</v>
      </c>
      <c r="G889" s="25">
        <v>1033601</v>
      </c>
      <c r="H889" s="12">
        <f t="shared" si="36"/>
        <v>0</v>
      </c>
      <c r="I889" s="14">
        <v>44962</v>
      </c>
      <c r="J889" s="12" t="s">
        <v>18</v>
      </c>
      <c r="K889" s="12" t="s">
        <v>19</v>
      </c>
      <c r="L889" s="12" t="s">
        <v>55</v>
      </c>
      <c r="M889" s="12">
        <v>235</v>
      </c>
      <c r="N889" s="12">
        <v>194.24100000000001</v>
      </c>
      <c r="O889" s="12">
        <v>4</v>
      </c>
      <c r="Q889" s="13">
        <f t="shared" si="37"/>
        <v>0.86554443059142916</v>
      </c>
    </row>
    <row r="890" spans="1:17" x14ac:dyDescent="0.25">
      <c r="A890" s="12">
        <f t="shared" si="35"/>
        <v>2</v>
      </c>
      <c r="B890" s="12">
        <v>2023</v>
      </c>
      <c r="C890" s="12">
        <v>7169</v>
      </c>
      <c r="D890" s="12">
        <v>1033765</v>
      </c>
      <c r="E890" s="12" t="s">
        <v>13</v>
      </c>
      <c r="F890" s="12" t="s">
        <v>14</v>
      </c>
      <c r="G890" s="25">
        <v>1033765</v>
      </c>
      <c r="H890" s="12">
        <f t="shared" si="36"/>
        <v>0</v>
      </c>
      <c r="I890" s="14">
        <v>44963</v>
      </c>
      <c r="J890" s="12" t="s">
        <v>18</v>
      </c>
      <c r="K890" s="12" t="s">
        <v>19</v>
      </c>
      <c r="L890" s="12" t="s">
        <v>55</v>
      </c>
      <c r="M890" s="12">
        <v>234.999</v>
      </c>
      <c r="N890" s="12">
        <v>201.768</v>
      </c>
      <c r="O890" s="12">
        <v>3.6</v>
      </c>
      <c r="Q890" s="13">
        <f t="shared" si="37"/>
        <v>0.8425117442810458</v>
      </c>
    </row>
    <row r="891" spans="1:17" x14ac:dyDescent="0.25">
      <c r="A891" s="12">
        <f t="shared" si="35"/>
        <v>2</v>
      </c>
      <c r="B891" s="12">
        <v>2023</v>
      </c>
      <c r="C891" s="12">
        <v>7170</v>
      </c>
      <c r="D891" s="12">
        <v>1033766</v>
      </c>
      <c r="E891" s="12" t="s">
        <v>13</v>
      </c>
      <c r="F891" s="12" t="s">
        <v>14</v>
      </c>
      <c r="G891" s="25">
        <v>1033766</v>
      </c>
      <c r="H891" s="12">
        <f t="shared" si="36"/>
        <v>0</v>
      </c>
      <c r="I891" s="14">
        <v>44964</v>
      </c>
      <c r="J891" s="12" t="s">
        <v>18</v>
      </c>
      <c r="K891" s="12" t="s">
        <v>19</v>
      </c>
      <c r="L891" s="12" t="s">
        <v>55</v>
      </c>
      <c r="M891" s="12">
        <v>235</v>
      </c>
      <c r="N891" s="12">
        <v>193.398</v>
      </c>
      <c r="O891" s="12">
        <v>3.7</v>
      </c>
      <c r="Q891" s="13">
        <f t="shared" si="37"/>
        <v>0.82655744680851073</v>
      </c>
    </row>
    <row r="892" spans="1:17" x14ac:dyDescent="0.25">
      <c r="A892" s="12">
        <f t="shared" si="35"/>
        <v>2</v>
      </c>
      <c r="B892" s="12">
        <v>2023</v>
      </c>
      <c r="C892" s="12">
        <v>7171</v>
      </c>
      <c r="D892" s="12">
        <v>1033767</v>
      </c>
      <c r="E892" s="12" t="s">
        <v>13</v>
      </c>
      <c r="F892" s="12" t="s">
        <v>14</v>
      </c>
      <c r="G892" s="25">
        <v>1033767</v>
      </c>
      <c r="H892" s="12">
        <f t="shared" si="36"/>
        <v>0</v>
      </c>
      <c r="I892" s="14">
        <v>44965</v>
      </c>
      <c r="J892" s="12" t="s">
        <v>46</v>
      </c>
      <c r="K892" s="12" t="s">
        <v>20</v>
      </c>
      <c r="L892" s="12" t="s">
        <v>80</v>
      </c>
      <c r="M892" s="12">
        <v>234.999</v>
      </c>
      <c r="N892" s="12">
        <v>203.12100000000001</v>
      </c>
      <c r="O892" s="12">
        <v>3.4</v>
      </c>
      <c r="Q892" s="13">
        <f t="shared" si="37"/>
        <v>0.85859088762079838</v>
      </c>
    </row>
    <row r="893" spans="1:17" x14ac:dyDescent="0.25">
      <c r="A893" s="12">
        <f t="shared" si="35"/>
        <v>2</v>
      </c>
      <c r="B893" s="12">
        <v>2023</v>
      </c>
      <c r="C893" s="12">
        <v>7172</v>
      </c>
      <c r="D893" s="12">
        <v>1034042</v>
      </c>
      <c r="E893" s="12" t="s">
        <v>13</v>
      </c>
      <c r="F893" s="12" t="s">
        <v>14</v>
      </c>
      <c r="G893" s="25">
        <v>1034042</v>
      </c>
      <c r="H893" s="12">
        <f t="shared" si="36"/>
        <v>0</v>
      </c>
      <c r="I893" s="14">
        <v>44966</v>
      </c>
      <c r="J893" s="12" t="s">
        <v>18</v>
      </c>
      <c r="K893" s="12" t="s">
        <v>19</v>
      </c>
      <c r="L893" s="12" t="s">
        <v>54</v>
      </c>
      <c r="M893" s="12">
        <v>229.99299999999999</v>
      </c>
      <c r="N893" s="12">
        <v>194.79</v>
      </c>
      <c r="O893" s="12">
        <v>4.9000000000000004</v>
      </c>
      <c r="P893" s="12">
        <v>11.4</v>
      </c>
      <c r="Q893" s="13">
        <f t="shared" si="37"/>
        <v>0.82297021276595739</v>
      </c>
    </row>
    <row r="894" spans="1:17" x14ac:dyDescent="0.25">
      <c r="A894" s="12">
        <f t="shared" si="35"/>
        <v>2</v>
      </c>
      <c r="B894" s="12">
        <v>2023</v>
      </c>
      <c r="C894" s="12">
        <v>7173</v>
      </c>
      <c r="D894" s="12">
        <v>1034298</v>
      </c>
      <c r="E894" s="12" t="s">
        <v>13</v>
      </c>
      <c r="F894" s="12" t="s">
        <v>14</v>
      </c>
      <c r="G894" s="25">
        <v>1034298</v>
      </c>
      <c r="H894" s="12">
        <f t="shared" si="36"/>
        <v>0</v>
      </c>
      <c r="I894" s="14">
        <v>44967</v>
      </c>
      <c r="J894" s="12" t="s">
        <v>18</v>
      </c>
      <c r="K894" s="12" t="s">
        <v>19</v>
      </c>
      <c r="L894" s="12" t="s">
        <v>54</v>
      </c>
      <c r="M894" s="12">
        <v>235</v>
      </c>
      <c r="N894" s="12">
        <v>197.66800000000001</v>
      </c>
      <c r="O894" s="12">
        <v>4.4000000000000004</v>
      </c>
      <c r="Q894" s="13">
        <f t="shared" si="37"/>
        <v>0.86434835892918704</v>
      </c>
    </row>
    <row r="895" spans="1:17" x14ac:dyDescent="0.25">
      <c r="A895" s="12">
        <f t="shared" si="35"/>
        <v>2</v>
      </c>
      <c r="B895" s="12">
        <v>2023</v>
      </c>
      <c r="C895" s="12">
        <v>7174</v>
      </c>
      <c r="D895" s="12">
        <v>1034304</v>
      </c>
      <c r="E895" s="12" t="s">
        <v>13</v>
      </c>
      <c r="F895" s="12" t="s">
        <v>14</v>
      </c>
      <c r="G895" s="25">
        <v>1034304</v>
      </c>
      <c r="H895" s="12">
        <f t="shared" si="36"/>
        <v>0</v>
      </c>
      <c r="I895" s="14">
        <v>44968</v>
      </c>
      <c r="J895" s="12" t="s">
        <v>37</v>
      </c>
      <c r="K895" s="12" t="s">
        <v>20</v>
      </c>
      <c r="L895" s="12" t="s">
        <v>56</v>
      </c>
      <c r="M895" s="12">
        <v>235.001</v>
      </c>
      <c r="N895" s="12">
        <v>205.905</v>
      </c>
      <c r="O895" s="12">
        <v>3.7</v>
      </c>
      <c r="Q895" s="13">
        <f t="shared" si="37"/>
        <v>0.84693881987712671</v>
      </c>
    </row>
    <row r="896" spans="1:17" x14ac:dyDescent="0.25">
      <c r="A896" s="12">
        <f t="shared" si="35"/>
        <v>2</v>
      </c>
      <c r="B896" s="12">
        <v>2023</v>
      </c>
      <c r="C896" s="12">
        <v>7175</v>
      </c>
      <c r="D896" s="12">
        <v>1034325</v>
      </c>
      <c r="E896" s="12" t="s">
        <v>13</v>
      </c>
      <c r="F896" s="12" t="s">
        <v>14</v>
      </c>
      <c r="G896" s="25">
        <v>1034325</v>
      </c>
      <c r="H896" s="12">
        <f t="shared" si="36"/>
        <v>0</v>
      </c>
      <c r="I896" s="14">
        <v>44969</v>
      </c>
      <c r="J896" s="12" t="s">
        <v>37</v>
      </c>
      <c r="K896" s="12" t="s">
        <v>20</v>
      </c>
      <c r="L896" s="12" t="s">
        <v>56</v>
      </c>
      <c r="M896" s="12">
        <v>234.96899999999999</v>
      </c>
      <c r="N896" s="12">
        <v>194.39099999999999</v>
      </c>
      <c r="O896" s="12">
        <v>4.3</v>
      </c>
      <c r="Q896" s="13">
        <f t="shared" si="37"/>
        <v>0.84114042553191493</v>
      </c>
    </row>
    <row r="897" spans="1:17" x14ac:dyDescent="0.25">
      <c r="A897" s="12">
        <f t="shared" si="35"/>
        <v>2</v>
      </c>
      <c r="B897" s="12">
        <v>2023</v>
      </c>
      <c r="C897" s="12">
        <v>7176</v>
      </c>
      <c r="D897" s="12">
        <v>1034326</v>
      </c>
      <c r="E897" s="12" t="s">
        <v>13</v>
      </c>
      <c r="F897" s="12" t="s">
        <v>14</v>
      </c>
      <c r="G897" s="25">
        <v>1034326</v>
      </c>
      <c r="H897" s="12">
        <f t="shared" si="36"/>
        <v>0</v>
      </c>
      <c r="I897" s="14">
        <v>44970</v>
      </c>
      <c r="J897" s="12" t="s">
        <v>18</v>
      </c>
      <c r="K897" s="12" t="s">
        <v>19</v>
      </c>
      <c r="L897" s="12" t="s">
        <v>55</v>
      </c>
      <c r="M897" s="12">
        <v>234.97</v>
      </c>
      <c r="N897" s="12">
        <v>208.12799999999999</v>
      </c>
      <c r="O897" s="12">
        <v>6</v>
      </c>
      <c r="Q897" s="13">
        <f t="shared" si="37"/>
        <v>0.8761877609031451</v>
      </c>
    </row>
    <row r="898" spans="1:17" x14ac:dyDescent="0.25">
      <c r="A898" s="12">
        <f t="shared" si="35"/>
        <v>2</v>
      </c>
      <c r="B898" s="12">
        <v>2023</v>
      </c>
      <c r="C898" s="12">
        <v>7177</v>
      </c>
      <c r="D898" s="12">
        <v>1034331</v>
      </c>
      <c r="E898" s="12" t="s">
        <v>13</v>
      </c>
      <c r="F898" s="12" t="s">
        <v>14</v>
      </c>
      <c r="G898" s="25">
        <v>1034331</v>
      </c>
      <c r="H898" s="12">
        <f t="shared" si="36"/>
        <v>0</v>
      </c>
      <c r="I898" s="14">
        <v>44971</v>
      </c>
      <c r="J898" s="12" t="s">
        <v>18</v>
      </c>
      <c r="K898" s="12" t="s">
        <v>19</v>
      </c>
      <c r="L898" s="12" t="s">
        <v>55</v>
      </c>
      <c r="M898" s="12">
        <v>235.00299999999999</v>
      </c>
      <c r="N898" s="12">
        <v>200.864</v>
      </c>
      <c r="O898" s="12">
        <v>3.6</v>
      </c>
      <c r="P898" s="12">
        <v>12</v>
      </c>
      <c r="Q898" s="13">
        <f t="shared" si="37"/>
        <v>0.8273048785158893</v>
      </c>
    </row>
    <row r="899" spans="1:17" x14ac:dyDescent="0.25">
      <c r="A899" s="12">
        <f t="shared" ref="A899:A962" si="38">MONTH(I899)</f>
        <v>2</v>
      </c>
      <c r="B899" s="12">
        <v>2023</v>
      </c>
      <c r="C899" s="12">
        <v>7178</v>
      </c>
      <c r="D899" s="12">
        <v>1034524</v>
      </c>
      <c r="E899" s="12" t="s">
        <v>13</v>
      </c>
      <c r="F899" s="12" t="s">
        <v>14</v>
      </c>
      <c r="G899" s="25">
        <v>1034524</v>
      </c>
      <c r="H899" s="12">
        <f t="shared" si="36"/>
        <v>0</v>
      </c>
      <c r="I899" s="14">
        <v>44972</v>
      </c>
      <c r="J899" s="12" t="s">
        <v>18</v>
      </c>
      <c r="K899" s="12" t="s">
        <v>19</v>
      </c>
      <c r="L899" s="12" t="s">
        <v>55</v>
      </c>
      <c r="M899" s="12">
        <v>235.00899999999999</v>
      </c>
      <c r="N899" s="12">
        <v>193.517</v>
      </c>
      <c r="O899" s="12">
        <v>3.7</v>
      </c>
      <c r="Q899" s="13">
        <f t="shared" si="37"/>
        <v>0.88576414010299187</v>
      </c>
    </row>
    <row r="900" spans="1:17" x14ac:dyDescent="0.25">
      <c r="A900" s="12">
        <f t="shared" si="38"/>
        <v>2</v>
      </c>
      <c r="B900" s="12">
        <v>2023</v>
      </c>
      <c r="C900" s="12">
        <v>7179</v>
      </c>
      <c r="D900" s="12">
        <v>1034701</v>
      </c>
      <c r="E900" s="12" t="s">
        <v>13</v>
      </c>
      <c r="F900" s="12" t="s">
        <v>14</v>
      </c>
      <c r="G900" s="25">
        <v>1034701</v>
      </c>
      <c r="H900" s="12">
        <f t="shared" si="36"/>
        <v>0</v>
      </c>
      <c r="I900" s="14">
        <v>44973</v>
      </c>
      <c r="J900" s="12" t="s">
        <v>18</v>
      </c>
      <c r="K900" s="12" t="s">
        <v>19</v>
      </c>
      <c r="L900" s="12" t="s">
        <v>55</v>
      </c>
      <c r="M900" s="12">
        <v>235.01</v>
      </c>
      <c r="N900" s="12">
        <v>202.785</v>
      </c>
      <c r="O900" s="12">
        <v>3.5</v>
      </c>
      <c r="Q900" s="13">
        <f t="shared" si="37"/>
        <v>0.85472951409130959</v>
      </c>
    </row>
    <row r="901" spans="1:17" x14ac:dyDescent="0.25">
      <c r="A901" s="12">
        <f t="shared" si="38"/>
        <v>2</v>
      </c>
      <c r="B901" s="12">
        <v>2023</v>
      </c>
      <c r="C901" s="12">
        <v>7180</v>
      </c>
      <c r="D901" s="12">
        <v>1034866</v>
      </c>
      <c r="E901" s="12" t="s">
        <v>13</v>
      </c>
      <c r="F901" s="12" t="s">
        <v>14</v>
      </c>
      <c r="G901" s="25">
        <v>1034866</v>
      </c>
      <c r="H901" s="12">
        <f t="shared" si="36"/>
        <v>0</v>
      </c>
      <c r="I901" s="14">
        <v>44974</v>
      </c>
      <c r="J901" s="12" t="s">
        <v>18</v>
      </c>
      <c r="K901" s="12" t="s">
        <v>19</v>
      </c>
      <c r="L901" s="12" t="s">
        <v>55</v>
      </c>
      <c r="M901" s="12">
        <v>234.99700000000001</v>
      </c>
      <c r="N901" s="12">
        <v>196.09700000000001</v>
      </c>
      <c r="O901" s="12">
        <v>5.9</v>
      </c>
      <c r="Q901" s="13">
        <f t="shared" si="37"/>
        <v>0.82344505955091085</v>
      </c>
    </row>
    <row r="902" spans="1:17" x14ac:dyDescent="0.25">
      <c r="A902" s="12">
        <f t="shared" si="38"/>
        <v>2</v>
      </c>
      <c r="B902" s="12">
        <v>2023</v>
      </c>
      <c r="C902" s="12">
        <v>7181</v>
      </c>
      <c r="D902" s="12">
        <v>1034925</v>
      </c>
      <c r="E902" s="12" t="s">
        <v>13</v>
      </c>
      <c r="F902" s="12" t="s">
        <v>14</v>
      </c>
      <c r="G902" s="25">
        <v>1034925</v>
      </c>
      <c r="H902" s="12">
        <f t="shared" si="36"/>
        <v>0</v>
      </c>
      <c r="I902" s="14">
        <v>44975</v>
      </c>
      <c r="J902" s="12" t="s">
        <v>37</v>
      </c>
      <c r="K902" s="12" t="s">
        <v>20</v>
      </c>
      <c r="L902" s="12" t="s">
        <v>53</v>
      </c>
      <c r="M902" s="12">
        <v>234.99700000000001</v>
      </c>
      <c r="N902" s="12">
        <v>200.602</v>
      </c>
      <c r="O902" s="12">
        <v>4.0999999999999996</v>
      </c>
      <c r="Q902" s="13">
        <f t="shared" si="37"/>
        <v>0.86287817539679168</v>
      </c>
    </row>
    <row r="903" spans="1:17" x14ac:dyDescent="0.25">
      <c r="A903" s="12">
        <f t="shared" si="38"/>
        <v>2</v>
      </c>
      <c r="B903" s="12">
        <v>2023</v>
      </c>
      <c r="C903" s="12">
        <v>7182</v>
      </c>
      <c r="D903" s="12">
        <v>1035031</v>
      </c>
      <c r="E903" s="12" t="s">
        <v>13</v>
      </c>
      <c r="F903" s="12" t="s">
        <v>14</v>
      </c>
      <c r="G903" s="25">
        <v>1035031</v>
      </c>
      <c r="H903" s="12">
        <f t="shared" si="36"/>
        <v>0</v>
      </c>
      <c r="I903" s="14">
        <v>44976</v>
      </c>
      <c r="J903" s="12" t="s">
        <v>37</v>
      </c>
      <c r="K903" s="12" t="s">
        <v>20</v>
      </c>
      <c r="L903" s="12" t="s">
        <v>53</v>
      </c>
      <c r="M903" s="12">
        <v>234.99100000000001</v>
      </c>
      <c r="N903" s="12">
        <v>199.53299999999999</v>
      </c>
      <c r="O903" s="12">
        <v>4.4000000000000004</v>
      </c>
      <c r="Q903" s="13">
        <f t="shared" si="37"/>
        <v>0.83446597190602434</v>
      </c>
    </row>
    <row r="904" spans="1:17" x14ac:dyDescent="0.25">
      <c r="A904" s="12">
        <f t="shared" si="38"/>
        <v>2</v>
      </c>
      <c r="B904" s="12">
        <v>2023</v>
      </c>
      <c r="C904" s="12">
        <v>7183</v>
      </c>
      <c r="D904" s="12">
        <v>1035166</v>
      </c>
      <c r="E904" s="12" t="s">
        <v>13</v>
      </c>
      <c r="F904" s="12" t="s">
        <v>14</v>
      </c>
      <c r="G904" s="25">
        <v>1035166</v>
      </c>
      <c r="H904" s="12">
        <f t="shared" si="36"/>
        <v>0</v>
      </c>
      <c r="I904" s="14">
        <v>44977</v>
      </c>
      <c r="J904" s="12" t="s">
        <v>51</v>
      </c>
      <c r="K904" s="12" t="s">
        <v>19</v>
      </c>
      <c r="L904" s="12" t="s">
        <v>54</v>
      </c>
      <c r="M904" s="12">
        <v>234.99199999999999</v>
      </c>
      <c r="N904" s="12">
        <v>206.98500000000001</v>
      </c>
      <c r="O904" s="12">
        <v>4.7</v>
      </c>
      <c r="Q904" s="13">
        <f t="shared" si="37"/>
        <v>0.85363642940122642</v>
      </c>
    </row>
    <row r="905" spans="1:17" x14ac:dyDescent="0.25">
      <c r="A905" s="12">
        <f t="shared" si="38"/>
        <v>2</v>
      </c>
      <c r="B905" s="12">
        <v>2023</v>
      </c>
      <c r="C905" s="12">
        <v>7184</v>
      </c>
      <c r="D905" s="12">
        <v>1035168</v>
      </c>
      <c r="E905" s="12" t="s">
        <v>13</v>
      </c>
      <c r="F905" s="12" t="s">
        <v>14</v>
      </c>
      <c r="G905" s="25">
        <v>1035168</v>
      </c>
      <c r="H905" s="12">
        <f t="shared" si="36"/>
        <v>0</v>
      </c>
      <c r="I905" s="14">
        <v>44978</v>
      </c>
      <c r="J905" s="12" t="s">
        <v>51</v>
      </c>
      <c r="K905" s="12" t="s">
        <v>19</v>
      </c>
      <c r="L905" s="12" t="s">
        <v>54</v>
      </c>
      <c r="M905" s="12">
        <v>235.006</v>
      </c>
      <c r="N905" s="12">
        <v>191.12</v>
      </c>
      <c r="O905" s="12">
        <v>3.9</v>
      </c>
      <c r="Q905" s="13">
        <f t="shared" si="37"/>
        <v>0.84910911481716311</v>
      </c>
    </row>
    <row r="906" spans="1:17" x14ac:dyDescent="0.25">
      <c r="A906" s="12">
        <f t="shared" si="38"/>
        <v>2</v>
      </c>
      <c r="B906" s="12">
        <v>2023</v>
      </c>
      <c r="C906" s="12">
        <v>7185</v>
      </c>
      <c r="D906" s="12">
        <v>1035193</v>
      </c>
      <c r="E906" s="12" t="s">
        <v>13</v>
      </c>
      <c r="F906" s="12" t="s">
        <v>14</v>
      </c>
      <c r="G906" s="25">
        <v>1035193</v>
      </c>
      <c r="H906" s="12">
        <f t="shared" si="36"/>
        <v>0</v>
      </c>
      <c r="I906" s="14">
        <v>44979</v>
      </c>
      <c r="J906" s="12" t="s">
        <v>18</v>
      </c>
      <c r="K906" s="12" t="s">
        <v>19</v>
      </c>
      <c r="L906" s="12" t="s">
        <v>55</v>
      </c>
      <c r="M906" s="12">
        <v>235.005</v>
      </c>
      <c r="N906" s="12">
        <v>178.495</v>
      </c>
      <c r="O906" s="12">
        <v>3.5</v>
      </c>
      <c r="Q906" s="13">
        <f t="shared" si="37"/>
        <v>0.88081721930959356</v>
      </c>
    </row>
    <row r="907" spans="1:17" x14ac:dyDescent="0.25">
      <c r="A907" s="12">
        <f t="shared" si="38"/>
        <v>2</v>
      </c>
      <c r="B907" s="12">
        <v>2023</v>
      </c>
      <c r="C907" s="12">
        <v>7186</v>
      </c>
      <c r="D907" s="12">
        <v>1035317</v>
      </c>
      <c r="E907" s="12" t="s">
        <v>13</v>
      </c>
      <c r="F907" s="12" t="s">
        <v>14</v>
      </c>
      <c r="G907" s="25">
        <v>1035317</v>
      </c>
      <c r="H907" s="12">
        <f t="shared" si="36"/>
        <v>0</v>
      </c>
      <c r="I907" s="14">
        <v>44980</v>
      </c>
      <c r="J907" s="12" t="s">
        <v>18</v>
      </c>
      <c r="K907" s="12" t="s">
        <v>19</v>
      </c>
      <c r="L907" s="12" t="s">
        <v>55</v>
      </c>
      <c r="M907" s="12">
        <v>234.99700000000001</v>
      </c>
      <c r="N907" s="12">
        <v>161.15</v>
      </c>
      <c r="O907" s="12">
        <v>3.5</v>
      </c>
      <c r="Q907" s="13">
        <f t="shared" si="37"/>
        <v>0.81325583176599747</v>
      </c>
    </row>
    <row r="908" spans="1:17" x14ac:dyDescent="0.25">
      <c r="A908" s="12">
        <f t="shared" si="38"/>
        <v>2</v>
      </c>
      <c r="B908" s="12">
        <v>2023</v>
      </c>
      <c r="C908" s="12">
        <v>7187</v>
      </c>
      <c r="D908" s="12">
        <v>1035471</v>
      </c>
      <c r="E908" s="12" t="s">
        <v>13</v>
      </c>
      <c r="F908" s="12" t="s">
        <v>14</v>
      </c>
      <c r="G908" s="25">
        <v>1035471</v>
      </c>
      <c r="H908" s="12">
        <f t="shared" si="36"/>
        <v>0</v>
      </c>
      <c r="I908" s="14">
        <v>44982</v>
      </c>
      <c r="J908" s="12" t="s">
        <v>46</v>
      </c>
      <c r="K908" s="12" t="s">
        <v>19</v>
      </c>
      <c r="L908" s="12" t="s">
        <v>81</v>
      </c>
      <c r="M908" s="12">
        <v>234.99700000000001</v>
      </c>
      <c r="N908" s="12">
        <v>209.91499999999999</v>
      </c>
      <c r="O908" s="12">
        <v>3.5</v>
      </c>
      <c r="Q908" s="13">
        <f t="shared" si="37"/>
        <v>0.75953703112699733</v>
      </c>
    </row>
    <row r="909" spans="1:17" x14ac:dyDescent="0.25">
      <c r="A909" s="12">
        <f t="shared" si="38"/>
        <v>2</v>
      </c>
      <c r="B909" s="12">
        <v>2023</v>
      </c>
      <c r="C909" s="12">
        <v>7188</v>
      </c>
      <c r="D909" s="20">
        <v>1035795</v>
      </c>
      <c r="E909" s="12" t="s">
        <v>13</v>
      </c>
      <c r="F909" s="12" t="s">
        <v>14</v>
      </c>
      <c r="G909" s="25"/>
      <c r="H909" s="12">
        <f t="shared" si="36"/>
        <v>1035795</v>
      </c>
      <c r="I909" s="14">
        <v>44983</v>
      </c>
      <c r="J909" s="12" t="s">
        <v>18</v>
      </c>
      <c r="K909" s="12" t="s">
        <v>20</v>
      </c>
      <c r="L909" s="12" t="s">
        <v>56</v>
      </c>
      <c r="M909" s="12">
        <v>229.999</v>
      </c>
      <c r="N909" s="12">
        <v>194.529</v>
      </c>
      <c r="P909" s="12">
        <v>12.1</v>
      </c>
      <c r="Q909" s="13">
        <f t="shared" si="37"/>
        <v>0.6857534351502359</v>
      </c>
    </row>
    <row r="910" spans="1:17" x14ac:dyDescent="0.25">
      <c r="A910" s="12">
        <f t="shared" si="38"/>
        <v>2</v>
      </c>
      <c r="B910" s="12">
        <v>2023</v>
      </c>
      <c r="C910" s="12">
        <v>7189</v>
      </c>
      <c r="D910" s="12">
        <v>1035753</v>
      </c>
      <c r="E910" s="12" t="s">
        <v>13</v>
      </c>
      <c r="F910" s="12" t="s">
        <v>14</v>
      </c>
      <c r="G910" s="25">
        <v>1035753</v>
      </c>
      <c r="H910" s="12">
        <f t="shared" si="36"/>
        <v>0</v>
      </c>
      <c r="I910" s="14">
        <v>44984</v>
      </c>
      <c r="J910" s="12" t="s">
        <v>18</v>
      </c>
      <c r="K910" s="12" t="s">
        <v>20</v>
      </c>
      <c r="L910" s="12" t="s">
        <v>56</v>
      </c>
      <c r="M910" s="12">
        <v>235.11600000000001</v>
      </c>
      <c r="N910" s="12">
        <v>182.12</v>
      </c>
      <c r="O910" s="12">
        <v>3.4</v>
      </c>
      <c r="Q910" s="13">
        <f t="shared" si="37"/>
        <v>0.89326672255390482</v>
      </c>
    </row>
    <row r="911" spans="1:17" x14ac:dyDescent="0.25">
      <c r="A911" s="12">
        <f t="shared" si="38"/>
        <v>2</v>
      </c>
      <c r="B911" s="12">
        <v>2023</v>
      </c>
      <c r="C911" s="12">
        <v>7190</v>
      </c>
      <c r="D911" s="12">
        <v>1035885</v>
      </c>
      <c r="E911" s="12" t="s">
        <v>13</v>
      </c>
      <c r="F911" s="12" t="s">
        <v>14</v>
      </c>
      <c r="G911" s="25">
        <v>1035885</v>
      </c>
      <c r="H911" s="12">
        <f t="shared" si="36"/>
        <v>0</v>
      </c>
      <c r="I911" s="14">
        <v>44984</v>
      </c>
      <c r="J911" s="12" t="s">
        <v>51</v>
      </c>
      <c r="K911" s="12" t="s">
        <v>19</v>
      </c>
      <c r="L911" s="12" t="s">
        <v>78</v>
      </c>
      <c r="M911" s="12">
        <v>235.11600000000001</v>
      </c>
      <c r="N911" s="12">
        <v>210.303</v>
      </c>
      <c r="O911" s="12">
        <v>4.5</v>
      </c>
      <c r="Q911" s="13">
        <f t="shared" si="37"/>
        <v>0.84578193818233993</v>
      </c>
    </row>
    <row r="912" spans="1:17" x14ac:dyDescent="0.25">
      <c r="A912" s="12">
        <f t="shared" si="38"/>
        <v>3</v>
      </c>
      <c r="B912" s="12">
        <v>2023</v>
      </c>
      <c r="C912" s="12">
        <v>7191</v>
      </c>
      <c r="D912" s="20">
        <v>1035890</v>
      </c>
      <c r="E912" s="12" t="s">
        <v>13</v>
      </c>
      <c r="F912" s="12" t="s">
        <v>14</v>
      </c>
      <c r="G912" s="25"/>
      <c r="H912" s="12">
        <f t="shared" si="36"/>
        <v>1035890</v>
      </c>
      <c r="I912" s="14">
        <v>44986</v>
      </c>
      <c r="J912" s="12" t="s">
        <v>51</v>
      </c>
      <c r="K912" s="12" t="s">
        <v>19</v>
      </c>
      <c r="L912" s="12" t="s">
        <v>78</v>
      </c>
      <c r="M912" s="12">
        <v>235.04300000000001</v>
      </c>
      <c r="N912" s="12">
        <v>195.68700000000001</v>
      </c>
      <c r="Q912" s="13">
        <f t="shared" si="37"/>
        <v>0.77459636945167487</v>
      </c>
    </row>
    <row r="913" spans="1:17" x14ac:dyDescent="0.25">
      <c r="A913" s="12">
        <f t="shared" si="38"/>
        <v>3</v>
      </c>
      <c r="B913" s="12">
        <v>2023</v>
      </c>
      <c r="C913" s="12">
        <v>7192</v>
      </c>
      <c r="D913" s="20">
        <v>1035895</v>
      </c>
      <c r="E913" s="12" t="s">
        <v>13</v>
      </c>
      <c r="F913" s="12" t="s">
        <v>14</v>
      </c>
      <c r="G913" s="25"/>
      <c r="H913" s="12">
        <f t="shared" si="36"/>
        <v>1035895</v>
      </c>
      <c r="I913" s="14">
        <v>44987</v>
      </c>
      <c r="J913" s="12" t="s">
        <v>17</v>
      </c>
      <c r="K913" s="12" t="s">
        <v>19</v>
      </c>
      <c r="L913" s="12" t="s">
        <v>78</v>
      </c>
      <c r="M913" s="12">
        <v>235.042</v>
      </c>
      <c r="N913" s="12">
        <v>203.31299999999999</v>
      </c>
      <c r="Q913" s="13">
        <f t="shared" si="37"/>
        <v>0.89446485989894342</v>
      </c>
    </row>
    <row r="914" spans="1:17" x14ac:dyDescent="0.25">
      <c r="A914" s="12">
        <f t="shared" si="38"/>
        <v>3</v>
      </c>
      <c r="B914" s="12">
        <v>2023</v>
      </c>
      <c r="C914" s="12">
        <v>7193</v>
      </c>
      <c r="D914" s="12">
        <v>1036036</v>
      </c>
      <c r="E914" s="12" t="s">
        <v>13</v>
      </c>
      <c r="F914" s="12" t="s">
        <v>14</v>
      </c>
      <c r="G914" s="25">
        <v>1036036</v>
      </c>
      <c r="H914" s="12">
        <f t="shared" si="36"/>
        <v>0</v>
      </c>
      <c r="I914" s="14">
        <v>44988</v>
      </c>
      <c r="J914" s="12" t="s">
        <v>37</v>
      </c>
      <c r="K914" s="12" t="s">
        <v>19</v>
      </c>
      <c r="L914" s="12" t="s">
        <v>55</v>
      </c>
      <c r="M914" s="12">
        <v>235.00399999999999</v>
      </c>
      <c r="N914" s="12">
        <v>193.91800000000001</v>
      </c>
      <c r="O914" s="12">
        <v>3.3</v>
      </c>
      <c r="Q914" s="13">
        <f t="shared" si="37"/>
        <v>0.83255829784337332</v>
      </c>
    </row>
    <row r="915" spans="1:17" x14ac:dyDescent="0.25">
      <c r="A915" s="12">
        <f t="shared" si="38"/>
        <v>3</v>
      </c>
      <c r="B915" s="12">
        <v>2023</v>
      </c>
      <c r="C915" s="12">
        <v>7194</v>
      </c>
      <c r="D915" s="12">
        <v>1036182</v>
      </c>
      <c r="E915" s="12" t="s">
        <v>13</v>
      </c>
      <c r="F915" s="12" t="s">
        <v>14</v>
      </c>
      <c r="G915" s="25">
        <v>1036182</v>
      </c>
      <c r="H915" s="12">
        <f t="shared" si="36"/>
        <v>0</v>
      </c>
      <c r="I915" s="14">
        <v>44989</v>
      </c>
      <c r="J915" s="12" t="s">
        <v>37</v>
      </c>
      <c r="K915" s="12" t="s">
        <v>19</v>
      </c>
      <c r="L915" s="12" t="s">
        <v>55</v>
      </c>
      <c r="M915" s="12">
        <v>235.00299999999999</v>
      </c>
      <c r="N915" s="12">
        <v>209.98400000000001</v>
      </c>
      <c r="O915" s="12">
        <v>4.5999999999999996</v>
      </c>
      <c r="Q915" s="13">
        <f t="shared" si="37"/>
        <v>0.86500710511312862</v>
      </c>
    </row>
    <row r="916" spans="1:17" x14ac:dyDescent="0.25">
      <c r="A916" s="12">
        <f t="shared" si="38"/>
        <v>3</v>
      </c>
      <c r="B916" s="12">
        <v>2023</v>
      </c>
      <c r="C916" s="12">
        <v>7195</v>
      </c>
      <c r="D916" s="12">
        <v>1036382</v>
      </c>
      <c r="E916" s="12" t="s">
        <v>13</v>
      </c>
      <c r="F916" s="12" t="s">
        <v>14</v>
      </c>
      <c r="G916" s="25">
        <v>1036382</v>
      </c>
      <c r="H916" s="12">
        <f t="shared" si="36"/>
        <v>0</v>
      </c>
      <c r="I916" s="14">
        <v>44990</v>
      </c>
      <c r="J916" s="12" t="s">
        <v>37</v>
      </c>
      <c r="K916" s="12" t="s">
        <v>19</v>
      </c>
      <c r="L916" s="12" t="s">
        <v>55</v>
      </c>
      <c r="M916" s="12">
        <v>235.08</v>
      </c>
      <c r="N916" s="12">
        <v>194.886</v>
      </c>
      <c r="O916" s="12">
        <v>3.7</v>
      </c>
      <c r="P916" s="12">
        <v>12.6</v>
      </c>
      <c r="Q916" s="13">
        <f t="shared" si="37"/>
        <v>0.82516893329475249</v>
      </c>
    </row>
    <row r="917" spans="1:17" x14ac:dyDescent="0.25">
      <c r="A917" s="12">
        <f t="shared" si="38"/>
        <v>3</v>
      </c>
      <c r="B917" s="12">
        <v>2023</v>
      </c>
      <c r="C917" s="12">
        <v>7196</v>
      </c>
      <c r="D917" s="12">
        <v>1036492</v>
      </c>
      <c r="E917" s="12" t="s">
        <v>13</v>
      </c>
      <c r="F917" s="12" t="s">
        <v>14</v>
      </c>
      <c r="G917" s="25">
        <v>1036492</v>
      </c>
      <c r="H917" s="12">
        <f t="shared" si="36"/>
        <v>0</v>
      </c>
      <c r="I917" s="14">
        <v>44991</v>
      </c>
      <c r="J917" s="12" t="s">
        <v>18</v>
      </c>
      <c r="K917" s="12" t="s">
        <v>19</v>
      </c>
      <c r="L917" s="12" t="s">
        <v>55</v>
      </c>
      <c r="M917" s="12">
        <v>234.999</v>
      </c>
      <c r="N917" s="12">
        <v>199.31200000000001</v>
      </c>
      <c r="O917" s="12">
        <v>4.7</v>
      </c>
      <c r="Q917" s="13">
        <f t="shared" si="37"/>
        <v>0.89353752930813657</v>
      </c>
    </row>
    <row r="918" spans="1:17" x14ac:dyDescent="0.25">
      <c r="A918" s="12">
        <f t="shared" si="38"/>
        <v>3</v>
      </c>
      <c r="B918" s="12">
        <v>2023</v>
      </c>
      <c r="C918" s="12">
        <v>7197</v>
      </c>
      <c r="D918" s="12">
        <v>1036494</v>
      </c>
      <c r="E918" s="12" t="s">
        <v>13</v>
      </c>
      <c r="F918" s="12" t="s">
        <v>14</v>
      </c>
      <c r="G918" s="25">
        <v>1036494</v>
      </c>
      <c r="H918" s="12">
        <f t="shared" si="36"/>
        <v>0</v>
      </c>
      <c r="I918" s="14">
        <v>44992</v>
      </c>
      <c r="J918" s="12" t="s">
        <v>18</v>
      </c>
      <c r="K918" s="12" t="s">
        <v>19</v>
      </c>
      <c r="L918" s="12" t="s">
        <v>55</v>
      </c>
      <c r="M918" s="12">
        <v>234.999</v>
      </c>
      <c r="N918" s="12">
        <v>196.95699999999999</v>
      </c>
      <c r="O918" s="12">
        <v>4.2</v>
      </c>
      <c r="Q918" s="13">
        <f t="shared" si="37"/>
        <v>0.82901990811638582</v>
      </c>
    </row>
    <row r="919" spans="1:17" x14ac:dyDescent="0.25">
      <c r="A919" s="12">
        <f t="shared" si="38"/>
        <v>3</v>
      </c>
      <c r="B919" s="12">
        <v>2023</v>
      </c>
      <c r="C919" s="12">
        <v>7198</v>
      </c>
      <c r="D919" s="12">
        <v>1036504</v>
      </c>
      <c r="E919" s="12" t="s">
        <v>13</v>
      </c>
      <c r="F919" s="12" t="s">
        <v>14</v>
      </c>
      <c r="G919" s="25">
        <v>1036504</v>
      </c>
      <c r="H919" s="12">
        <f t="shared" si="36"/>
        <v>0</v>
      </c>
      <c r="I919" s="14">
        <v>44993</v>
      </c>
      <c r="J919" s="12" t="s">
        <v>18</v>
      </c>
      <c r="K919" s="12" t="s">
        <v>19</v>
      </c>
      <c r="L919" s="12" t="s">
        <v>55</v>
      </c>
      <c r="M919" s="12">
        <v>235.00299999999999</v>
      </c>
      <c r="N919" s="12">
        <v>191.70699999999999</v>
      </c>
      <c r="O919" s="12">
        <v>4.2</v>
      </c>
      <c r="Q919" s="13">
        <f t="shared" si="37"/>
        <v>0.84813977931820994</v>
      </c>
    </row>
    <row r="920" spans="1:17" x14ac:dyDescent="0.25">
      <c r="A920" s="12">
        <f t="shared" si="38"/>
        <v>3</v>
      </c>
      <c r="B920" s="12">
        <v>2023</v>
      </c>
      <c r="C920" s="12">
        <v>7199</v>
      </c>
      <c r="D920" s="12">
        <v>1036749</v>
      </c>
      <c r="E920" s="12" t="s">
        <v>13</v>
      </c>
      <c r="F920" s="12" t="s">
        <v>14</v>
      </c>
      <c r="G920" s="25">
        <v>1036749</v>
      </c>
      <c r="H920" s="12">
        <f t="shared" si="36"/>
        <v>0</v>
      </c>
      <c r="I920" s="14">
        <v>44994</v>
      </c>
      <c r="J920" s="12" t="s">
        <v>18</v>
      </c>
      <c r="K920" s="12" t="s">
        <v>19</v>
      </c>
      <c r="L920" s="12" t="s">
        <v>55</v>
      </c>
      <c r="M920" s="12">
        <v>235.00299999999999</v>
      </c>
      <c r="N920" s="12">
        <v>206.422</v>
      </c>
      <c r="O920" s="12">
        <v>3.6</v>
      </c>
      <c r="Q920" s="13">
        <f t="shared" si="37"/>
        <v>0.83811846007855351</v>
      </c>
    </row>
    <row r="921" spans="1:17" x14ac:dyDescent="0.25">
      <c r="A921" s="12">
        <f t="shared" si="38"/>
        <v>3</v>
      </c>
      <c r="B921" s="12">
        <v>2023</v>
      </c>
      <c r="C921" s="12">
        <v>7200</v>
      </c>
      <c r="D921" s="12">
        <v>1036882</v>
      </c>
      <c r="E921" s="12" t="s">
        <v>13</v>
      </c>
      <c r="F921" s="12" t="s">
        <v>14</v>
      </c>
      <c r="G921" s="25">
        <v>1036882</v>
      </c>
      <c r="H921" s="12">
        <f t="shared" si="36"/>
        <v>0</v>
      </c>
      <c r="I921" s="14">
        <v>44995</v>
      </c>
      <c r="J921" s="12" t="s">
        <v>17</v>
      </c>
      <c r="K921" s="12" t="s">
        <v>20</v>
      </c>
      <c r="L921" s="12" t="s">
        <v>48</v>
      </c>
      <c r="M921" s="12">
        <v>235.06899999999999</v>
      </c>
      <c r="N921" s="12">
        <v>201.35499999999999</v>
      </c>
      <c r="O921" s="12">
        <v>4.2</v>
      </c>
      <c r="P921" s="12">
        <v>12.3</v>
      </c>
      <c r="Q921" s="13">
        <f t="shared" si="37"/>
        <v>0.81576405407590546</v>
      </c>
    </row>
    <row r="922" spans="1:17" x14ac:dyDescent="0.25">
      <c r="A922" s="12">
        <f t="shared" si="38"/>
        <v>3</v>
      </c>
      <c r="B922" s="12">
        <v>2023</v>
      </c>
      <c r="C922" s="12">
        <v>7201</v>
      </c>
      <c r="D922" s="12">
        <v>1036958</v>
      </c>
      <c r="E922" s="12" t="s">
        <v>13</v>
      </c>
      <c r="F922" s="12" t="s">
        <v>14</v>
      </c>
      <c r="G922" s="25">
        <v>1036958</v>
      </c>
      <c r="H922" s="12">
        <f t="shared" si="36"/>
        <v>0</v>
      </c>
      <c r="I922" s="14">
        <v>44995</v>
      </c>
      <c r="J922" s="12" t="s">
        <v>18</v>
      </c>
      <c r="K922" s="12" t="s">
        <v>19</v>
      </c>
      <c r="L922" s="12" t="s">
        <v>55</v>
      </c>
      <c r="M922" s="12">
        <v>235.001</v>
      </c>
      <c r="N922" s="12">
        <v>191.721</v>
      </c>
      <c r="O922" s="12">
        <v>4</v>
      </c>
      <c r="Q922" s="13">
        <f t="shared" si="37"/>
        <v>0.87838027599647672</v>
      </c>
    </row>
    <row r="923" spans="1:17" x14ac:dyDescent="0.25">
      <c r="A923" s="12">
        <f t="shared" si="38"/>
        <v>3</v>
      </c>
      <c r="B923" s="12">
        <v>2023</v>
      </c>
      <c r="C923" s="12">
        <v>7202</v>
      </c>
      <c r="D923" s="12">
        <v>1037046</v>
      </c>
      <c r="E923" s="12" t="s">
        <v>13</v>
      </c>
      <c r="F923" s="12" t="s">
        <v>14</v>
      </c>
      <c r="G923" s="25">
        <v>1037046</v>
      </c>
      <c r="H923" s="12">
        <f t="shared" si="36"/>
        <v>0</v>
      </c>
      <c r="I923" s="14">
        <v>44996</v>
      </c>
      <c r="J923" s="12" t="s">
        <v>18</v>
      </c>
      <c r="K923" s="12" t="s">
        <v>19</v>
      </c>
      <c r="L923" s="12" t="s">
        <v>55</v>
      </c>
      <c r="M923" s="12">
        <v>235</v>
      </c>
      <c r="N923" s="12">
        <v>203.999</v>
      </c>
      <c r="O923" s="12">
        <v>5.3</v>
      </c>
      <c r="Q923" s="13">
        <f t="shared" si="37"/>
        <v>0.85657828127060565</v>
      </c>
    </row>
    <row r="924" spans="1:17" x14ac:dyDescent="0.25">
      <c r="A924" s="12">
        <f t="shared" si="38"/>
        <v>3</v>
      </c>
      <c r="B924" s="12">
        <v>2023</v>
      </c>
      <c r="C924" s="12">
        <v>7203</v>
      </c>
      <c r="D924" s="12">
        <v>1037181</v>
      </c>
      <c r="E924" s="12" t="s">
        <v>13</v>
      </c>
      <c r="F924" s="12" t="s">
        <v>14</v>
      </c>
      <c r="G924" s="25">
        <v>1037181</v>
      </c>
      <c r="H924" s="12">
        <f t="shared" si="36"/>
        <v>0</v>
      </c>
      <c r="I924" s="14">
        <v>44997</v>
      </c>
      <c r="J924" s="12" t="s">
        <v>18</v>
      </c>
      <c r="K924" s="12" t="s">
        <v>19</v>
      </c>
      <c r="L924" s="12" t="s">
        <v>55</v>
      </c>
      <c r="M924" s="12">
        <v>235.005</v>
      </c>
      <c r="N924" s="12">
        <v>149.27600000000001</v>
      </c>
      <c r="O924" s="12">
        <v>3.6</v>
      </c>
      <c r="Q924" s="13">
        <f t="shared" si="37"/>
        <v>0.81583057093374067</v>
      </c>
    </row>
    <row r="925" spans="1:17" x14ac:dyDescent="0.25">
      <c r="A925" s="12">
        <f t="shared" si="38"/>
        <v>3</v>
      </c>
      <c r="B925" s="12">
        <v>2023</v>
      </c>
      <c r="C925" s="12">
        <v>7204</v>
      </c>
      <c r="D925" s="12">
        <v>1037183</v>
      </c>
      <c r="E925" s="12" t="s">
        <v>13</v>
      </c>
      <c r="F925" s="12" t="s">
        <v>14</v>
      </c>
      <c r="G925" s="25">
        <v>1037183</v>
      </c>
      <c r="H925" s="12">
        <f t="shared" si="36"/>
        <v>0</v>
      </c>
      <c r="I925" s="14">
        <v>44998</v>
      </c>
      <c r="J925" s="12" t="s">
        <v>18</v>
      </c>
      <c r="K925" s="12" t="s">
        <v>19</v>
      </c>
      <c r="L925" s="12" t="s">
        <v>55</v>
      </c>
      <c r="M925" s="12">
        <v>235.00399999999999</v>
      </c>
      <c r="N925" s="12">
        <v>165.92500000000001</v>
      </c>
      <c r="O925" s="12">
        <v>4.2</v>
      </c>
      <c r="Q925" s="13">
        <f t="shared" si="37"/>
        <v>0.86808085106382982</v>
      </c>
    </row>
    <row r="926" spans="1:17" x14ac:dyDescent="0.25">
      <c r="A926" s="12">
        <f t="shared" si="38"/>
        <v>3</v>
      </c>
      <c r="B926" s="12">
        <v>2023</v>
      </c>
      <c r="C926" s="12">
        <v>7205</v>
      </c>
      <c r="D926" s="12">
        <v>1037184</v>
      </c>
      <c r="E926" s="12" t="s">
        <v>13</v>
      </c>
      <c r="F926" s="12" t="s">
        <v>14</v>
      </c>
      <c r="G926" s="25">
        <v>1037184</v>
      </c>
      <c r="H926" s="12">
        <f t="shared" si="36"/>
        <v>0</v>
      </c>
      <c r="I926" s="14">
        <v>44999</v>
      </c>
      <c r="J926" s="12" t="s">
        <v>18</v>
      </c>
      <c r="K926" s="12" t="s">
        <v>19</v>
      </c>
      <c r="L926" s="12" t="s">
        <v>55</v>
      </c>
      <c r="M926" s="12">
        <v>235.01</v>
      </c>
      <c r="N926" s="12">
        <v>199.61099999999999</v>
      </c>
      <c r="O926" s="12">
        <v>4.0999999999999996</v>
      </c>
      <c r="P926" s="12">
        <v>12.2</v>
      </c>
      <c r="Q926" s="13">
        <f t="shared" si="37"/>
        <v>0.63520350630837652</v>
      </c>
    </row>
    <row r="927" spans="1:17" x14ac:dyDescent="0.25">
      <c r="A927" s="12">
        <f t="shared" si="38"/>
        <v>3</v>
      </c>
      <c r="B927" s="12">
        <v>2023</v>
      </c>
      <c r="C927" s="12">
        <v>7206</v>
      </c>
      <c r="D927" s="12">
        <v>1037378</v>
      </c>
      <c r="E927" s="12" t="s">
        <v>13</v>
      </c>
      <c r="F927" s="12" t="s">
        <v>14</v>
      </c>
      <c r="G927" s="25">
        <v>1037378</v>
      </c>
      <c r="H927" s="12">
        <f t="shared" si="36"/>
        <v>0</v>
      </c>
      <c r="I927" s="14">
        <v>45000</v>
      </c>
      <c r="J927" s="12" t="s">
        <v>18</v>
      </c>
      <c r="K927" s="12" t="s">
        <v>19</v>
      </c>
      <c r="L927" s="12" t="s">
        <v>55</v>
      </c>
      <c r="M927" s="12">
        <v>235.00700000000001</v>
      </c>
      <c r="N927" s="12">
        <v>198.65899999999999</v>
      </c>
      <c r="O927" s="12">
        <v>4.7</v>
      </c>
      <c r="Q927" s="13">
        <f t="shared" si="37"/>
        <v>0.70605181188405308</v>
      </c>
    </row>
    <row r="928" spans="1:17" x14ac:dyDescent="0.25">
      <c r="A928" s="12">
        <f t="shared" si="38"/>
        <v>3</v>
      </c>
      <c r="B928" s="12">
        <v>2023</v>
      </c>
      <c r="C928" s="12">
        <v>7207</v>
      </c>
      <c r="D928" s="12">
        <v>1037711</v>
      </c>
      <c r="E928" s="12" t="s">
        <v>13</v>
      </c>
      <c r="F928" s="12" t="s">
        <v>14</v>
      </c>
      <c r="G928" s="25">
        <v>1037711</v>
      </c>
      <c r="H928" s="12">
        <f t="shared" si="36"/>
        <v>0</v>
      </c>
      <c r="I928" s="14">
        <v>45001</v>
      </c>
      <c r="J928" s="12" t="s">
        <v>17</v>
      </c>
      <c r="K928" s="12" t="s">
        <v>20</v>
      </c>
      <c r="L928" s="12" t="s">
        <v>48</v>
      </c>
      <c r="M928" s="12">
        <v>234.93600000000001</v>
      </c>
      <c r="N928" s="12">
        <v>200.63499999999999</v>
      </c>
      <c r="O928" s="12">
        <v>3.9</v>
      </c>
      <c r="P928" s="12">
        <v>12.2</v>
      </c>
      <c r="Q928" s="13">
        <f t="shared" si="37"/>
        <v>0.84937236713331343</v>
      </c>
    </row>
    <row r="929" spans="1:17" x14ac:dyDescent="0.25">
      <c r="A929" s="12">
        <f t="shared" si="38"/>
        <v>3</v>
      </c>
      <c r="B929" s="12">
        <v>2023</v>
      </c>
      <c r="C929" s="12">
        <v>7208</v>
      </c>
      <c r="D929" s="12">
        <v>1037717</v>
      </c>
      <c r="E929" s="12" t="s">
        <v>13</v>
      </c>
      <c r="F929" s="12" t="s">
        <v>14</v>
      </c>
      <c r="G929" s="25">
        <v>1037717</v>
      </c>
      <c r="H929" s="12">
        <f t="shared" si="36"/>
        <v>0</v>
      </c>
      <c r="I929" s="14">
        <v>45002</v>
      </c>
      <c r="J929" s="12" t="s">
        <v>17</v>
      </c>
      <c r="K929" s="12" t="s">
        <v>20</v>
      </c>
      <c r="L929" s="12" t="s">
        <v>48</v>
      </c>
      <c r="M929" s="12">
        <v>235</v>
      </c>
      <c r="N929" s="12">
        <v>206.82499999999999</v>
      </c>
      <c r="O929" s="12">
        <v>4</v>
      </c>
      <c r="P929" s="12">
        <v>11.4</v>
      </c>
      <c r="Q929" s="13">
        <f t="shared" si="37"/>
        <v>0.84533226669843875</v>
      </c>
    </row>
    <row r="930" spans="1:17" x14ac:dyDescent="0.25">
      <c r="A930" s="12">
        <f t="shared" si="38"/>
        <v>3</v>
      </c>
      <c r="B930" s="12">
        <v>2023</v>
      </c>
      <c r="C930" s="12">
        <v>7209</v>
      </c>
      <c r="D930" s="12">
        <v>1037482</v>
      </c>
      <c r="E930" s="12" t="s">
        <v>13</v>
      </c>
      <c r="F930" s="12" t="s">
        <v>14</v>
      </c>
      <c r="G930" s="25">
        <v>1037482</v>
      </c>
      <c r="H930" s="12">
        <f t="shared" ref="H930:H993" si="39">D930-G930</f>
        <v>0</v>
      </c>
      <c r="I930" s="14">
        <v>45003</v>
      </c>
      <c r="J930" s="12" t="s">
        <v>18</v>
      </c>
      <c r="K930" s="12" t="s">
        <v>19</v>
      </c>
      <c r="L930" s="12" t="s">
        <v>55</v>
      </c>
      <c r="M930" s="12">
        <v>235.00700000000001</v>
      </c>
      <c r="N930" s="12">
        <v>198.48</v>
      </c>
      <c r="O930" s="12">
        <v>3.6</v>
      </c>
      <c r="Q930" s="13">
        <f t="shared" si="37"/>
        <v>0.85399853577144402</v>
      </c>
    </row>
    <row r="931" spans="1:17" x14ac:dyDescent="0.25">
      <c r="A931" s="12">
        <f t="shared" si="38"/>
        <v>3</v>
      </c>
      <c r="B931" s="12">
        <v>2023</v>
      </c>
      <c r="C931" s="12">
        <v>7210</v>
      </c>
      <c r="D931" s="12">
        <v>1037679</v>
      </c>
      <c r="E931" s="12" t="s">
        <v>13</v>
      </c>
      <c r="F931" s="12" t="s">
        <v>14</v>
      </c>
      <c r="G931" s="25">
        <v>1037679</v>
      </c>
      <c r="H931" s="12">
        <f t="shared" si="39"/>
        <v>0</v>
      </c>
      <c r="I931" s="14">
        <v>45004</v>
      </c>
      <c r="J931" s="12" t="s">
        <v>18</v>
      </c>
      <c r="K931" s="12" t="s">
        <v>19</v>
      </c>
      <c r="L931" s="12" t="s">
        <v>55</v>
      </c>
      <c r="M931" s="12">
        <v>235.03299999999999</v>
      </c>
      <c r="N931" s="12">
        <v>192.52600000000001</v>
      </c>
      <c r="O931" s="12">
        <v>3.9</v>
      </c>
      <c r="P931" s="12">
        <v>12.2</v>
      </c>
      <c r="Q931" s="13">
        <f t="shared" si="37"/>
        <v>0.88010638297872335</v>
      </c>
    </row>
    <row r="932" spans="1:17" x14ac:dyDescent="0.25">
      <c r="A932" s="12">
        <f t="shared" si="38"/>
        <v>3</v>
      </c>
      <c r="B932" s="12">
        <v>2023</v>
      </c>
      <c r="C932" s="12">
        <v>7211</v>
      </c>
      <c r="D932" s="12">
        <v>1037680</v>
      </c>
      <c r="E932" s="12" t="s">
        <v>13</v>
      </c>
      <c r="F932" s="12" t="s">
        <v>14</v>
      </c>
      <c r="G932" s="25">
        <v>1037680</v>
      </c>
      <c r="H932" s="12">
        <f t="shared" si="39"/>
        <v>0</v>
      </c>
      <c r="I932" s="14">
        <v>45005</v>
      </c>
      <c r="J932" s="12" t="s">
        <v>18</v>
      </c>
      <c r="K932" s="12" t="s">
        <v>19</v>
      </c>
      <c r="L932" s="12" t="s">
        <v>55</v>
      </c>
      <c r="M932" s="12">
        <v>235.03299999999999</v>
      </c>
      <c r="N932" s="12">
        <v>205.887</v>
      </c>
      <c r="O932" s="12">
        <v>4</v>
      </c>
      <c r="Q932" s="13">
        <f t="shared" si="37"/>
        <v>0.84457058725910283</v>
      </c>
    </row>
    <row r="933" spans="1:17" x14ac:dyDescent="0.25">
      <c r="A933" s="12">
        <f t="shared" si="38"/>
        <v>3</v>
      </c>
      <c r="B933" s="12">
        <v>2023</v>
      </c>
      <c r="C933" s="12">
        <v>7212</v>
      </c>
      <c r="D933" s="12">
        <v>1037902</v>
      </c>
      <c r="E933" s="12" t="s">
        <v>13</v>
      </c>
      <c r="F933" s="12" t="s">
        <v>14</v>
      </c>
      <c r="G933" s="25">
        <v>1037902</v>
      </c>
      <c r="H933" s="12">
        <f t="shared" si="39"/>
        <v>0</v>
      </c>
      <c r="I933" s="14">
        <v>45006</v>
      </c>
      <c r="J933" s="12" t="s">
        <v>18</v>
      </c>
      <c r="K933" s="12" t="s">
        <v>19</v>
      </c>
      <c r="L933" s="12" t="s">
        <v>55</v>
      </c>
      <c r="M933" s="12">
        <v>234.99600000000001</v>
      </c>
      <c r="N933" s="12">
        <v>201.34700000000001</v>
      </c>
      <c r="O933" s="12">
        <v>4</v>
      </c>
      <c r="Q933" s="13">
        <f t="shared" si="37"/>
        <v>0.81914454565954575</v>
      </c>
    </row>
    <row r="934" spans="1:17" x14ac:dyDescent="0.25">
      <c r="A934" s="12">
        <f t="shared" si="38"/>
        <v>3</v>
      </c>
      <c r="B934" s="12">
        <v>2023</v>
      </c>
      <c r="C934" s="12">
        <v>7213</v>
      </c>
      <c r="D934" s="12">
        <v>1038050</v>
      </c>
      <c r="E934" s="12" t="s">
        <v>13</v>
      </c>
      <c r="F934" s="12" t="s">
        <v>14</v>
      </c>
      <c r="G934" s="25">
        <v>1038050</v>
      </c>
      <c r="H934" s="12">
        <f t="shared" si="39"/>
        <v>0</v>
      </c>
      <c r="I934" s="14">
        <v>45007</v>
      </c>
      <c r="J934" s="12" t="s">
        <v>17</v>
      </c>
      <c r="K934" s="12" t="s">
        <v>19</v>
      </c>
      <c r="L934" s="12" t="s">
        <v>78</v>
      </c>
      <c r="M934" s="12">
        <v>234.989</v>
      </c>
      <c r="N934" s="12">
        <v>191.60499999999999</v>
      </c>
      <c r="O934" s="12">
        <v>3.5</v>
      </c>
      <c r="Q934" s="13">
        <f t="shared" si="37"/>
        <v>0.87599188199103961</v>
      </c>
    </row>
    <row r="935" spans="1:17" x14ac:dyDescent="0.25">
      <c r="A935" s="12">
        <f t="shared" si="38"/>
        <v>3</v>
      </c>
      <c r="B935" s="12">
        <v>2023</v>
      </c>
      <c r="C935" s="12">
        <v>7214</v>
      </c>
      <c r="D935" s="12">
        <v>1038179</v>
      </c>
      <c r="E935" s="12" t="s">
        <v>13</v>
      </c>
      <c r="F935" s="12" t="s">
        <v>14</v>
      </c>
      <c r="G935" s="25">
        <v>1038179</v>
      </c>
      <c r="H935" s="12">
        <f t="shared" si="39"/>
        <v>0</v>
      </c>
      <c r="I935" s="14">
        <v>45008</v>
      </c>
      <c r="J935" s="12" t="s">
        <v>17</v>
      </c>
      <c r="K935" s="12" t="s">
        <v>19</v>
      </c>
      <c r="L935" s="12" t="s">
        <v>78</v>
      </c>
      <c r="M935" s="12">
        <v>234.99</v>
      </c>
      <c r="N935" s="12">
        <v>204.55500000000001</v>
      </c>
      <c r="O935" s="12">
        <v>3.9</v>
      </c>
      <c r="Q935" s="13">
        <f t="shared" si="37"/>
        <v>0.85681032868644569</v>
      </c>
    </row>
    <row r="936" spans="1:17" x14ac:dyDescent="0.25">
      <c r="A936" s="12">
        <f t="shared" si="38"/>
        <v>3</v>
      </c>
      <c r="B936" s="12">
        <v>2023</v>
      </c>
      <c r="C936" s="12">
        <v>7215</v>
      </c>
      <c r="D936" s="12">
        <v>1038321</v>
      </c>
      <c r="E936" s="12" t="s">
        <v>13</v>
      </c>
      <c r="F936" s="12" t="s">
        <v>14</v>
      </c>
      <c r="G936" s="25">
        <v>1038321</v>
      </c>
      <c r="H936" s="12">
        <f t="shared" si="39"/>
        <v>0</v>
      </c>
      <c r="I936" s="14">
        <v>45009</v>
      </c>
      <c r="J936" s="12" t="s">
        <v>38</v>
      </c>
      <c r="K936" s="12" t="s">
        <v>19</v>
      </c>
      <c r="L936" s="12" t="s">
        <v>55</v>
      </c>
      <c r="M936" s="12">
        <v>235.55</v>
      </c>
      <c r="N936" s="12">
        <v>193.297</v>
      </c>
      <c r="O936" s="12">
        <v>3.7</v>
      </c>
      <c r="Q936" s="13">
        <f t="shared" si="37"/>
        <v>0.81537859218942155</v>
      </c>
    </row>
    <row r="937" spans="1:17" x14ac:dyDescent="0.25">
      <c r="A937" s="12">
        <f t="shared" si="38"/>
        <v>3</v>
      </c>
      <c r="B937" s="12">
        <v>2023</v>
      </c>
      <c r="C937" s="12">
        <v>7216</v>
      </c>
      <c r="D937" s="12">
        <v>1038474</v>
      </c>
      <c r="E937" s="12" t="s">
        <v>13</v>
      </c>
      <c r="F937" s="12" t="s">
        <v>14</v>
      </c>
      <c r="G937" s="25">
        <v>1038474</v>
      </c>
      <c r="H937" s="12">
        <f t="shared" si="39"/>
        <v>0</v>
      </c>
      <c r="I937" s="14">
        <v>45010</v>
      </c>
      <c r="J937" s="12" t="s">
        <v>38</v>
      </c>
      <c r="K937" s="12" t="s">
        <v>19</v>
      </c>
      <c r="L937" s="12" t="s">
        <v>55</v>
      </c>
      <c r="M937" s="12">
        <v>235.55</v>
      </c>
      <c r="N937" s="12">
        <v>206.84399999999999</v>
      </c>
      <c r="O937" s="12">
        <v>5.7</v>
      </c>
      <c r="Q937" s="13">
        <f t="shared" si="37"/>
        <v>0.8704838503766118</v>
      </c>
    </row>
    <row r="938" spans="1:17" x14ac:dyDescent="0.25">
      <c r="A938" s="12">
        <f t="shared" si="38"/>
        <v>3</v>
      </c>
      <c r="B938" s="12">
        <v>2023</v>
      </c>
      <c r="C938" s="12">
        <v>7217</v>
      </c>
      <c r="D938" s="12">
        <v>1038527</v>
      </c>
      <c r="E938" s="12" t="s">
        <v>13</v>
      </c>
      <c r="F938" s="12" t="s">
        <v>14</v>
      </c>
      <c r="G938" s="25">
        <v>1038527</v>
      </c>
      <c r="H938" s="12">
        <f t="shared" si="39"/>
        <v>0</v>
      </c>
      <c r="I938" s="14">
        <v>45011</v>
      </c>
      <c r="J938" s="12" t="s">
        <v>38</v>
      </c>
      <c r="K938" s="12" t="s">
        <v>19</v>
      </c>
      <c r="L938" s="12" t="s">
        <v>55</v>
      </c>
      <c r="M938" s="12">
        <v>235.011</v>
      </c>
      <c r="N938" s="12">
        <v>192.17599999999999</v>
      </c>
      <c r="O938" s="12">
        <v>3.7</v>
      </c>
      <c r="P938" s="12">
        <v>12.6</v>
      </c>
      <c r="Q938" s="13">
        <f t="shared" si="37"/>
        <v>0.82061982593929095</v>
      </c>
    </row>
    <row r="939" spans="1:17" x14ac:dyDescent="0.25">
      <c r="A939" s="12">
        <f t="shared" si="38"/>
        <v>3</v>
      </c>
      <c r="B939" s="12">
        <v>2023</v>
      </c>
      <c r="C939" s="12">
        <v>7218</v>
      </c>
      <c r="D939" s="12">
        <v>1038529</v>
      </c>
      <c r="E939" s="12" t="s">
        <v>13</v>
      </c>
      <c r="F939" s="12" t="s">
        <v>14</v>
      </c>
      <c r="G939" s="25">
        <v>1038529</v>
      </c>
      <c r="H939" s="12">
        <f t="shared" si="39"/>
        <v>0</v>
      </c>
      <c r="I939" s="14">
        <v>45012</v>
      </c>
      <c r="J939" s="12" t="s">
        <v>38</v>
      </c>
      <c r="K939" s="12" t="s">
        <v>19</v>
      </c>
      <c r="L939" s="12" t="s">
        <v>55</v>
      </c>
      <c r="M939" s="12">
        <v>234.96</v>
      </c>
      <c r="N939" s="12">
        <v>197.39400000000001</v>
      </c>
      <c r="O939" s="12">
        <v>3.9</v>
      </c>
      <c r="Q939" s="13">
        <f t="shared" ref="Q939:Q1002" si="40">N937/M937</f>
        <v>0.87813203141583518</v>
      </c>
    </row>
    <row r="940" spans="1:17" x14ac:dyDescent="0.25">
      <c r="A940" s="12">
        <f t="shared" si="38"/>
        <v>3</v>
      </c>
      <c r="B940" s="12">
        <v>2023</v>
      </c>
      <c r="C940" s="12">
        <v>7219</v>
      </c>
      <c r="D940" s="12">
        <v>1038596</v>
      </c>
      <c r="E940" s="12" t="s">
        <v>13</v>
      </c>
      <c r="F940" s="12" t="s">
        <v>14</v>
      </c>
      <c r="G940" s="25">
        <v>1038596</v>
      </c>
      <c r="H940" s="12">
        <f t="shared" si="39"/>
        <v>0</v>
      </c>
      <c r="I940" s="14">
        <v>45013</v>
      </c>
      <c r="J940" s="12" t="s">
        <v>38</v>
      </c>
      <c r="K940" s="12" t="s">
        <v>19</v>
      </c>
      <c r="L940" s="12" t="s">
        <v>55</v>
      </c>
      <c r="M940" s="12">
        <v>234.96</v>
      </c>
      <c r="N940" s="12">
        <v>195.995</v>
      </c>
      <c r="O940" s="12">
        <v>3.3</v>
      </c>
      <c r="Q940" s="13">
        <f t="shared" si="40"/>
        <v>0.81773193595193416</v>
      </c>
    </row>
    <row r="941" spans="1:17" x14ac:dyDescent="0.25">
      <c r="A941" s="12">
        <f t="shared" si="38"/>
        <v>3</v>
      </c>
      <c r="B941" s="12">
        <v>2023</v>
      </c>
      <c r="C941" s="12">
        <v>7220</v>
      </c>
      <c r="D941" s="12">
        <v>1038626</v>
      </c>
      <c r="E941" s="12" t="s">
        <v>13</v>
      </c>
      <c r="F941" s="12" t="s">
        <v>14</v>
      </c>
      <c r="G941" s="25">
        <v>1038626</v>
      </c>
      <c r="H941" s="12">
        <f t="shared" si="39"/>
        <v>0</v>
      </c>
      <c r="I941" s="14">
        <v>45014</v>
      </c>
      <c r="J941" s="12" t="s">
        <v>18</v>
      </c>
      <c r="K941" s="12" t="s">
        <v>20</v>
      </c>
      <c r="L941" s="12" t="s">
        <v>53</v>
      </c>
      <c r="M941" s="12">
        <v>235.00700000000001</v>
      </c>
      <c r="N941" s="12">
        <v>192.82900000000001</v>
      </c>
      <c r="O941" s="12">
        <v>4.4000000000000004</v>
      </c>
      <c r="Q941" s="13">
        <f t="shared" si="40"/>
        <v>0.84011746680286004</v>
      </c>
    </row>
    <row r="942" spans="1:17" x14ac:dyDescent="0.25">
      <c r="A942" s="12">
        <f t="shared" si="38"/>
        <v>3</v>
      </c>
      <c r="B942" s="12">
        <v>2023</v>
      </c>
      <c r="C942" s="12">
        <v>7221</v>
      </c>
      <c r="D942" s="12">
        <v>1038822</v>
      </c>
      <c r="E942" s="12" t="s">
        <v>13</v>
      </c>
      <c r="F942" s="12" t="s">
        <v>14</v>
      </c>
      <c r="G942" s="25">
        <v>1038822</v>
      </c>
      <c r="H942" s="12">
        <f t="shared" si="39"/>
        <v>0</v>
      </c>
      <c r="I942" s="14">
        <v>45015</v>
      </c>
      <c r="J942" s="12" t="s">
        <v>18</v>
      </c>
      <c r="K942" s="12" t="s">
        <v>20</v>
      </c>
      <c r="L942" s="12" t="s">
        <v>53</v>
      </c>
      <c r="M942" s="12">
        <v>235.00700000000001</v>
      </c>
      <c r="N942" s="12">
        <v>216.60400000000001</v>
      </c>
      <c r="O942" s="12">
        <v>4.9000000000000004</v>
      </c>
      <c r="Q942" s="13">
        <f t="shared" si="40"/>
        <v>0.83416326183180112</v>
      </c>
    </row>
    <row r="943" spans="1:17" x14ac:dyDescent="0.25">
      <c r="A943" s="12">
        <f t="shared" si="38"/>
        <v>3</v>
      </c>
      <c r="B943" s="12">
        <v>2023</v>
      </c>
      <c r="C943" s="12">
        <v>7222</v>
      </c>
      <c r="D943" s="12">
        <v>1038977</v>
      </c>
      <c r="E943" s="12" t="s">
        <v>13</v>
      </c>
      <c r="F943" s="12" t="s">
        <v>14</v>
      </c>
      <c r="G943" s="25">
        <v>1038977</v>
      </c>
      <c r="H943" s="12">
        <f t="shared" si="39"/>
        <v>0</v>
      </c>
      <c r="I943" s="14">
        <v>45016</v>
      </c>
      <c r="J943" s="12" t="s">
        <v>38</v>
      </c>
      <c r="K943" s="12" t="s">
        <v>19</v>
      </c>
      <c r="L943" s="12" t="s">
        <v>55</v>
      </c>
      <c r="M943" s="12">
        <v>234.93899999999999</v>
      </c>
      <c r="N943" s="12">
        <v>197.84899999999999</v>
      </c>
      <c r="O943" s="12">
        <v>4.0999999999999996</v>
      </c>
      <c r="P943" s="12">
        <v>12.6</v>
      </c>
      <c r="Q943" s="13">
        <f t="shared" si="40"/>
        <v>0.8205244950150421</v>
      </c>
    </row>
    <row r="944" spans="1:17" x14ac:dyDescent="0.25">
      <c r="A944" s="12">
        <f t="shared" si="38"/>
        <v>4</v>
      </c>
      <c r="B944" s="12">
        <v>2023</v>
      </c>
      <c r="C944" s="12">
        <v>7223</v>
      </c>
      <c r="D944" s="12">
        <v>1039117</v>
      </c>
      <c r="E944" s="12" t="s">
        <v>13</v>
      </c>
      <c r="F944" s="12" t="s">
        <v>14</v>
      </c>
      <c r="G944" s="25">
        <v>1039117</v>
      </c>
      <c r="H944" s="12">
        <f t="shared" si="39"/>
        <v>0</v>
      </c>
      <c r="I944" s="14">
        <v>45017</v>
      </c>
      <c r="J944" s="12" t="s">
        <v>38</v>
      </c>
      <c r="K944" s="12" t="s">
        <v>19</v>
      </c>
      <c r="L944" s="12" t="s">
        <v>55</v>
      </c>
      <c r="M944" s="12">
        <v>235.34</v>
      </c>
      <c r="N944" s="12">
        <v>190.16399999999999</v>
      </c>
      <c r="O944" s="12">
        <v>3.4</v>
      </c>
      <c r="Q944" s="13">
        <f t="shared" si="40"/>
        <v>0.92169169428995734</v>
      </c>
    </row>
    <row r="945" spans="1:17" x14ac:dyDescent="0.25">
      <c r="A945" s="12">
        <f t="shared" si="38"/>
        <v>4</v>
      </c>
      <c r="B945" s="12">
        <v>2023</v>
      </c>
      <c r="C945" s="12">
        <v>7224</v>
      </c>
      <c r="D945" s="12">
        <v>1039148</v>
      </c>
      <c r="E945" s="12" t="s">
        <v>13</v>
      </c>
      <c r="F945" s="12" t="s">
        <v>14</v>
      </c>
      <c r="G945" s="25">
        <v>1039148</v>
      </c>
      <c r="H945" s="12">
        <f t="shared" si="39"/>
        <v>0</v>
      </c>
      <c r="I945" s="14">
        <v>45018</v>
      </c>
      <c r="J945" s="12" t="s">
        <v>38</v>
      </c>
      <c r="K945" s="12" t="s">
        <v>19</v>
      </c>
      <c r="L945" s="12" t="s">
        <v>55</v>
      </c>
      <c r="M945" s="12">
        <v>235.34</v>
      </c>
      <c r="N945" s="12">
        <v>205.55099999999999</v>
      </c>
      <c r="O945" s="12">
        <v>4.0999999999999996</v>
      </c>
      <c r="Q945" s="13">
        <f t="shared" si="40"/>
        <v>0.84212923354572888</v>
      </c>
    </row>
    <row r="946" spans="1:17" x14ac:dyDescent="0.25">
      <c r="A946" s="12">
        <f t="shared" si="38"/>
        <v>4</v>
      </c>
      <c r="B946" s="12">
        <v>2023</v>
      </c>
      <c r="C946" s="12">
        <v>7225</v>
      </c>
      <c r="D946" s="12">
        <v>1039247</v>
      </c>
      <c r="E946" s="12" t="s">
        <v>13</v>
      </c>
      <c r="F946" s="12" t="s">
        <v>14</v>
      </c>
      <c r="G946" s="25">
        <v>1039247</v>
      </c>
      <c r="H946" s="12">
        <f t="shared" si="39"/>
        <v>0</v>
      </c>
      <c r="I946" s="14">
        <v>45019</v>
      </c>
      <c r="J946" s="12" t="s">
        <v>38</v>
      </c>
      <c r="K946" s="12" t="s">
        <v>19</v>
      </c>
      <c r="L946" s="12" t="s">
        <v>55</v>
      </c>
      <c r="M946" s="12">
        <v>235</v>
      </c>
      <c r="N946" s="12">
        <v>199.108</v>
      </c>
      <c r="O946" s="12">
        <v>3.4</v>
      </c>
      <c r="Q946" s="13">
        <f t="shared" si="40"/>
        <v>0.8080394323106993</v>
      </c>
    </row>
    <row r="947" spans="1:17" x14ac:dyDescent="0.25">
      <c r="A947" s="12">
        <f t="shared" si="38"/>
        <v>4</v>
      </c>
      <c r="B947" s="12">
        <v>2023</v>
      </c>
      <c r="C947" s="12">
        <v>7226</v>
      </c>
      <c r="D947" s="12">
        <v>1039248</v>
      </c>
      <c r="E947" s="12" t="s">
        <v>13</v>
      </c>
      <c r="F947" s="12" t="s">
        <v>14</v>
      </c>
      <c r="G947" s="25">
        <v>1039248</v>
      </c>
      <c r="H947" s="12">
        <f t="shared" si="39"/>
        <v>0</v>
      </c>
      <c r="I947" s="14">
        <v>45020</v>
      </c>
      <c r="J947" s="12" t="s">
        <v>38</v>
      </c>
      <c r="K947" s="12" t="s">
        <v>19</v>
      </c>
      <c r="L947" s="12" t="s">
        <v>55</v>
      </c>
      <c r="M947" s="12">
        <v>235</v>
      </c>
      <c r="N947" s="12">
        <v>205.20699999999999</v>
      </c>
      <c r="O947" s="12">
        <v>4.0999999999999996</v>
      </c>
      <c r="Q947" s="13">
        <f t="shared" si="40"/>
        <v>0.87342143282059992</v>
      </c>
    </row>
    <row r="948" spans="1:17" x14ac:dyDescent="0.25">
      <c r="A948" s="12">
        <f t="shared" si="38"/>
        <v>4</v>
      </c>
      <c r="B948" s="12">
        <v>2023</v>
      </c>
      <c r="C948" s="12">
        <v>7227</v>
      </c>
      <c r="D948" s="20">
        <v>1039282</v>
      </c>
      <c r="E948" s="12" t="s">
        <v>13</v>
      </c>
      <c r="F948" s="12" t="s">
        <v>14</v>
      </c>
      <c r="G948" s="25"/>
      <c r="H948" s="12">
        <f t="shared" si="39"/>
        <v>1039282</v>
      </c>
      <c r="I948" s="14">
        <v>45021</v>
      </c>
      <c r="J948" s="12" t="s">
        <v>17</v>
      </c>
      <c r="K948" s="12" t="s">
        <v>19</v>
      </c>
      <c r="L948" s="12" t="s">
        <v>81</v>
      </c>
      <c r="M948" s="12">
        <v>230.01400000000001</v>
      </c>
      <c r="N948" s="12">
        <v>190.5</v>
      </c>
      <c r="P948" s="12">
        <v>12.4</v>
      </c>
      <c r="Q948" s="13">
        <f t="shared" si="40"/>
        <v>0.84726808510638296</v>
      </c>
    </row>
    <row r="949" spans="1:17" x14ac:dyDescent="0.25">
      <c r="A949" s="12">
        <f t="shared" si="38"/>
        <v>4</v>
      </c>
      <c r="B949" s="12">
        <v>2023</v>
      </c>
      <c r="C949" s="12">
        <v>7228</v>
      </c>
      <c r="D949" s="12">
        <v>1039439</v>
      </c>
      <c r="E949" s="12" t="s">
        <v>13</v>
      </c>
      <c r="F949" s="12" t="s">
        <v>14</v>
      </c>
      <c r="G949" s="25">
        <v>1039439</v>
      </c>
      <c r="H949" s="12">
        <f t="shared" si="39"/>
        <v>0</v>
      </c>
      <c r="I949" s="14">
        <v>45022</v>
      </c>
      <c r="J949" s="12" t="s">
        <v>18</v>
      </c>
      <c r="K949" s="12" t="s">
        <v>19</v>
      </c>
      <c r="L949" s="12" t="s">
        <v>55</v>
      </c>
      <c r="M949" s="12">
        <v>235.001</v>
      </c>
      <c r="N949" s="12">
        <v>199.61199999999999</v>
      </c>
      <c r="O949" s="12">
        <v>4</v>
      </c>
      <c r="Q949" s="13">
        <f t="shared" si="40"/>
        <v>0.87322127659574467</v>
      </c>
    </row>
    <row r="950" spans="1:17" x14ac:dyDescent="0.25">
      <c r="A950" s="12">
        <f t="shared" si="38"/>
        <v>4</v>
      </c>
      <c r="B950" s="12">
        <v>2023</v>
      </c>
      <c r="C950" s="12">
        <v>7229</v>
      </c>
      <c r="D950" s="12">
        <v>1039535</v>
      </c>
      <c r="E950" s="12" t="s">
        <v>13</v>
      </c>
      <c r="F950" s="12" t="s">
        <v>14</v>
      </c>
      <c r="G950" s="25">
        <v>1039535</v>
      </c>
      <c r="H950" s="12">
        <f t="shared" si="39"/>
        <v>0</v>
      </c>
      <c r="I950" s="14">
        <v>45023</v>
      </c>
      <c r="J950" s="12" t="s">
        <v>18</v>
      </c>
      <c r="K950" s="12" t="s">
        <v>19</v>
      </c>
      <c r="L950" s="12" t="s">
        <v>55</v>
      </c>
      <c r="M950" s="12">
        <v>235</v>
      </c>
      <c r="N950" s="12">
        <v>204.01900000000001</v>
      </c>
      <c r="O950" s="12">
        <v>3.9</v>
      </c>
      <c r="Q950" s="13">
        <f t="shared" si="40"/>
        <v>0.8282104567548062</v>
      </c>
    </row>
    <row r="951" spans="1:17" x14ac:dyDescent="0.25">
      <c r="A951" s="12">
        <f t="shared" si="38"/>
        <v>4</v>
      </c>
      <c r="B951" s="12">
        <v>2023</v>
      </c>
      <c r="C951" s="12">
        <v>7230</v>
      </c>
      <c r="D951" s="12">
        <v>1039693</v>
      </c>
      <c r="E951" s="12" t="s">
        <v>13</v>
      </c>
      <c r="F951" s="12" t="s">
        <v>14</v>
      </c>
      <c r="G951" s="25">
        <v>1039693</v>
      </c>
      <c r="H951" s="12">
        <f t="shared" si="39"/>
        <v>0</v>
      </c>
      <c r="I951" s="14">
        <v>45024</v>
      </c>
      <c r="J951" s="12" t="s">
        <v>18</v>
      </c>
      <c r="K951" s="12" t="s">
        <v>19</v>
      </c>
      <c r="L951" s="12" t="s">
        <v>55</v>
      </c>
      <c r="M951" s="12">
        <v>235.07499999999999</v>
      </c>
      <c r="N951" s="12">
        <v>199.16499999999999</v>
      </c>
      <c r="O951" s="12">
        <v>4.2</v>
      </c>
      <c r="Q951" s="13">
        <f t="shared" si="40"/>
        <v>0.84940915145041929</v>
      </c>
    </row>
    <row r="952" spans="1:17" x14ac:dyDescent="0.25">
      <c r="A952" s="12">
        <f t="shared" si="38"/>
        <v>4</v>
      </c>
      <c r="B952" s="12">
        <v>2023</v>
      </c>
      <c r="C952" s="12">
        <v>7231</v>
      </c>
      <c r="D952" s="12">
        <v>1039853</v>
      </c>
      <c r="E952" s="12" t="s">
        <v>13</v>
      </c>
      <c r="F952" s="12" t="s">
        <v>14</v>
      </c>
      <c r="G952" s="25">
        <v>1039853</v>
      </c>
      <c r="H952" s="12">
        <f t="shared" si="39"/>
        <v>0</v>
      </c>
      <c r="I952" s="14">
        <v>45025</v>
      </c>
      <c r="J952" s="12" t="s">
        <v>18</v>
      </c>
      <c r="K952" s="12" t="s">
        <v>19</v>
      </c>
      <c r="L952" s="12" t="s">
        <v>55</v>
      </c>
      <c r="M952" s="12">
        <v>235.07499999999999</v>
      </c>
      <c r="N952" s="12">
        <v>197.35300000000001</v>
      </c>
      <c r="O952" s="12">
        <v>3.7</v>
      </c>
      <c r="Q952" s="13">
        <f t="shared" si="40"/>
        <v>0.86816595744680858</v>
      </c>
    </row>
    <row r="953" spans="1:17" x14ac:dyDescent="0.25">
      <c r="A953" s="12">
        <f t="shared" si="38"/>
        <v>4</v>
      </c>
      <c r="B953" s="12">
        <v>2023</v>
      </c>
      <c r="C953" s="12">
        <v>7232</v>
      </c>
      <c r="D953" s="12">
        <v>1039988</v>
      </c>
      <c r="E953" s="12" t="s">
        <v>13</v>
      </c>
      <c r="F953" s="12" t="s">
        <v>14</v>
      </c>
      <c r="G953" s="25">
        <v>1039988</v>
      </c>
      <c r="H953" s="12">
        <f t="shared" si="39"/>
        <v>0</v>
      </c>
      <c r="I953" s="14">
        <v>45026</v>
      </c>
      <c r="J953" s="12" t="s">
        <v>18</v>
      </c>
      <c r="K953" s="12" t="s">
        <v>19</v>
      </c>
      <c r="L953" s="12" t="s">
        <v>55</v>
      </c>
      <c r="M953" s="12">
        <v>235.02099999999999</v>
      </c>
      <c r="N953" s="12">
        <v>199.626</v>
      </c>
      <c r="O953" s="12">
        <v>3.7</v>
      </c>
      <c r="P953" s="12">
        <v>12.4</v>
      </c>
      <c r="Q953" s="13">
        <f t="shared" si="40"/>
        <v>0.84724024247580565</v>
      </c>
    </row>
    <row r="954" spans="1:17" x14ac:dyDescent="0.25">
      <c r="A954" s="12">
        <f t="shared" si="38"/>
        <v>4</v>
      </c>
      <c r="B954" s="12">
        <v>2023</v>
      </c>
      <c r="C954" s="12">
        <v>7233</v>
      </c>
      <c r="D954" s="12">
        <v>1039990</v>
      </c>
      <c r="E954" s="12" t="s">
        <v>13</v>
      </c>
      <c r="F954" s="12" t="s">
        <v>14</v>
      </c>
      <c r="G954" s="25">
        <v>1039990</v>
      </c>
      <c r="H954" s="12">
        <f t="shared" si="39"/>
        <v>0</v>
      </c>
      <c r="I954" s="14">
        <v>45027</v>
      </c>
      <c r="J954" s="12" t="s">
        <v>38</v>
      </c>
      <c r="K954" s="12" t="s">
        <v>19</v>
      </c>
      <c r="L954" s="12" t="s">
        <v>55</v>
      </c>
      <c r="M954" s="12">
        <v>235.00800000000001</v>
      </c>
      <c r="N954" s="12">
        <v>200.768</v>
      </c>
      <c r="O954" s="12">
        <v>3.4</v>
      </c>
      <c r="Q954" s="13">
        <f t="shared" si="40"/>
        <v>0.83953206423481874</v>
      </c>
    </row>
    <row r="955" spans="1:17" x14ac:dyDescent="0.25">
      <c r="A955" s="12">
        <f t="shared" si="38"/>
        <v>4</v>
      </c>
      <c r="B955" s="12">
        <v>2023</v>
      </c>
      <c r="C955" s="12">
        <v>7234</v>
      </c>
      <c r="D955" s="12">
        <v>1040024</v>
      </c>
      <c r="E955" s="12" t="s">
        <v>13</v>
      </c>
      <c r="F955" s="12" t="s">
        <v>14</v>
      </c>
      <c r="G955" s="25">
        <v>1040024</v>
      </c>
      <c r="H955" s="12">
        <f t="shared" si="39"/>
        <v>0</v>
      </c>
      <c r="I955" s="14">
        <v>45028</v>
      </c>
      <c r="J955" s="12" t="s">
        <v>38</v>
      </c>
      <c r="K955" s="12" t="s">
        <v>19</v>
      </c>
      <c r="L955" s="12" t="s">
        <v>55</v>
      </c>
      <c r="M955" s="12">
        <v>235.00800000000001</v>
      </c>
      <c r="N955" s="12">
        <v>201.148</v>
      </c>
      <c r="O955" s="12">
        <v>3.8</v>
      </c>
      <c r="Q955" s="13">
        <f t="shared" si="40"/>
        <v>0.84939643691414812</v>
      </c>
    </row>
    <row r="956" spans="1:17" x14ac:dyDescent="0.25">
      <c r="A956" s="12">
        <f t="shared" si="38"/>
        <v>4</v>
      </c>
      <c r="B956" s="12">
        <v>2023</v>
      </c>
      <c r="C956" s="12">
        <v>7235</v>
      </c>
      <c r="D956" s="12">
        <v>1040150</v>
      </c>
      <c r="E956" s="12" t="s">
        <v>13</v>
      </c>
      <c r="F956" s="12" t="s">
        <v>14</v>
      </c>
      <c r="G956" s="25">
        <v>1040150</v>
      </c>
      <c r="H956" s="12">
        <f t="shared" si="39"/>
        <v>0</v>
      </c>
      <c r="I956" s="14">
        <v>45029</v>
      </c>
      <c r="J956" s="12" t="s">
        <v>38</v>
      </c>
      <c r="K956" s="12" t="s">
        <v>19</v>
      </c>
      <c r="L956" s="12" t="s">
        <v>55</v>
      </c>
      <c r="M956" s="12">
        <v>234.96899999999999</v>
      </c>
      <c r="N956" s="12">
        <v>196.87100000000001</v>
      </c>
      <c r="O956" s="12">
        <v>3.8</v>
      </c>
      <c r="Q956" s="13">
        <f t="shared" si="40"/>
        <v>0.85430283224400871</v>
      </c>
    </row>
    <row r="957" spans="1:17" x14ac:dyDescent="0.25">
      <c r="A957" s="12">
        <f t="shared" si="38"/>
        <v>4</v>
      </c>
      <c r="B957" s="12">
        <v>2023</v>
      </c>
      <c r="C957" s="12">
        <v>7236</v>
      </c>
      <c r="D957" s="12">
        <v>1040272</v>
      </c>
      <c r="E957" s="12" t="s">
        <v>13</v>
      </c>
      <c r="F957" s="12" t="s">
        <v>14</v>
      </c>
      <c r="G957" s="25">
        <v>1040272</v>
      </c>
      <c r="H957" s="12">
        <f t="shared" si="39"/>
        <v>0</v>
      </c>
      <c r="I957" s="14">
        <v>45030</v>
      </c>
      <c r="J957" s="12" t="s">
        <v>38</v>
      </c>
      <c r="K957" s="12" t="s">
        <v>19</v>
      </c>
      <c r="L957" s="12" t="s">
        <v>55</v>
      </c>
      <c r="M957" s="12">
        <v>234.96899999999999</v>
      </c>
      <c r="N957" s="12">
        <v>203.57</v>
      </c>
      <c r="O957" s="12">
        <v>4</v>
      </c>
      <c r="Q957" s="13">
        <f t="shared" si="40"/>
        <v>0.85591979847494548</v>
      </c>
    </row>
    <row r="958" spans="1:17" x14ac:dyDescent="0.25">
      <c r="A958" s="12">
        <f t="shared" si="38"/>
        <v>4</v>
      </c>
      <c r="B958" s="12">
        <v>2023</v>
      </c>
      <c r="C958" s="12">
        <v>7237</v>
      </c>
      <c r="D958" s="12">
        <v>1040358</v>
      </c>
      <c r="E958" s="12" t="s">
        <v>13</v>
      </c>
      <c r="F958" s="12" t="s">
        <v>14</v>
      </c>
      <c r="G958" s="25">
        <v>1040358</v>
      </c>
      <c r="H958" s="12">
        <f t="shared" si="39"/>
        <v>0</v>
      </c>
      <c r="I958" s="14">
        <v>45031</v>
      </c>
      <c r="J958" s="12" t="s">
        <v>38</v>
      </c>
      <c r="K958" s="12" t="s">
        <v>19</v>
      </c>
      <c r="L958" s="12" t="s">
        <v>55</v>
      </c>
      <c r="M958" s="12">
        <v>234.99799999999999</v>
      </c>
      <c r="N958" s="12">
        <v>198.703</v>
      </c>
      <c r="O958" s="12">
        <v>3.5</v>
      </c>
      <c r="P958" s="12">
        <v>12.2</v>
      </c>
      <c r="Q958" s="13">
        <f t="shared" si="40"/>
        <v>0.83785946231204977</v>
      </c>
    </row>
    <row r="959" spans="1:17" x14ac:dyDescent="0.25">
      <c r="A959" s="12">
        <f t="shared" si="38"/>
        <v>4</v>
      </c>
      <c r="B959" s="12">
        <v>2023</v>
      </c>
      <c r="C959" s="12">
        <v>7238</v>
      </c>
      <c r="D959" s="12">
        <v>1040473</v>
      </c>
      <c r="E959" s="12" t="s">
        <v>13</v>
      </c>
      <c r="F959" s="12" t="s">
        <v>14</v>
      </c>
      <c r="G959" s="25">
        <v>1040473</v>
      </c>
      <c r="H959" s="12">
        <f t="shared" si="39"/>
        <v>0</v>
      </c>
      <c r="I959" s="14">
        <v>45032</v>
      </c>
      <c r="J959" s="12" t="s">
        <v>18</v>
      </c>
      <c r="K959" s="12" t="s">
        <v>20</v>
      </c>
      <c r="L959" s="12" t="s">
        <v>79</v>
      </c>
      <c r="M959" s="12">
        <v>235.00800000000001</v>
      </c>
      <c r="N959" s="12">
        <v>204.94800000000001</v>
      </c>
      <c r="O959" s="12">
        <v>4.2</v>
      </c>
      <c r="Q959" s="13">
        <f t="shared" si="40"/>
        <v>0.86636960620337156</v>
      </c>
    </row>
    <row r="960" spans="1:17" x14ac:dyDescent="0.25">
      <c r="A960" s="12">
        <f t="shared" si="38"/>
        <v>4</v>
      </c>
      <c r="B960" s="12">
        <v>2023</v>
      </c>
      <c r="C960" s="12">
        <v>7239</v>
      </c>
      <c r="D960" s="12">
        <v>1040558</v>
      </c>
      <c r="E960" s="12" t="s">
        <v>13</v>
      </c>
      <c r="F960" s="12" t="s">
        <v>14</v>
      </c>
      <c r="G960" s="25">
        <v>1040558</v>
      </c>
      <c r="H960" s="12">
        <f t="shared" si="39"/>
        <v>0</v>
      </c>
      <c r="I960" s="14">
        <v>45033</v>
      </c>
      <c r="J960" s="12" t="s">
        <v>18</v>
      </c>
      <c r="K960" s="12" t="s">
        <v>20</v>
      </c>
      <c r="L960" s="12" t="s">
        <v>79</v>
      </c>
      <c r="M960" s="12">
        <v>235.00700000000001</v>
      </c>
      <c r="N960" s="12">
        <v>206.821</v>
      </c>
      <c r="O960" s="12">
        <v>4.4000000000000004</v>
      </c>
      <c r="Q960" s="13">
        <f t="shared" si="40"/>
        <v>0.84555187703725143</v>
      </c>
    </row>
    <row r="961" spans="1:17" x14ac:dyDescent="0.25">
      <c r="A961" s="12">
        <f t="shared" si="38"/>
        <v>4</v>
      </c>
      <c r="B961" s="12">
        <v>2023</v>
      </c>
      <c r="C961" s="12">
        <v>7240</v>
      </c>
      <c r="D961" s="12">
        <v>1040559</v>
      </c>
      <c r="E961" s="12" t="s">
        <v>13</v>
      </c>
      <c r="F961" s="12" t="s">
        <v>14</v>
      </c>
      <c r="G961" s="25">
        <v>1040559</v>
      </c>
      <c r="H961" s="12">
        <f t="shared" si="39"/>
        <v>0</v>
      </c>
      <c r="I961" s="14">
        <v>45034</v>
      </c>
      <c r="J961" s="12" t="s">
        <v>37</v>
      </c>
      <c r="K961" s="12" t="s">
        <v>19</v>
      </c>
      <c r="L961" s="12" t="s">
        <v>55</v>
      </c>
      <c r="M961" s="12">
        <v>235.00399999999999</v>
      </c>
      <c r="N961" s="12">
        <v>199.16800000000001</v>
      </c>
      <c r="O961" s="12">
        <v>5.3</v>
      </c>
      <c r="Q961" s="13">
        <f t="shared" si="40"/>
        <v>0.87208946078431371</v>
      </c>
    </row>
    <row r="962" spans="1:17" x14ac:dyDescent="0.25">
      <c r="A962" s="12">
        <f t="shared" si="38"/>
        <v>4</v>
      </c>
      <c r="B962" s="12">
        <v>2023</v>
      </c>
      <c r="C962" s="12">
        <v>7241</v>
      </c>
      <c r="D962" s="12">
        <v>1040560</v>
      </c>
      <c r="E962" s="12" t="s">
        <v>13</v>
      </c>
      <c r="F962" s="12" t="s">
        <v>14</v>
      </c>
      <c r="G962" s="25">
        <v>1040560</v>
      </c>
      <c r="H962" s="12">
        <f t="shared" si="39"/>
        <v>0</v>
      </c>
      <c r="I962" s="14">
        <v>45035</v>
      </c>
      <c r="J962" s="12" t="s">
        <v>37</v>
      </c>
      <c r="K962" s="12" t="s">
        <v>19</v>
      </c>
      <c r="L962" s="12" t="s">
        <v>55</v>
      </c>
      <c r="M962" s="12">
        <v>235.00299999999999</v>
      </c>
      <c r="N962" s="12">
        <v>198.53299999999999</v>
      </c>
      <c r="O962" s="12">
        <v>4.0999999999999996</v>
      </c>
      <c r="Q962" s="13">
        <f t="shared" si="40"/>
        <v>0.88006314705519406</v>
      </c>
    </row>
    <row r="963" spans="1:17" x14ac:dyDescent="0.25">
      <c r="A963" s="12">
        <f t="shared" ref="A963:A1026" si="41">MONTH(I963)</f>
        <v>4</v>
      </c>
      <c r="B963" s="12">
        <v>2023</v>
      </c>
      <c r="C963" s="12">
        <v>7242</v>
      </c>
      <c r="D963" s="12">
        <v>1040561</v>
      </c>
      <c r="E963" s="12" t="s">
        <v>13</v>
      </c>
      <c r="F963" s="12" t="s">
        <v>14</v>
      </c>
      <c r="G963" s="25">
        <v>1040561</v>
      </c>
      <c r="H963" s="12">
        <f t="shared" si="39"/>
        <v>0</v>
      </c>
      <c r="I963" s="14">
        <v>45036</v>
      </c>
      <c r="J963" s="12" t="s">
        <v>37</v>
      </c>
      <c r="K963" s="12" t="s">
        <v>19</v>
      </c>
      <c r="L963" s="12" t="s">
        <v>55</v>
      </c>
      <c r="M963" s="12">
        <v>235.017</v>
      </c>
      <c r="N963" s="12">
        <v>199.744</v>
      </c>
      <c r="O963" s="12">
        <v>4.2</v>
      </c>
      <c r="P963" s="12">
        <v>12.3</v>
      </c>
      <c r="Q963" s="13">
        <f t="shared" si="40"/>
        <v>0.84750897857057761</v>
      </c>
    </row>
    <row r="964" spans="1:17" x14ac:dyDescent="0.25">
      <c r="A964" s="12">
        <f t="shared" si="41"/>
        <v>4</v>
      </c>
      <c r="B964" s="12">
        <v>2023</v>
      </c>
      <c r="C964" s="12">
        <v>7243</v>
      </c>
      <c r="D964" s="12">
        <v>1040806</v>
      </c>
      <c r="E964" s="12" t="s">
        <v>13</v>
      </c>
      <c r="F964" s="12" t="s">
        <v>14</v>
      </c>
      <c r="G964" s="25">
        <v>1040806</v>
      </c>
      <c r="H964" s="12">
        <f t="shared" si="39"/>
        <v>0</v>
      </c>
      <c r="I964" s="14">
        <v>45037</v>
      </c>
      <c r="J964" s="12" t="s">
        <v>37</v>
      </c>
      <c r="K964" s="12" t="s">
        <v>19</v>
      </c>
      <c r="L964" s="12" t="s">
        <v>55</v>
      </c>
      <c r="M964" s="12">
        <v>235.006</v>
      </c>
      <c r="N964" s="12">
        <v>198.37899999999999</v>
      </c>
      <c r="O964" s="12">
        <v>3.5</v>
      </c>
      <c r="Q964" s="13">
        <f t="shared" si="40"/>
        <v>0.84481049178095602</v>
      </c>
    </row>
    <row r="965" spans="1:17" x14ac:dyDescent="0.25">
      <c r="A965" s="12">
        <f t="shared" si="41"/>
        <v>4</v>
      </c>
      <c r="B965" s="12">
        <v>2023</v>
      </c>
      <c r="C965" s="12">
        <v>7244</v>
      </c>
      <c r="D965" s="12">
        <v>1040940</v>
      </c>
      <c r="E965" s="12" t="s">
        <v>13</v>
      </c>
      <c r="F965" s="12" t="s">
        <v>14</v>
      </c>
      <c r="G965" s="25">
        <v>1040940</v>
      </c>
      <c r="H965" s="12">
        <f t="shared" si="39"/>
        <v>0</v>
      </c>
      <c r="I965" s="14">
        <v>45038</v>
      </c>
      <c r="J965" s="12" t="s">
        <v>37</v>
      </c>
      <c r="K965" s="12" t="s">
        <v>19</v>
      </c>
      <c r="L965" s="12" t="s">
        <v>55</v>
      </c>
      <c r="M965" s="12">
        <v>235.005</v>
      </c>
      <c r="N965" s="12">
        <v>211.60499999999999</v>
      </c>
      <c r="O965" s="12">
        <v>4.5</v>
      </c>
      <c r="Q965" s="13">
        <f t="shared" si="40"/>
        <v>0.84991298501810508</v>
      </c>
    </row>
    <row r="966" spans="1:17" x14ac:dyDescent="0.25">
      <c r="A966" s="12">
        <f t="shared" si="41"/>
        <v>4</v>
      </c>
      <c r="B966" s="12">
        <v>2023</v>
      </c>
      <c r="C966" s="12">
        <v>7245</v>
      </c>
      <c r="D966" s="12">
        <v>1040979</v>
      </c>
      <c r="E966" s="12" t="s">
        <v>13</v>
      </c>
      <c r="F966" s="12" t="s">
        <v>14</v>
      </c>
      <c r="G966" s="25">
        <v>1040979</v>
      </c>
      <c r="H966" s="12">
        <f t="shared" si="39"/>
        <v>0</v>
      </c>
      <c r="I966" s="14">
        <v>45039</v>
      </c>
      <c r="J966" s="12" t="s">
        <v>18</v>
      </c>
      <c r="K966" s="12" t="s">
        <v>19</v>
      </c>
      <c r="L966" s="12" t="s">
        <v>55</v>
      </c>
      <c r="M966" s="12">
        <v>235.00800000000001</v>
      </c>
      <c r="N966" s="12">
        <v>193.82400000000001</v>
      </c>
      <c r="O966" s="12">
        <v>4</v>
      </c>
      <c r="Q966" s="13">
        <f t="shared" si="40"/>
        <v>0.84414440482370656</v>
      </c>
    </row>
    <row r="967" spans="1:17" x14ac:dyDescent="0.25">
      <c r="A967" s="12">
        <f t="shared" si="41"/>
        <v>4</v>
      </c>
      <c r="B967" s="12">
        <v>2023</v>
      </c>
      <c r="C967" s="12">
        <v>7246</v>
      </c>
      <c r="D967" s="12">
        <v>1040980</v>
      </c>
      <c r="E967" s="12" t="s">
        <v>13</v>
      </c>
      <c r="F967" s="12" t="s">
        <v>14</v>
      </c>
      <c r="G967" s="25">
        <v>1040980</v>
      </c>
      <c r="H967" s="12">
        <f t="shared" si="39"/>
        <v>0</v>
      </c>
      <c r="I967" s="14">
        <v>45040</v>
      </c>
      <c r="J967" s="12" t="s">
        <v>18</v>
      </c>
      <c r="K967" s="12" t="s">
        <v>19</v>
      </c>
      <c r="L967" s="12" t="s">
        <v>55</v>
      </c>
      <c r="M967" s="12">
        <v>235.00700000000001</v>
      </c>
      <c r="N967" s="12">
        <v>208.70500000000001</v>
      </c>
      <c r="O967" s="12">
        <v>4.5999999999999996</v>
      </c>
      <c r="Q967" s="13">
        <f t="shared" si="40"/>
        <v>0.90042765047552176</v>
      </c>
    </row>
    <row r="968" spans="1:17" x14ac:dyDescent="0.25">
      <c r="A968" s="12">
        <f t="shared" si="41"/>
        <v>4</v>
      </c>
      <c r="B968" s="12">
        <v>2023</v>
      </c>
      <c r="C968" s="12">
        <v>7247</v>
      </c>
      <c r="D968" s="12">
        <v>1040982</v>
      </c>
      <c r="E968" s="12" t="s">
        <v>13</v>
      </c>
      <c r="F968" s="12" t="s">
        <v>14</v>
      </c>
      <c r="G968" s="25">
        <v>1040982</v>
      </c>
      <c r="H968" s="12">
        <f t="shared" si="39"/>
        <v>0</v>
      </c>
      <c r="I968" s="14">
        <v>45041</v>
      </c>
      <c r="J968" s="12" t="s">
        <v>18</v>
      </c>
      <c r="K968" s="12" t="s">
        <v>19</v>
      </c>
      <c r="L968" s="12" t="s">
        <v>55</v>
      </c>
      <c r="M968" s="12">
        <v>235.01900000000001</v>
      </c>
      <c r="N968" s="12">
        <v>199.18799999999999</v>
      </c>
      <c r="O968" s="12">
        <v>4.7</v>
      </c>
      <c r="P968" s="12">
        <v>11.4</v>
      </c>
      <c r="Q968" s="13">
        <f t="shared" si="40"/>
        <v>0.82475490196078438</v>
      </c>
    </row>
    <row r="969" spans="1:17" x14ac:dyDescent="0.25">
      <c r="A969" s="12">
        <f t="shared" si="41"/>
        <v>4</v>
      </c>
      <c r="B969" s="12">
        <v>2023</v>
      </c>
      <c r="C969" s="12">
        <v>7248</v>
      </c>
      <c r="D969" s="12">
        <v>1041327</v>
      </c>
      <c r="E969" s="12" t="s">
        <v>13</v>
      </c>
      <c r="F969" s="12" t="s">
        <v>14</v>
      </c>
      <c r="G969" s="25">
        <v>1041327</v>
      </c>
      <c r="H969" s="12">
        <f t="shared" si="39"/>
        <v>0</v>
      </c>
      <c r="I969" s="14">
        <v>45042</v>
      </c>
      <c r="J969" s="12" t="s">
        <v>18</v>
      </c>
      <c r="K969" s="12" t="s">
        <v>19</v>
      </c>
      <c r="L969" s="12" t="s">
        <v>55</v>
      </c>
      <c r="M969" s="12">
        <v>235.00649999999999</v>
      </c>
      <c r="N969" s="12">
        <v>199.572</v>
      </c>
      <c r="O969" s="12">
        <v>4.4000000000000004</v>
      </c>
      <c r="Q969" s="13">
        <f t="shared" si="40"/>
        <v>0.88807992953401393</v>
      </c>
    </row>
    <row r="970" spans="1:17" x14ac:dyDescent="0.25">
      <c r="A970" s="12">
        <f t="shared" si="41"/>
        <v>4</v>
      </c>
      <c r="B970" s="12">
        <v>2023</v>
      </c>
      <c r="C970" s="12">
        <v>7249</v>
      </c>
      <c r="D970" s="12">
        <v>1041476</v>
      </c>
      <c r="E970" s="12" t="s">
        <v>13</v>
      </c>
      <c r="F970" s="12" t="s">
        <v>14</v>
      </c>
      <c r="G970" s="25">
        <v>1041476</v>
      </c>
      <c r="H970" s="12">
        <f t="shared" si="39"/>
        <v>0</v>
      </c>
      <c r="I970" s="14">
        <v>45043</v>
      </c>
      <c r="J970" s="12" t="s">
        <v>18</v>
      </c>
      <c r="K970" s="12" t="s">
        <v>19</v>
      </c>
      <c r="L970" s="12" t="s">
        <v>55</v>
      </c>
      <c r="M970" s="12">
        <v>235.006</v>
      </c>
      <c r="N970" s="12">
        <v>203.11799999999999</v>
      </c>
      <c r="O970" s="12">
        <v>4.3</v>
      </c>
      <c r="Q970" s="13">
        <f t="shared" si="40"/>
        <v>0.84753998612878101</v>
      </c>
    </row>
    <row r="971" spans="1:17" x14ac:dyDescent="0.25">
      <c r="A971" s="12">
        <f t="shared" si="41"/>
        <v>4</v>
      </c>
      <c r="B971" s="12">
        <v>2023</v>
      </c>
      <c r="C971" s="12">
        <v>7250</v>
      </c>
      <c r="D971" s="20">
        <v>1041591</v>
      </c>
      <c r="E971" s="12" t="s">
        <v>13</v>
      </c>
      <c r="F971" s="12" t="s">
        <v>14</v>
      </c>
      <c r="G971" s="25"/>
      <c r="H971" s="12">
        <f t="shared" si="39"/>
        <v>1041591</v>
      </c>
      <c r="I971" s="14">
        <v>45044</v>
      </c>
      <c r="J971" s="12" t="s">
        <v>17</v>
      </c>
      <c r="K971" s="12" t="s">
        <v>19</v>
      </c>
      <c r="L971" s="12" t="s">
        <v>81</v>
      </c>
      <c r="M971" s="12">
        <v>229.995</v>
      </c>
      <c r="N971" s="12">
        <v>195.98699999999999</v>
      </c>
      <c r="P971" s="12">
        <v>12.4</v>
      </c>
      <c r="Q971" s="13">
        <f t="shared" si="40"/>
        <v>0.84921906415354476</v>
      </c>
    </row>
    <row r="972" spans="1:17" x14ac:dyDescent="0.25">
      <c r="A972" s="12">
        <f t="shared" si="41"/>
        <v>4</v>
      </c>
      <c r="B972" s="12">
        <v>2023</v>
      </c>
      <c r="C972" s="12">
        <v>7251</v>
      </c>
      <c r="D972" s="12">
        <v>1041685</v>
      </c>
      <c r="E972" s="12" t="s">
        <v>13</v>
      </c>
      <c r="F972" s="12" t="s">
        <v>14</v>
      </c>
      <c r="G972" s="25">
        <v>1041685</v>
      </c>
      <c r="H972" s="12">
        <f t="shared" si="39"/>
        <v>0</v>
      </c>
      <c r="I972" s="14">
        <v>45045</v>
      </c>
      <c r="J972" s="12" t="s">
        <v>17</v>
      </c>
      <c r="K972" s="12" t="s">
        <v>20</v>
      </c>
      <c r="L972" s="12" t="s">
        <v>80</v>
      </c>
      <c r="M972" s="12">
        <v>230.01599999999999</v>
      </c>
      <c r="N972" s="12">
        <v>196.70400000000001</v>
      </c>
      <c r="O972" s="12">
        <v>5.2</v>
      </c>
      <c r="P972" s="12">
        <v>10.8</v>
      </c>
      <c r="Q972" s="13">
        <f t="shared" si="40"/>
        <v>0.86430984740815131</v>
      </c>
    </row>
    <row r="973" spans="1:17" x14ac:dyDescent="0.25">
      <c r="A973" s="12">
        <f t="shared" si="41"/>
        <v>4</v>
      </c>
      <c r="B973" s="12">
        <v>2023</v>
      </c>
      <c r="C973" s="12">
        <v>7252</v>
      </c>
      <c r="D973" s="12">
        <v>1041797</v>
      </c>
      <c r="E973" s="12" t="s">
        <v>13</v>
      </c>
      <c r="F973" s="12" t="s">
        <v>14</v>
      </c>
      <c r="G973" s="25">
        <v>1041797</v>
      </c>
      <c r="H973" s="12">
        <f t="shared" si="39"/>
        <v>0</v>
      </c>
      <c r="I973" s="14">
        <v>45046</v>
      </c>
      <c r="J973" s="12" t="s">
        <v>18</v>
      </c>
      <c r="K973" s="12" t="s">
        <v>19</v>
      </c>
      <c r="L973" s="12" t="s">
        <v>55</v>
      </c>
      <c r="M973" s="12">
        <v>235.00800000000001</v>
      </c>
      <c r="N973" s="12">
        <v>202.488</v>
      </c>
      <c r="O973" s="12">
        <v>4.5999999999999996</v>
      </c>
      <c r="Q973" s="13">
        <f t="shared" si="40"/>
        <v>0.85213591599817384</v>
      </c>
    </row>
    <row r="974" spans="1:17" x14ac:dyDescent="0.25">
      <c r="A974" s="12">
        <f t="shared" si="41"/>
        <v>5</v>
      </c>
      <c r="B974" s="12">
        <v>2023</v>
      </c>
      <c r="C974" s="12">
        <v>7253</v>
      </c>
      <c r="D974" s="12">
        <v>1041848</v>
      </c>
      <c r="E974" s="12" t="s">
        <v>13</v>
      </c>
      <c r="F974" s="12" t="s">
        <v>14</v>
      </c>
      <c r="G974" s="25">
        <v>1041848</v>
      </c>
      <c r="H974" s="12">
        <f t="shared" si="39"/>
        <v>0</v>
      </c>
      <c r="I974" s="14">
        <v>45047</v>
      </c>
      <c r="J974" s="12" t="s">
        <v>19</v>
      </c>
      <c r="K974" s="12" t="s">
        <v>55</v>
      </c>
      <c r="L974" s="12" t="s">
        <v>18</v>
      </c>
      <c r="M974" s="12">
        <v>235.00800000000001</v>
      </c>
      <c r="N974" s="12">
        <v>203.20500000000001</v>
      </c>
      <c r="O974" s="12">
        <v>3.3</v>
      </c>
      <c r="Q974" s="13">
        <f t="shared" si="40"/>
        <v>0.85517529215358934</v>
      </c>
    </row>
    <row r="975" spans="1:17" x14ac:dyDescent="0.25">
      <c r="A975" s="12">
        <f t="shared" si="41"/>
        <v>5</v>
      </c>
      <c r="B975" s="12">
        <v>2023</v>
      </c>
      <c r="C975" s="12">
        <v>7254</v>
      </c>
      <c r="D975" s="12">
        <v>1041850</v>
      </c>
      <c r="E975" s="12" t="s">
        <v>13</v>
      </c>
      <c r="F975" s="12" t="s">
        <v>14</v>
      </c>
      <c r="G975" s="25">
        <v>1041850</v>
      </c>
      <c r="H975" s="12">
        <f t="shared" si="39"/>
        <v>0</v>
      </c>
      <c r="I975" s="14">
        <v>45048</v>
      </c>
      <c r="J975" s="12" t="s">
        <v>19</v>
      </c>
      <c r="K975" s="12" t="s">
        <v>55</v>
      </c>
      <c r="L975" s="12" t="s">
        <v>18</v>
      </c>
      <c r="M975" s="12">
        <v>234.97399999999999</v>
      </c>
      <c r="N975" s="12">
        <v>198.11</v>
      </c>
      <c r="O975" s="12">
        <v>3.9</v>
      </c>
      <c r="P975" s="12">
        <v>11.6</v>
      </c>
      <c r="Q975" s="13">
        <f t="shared" si="40"/>
        <v>0.86162173202614378</v>
      </c>
    </row>
    <row r="976" spans="1:17" x14ac:dyDescent="0.25">
      <c r="A976" s="12">
        <f t="shared" si="41"/>
        <v>5</v>
      </c>
      <c r="B976" s="12">
        <v>2023</v>
      </c>
      <c r="C976" s="12">
        <v>7255</v>
      </c>
      <c r="D976" s="12">
        <v>1042000</v>
      </c>
      <c r="E976" s="12" t="s">
        <v>13</v>
      </c>
      <c r="F976" s="12" t="s">
        <v>14</v>
      </c>
      <c r="G976" s="25">
        <v>1042000</v>
      </c>
      <c r="H976" s="12">
        <f t="shared" si="39"/>
        <v>0</v>
      </c>
      <c r="I976" s="14">
        <v>45049</v>
      </c>
      <c r="J976" s="12" t="s">
        <v>19</v>
      </c>
      <c r="K976" s="12" t="s">
        <v>55</v>
      </c>
      <c r="L976" s="12" t="s">
        <v>18</v>
      </c>
      <c r="M976" s="12">
        <v>234.96899999999999</v>
      </c>
      <c r="N976" s="12">
        <v>194.31399999999999</v>
      </c>
      <c r="O976" s="12">
        <v>3.5</v>
      </c>
      <c r="Q976" s="13">
        <f t="shared" si="40"/>
        <v>0.86467269199346408</v>
      </c>
    </row>
    <row r="977" spans="1:17" x14ac:dyDescent="0.25">
      <c r="A977" s="12">
        <f t="shared" si="41"/>
        <v>5</v>
      </c>
      <c r="B977" s="12">
        <v>2023</v>
      </c>
      <c r="C977" s="12">
        <v>7256</v>
      </c>
      <c r="D977" s="12">
        <v>1042159</v>
      </c>
      <c r="E977" s="12" t="s">
        <v>13</v>
      </c>
      <c r="F977" s="12" t="s">
        <v>14</v>
      </c>
      <c r="G977" s="25">
        <v>1042159</v>
      </c>
      <c r="H977" s="12">
        <f t="shared" si="39"/>
        <v>0</v>
      </c>
      <c r="I977" s="14">
        <v>45050</v>
      </c>
      <c r="J977" s="12" t="s">
        <v>19</v>
      </c>
      <c r="K977" s="12" t="s">
        <v>55</v>
      </c>
      <c r="L977" s="12" t="s">
        <v>18</v>
      </c>
      <c r="M977" s="12">
        <v>234.96899999999999</v>
      </c>
      <c r="N977" s="12">
        <v>201.8</v>
      </c>
      <c r="O977" s="12">
        <v>4.4000000000000004</v>
      </c>
      <c r="Q977" s="13">
        <f t="shared" si="40"/>
        <v>0.84311455735528196</v>
      </c>
    </row>
    <row r="978" spans="1:17" x14ac:dyDescent="0.25">
      <c r="A978" s="12">
        <f t="shared" si="41"/>
        <v>5</v>
      </c>
      <c r="B978" s="12">
        <v>2023</v>
      </c>
      <c r="C978" s="12">
        <v>7257</v>
      </c>
      <c r="D978" s="12">
        <v>1042293</v>
      </c>
      <c r="E978" s="12" t="s">
        <v>13</v>
      </c>
      <c r="F978" s="12" t="s">
        <v>14</v>
      </c>
      <c r="G978" s="25">
        <v>1042293</v>
      </c>
      <c r="H978" s="12">
        <f t="shared" si="39"/>
        <v>0</v>
      </c>
      <c r="I978" s="14">
        <v>45051</v>
      </c>
      <c r="J978" s="12" t="s">
        <v>19</v>
      </c>
      <c r="K978" s="12" t="s">
        <v>55</v>
      </c>
      <c r="L978" s="12" t="s">
        <v>18</v>
      </c>
      <c r="M978" s="12">
        <v>234.96199999999999</v>
      </c>
      <c r="N978" s="12">
        <v>195.71199999999999</v>
      </c>
      <c r="O978" s="12">
        <v>3.7</v>
      </c>
      <c r="Q978" s="13">
        <f t="shared" si="40"/>
        <v>0.82697717571254081</v>
      </c>
    </row>
    <row r="979" spans="1:17" x14ac:dyDescent="0.25">
      <c r="A979" s="12">
        <f t="shared" si="41"/>
        <v>5</v>
      </c>
      <c r="B979" s="12">
        <v>2023</v>
      </c>
      <c r="C979" s="12">
        <v>7258</v>
      </c>
      <c r="D979" s="12">
        <v>1042410</v>
      </c>
      <c r="E979" s="12" t="s">
        <v>13</v>
      </c>
      <c r="F979" s="12" t="s">
        <v>14</v>
      </c>
      <c r="G979" s="25">
        <v>1042410</v>
      </c>
      <c r="H979" s="12">
        <f t="shared" si="39"/>
        <v>0</v>
      </c>
      <c r="I979" s="14">
        <v>45052</v>
      </c>
      <c r="J979" s="12" t="s">
        <v>19</v>
      </c>
      <c r="K979" s="12" t="s">
        <v>55</v>
      </c>
      <c r="L979" s="12" t="s">
        <v>18</v>
      </c>
      <c r="M979" s="12">
        <v>234.96299999999999</v>
      </c>
      <c r="N979" s="12">
        <v>199.005</v>
      </c>
      <c r="O979" s="12">
        <v>4.2</v>
      </c>
      <c r="Q979" s="13">
        <f t="shared" si="40"/>
        <v>0.85883669760691839</v>
      </c>
    </row>
    <row r="980" spans="1:17" x14ac:dyDescent="0.25">
      <c r="A980" s="12">
        <f t="shared" si="41"/>
        <v>5</v>
      </c>
      <c r="B980" s="12">
        <v>2023</v>
      </c>
      <c r="C980" s="12">
        <v>7259</v>
      </c>
      <c r="D980" s="12">
        <v>1042565</v>
      </c>
      <c r="E980" s="12" t="s">
        <v>13</v>
      </c>
      <c r="F980" s="12" t="s">
        <v>14</v>
      </c>
      <c r="G980" s="25">
        <v>1042565</v>
      </c>
      <c r="H980" s="12">
        <f t="shared" si="39"/>
        <v>0</v>
      </c>
      <c r="I980" s="14">
        <v>45053</v>
      </c>
      <c r="J980" s="12" t="s">
        <v>19</v>
      </c>
      <c r="K980" s="12" t="s">
        <v>55</v>
      </c>
      <c r="L980" s="12" t="s">
        <v>18</v>
      </c>
      <c r="M980" s="12">
        <v>235.05500000000001</v>
      </c>
      <c r="N980" s="12">
        <v>199.3</v>
      </c>
      <c r="O980" s="12">
        <v>3.6</v>
      </c>
      <c r="P980" s="12">
        <v>12.2</v>
      </c>
      <c r="Q980" s="13">
        <f t="shared" si="40"/>
        <v>0.83295171134055723</v>
      </c>
    </row>
    <row r="981" spans="1:17" x14ac:dyDescent="0.25">
      <c r="A981" s="12">
        <f t="shared" si="41"/>
        <v>5</v>
      </c>
      <c r="B981" s="12">
        <v>2023</v>
      </c>
      <c r="C981" s="12">
        <v>7260</v>
      </c>
      <c r="D981" s="12">
        <v>1042600</v>
      </c>
      <c r="E981" s="12" t="s">
        <v>13</v>
      </c>
      <c r="F981" s="12" t="s">
        <v>14</v>
      </c>
      <c r="G981" s="25">
        <v>1042600</v>
      </c>
      <c r="H981" s="12">
        <f t="shared" si="39"/>
        <v>0</v>
      </c>
      <c r="I981" s="14">
        <v>45054</v>
      </c>
      <c r="J981" s="12" t="s">
        <v>19</v>
      </c>
      <c r="K981" s="12" t="s">
        <v>55</v>
      </c>
      <c r="L981" s="12" t="s">
        <v>18</v>
      </c>
      <c r="M981" s="12">
        <v>235</v>
      </c>
      <c r="N981" s="12">
        <v>191.209</v>
      </c>
      <c r="O981" s="12">
        <v>3.9</v>
      </c>
      <c r="Q981" s="13">
        <f t="shared" si="40"/>
        <v>0.84696313887718488</v>
      </c>
    </row>
    <row r="982" spans="1:17" x14ac:dyDescent="0.25">
      <c r="A982" s="12">
        <f t="shared" si="41"/>
        <v>5</v>
      </c>
      <c r="B982" s="12">
        <v>2023</v>
      </c>
      <c r="C982" s="12">
        <v>7261</v>
      </c>
      <c r="D982" s="12">
        <v>1042601</v>
      </c>
      <c r="E982" s="12" t="s">
        <v>13</v>
      </c>
      <c r="F982" s="12" t="s">
        <v>14</v>
      </c>
      <c r="G982" s="25">
        <v>1042601</v>
      </c>
      <c r="H982" s="12">
        <f t="shared" si="39"/>
        <v>0</v>
      </c>
      <c r="I982" s="14">
        <v>45055</v>
      </c>
      <c r="J982" s="12" t="s">
        <v>19</v>
      </c>
      <c r="K982" s="12" t="s">
        <v>55</v>
      </c>
      <c r="L982" s="12" t="s">
        <v>18</v>
      </c>
      <c r="M982" s="12">
        <v>235</v>
      </c>
      <c r="N982" s="12">
        <v>209.84299999999999</v>
      </c>
      <c r="O982" s="12">
        <v>3.4</v>
      </c>
      <c r="Q982" s="13">
        <f t="shared" si="40"/>
        <v>0.84788666482312658</v>
      </c>
    </row>
    <row r="983" spans="1:17" x14ac:dyDescent="0.25">
      <c r="A983" s="12">
        <f t="shared" si="41"/>
        <v>5</v>
      </c>
      <c r="B983" s="12">
        <v>2023</v>
      </c>
      <c r="C983" s="12">
        <v>7262</v>
      </c>
      <c r="D983" s="12">
        <v>1042764</v>
      </c>
      <c r="E983" s="12" t="s">
        <v>13</v>
      </c>
      <c r="F983" s="12" t="s">
        <v>14</v>
      </c>
      <c r="G983" s="25">
        <v>1042764</v>
      </c>
      <c r="H983" s="12">
        <f t="shared" si="39"/>
        <v>0</v>
      </c>
      <c r="I983" s="14">
        <v>45056</v>
      </c>
      <c r="J983" s="12" t="s">
        <v>20</v>
      </c>
      <c r="K983" s="12" t="s">
        <v>79</v>
      </c>
      <c r="L983" s="12" t="s">
        <v>18</v>
      </c>
      <c r="M983" s="12">
        <v>235.001</v>
      </c>
      <c r="N983" s="12">
        <v>204.82</v>
      </c>
      <c r="O983" s="12">
        <v>4</v>
      </c>
      <c r="Q983" s="13">
        <f t="shared" si="40"/>
        <v>0.81365531914893618</v>
      </c>
    </row>
    <row r="984" spans="1:17" x14ac:dyDescent="0.25">
      <c r="A984" s="12">
        <f t="shared" si="41"/>
        <v>5</v>
      </c>
      <c r="B984" s="12">
        <v>2023</v>
      </c>
      <c r="C984" s="12">
        <v>7263</v>
      </c>
      <c r="D984" s="12">
        <v>1042768</v>
      </c>
      <c r="E984" s="12" t="s">
        <v>13</v>
      </c>
      <c r="F984" s="12" t="s">
        <v>14</v>
      </c>
      <c r="G984" s="25">
        <v>1042768</v>
      </c>
      <c r="H984" s="12">
        <f t="shared" si="39"/>
        <v>0</v>
      </c>
      <c r="I984" s="14">
        <v>45057</v>
      </c>
      <c r="J984" s="12" t="s">
        <v>20</v>
      </c>
      <c r="K984" s="12" t="s">
        <v>79</v>
      </c>
      <c r="L984" s="12" t="s">
        <v>18</v>
      </c>
      <c r="M984" s="12">
        <v>235.001</v>
      </c>
      <c r="N984" s="12">
        <v>195.96199999999999</v>
      </c>
      <c r="O984" s="12">
        <v>3.6</v>
      </c>
      <c r="Q984" s="13">
        <f t="shared" si="40"/>
        <v>0.89294893617021276</v>
      </c>
    </row>
    <row r="985" spans="1:17" x14ac:dyDescent="0.25">
      <c r="A985" s="12">
        <f t="shared" si="41"/>
        <v>5</v>
      </c>
      <c r="B985" s="12">
        <v>2023</v>
      </c>
      <c r="C985" s="12">
        <v>7264</v>
      </c>
      <c r="D985" s="12">
        <v>1042911</v>
      </c>
      <c r="E985" s="12" t="s">
        <v>13</v>
      </c>
      <c r="F985" s="12" t="s">
        <v>14</v>
      </c>
      <c r="G985" s="25">
        <v>1042911</v>
      </c>
      <c r="H985" s="12">
        <f t="shared" si="39"/>
        <v>0</v>
      </c>
      <c r="I985" s="14">
        <v>45058</v>
      </c>
      <c r="J985" s="12" t="s">
        <v>20</v>
      </c>
      <c r="K985" s="12" t="s">
        <v>53</v>
      </c>
      <c r="L985" s="12" t="s">
        <v>37</v>
      </c>
      <c r="M985" s="12">
        <v>235.005</v>
      </c>
      <c r="N985" s="12">
        <v>198.39500000000001</v>
      </c>
      <c r="O985" s="12">
        <v>4</v>
      </c>
      <c r="Q985" s="13">
        <f t="shared" si="40"/>
        <v>0.87157075927336469</v>
      </c>
    </row>
    <row r="986" spans="1:17" x14ac:dyDescent="0.25">
      <c r="A986" s="12">
        <f t="shared" si="41"/>
        <v>5</v>
      </c>
      <c r="B986" s="12">
        <v>2023</v>
      </c>
      <c r="C986" s="12">
        <v>7265</v>
      </c>
      <c r="D986" s="12">
        <v>1043061</v>
      </c>
      <c r="E986" s="12" t="s">
        <v>13</v>
      </c>
      <c r="F986" s="12" t="s">
        <v>14</v>
      </c>
      <c r="G986" s="25">
        <v>1043061</v>
      </c>
      <c r="H986" s="12">
        <f t="shared" si="39"/>
        <v>0</v>
      </c>
      <c r="I986" s="14">
        <v>45059</v>
      </c>
      <c r="J986" s="12" t="s">
        <v>20</v>
      </c>
      <c r="K986" s="12" t="s">
        <v>53</v>
      </c>
      <c r="L986" s="12" t="s">
        <v>37</v>
      </c>
      <c r="M986" s="12">
        <v>235.005</v>
      </c>
      <c r="N986" s="12">
        <v>195.911</v>
      </c>
      <c r="O986" s="12">
        <v>3.9</v>
      </c>
      <c r="Q986" s="13">
        <f t="shared" si="40"/>
        <v>0.83387730264977589</v>
      </c>
    </row>
    <row r="987" spans="1:17" x14ac:dyDescent="0.25">
      <c r="A987" s="12">
        <f t="shared" si="41"/>
        <v>5</v>
      </c>
      <c r="B987" s="12">
        <v>2023</v>
      </c>
      <c r="C987" s="12">
        <v>7266</v>
      </c>
      <c r="D987" s="12">
        <v>1043233</v>
      </c>
      <c r="E987" s="12" t="s">
        <v>13</v>
      </c>
      <c r="F987" s="12" t="s">
        <v>14</v>
      </c>
      <c r="G987" s="25">
        <v>1043233</v>
      </c>
      <c r="H987" s="12">
        <f t="shared" si="39"/>
        <v>0</v>
      </c>
      <c r="I987" s="14">
        <v>45060</v>
      </c>
      <c r="J987" s="12" t="s">
        <v>19</v>
      </c>
      <c r="K987" s="12" t="s">
        <v>55</v>
      </c>
      <c r="L987" s="12" t="s">
        <v>18</v>
      </c>
      <c r="M987" s="12">
        <v>235.072</v>
      </c>
      <c r="N987" s="12">
        <v>200.48099999999999</v>
      </c>
      <c r="O987" s="12">
        <v>4.8</v>
      </c>
      <c r="P987" s="12">
        <v>11.8</v>
      </c>
      <c r="Q987" s="13">
        <f t="shared" si="40"/>
        <v>0.84421608050892538</v>
      </c>
    </row>
    <row r="988" spans="1:17" x14ac:dyDescent="0.25">
      <c r="A988" s="12">
        <f t="shared" si="41"/>
        <v>5</v>
      </c>
      <c r="B988" s="12">
        <v>2023</v>
      </c>
      <c r="C988" s="12">
        <v>7267</v>
      </c>
      <c r="D988" s="12">
        <v>1043339</v>
      </c>
      <c r="E988" s="12" t="s">
        <v>13</v>
      </c>
      <c r="F988" s="12" t="s">
        <v>14</v>
      </c>
      <c r="G988" s="25">
        <v>1043339</v>
      </c>
      <c r="H988" s="12">
        <f t="shared" si="39"/>
        <v>0</v>
      </c>
      <c r="I988" s="14">
        <v>45061</v>
      </c>
      <c r="J988" s="12" t="s">
        <v>19</v>
      </c>
      <c r="K988" s="12" t="s">
        <v>55</v>
      </c>
      <c r="L988" s="12" t="s">
        <v>18</v>
      </c>
      <c r="M988" s="12">
        <v>235</v>
      </c>
      <c r="N988" s="12">
        <v>192.15899999999999</v>
      </c>
      <c r="O988" s="12">
        <v>4</v>
      </c>
      <c r="Q988" s="13">
        <f t="shared" si="40"/>
        <v>0.83364609263632694</v>
      </c>
    </row>
    <row r="989" spans="1:17" x14ac:dyDescent="0.25">
      <c r="A989" s="12">
        <f t="shared" si="41"/>
        <v>5</v>
      </c>
      <c r="B989" s="12">
        <v>2023</v>
      </c>
      <c r="C989" s="12">
        <v>7268</v>
      </c>
      <c r="D989" s="12">
        <v>1043340</v>
      </c>
      <c r="E989" s="12" t="s">
        <v>13</v>
      </c>
      <c r="F989" s="12" t="s">
        <v>14</v>
      </c>
      <c r="G989" s="25">
        <v>1043340</v>
      </c>
      <c r="H989" s="12">
        <f t="shared" si="39"/>
        <v>0</v>
      </c>
      <c r="I989" s="14">
        <v>45062</v>
      </c>
      <c r="J989" s="12" t="s">
        <v>19</v>
      </c>
      <c r="K989" s="12" t="s">
        <v>55</v>
      </c>
      <c r="L989" s="12" t="s">
        <v>18</v>
      </c>
      <c r="M989" s="12">
        <v>234.999</v>
      </c>
      <c r="N989" s="12">
        <v>205.96799999999999</v>
      </c>
      <c r="O989" s="12">
        <v>4.3</v>
      </c>
      <c r="Q989" s="13">
        <f t="shared" si="40"/>
        <v>0.85284933977674926</v>
      </c>
    </row>
    <row r="990" spans="1:17" x14ac:dyDescent="0.25">
      <c r="A990" s="12">
        <f t="shared" si="41"/>
        <v>5</v>
      </c>
      <c r="B990" s="12">
        <v>2023</v>
      </c>
      <c r="C990" s="12">
        <v>7269</v>
      </c>
      <c r="D990" s="12">
        <v>1043414</v>
      </c>
      <c r="E990" s="12" t="s">
        <v>13</v>
      </c>
      <c r="F990" s="12" t="s">
        <v>14</v>
      </c>
      <c r="G990" s="25">
        <v>1043414</v>
      </c>
      <c r="H990" s="12">
        <f t="shared" si="39"/>
        <v>0</v>
      </c>
      <c r="I990" s="14">
        <v>45063</v>
      </c>
      <c r="J990" s="12" t="s">
        <v>19</v>
      </c>
      <c r="K990" s="12" t="s">
        <v>55</v>
      </c>
      <c r="L990" s="12" t="s">
        <v>18</v>
      </c>
      <c r="M990" s="12">
        <v>234.99799999999999</v>
      </c>
      <c r="N990" s="12">
        <v>188.61199999999999</v>
      </c>
      <c r="O990" s="12">
        <v>3.7</v>
      </c>
      <c r="Q990" s="13">
        <f t="shared" si="40"/>
        <v>0.81769787234042546</v>
      </c>
    </row>
    <row r="991" spans="1:17" x14ac:dyDescent="0.25">
      <c r="A991" s="12">
        <f t="shared" si="41"/>
        <v>5</v>
      </c>
      <c r="B991" s="12">
        <v>2023</v>
      </c>
      <c r="C991" s="12">
        <v>7270</v>
      </c>
      <c r="D991" s="12">
        <v>1043423</v>
      </c>
      <c r="E991" s="12" t="s">
        <v>13</v>
      </c>
      <c r="F991" s="12" t="s">
        <v>14</v>
      </c>
      <c r="G991" s="25">
        <v>1043423</v>
      </c>
      <c r="H991" s="12">
        <f t="shared" si="39"/>
        <v>0</v>
      </c>
      <c r="I991" s="14">
        <v>45064</v>
      </c>
      <c r="J991" s="12" t="s">
        <v>19</v>
      </c>
      <c r="K991" s="12" t="s">
        <v>55</v>
      </c>
      <c r="L991" s="12" t="s">
        <v>18</v>
      </c>
      <c r="M991" s="12">
        <v>234.999</v>
      </c>
      <c r="N991" s="12">
        <v>206.47300000000001</v>
      </c>
      <c r="O991" s="12">
        <v>4.5999999999999996</v>
      </c>
      <c r="Q991" s="13">
        <f t="shared" si="40"/>
        <v>0.8764633040991664</v>
      </c>
    </row>
    <row r="992" spans="1:17" x14ac:dyDescent="0.25">
      <c r="A992" s="12">
        <f t="shared" si="41"/>
        <v>5</v>
      </c>
      <c r="B992" s="12">
        <v>2023</v>
      </c>
      <c r="C992" s="12">
        <v>7271</v>
      </c>
      <c r="D992" s="12">
        <v>1043628</v>
      </c>
      <c r="E992" s="12" t="s">
        <v>13</v>
      </c>
      <c r="F992" s="12" t="s">
        <v>14</v>
      </c>
      <c r="G992" s="25">
        <v>1043628</v>
      </c>
      <c r="H992" s="12">
        <f t="shared" si="39"/>
        <v>0</v>
      </c>
      <c r="I992" s="14">
        <v>45065</v>
      </c>
      <c r="J992" s="12" t="s">
        <v>20</v>
      </c>
      <c r="K992" s="12" t="s">
        <v>56</v>
      </c>
      <c r="L992" s="12" t="s">
        <v>37</v>
      </c>
      <c r="M992" s="12">
        <v>235.00700000000001</v>
      </c>
      <c r="N992" s="12">
        <v>189.38</v>
      </c>
      <c r="O992" s="12">
        <v>3.9</v>
      </c>
      <c r="Q992" s="13">
        <f t="shared" si="40"/>
        <v>0.80261108605179621</v>
      </c>
    </row>
    <row r="993" spans="1:17" x14ac:dyDescent="0.25">
      <c r="A993" s="12">
        <f t="shared" si="41"/>
        <v>5</v>
      </c>
      <c r="B993" s="12">
        <v>2023</v>
      </c>
      <c r="C993" s="12">
        <v>7272</v>
      </c>
      <c r="D993" s="12">
        <v>1043752</v>
      </c>
      <c r="E993" s="12" t="s">
        <v>13</v>
      </c>
      <c r="F993" s="12" t="s">
        <v>14</v>
      </c>
      <c r="G993" s="25">
        <v>1043752</v>
      </c>
      <c r="H993" s="12">
        <f t="shared" si="39"/>
        <v>0</v>
      </c>
      <c r="I993" s="14">
        <v>45066</v>
      </c>
      <c r="J993" s="12" t="s">
        <v>20</v>
      </c>
      <c r="K993" s="12" t="s">
        <v>56</v>
      </c>
      <c r="L993" s="12" t="s">
        <v>37</v>
      </c>
      <c r="M993" s="12">
        <v>235.00700000000001</v>
      </c>
      <c r="N993" s="12">
        <v>213.952</v>
      </c>
      <c r="O993" s="12">
        <v>5.2</v>
      </c>
      <c r="Q993" s="13">
        <f t="shared" si="40"/>
        <v>0.87861224941382732</v>
      </c>
    </row>
    <row r="994" spans="1:17" x14ac:dyDescent="0.25">
      <c r="A994" s="12">
        <f t="shared" si="41"/>
        <v>5</v>
      </c>
      <c r="B994" s="12">
        <v>2023</v>
      </c>
      <c r="C994" s="12">
        <v>7273</v>
      </c>
      <c r="D994" s="12">
        <v>1043925</v>
      </c>
      <c r="E994" s="12" t="s">
        <v>13</v>
      </c>
      <c r="F994" s="12" t="s">
        <v>14</v>
      </c>
      <c r="G994" s="25">
        <v>1043925</v>
      </c>
      <c r="H994" s="12">
        <f t="shared" ref="H994:H1057" si="42">D994-G994</f>
        <v>0</v>
      </c>
      <c r="I994" s="14">
        <v>45067</v>
      </c>
      <c r="J994" s="12" t="s">
        <v>19</v>
      </c>
      <c r="K994" s="12" t="s">
        <v>55</v>
      </c>
      <c r="L994" s="12" t="s">
        <v>38</v>
      </c>
      <c r="M994" s="12">
        <v>234.999</v>
      </c>
      <c r="N994" s="12">
        <v>200.17500000000001</v>
      </c>
      <c r="O994" s="12">
        <v>3.8</v>
      </c>
      <c r="Q994" s="13">
        <f t="shared" si="40"/>
        <v>0.80584833643253173</v>
      </c>
    </row>
    <row r="995" spans="1:17" x14ac:dyDescent="0.25">
      <c r="A995" s="12">
        <f t="shared" si="41"/>
        <v>5</v>
      </c>
      <c r="B995" s="12">
        <v>2023</v>
      </c>
      <c r="C995" s="12">
        <v>7274</v>
      </c>
      <c r="D995" s="12">
        <v>1044048</v>
      </c>
      <c r="E995" s="12" t="s">
        <v>13</v>
      </c>
      <c r="F995" s="12" t="s">
        <v>14</v>
      </c>
      <c r="G995" s="25">
        <v>1044048</v>
      </c>
      <c r="H995" s="12">
        <f t="shared" si="42"/>
        <v>0</v>
      </c>
      <c r="I995" s="14">
        <v>45068</v>
      </c>
      <c r="J995" s="12" t="s">
        <v>19</v>
      </c>
      <c r="K995" s="12" t="s">
        <v>55</v>
      </c>
      <c r="L995" s="12" t="s">
        <v>38</v>
      </c>
      <c r="M995" s="12">
        <v>235</v>
      </c>
      <c r="N995" s="12">
        <v>203.16800000000001</v>
      </c>
      <c r="O995" s="12">
        <v>4.7</v>
      </c>
      <c r="Q995" s="13">
        <f t="shared" si="40"/>
        <v>0.91040692404907086</v>
      </c>
    </row>
    <row r="996" spans="1:17" x14ac:dyDescent="0.25">
      <c r="A996" s="12">
        <f t="shared" si="41"/>
        <v>5</v>
      </c>
      <c r="B996" s="12">
        <v>2023</v>
      </c>
      <c r="C996" s="12">
        <v>7275</v>
      </c>
      <c r="D996" s="12">
        <v>1044050</v>
      </c>
      <c r="E996" s="12" t="s">
        <v>13</v>
      </c>
      <c r="F996" s="12" t="s">
        <v>14</v>
      </c>
      <c r="G996" s="25">
        <v>1044050</v>
      </c>
      <c r="H996" s="12">
        <f t="shared" si="42"/>
        <v>0</v>
      </c>
      <c r="I996" s="14">
        <v>45069</v>
      </c>
      <c r="J996" s="12" t="s">
        <v>19</v>
      </c>
      <c r="K996" s="12" t="s">
        <v>55</v>
      </c>
      <c r="L996" s="12" t="s">
        <v>38</v>
      </c>
      <c r="M996" s="12">
        <v>234.999</v>
      </c>
      <c r="N996" s="12">
        <v>186.4</v>
      </c>
      <c r="O996" s="12">
        <v>3.7</v>
      </c>
      <c r="Q996" s="13">
        <f t="shared" si="40"/>
        <v>0.85181213537078893</v>
      </c>
    </row>
    <row r="997" spans="1:17" x14ac:dyDescent="0.25">
      <c r="A997" s="12">
        <f t="shared" si="41"/>
        <v>5</v>
      </c>
      <c r="B997" s="12">
        <v>2023</v>
      </c>
      <c r="C997" s="12">
        <v>7276</v>
      </c>
      <c r="D997" s="12">
        <v>1044051</v>
      </c>
      <c r="E997" s="12" t="s">
        <v>13</v>
      </c>
      <c r="F997" s="12" t="s">
        <v>14</v>
      </c>
      <c r="G997" s="25">
        <v>1044051</v>
      </c>
      <c r="H997" s="12">
        <f t="shared" si="42"/>
        <v>0</v>
      </c>
      <c r="I997" s="14">
        <v>45070</v>
      </c>
      <c r="J997" s="12" t="s">
        <v>19</v>
      </c>
      <c r="K997" s="12" t="s">
        <v>55</v>
      </c>
      <c r="L997" s="12" t="s">
        <v>38</v>
      </c>
      <c r="M997" s="12">
        <v>235</v>
      </c>
      <c r="N997" s="12">
        <v>216.95400000000001</v>
      </c>
      <c r="O997" s="12">
        <v>5.8</v>
      </c>
      <c r="Q997" s="13">
        <f t="shared" si="40"/>
        <v>0.86454468085106384</v>
      </c>
    </row>
    <row r="998" spans="1:17" x14ac:dyDescent="0.25">
      <c r="A998" s="12">
        <f t="shared" si="41"/>
        <v>5</v>
      </c>
      <c r="B998" s="12">
        <v>2023</v>
      </c>
      <c r="C998" s="12">
        <v>7277</v>
      </c>
      <c r="D998" s="12">
        <v>1044052</v>
      </c>
      <c r="E998" s="12" t="s">
        <v>13</v>
      </c>
      <c r="F998" s="12" t="s">
        <v>14</v>
      </c>
      <c r="G998" s="25">
        <v>1044052</v>
      </c>
      <c r="H998" s="12">
        <f t="shared" si="42"/>
        <v>0</v>
      </c>
      <c r="I998" s="14">
        <v>45071</v>
      </c>
      <c r="J998" s="12" t="s">
        <v>19</v>
      </c>
      <c r="K998" s="12" t="s">
        <v>55</v>
      </c>
      <c r="L998" s="12" t="s">
        <v>38</v>
      </c>
      <c r="M998" s="12">
        <v>234.999</v>
      </c>
      <c r="N998" s="12">
        <v>193.28800000000001</v>
      </c>
      <c r="O998" s="12">
        <v>3.4</v>
      </c>
      <c r="Q998" s="13">
        <f t="shared" si="40"/>
        <v>0.79319486465899858</v>
      </c>
    </row>
    <row r="999" spans="1:17" x14ac:dyDescent="0.25">
      <c r="A999" s="12">
        <f t="shared" si="41"/>
        <v>5</v>
      </c>
      <c r="B999" s="12">
        <v>2023</v>
      </c>
      <c r="C999" s="12">
        <v>7278</v>
      </c>
      <c r="D999" s="12">
        <v>1044478</v>
      </c>
      <c r="E999" s="12" t="s">
        <v>13</v>
      </c>
      <c r="F999" s="12" t="s">
        <v>14</v>
      </c>
      <c r="G999" s="25">
        <v>1044478</v>
      </c>
      <c r="H999" s="12">
        <f t="shared" si="42"/>
        <v>0</v>
      </c>
      <c r="I999" s="14">
        <v>45072</v>
      </c>
      <c r="J999" s="12" t="s">
        <v>19</v>
      </c>
      <c r="K999" s="12" t="s">
        <v>55</v>
      </c>
      <c r="L999" s="12" t="s">
        <v>18</v>
      </c>
      <c r="M999" s="12">
        <v>235.006</v>
      </c>
      <c r="N999" s="12">
        <v>198.74600000000001</v>
      </c>
      <c r="O999" s="12">
        <v>4.2</v>
      </c>
      <c r="P999" s="12">
        <v>11.4</v>
      </c>
      <c r="Q999" s="13">
        <f t="shared" si="40"/>
        <v>0.9232085106382979</v>
      </c>
    </row>
    <row r="1000" spans="1:17" x14ac:dyDescent="0.25">
      <c r="A1000" s="12">
        <f t="shared" si="41"/>
        <v>5</v>
      </c>
      <c r="B1000" s="12">
        <v>2023</v>
      </c>
      <c r="C1000" s="12">
        <v>7279</v>
      </c>
      <c r="D1000" s="12">
        <v>1044479</v>
      </c>
      <c r="E1000" s="12" t="s">
        <v>13</v>
      </c>
      <c r="F1000" s="12" t="s">
        <v>14</v>
      </c>
      <c r="G1000" s="25">
        <v>1044479</v>
      </c>
      <c r="H1000" s="12">
        <f t="shared" si="42"/>
        <v>0</v>
      </c>
      <c r="I1000" s="14">
        <v>45073</v>
      </c>
      <c r="J1000" s="12" t="s">
        <v>19</v>
      </c>
      <c r="K1000" s="12" t="s">
        <v>55</v>
      </c>
      <c r="L1000" s="12" t="s">
        <v>18</v>
      </c>
      <c r="M1000" s="12">
        <v>235</v>
      </c>
      <c r="N1000" s="12">
        <v>197.934</v>
      </c>
      <c r="O1000" s="12">
        <v>4</v>
      </c>
      <c r="P1000" s="12">
        <v>11.9</v>
      </c>
      <c r="Q1000" s="13">
        <f t="shared" si="40"/>
        <v>0.82250562768352209</v>
      </c>
    </row>
    <row r="1001" spans="1:17" x14ac:dyDescent="0.25">
      <c r="A1001" s="12">
        <f t="shared" si="41"/>
        <v>5</v>
      </c>
      <c r="B1001" s="12">
        <v>2023</v>
      </c>
      <c r="C1001" s="12">
        <v>7280</v>
      </c>
      <c r="D1001" s="12">
        <v>1044480</v>
      </c>
      <c r="E1001" s="12" t="s">
        <v>13</v>
      </c>
      <c r="F1001" s="12" t="s">
        <v>14</v>
      </c>
      <c r="G1001" s="25">
        <v>1044480</v>
      </c>
      <c r="H1001" s="12">
        <f t="shared" si="42"/>
        <v>0</v>
      </c>
      <c r="I1001" s="14">
        <v>45074</v>
      </c>
      <c r="J1001" s="12" t="s">
        <v>19</v>
      </c>
      <c r="K1001" s="12" t="s">
        <v>55</v>
      </c>
      <c r="L1001" s="12" t="s">
        <v>18</v>
      </c>
      <c r="M1001" s="12">
        <v>235</v>
      </c>
      <c r="N1001" s="12">
        <v>199.64699999999999</v>
      </c>
      <c r="O1001" s="12">
        <v>5</v>
      </c>
      <c r="Q1001" s="13">
        <f t="shared" si="40"/>
        <v>0.84570606707913842</v>
      </c>
    </row>
    <row r="1002" spans="1:17" x14ac:dyDescent="0.25">
      <c r="A1002" s="12">
        <f t="shared" si="41"/>
        <v>5</v>
      </c>
      <c r="B1002" s="12">
        <v>2023</v>
      </c>
      <c r="C1002" s="12">
        <v>7281</v>
      </c>
      <c r="D1002" s="12">
        <v>1044481</v>
      </c>
      <c r="E1002" s="12" t="s">
        <v>13</v>
      </c>
      <c r="F1002" s="12" t="s">
        <v>14</v>
      </c>
      <c r="G1002" s="25">
        <v>1044481</v>
      </c>
      <c r="H1002" s="12">
        <f t="shared" si="42"/>
        <v>0</v>
      </c>
      <c r="I1002" s="14">
        <v>45075</v>
      </c>
      <c r="J1002" s="12" t="s">
        <v>19</v>
      </c>
      <c r="K1002" s="12" t="s">
        <v>55</v>
      </c>
      <c r="L1002" s="12" t="s">
        <v>18</v>
      </c>
      <c r="M1002" s="12">
        <v>235</v>
      </c>
      <c r="N1002" s="12">
        <v>198.40299999999999</v>
      </c>
      <c r="O1002" s="12">
        <v>4.5</v>
      </c>
      <c r="Q1002" s="13">
        <f t="shared" si="40"/>
        <v>0.8422723404255319</v>
      </c>
    </row>
    <row r="1003" spans="1:17" x14ac:dyDescent="0.25">
      <c r="A1003" s="12">
        <f t="shared" si="41"/>
        <v>5</v>
      </c>
      <c r="B1003" s="12">
        <v>2023</v>
      </c>
      <c r="C1003" s="12">
        <v>7282</v>
      </c>
      <c r="D1003" s="12">
        <v>1044794</v>
      </c>
      <c r="E1003" s="12" t="s">
        <v>13</v>
      </c>
      <c r="F1003" s="12" t="s">
        <v>14</v>
      </c>
      <c r="G1003" s="25">
        <v>1044794</v>
      </c>
      <c r="H1003" s="12">
        <f t="shared" si="42"/>
        <v>0</v>
      </c>
      <c r="I1003" s="14">
        <v>45076</v>
      </c>
      <c r="J1003" s="12" t="s">
        <v>19</v>
      </c>
      <c r="K1003" s="12" t="s">
        <v>55</v>
      </c>
      <c r="L1003" s="12" t="s">
        <v>18</v>
      </c>
      <c r="M1003" s="12">
        <v>234.999</v>
      </c>
      <c r="N1003" s="12">
        <v>196.517</v>
      </c>
      <c r="O1003" s="12">
        <v>5</v>
      </c>
      <c r="Q1003" s="13">
        <f t="shared" ref="Q1003:Q1066" si="43">N1001/M1001</f>
        <v>0.84956170212765958</v>
      </c>
    </row>
    <row r="1004" spans="1:17" x14ac:dyDescent="0.25">
      <c r="A1004" s="12">
        <f t="shared" si="41"/>
        <v>5</v>
      </c>
      <c r="B1004" s="12">
        <v>2023</v>
      </c>
      <c r="C1004" s="12">
        <v>7283</v>
      </c>
      <c r="D1004" s="12">
        <v>1044868</v>
      </c>
      <c r="E1004" s="12" t="s">
        <v>13</v>
      </c>
      <c r="F1004" s="12" t="s">
        <v>14</v>
      </c>
      <c r="G1004" s="25">
        <v>1044868</v>
      </c>
      <c r="H1004" s="12">
        <f t="shared" si="42"/>
        <v>0</v>
      </c>
      <c r="I1004" s="14">
        <v>45077</v>
      </c>
      <c r="J1004" s="12" t="s">
        <v>20</v>
      </c>
      <c r="K1004" s="12" t="s">
        <v>80</v>
      </c>
      <c r="L1004" s="12" t="s">
        <v>17</v>
      </c>
      <c r="M1004" s="12">
        <v>230.00899999999999</v>
      </c>
      <c r="N1004" s="12">
        <v>199.952</v>
      </c>
      <c r="O1004" s="12">
        <v>5.3</v>
      </c>
      <c r="P1004" s="12">
        <v>10.3</v>
      </c>
      <c r="Q1004" s="13">
        <f t="shared" si="43"/>
        <v>0.84426808510638296</v>
      </c>
    </row>
    <row r="1005" spans="1:17" x14ac:dyDescent="0.25">
      <c r="A1005" s="12">
        <f t="shared" si="41"/>
        <v>6</v>
      </c>
      <c r="B1005" s="12">
        <v>2023</v>
      </c>
      <c r="C1005" s="12">
        <v>7284</v>
      </c>
      <c r="D1005" s="12">
        <v>1045037</v>
      </c>
      <c r="E1005" s="12" t="s">
        <v>13</v>
      </c>
      <c r="F1005" s="12" t="s">
        <v>14</v>
      </c>
      <c r="G1005" s="25">
        <v>1045037</v>
      </c>
      <c r="H1005" s="12">
        <f t="shared" si="42"/>
        <v>0</v>
      </c>
      <c r="I1005" s="14">
        <v>45078</v>
      </c>
      <c r="J1005" s="12" t="s">
        <v>17</v>
      </c>
      <c r="K1005" s="12" t="s">
        <v>19</v>
      </c>
      <c r="L1005" s="12" t="s">
        <v>55</v>
      </c>
      <c r="M1005" s="12">
        <v>230</v>
      </c>
      <c r="N1005" s="12">
        <v>196.65199999999999</v>
      </c>
      <c r="O1005" s="12">
        <v>5</v>
      </c>
      <c r="Q1005" s="13">
        <f t="shared" si="43"/>
        <v>0.83624611168558161</v>
      </c>
    </row>
    <row r="1006" spans="1:17" x14ac:dyDescent="0.25">
      <c r="A1006" s="12">
        <f t="shared" si="41"/>
        <v>6</v>
      </c>
      <c r="B1006" s="12">
        <v>2023</v>
      </c>
      <c r="C1006" s="12">
        <v>7285</v>
      </c>
      <c r="D1006" s="12">
        <v>1045149</v>
      </c>
      <c r="E1006" s="12" t="s">
        <v>13</v>
      </c>
      <c r="F1006" s="12" t="s">
        <v>14</v>
      </c>
      <c r="G1006" s="25">
        <v>1045149</v>
      </c>
      <c r="H1006" s="12">
        <f t="shared" si="42"/>
        <v>0</v>
      </c>
      <c r="I1006" s="14">
        <v>45079</v>
      </c>
      <c r="J1006" s="12" t="s">
        <v>17</v>
      </c>
      <c r="K1006" s="12" t="s">
        <v>19</v>
      </c>
      <c r="L1006" s="12" t="s">
        <v>55</v>
      </c>
      <c r="M1006" s="12">
        <v>229.999</v>
      </c>
      <c r="N1006" s="12">
        <v>195.434</v>
      </c>
      <c r="O1006" s="12">
        <v>4.4000000000000004</v>
      </c>
      <c r="Q1006" s="13">
        <f t="shared" si="43"/>
        <v>0.86932250477155248</v>
      </c>
    </row>
    <row r="1007" spans="1:17" x14ac:dyDescent="0.25">
      <c r="A1007" s="12">
        <f t="shared" si="41"/>
        <v>6</v>
      </c>
      <c r="B1007" s="12">
        <v>2023</v>
      </c>
      <c r="C1007" s="12">
        <v>7286</v>
      </c>
      <c r="D1007" s="12">
        <v>1045251</v>
      </c>
      <c r="E1007" s="12" t="s">
        <v>13</v>
      </c>
      <c r="F1007" s="12" t="s">
        <v>14</v>
      </c>
      <c r="G1007" s="25">
        <v>1045251</v>
      </c>
      <c r="H1007" s="12">
        <f t="shared" si="42"/>
        <v>0</v>
      </c>
      <c r="I1007" s="14">
        <v>45080</v>
      </c>
      <c r="J1007" s="12" t="s">
        <v>17</v>
      </c>
      <c r="K1007" s="12" t="s">
        <v>19</v>
      </c>
      <c r="L1007" s="12" t="s">
        <v>55</v>
      </c>
      <c r="M1007" s="12">
        <v>230.00800000000001</v>
      </c>
      <c r="N1007" s="12">
        <v>204.15600000000001</v>
      </c>
      <c r="O1007" s="12">
        <v>4.2</v>
      </c>
      <c r="Q1007" s="13">
        <f t="shared" si="43"/>
        <v>0.85500869565217386</v>
      </c>
    </row>
    <row r="1008" spans="1:17" x14ac:dyDescent="0.25">
      <c r="A1008" s="12">
        <f t="shared" si="41"/>
        <v>6</v>
      </c>
      <c r="B1008" s="12">
        <v>2023</v>
      </c>
      <c r="C1008" s="12">
        <v>7287</v>
      </c>
      <c r="D1008" s="12">
        <v>1045377</v>
      </c>
      <c r="E1008" s="12" t="s">
        <v>13</v>
      </c>
      <c r="F1008" s="12" t="s">
        <v>14</v>
      </c>
      <c r="G1008" s="25">
        <v>1045377</v>
      </c>
      <c r="H1008" s="12">
        <f t="shared" si="42"/>
        <v>0</v>
      </c>
      <c r="I1008" s="14">
        <v>45081</v>
      </c>
      <c r="J1008" s="12" t="s">
        <v>17</v>
      </c>
      <c r="K1008" s="12" t="s">
        <v>19</v>
      </c>
      <c r="L1008" s="12" t="s">
        <v>55</v>
      </c>
      <c r="M1008" s="12">
        <v>230.00800000000001</v>
      </c>
      <c r="N1008" s="12">
        <v>187.363</v>
      </c>
      <c r="O1008" s="12">
        <v>3.5</v>
      </c>
      <c r="Q1008" s="13">
        <f t="shared" si="43"/>
        <v>0.84971673789886049</v>
      </c>
    </row>
    <row r="1009" spans="1:17" x14ac:dyDescent="0.25">
      <c r="A1009" s="12">
        <f t="shared" si="41"/>
        <v>6</v>
      </c>
      <c r="B1009" s="12">
        <v>2023</v>
      </c>
      <c r="C1009" s="12">
        <v>7288</v>
      </c>
      <c r="D1009" s="12">
        <v>1045488</v>
      </c>
      <c r="E1009" s="12" t="s">
        <v>13</v>
      </c>
      <c r="F1009" s="12" t="s">
        <v>14</v>
      </c>
      <c r="G1009" s="25">
        <v>1045488</v>
      </c>
      <c r="H1009" s="12">
        <f t="shared" si="42"/>
        <v>0</v>
      </c>
      <c r="I1009" s="14">
        <v>45082</v>
      </c>
      <c r="J1009" s="12" t="s">
        <v>17</v>
      </c>
      <c r="K1009" s="12" t="s">
        <v>19</v>
      </c>
      <c r="L1009" s="12" t="s">
        <v>55</v>
      </c>
      <c r="M1009" s="12">
        <v>230.00800000000001</v>
      </c>
      <c r="N1009" s="12">
        <v>196.27199999999999</v>
      </c>
      <c r="O1009" s="12">
        <v>4.0999999999999996</v>
      </c>
      <c r="P1009" s="12">
        <v>11.9</v>
      </c>
      <c r="Q1009" s="13">
        <f t="shared" si="43"/>
        <v>0.88760390942923728</v>
      </c>
    </row>
    <row r="1010" spans="1:17" x14ac:dyDescent="0.25">
      <c r="A1010" s="12">
        <f t="shared" si="41"/>
        <v>6</v>
      </c>
      <c r="B1010" s="12">
        <v>2023</v>
      </c>
      <c r="C1010" s="12">
        <v>7289</v>
      </c>
      <c r="D1010" s="12">
        <v>1045501</v>
      </c>
      <c r="E1010" s="12" t="s">
        <v>13</v>
      </c>
      <c r="F1010" s="12" t="s">
        <v>14</v>
      </c>
      <c r="G1010" s="25">
        <v>1045501</v>
      </c>
      <c r="H1010" s="12">
        <f t="shared" si="42"/>
        <v>0</v>
      </c>
      <c r="I1010" s="14">
        <v>45083</v>
      </c>
      <c r="J1010" s="12" t="s">
        <v>18</v>
      </c>
      <c r="K1010" s="12" t="s">
        <v>20</v>
      </c>
      <c r="L1010" s="12" t="s">
        <v>48</v>
      </c>
      <c r="M1010" s="12">
        <v>230.036</v>
      </c>
      <c r="N1010" s="12">
        <v>196.73</v>
      </c>
      <c r="O1010" s="12">
        <v>3.9</v>
      </c>
      <c r="P1010" s="12">
        <v>12</v>
      </c>
      <c r="Q1010" s="13">
        <f t="shared" si="43"/>
        <v>0.81459340544676706</v>
      </c>
    </row>
    <row r="1011" spans="1:17" x14ac:dyDescent="0.25">
      <c r="A1011" s="12">
        <f t="shared" si="41"/>
        <v>6</v>
      </c>
      <c r="B1011" s="12">
        <v>2023</v>
      </c>
      <c r="C1011" s="12">
        <v>7290</v>
      </c>
      <c r="D1011" s="12">
        <v>1045566</v>
      </c>
      <c r="E1011" s="12" t="s">
        <v>13</v>
      </c>
      <c r="F1011" s="12" t="s">
        <v>14</v>
      </c>
      <c r="G1011" s="25">
        <v>1045566</v>
      </c>
      <c r="H1011" s="12">
        <f t="shared" si="42"/>
        <v>0</v>
      </c>
      <c r="I1011" s="14">
        <v>45084</v>
      </c>
      <c r="J1011" s="12" t="s">
        <v>52</v>
      </c>
      <c r="K1011" s="12" t="s">
        <v>20</v>
      </c>
      <c r="L1011" s="12" t="s">
        <v>53</v>
      </c>
      <c r="M1011" s="12">
        <v>229.95099999999999</v>
      </c>
      <c r="N1011" s="12">
        <v>192.68100000000001</v>
      </c>
      <c r="O1011" s="12">
        <v>4.3</v>
      </c>
      <c r="P1011" s="12">
        <v>12</v>
      </c>
      <c r="Q1011" s="13">
        <f t="shared" si="43"/>
        <v>0.85332684080553711</v>
      </c>
    </row>
    <row r="1012" spans="1:17" x14ac:dyDescent="0.25">
      <c r="A1012" s="12">
        <f t="shared" si="41"/>
        <v>6</v>
      </c>
      <c r="B1012" s="12">
        <v>2023</v>
      </c>
      <c r="C1012" s="12">
        <v>7291</v>
      </c>
      <c r="D1012" s="12">
        <v>1045743</v>
      </c>
      <c r="E1012" s="12" t="s">
        <v>13</v>
      </c>
      <c r="F1012" s="12" t="s">
        <v>14</v>
      </c>
      <c r="G1012" s="25">
        <v>1045743</v>
      </c>
      <c r="H1012" s="12">
        <f t="shared" si="42"/>
        <v>0</v>
      </c>
      <c r="I1012" s="14">
        <v>45085</v>
      </c>
      <c r="J1012" s="12" t="s">
        <v>51</v>
      </c>
      <c r="K1012" s="12" t="s">
        <v>19</v>
      </c>
      <c r="L1012" s="12" t="s">
        <v>54</v>
      </c>
      <c r="M1012" s="12">
        <v>230.01</v>
      </c>
      <c r="N1012" s="12">
        <v>196.566</v>
      </c>
      <c r="O1012" s="12">
        <v>4.2</v>
      </c>
      <c r="Q1012" s="13">
        <f t="shared" si="43"/>
        <v>0.85521396650958981</v>
      </c>
    </row>
    <row r="1013" spans="1:17" x14ac:dyDescent="0.25">
      <c r="A1013" s="12">
        <f t="shared" si="41"/>
        <v>6</v>
      </c>
      <c r="B1013" s="12">
        <v>2023</v>
      </c>
      <c r="C1013" s="12">
        <v>7292</v>
      </c>
      <c r="D1013" s="12">
        <v>1045850</v>
      </c>
      <c r="E1013" s="12" t="s">
        <v>13</v>
      </c>
      <c r="F1013" s="12" t="s">
        <v>14</v>
      </c>
      <c r="G1013" s="25">
        <v>1045850</v>
      </c>
      <c r="H1013" s="12">
        <f t="shared" si="42"/>
        <v>0</v>
      </c>
      <c r="I1013" s="14">
        <v>45086</v>
      </c>
      <c r="J1013" s="12" t="s">
        <v>51</v>
      </c>
      <c r="K1013" s="12" t="s">
        <v>19</v>
      </c>
      <c r="L1013" s="12" t="s">
        <v>54</v>
      </c>
      <c r="M1013" s="12">
        <v>230.011</v>
      </c>
      <c r="N1013" s="12">
        <v>197.87299999999999</v>
      </c>
      <c r="O1013" s="12">
        <v>4</v>
      </c>
      <c r="Q1013" s="13">
        <f t="shared" si="43"/>
        <v>0.83792199207657292</v>
      </c>
    </row>
    <row r="1014" spans="1:17" x14ac:dyDescent="0.25">
      <c r="A1014" s="12">
        <f t="shared" si="41"/>
        <v>6</v>
      </c>
      <c r="B1014" s="12">
        <v>2023</v>
      </c>
      <c r="C1014" s="12">
        <v>7293</v>
      </c>
      <c r="D1014" s="12">
        <v>1046029</v>
      </c>
      <c r="E1014" s="12" t="s">
        <v>13</v>
      </c>
      <c r="F1014" s="12" t="s">
        <v>14</v>
      </c>
      <c r="G1014" s="25">
        <v>1046029</v>
      </c>
      <c r="H1014" s="12">
        <f t="shared" si="42"/>
        <v>0</v>
      </c>
      <c r="I1014" s="14">
        <v>45087</v>
      </c>
      <c r="J1014" s="12" t="s">
        <v>18</v>
      </c>
      <c r="K1014" s="12" t="s">
        <v>19</v>
      </c>
      <c r="L1014" s="12" t="s">
        <v>55</v>
      </c>
      <c r="M1014" s="12">
        <v>230.01</v>
      </c>
      <c r="N1014" s="12">
        <v>191.73500000000001</v>
      </c>
      <c r="O1014" s="12">
        <v>4.0999999999999996</v>
      </c>
      <c r="P1014" s="12">
        <v>12.6</v>
      </c>
      <c r="Q1014" s="13">
        <f t="shared" si="43"/>
        <v>0.85459762619016566</v>
      </c>
    </row>
    <row r="1015" spans="1:17" x14ac:dyDescent="0.25">
      <c r="A1015" s="12">
        <f t="shared" si="41"/>
        <v>6</v>
      </c>
      <c r="B1015" s="12">
        <v>2023</v>
      </c>
      <c r="C1015" s="12">
        <v>7294</v>
      </c>
      <c r="D1015" s="12">
        <v>1046165</v>
      </c>
      <c r="E1015" s="12" t="s">
        <v>13</v>
      </c>
      <c r="F1015" s="12" t="s">
        <v>14</v>
      </c>
      <c r="G1015" s="25">
        <v>1046165</v>
      </c>
      <c r="H1015" s="12">
        <f t="shared" si="42"/>
        <v>0</v>
      </c>
      <c r="I1015" s="14">
        <v>45088</v>
      </c>
      <c r="J1015" s="12" t="s">
        <v>18</v>
      </c>
      <c r="K1015" s="12" t="s">
        <v>19</v>
      </c>
      <c r="L1015" s="12" t="s">
        <v>55</v>
      </c>
      <c r="M1015" s="12">
        <v>230.00399999999999</v>
      </c>
      <c r="N1015" s="12">
        <v>196.33099999999999</v>
      </c>
      <c r="O1015" s="12">
        <v>4</v>
      </c>
      <c r="Q1015" s="13">
        <f t="shared" si="43"/>
        <v>0.86027624765772071</v>
      </c>
    </row>
    <row r="1016" spans="1:17" x14ac:dyDescent="0.25">
      <c r="A1016" s="12">
        <f t="shared" si="41"/>
        <v>6</v>
      </c>
      <c r="B1016" s="12">
        <v>2023</v>
      </c>
      <c r="C1016" s="12">
        <v>7295</v>
      </c>
      <c r="D1016" s="12">
        <v>1046169</v>
      </c>
      <c r="E1016" s="12" t="s">
        <v>13</v>
      </c>
      <c r="F1016" s="12" t="s">
        <v>14</v>
      </c>
      <c r="G1016" s="25">
        <v>1046169</v>
      </c>
      <c r="H1016" s="12">
        <f t="shared" si="42"/>
        <v>0</v>
      </c>
      <c r="I1016" s="14">
        <v>45089</v>
      </c>
      <c r="J1016" s="12" t="s">
        <v>18</v>
      </c>
      <c r="K1016" s="12" t="s">
        <v>19</v>
      </c>
      <c r="L1016" s="12" t="s">
        <v>55</v>
      </c>
      <c r="M1016" s="12">
        <v>230.005</v>
      </c>
      <c r="N1016" s="12">
        <v>196.67599999999999</v>
      </c>
      <c r="O1016" s="12">
        <v>5.2</v>
      </c>
      <c r="Q1016" s="13">
        <f t="shared" si="43"/>
        <v>0.83359419155688896</v>
      </c>
    </row>
    <row r="1017" spans="1:17" x14ac:dyDescent="0.25">
      <c r="A1017" s="12">
        <f t="shared" si="41"/>
        <v>6</v>
      </c>
      <c r="B1017" s="12">
        <v>2023</v>
      </c>
      <c r="C1017" s="12">
        <v>7296</v>
      </c>
      <c r="D1017" s="12">
        <v>1046171</v>
      </c>
      <c r="E1017" s="12" t="s">
        <v>13</v>
      </c>
      <c r="F1017" s="12" t="s">
        <v>14</v>
      </c>
      <c r="G1017" s="25">
        <v>1046171</v>
      </c>
      <c r="H1017" s="12">
        <f t="shared" si="42"/>
        <v>0</v>
      </c>
      <c r="I1017" s="14">
        <v>45090</v>
      </c>
      <c r="J1017" s="12" t="s">
        <v>18</v>
      </c>
      <c r="K1017" s="12" t="s">
        <v>19</v>
      </c>
      <c r="L1017" s="12" t="s">
        <v>55</v>
      </c>
      <c r="M1017" s="12">
        <v>230.00399999999999</v>
      </c>
      <c r="N1017" s="12">
        <v>190.97399999999999</v>
      </c>
      <c r="O1017" s="12">
        <v>6.2</v>
      </c>
      <c r="Q1017" s="13">
        <f t="shared" si="43"/>
        <v>0.85359819829220362</v>
      </c>
    </row>
    <row r="1018" spans="1:17" x14ac:dyDescent="0.25">
      <c r="A1018" s="12">
        <f t="shared" si="41"/>
        <v>6</v>
      </c>
      <c r="B1018" s="12">
        <v>2023</v>
      </c>
      <c r="C1018" s="12">
        <v>7297</v>
      </c>
      <c r="D1018" s="12">
        <v>1046174</v>
      </c>
      <c r="E1018" s="12" t="s">
        <v>13</v>
      </c>
      <c r="F1018" s="12" t="s">
        <v>14</v>
      </c>
      <c r="G1018" s="25">
        <v>1046174</v>
      </c>
      <c r="H1018" s="12">
        <f t="shared" si="42"/>
        <v>0</v>
      </c>
      <c r="I1018" s="14">
        <v>45091</v>
      </c>
      <c r="J1018" s="12" t="s">
        <v>18</v>
      </c>
      <c r="K1018" s="12" t="s">
        <v>19</v>
      </c>
      <c r="L1018" s="12" t="s">
        <v>55</v>
      </c>
      <c r="M1018" s="12">
        <v>230.00399999999999</v>
      </c>
      <c r="N1018" s="12">
        <v>197.624</v>
      </c>
      <c r="O1018" s="12">
        <v>6.3</v>
      </c>
      <c r="Q1018" s="13">
        <f t="shared" si="43"/>
        <v>0.85509445446838106</v>
      </c>
    </row>
    <row r="1019" spans="1:17" x14ac:dyDescent="0.25">
      <c r="A1019" s="12">
        <f t="shared" si="41"/>
        <v>6</v>
      </c>
      <c r="B1019" s="12">
        <v>2023</v>
      </c>
      <c r="C1019" s="12">
        <v>7298</v>
      </c>
      <c r="D1019" s="12">
        <v>1046416</v>
      </c>
      <c r="E1019" s="12" t="s">
        <v>13</v>
      </c>
      <c r="F1019" s="12" t="s">
        <v>14</v>
      </c>
      <c r="G1019" s="25">
        <v>1046416</v>
      </c>
      <c r="H1019" s="12">
        <f t="shared" si="42"/>
        <v>0</v>
      </c>
      <c r="I1019" s="14">
        <v>45092</v>
      </c>
      <c r="J1019" s="12" t="s">
        <v>18</v>
      </c>
      <c r="K1019" s="12" t="s">
        <v>20</v>
      </c>
      <c r="L1019" s="12" t="s">
        <v>56</v>
      </c>
      <c r="M1019" s="12">
        <v>230.017</v>
      </c>
      <c r="N1019" s="12">
        <v>196.54599999999999</v>
      </c>
      <c r="O1019" s="12">
        <v>3.9</v>
      </c>
      <c r="Q1019" s="13">
        <f t="shared" si="43"/>
        <v>0.83030729900349554</v>
      </c>
    </row>
    <row r="1020" spans="1:17" x14ac:dyDescent="0.25">
      <c r="A1020" s="12">
        <f t="shared" si="41"/>
        <v>6</v>
      </c>
      <c r="B1020" s="12">
        <v>2023</v>
      </c>
      <c r="C1020" s="12">
        <v>7299</v>
      </c>
      <c r="D1020" s="12">
        <v>1046554</v>
      </c>
      <c r="E1020" s="12" t="s">
        <v>13</v>
      </c>
      <c r="F1020" s="12" t="s">
        <v>14</v>
      </c>
      <c r="G1020" s="25">
        <v>1046554</v>
      </c>
      <c r="H1020" s="12">
        <f t="shared" si="42"/>
        <v>0</v>
      </c>
      <c r="I1020" s="14">
        <v>45093</v>
      </c>
      <c r="J1020" s="12" t="s">
        <v>18</v>
      </c>
      <c r="K1020" s="12" t="s">
        <v>20</v>
      </c>
      <c r="L1020" s="12" t="s">
        <v>56</v>
      </c>
      <c r="M1020" s="12">
        <v>230.017</v>
      </c>
      <c r="N1020" s="12">
        <v>193.14</v>
      </c>
      <c r="O1020" s="12">
        <v>4.8</v>
      </c>
      <c r="Q1020" s="13">
        <f t="shared" si="43"/>
        <v>0.85921983965496251</v>
      </c>
    </row>
    <row r="1021" spans="1:17" x14ac:dyDescent="0.25">
      <c r="A1021" s="12">
        <f t="shared" si="41"/>
        <v>6</v>
      </c>
      <c r="B1021" s="12">
        <v>2023</v>
      </c>
      <c r="C1021" s="12">
        <v>7300</v>
      </c>
      <c r="D1021" s="12">
        <v>1046700</v>
      </c>
      <c r="E1021" s="12" t="s">
        <v>13</v>
      </c>
      <c r="F1021" s="12" t="s">
        <v>14</v>
      </c>
      <c r="G1021" s="25">
        <v>1046700</v>
      </c>
      <c r="H1021" s="12">
        <f t="shared" si="42"/>
        <v>0</v>
      </c>
      <c r="I1021" s="14">
        <v>45094</v>
      </c>
      <c r="J1021" s="12" t="s">
        <v>18</v>
      </c>
      <c r="K1021" s="12" t="s">
        <v>19</v>
      </c>
      <c r="L1021" s="12" t="s">
        <v>55</v>
      </c>
      <c r="M1021" s="12">
        <v>230.006</v>
      </c>
      <c r="N1021" s="12">
        <v>193.54499999999999</v>
      </c>
      <c r="O1021" s="12">
        <v>3.9</v>
      </c>
      <c r="P1021" s="12">
        <v>12.3</v>
      </c>
      <c r="Q1021" s="13">
        <f t="shared" si="43"/>
        <v>0.85448466852450033</v>
      </c>
    </row>
    <row r="1022" spans="1:17" x14ac:dyDescent="0.25">
      <c r="A1022" s="12">
        <f t="shared" si="41"/>
        <v>6</v>
      </c>
      <c r="B1022" s="12">
        <v>2023</v>
      </c>
      <c r="C1022" s="12">
        <v>7301</v>
      </c>
      <c r="D1022" s="12">
        <v>1046824</v>
      </c>
      <c r="E1022" s="12" t="s">
        <v>13</v>
      </c>
      <c r="F1022" s="12" t="s">
        <v>14</v>
      </c>
      <c r="G1022" s="25">
        <v>1046824</v>
      </c>
      <c r="H1022" s="12">
        <f t="shared" si="42"/>
        <v>0</v>
      </c>
      <c r="I1022" s="14">
        <v>45095</v>
      </c>
      <c r="J1022" s="12" t="s">
        <v>18</v>
      </c>
      <c r="K1022" s="12" t="s">
        <v>19</v>
      </c>
      <c r="L1022" s="12" t="s">
        <v>55</v>
      </c>
      <c r="M1022" s="12">
        <v>230.00399999999999</v>
      </c>
      <c r="N1022" s="12">
        <v>193.53200000000001</v>
      </c>
      <c r="O1022" s="12">
        <v>4</v>
      </c>
      <c r="Q1022" s="13">
        <f t="shared" si="43"/>
        <v>0.83967706734719605</v>
      </c>
    </row>
    <row r="1023" spans="1:17" x14ac:dyDescent="0.25">
      <c r="A1023" s="12">
        <f t="shared" si="41"/>
        <v>6</v>
      </c>
      <c r="B1023" s="12">
        <v>2023</v>
      </c>
      <c r="C1023" s="12">
        <v>7302</v>
      </c>
      <c r="D1023" s="12">
        <v>1046946</v>
      </c>
      <c r="E1023" s="12" t="s">
        <v>13</v>
      </c>
      <c r="F1023" s="12" t="s">
        <v>14</v>
      </c>
      <c r="G1023" s="25">
        <v>1046946</v>
      </c>
      <c r="H1023" s="12">
        <f t="shared" si="42"/>
        <v>0</v>
      </c>
      <c r="I1023" s="14">
        <v>45096</v>
      </c>
      <c r="J1023" s="12" t="s">
        <v>18</v>
      </c>
      <c r="K1023" s="12" t="s">
        <v>19</v>
      </c>
      <c r="L1023" s="12" t="s">
        <v>55</v>
      </c>
      <c r="M1023" s="12">
        <v>230.00399999999999</v>
      </c>
      <c r="N1023" s="12">
        <v>195.23099999999999</v>
      </c>
      <c r="O1023" s="12">
        <v>4.7</v>
      </c>
      <c r="Q1023" s="13">
        <f t="shared" si="43"/>
        <v>0.84147804839873741</v>
      </c>
    </row>
    <row r="1024" spans="1:17" x14ac:dyDescent="0.25">
      <c r="A1024" s="12">
        <f t="shared" si="41"/>
        <v>6</v>
      </c>
      <c r="B1024" s="12">
        <v>2023</v>
      </c>
      <c r="C1024" s="12">
        <v>7303</v>
      </c>
      <c r="D1024" s="12">
        <v>1046948</v>
      </c>
      <c r="E1024" s="12" t="s">
        <v>13</v>
      </c>
      <c r="F1024" s="12" t="s">
        <v>14</v>
      </c>
      <c r="G1024" s="25">
        <v>1046948</v>
      </c>
      <c r="H1024" s="12">
        <f t="shared" si="42"/>
        <v>0</v>
      </c>
      <c r="I1024" s="14">
        <v>45097</v>
      </c>
      <c r="J1024" s="12" t="s">
        <v>18</v>
      </c>
      <c r="K1024" s="12" t="s">
        <v>19</v>
      </c>
      <c r="L1024" s="12" t="s">
        <v>55</v>
      </c>
      <c r="M1024" s="12">
        <v>229.965</v>
      </c>
      <c r="N1024" s="12">
        <v>194.578</v>
      </c>
      <c r="O1024" s="12">
        <v>4.2</v>
      </c>
      <c r="Q1024" s="13">
        <f t="shared" si="43"/>
        <v>0.8414288447157442</v>
      </c>
    </row>
    <row r="1025" spans="1:17" x14ac:dyDescent="0.25">
      <c r="A1025" s="12">
        <f t="shared" si="41"/>
        <v>6</v>
      </c>
      <c r="B1025" s="12">
        <v>2023</v>
      </c>
      <c r="C1025" s="12">
        <v>7304</v>
      </c>
      <c r="D1025" s="12">
        <v>1046950</v>
      </c>
      <c r="E1025" s="12" t="s">
        <v>13</v>
      </c>
      <c r="F1025" s="12" t="s">
        <v>14</v>
      </c>
      <c r="G1025" s="25">
        <v>1046950</v>
      </c>
      <c r="H1025" s="12">
        <f t="shared" si="42"/>
        <v>0</v>
      </c>
      <c r="I1025" s="14">
        <v>45098</v>
      </c>
      <c r="J1025" s="12" t="s">
        <v>18</v>
      </c>
      <c r="K1025" s="12" t="s">
        <v>19</v>
      </c>
      <c r="L1025" s="12" t="s">
        <v>55</v>
      </c>
      <c r="M1025" s="12">
        <v>229.965</v>
      </c>
      <c r="N1025" s="12">
        <v>194.76400000000001</v>
      </c>
      <c r="O1025" s="12">
        <v>4.7</v>
      </c>
      <c r="Q1025" s="13">
        <f t="shared" si="43"/>
        <v>0.8488156727709083</v>
      </c>
    </row>
    <row r="1026" spans="1:17" x14ac:dyDescent="0.25">
      <c r="A1026" s="12">
        <f t="shared" si="41"/>
        <v>6</v>
      </c>
      <c r="B1026" s="12">
        <v>2023</v>
      </c>
      <c r="C1026" s="12">
        <v>7305</v>
      </c>
      <c r="D1026" s="12">
        <v>1047209</v>
      </c>
      <c r="E1026" s="12" t="s">
        <v>13</v>
      </c>
      <c r="F1026" s="12" t="s">
        <v>14</v>
      </c>
      <c r="G1026" s="25">
        <v>1047209</v>
      </c>
      <c r="H1026" s="12">
        <f t="shared" si="42"/>
        <v>0</v>
      </c>
      <c r="I1026" s="14">
        <v>45099</v>
      </c>
      <c r="J1026" s="12" t="s">
        <v>38</v>
      </c>
      <c r="K1026" s="12" t="s">
        <v>19</v>
      </c>
      <c r="L1026" s="12" t="s">
        <v>55</v>
      </c>
      <c r="M1026" s="12">
        <v>229.99700000000001</v>
      </c>
      <c r="N1026" s="12">
        <v>191.88300000000001</v>
      </c>
      <c r="O1026" s="12">
        <v>5.0999999999999996</v>
      </c>
      <c r="P1026" s="12">
        <v>12.8</v>
      </c>
      <c r="Q1026" s="13">
        <f t="shared" si="43"/>
        <v>0.84612006174852694</v>
      </c>
    </row>
    <row r="1027" spans="1:17" x14ac:dyDescent="0.25">
      <c r="A1027" s="12">
        <f t="shared" ref="A1027:A1090" si="44">MONTH(I1027)</f>
        <v>6</v>
      </c>
      <c r="B1027" s="12">
        <v>2023</v>
      </c>
      <c r="C1027" s="12">
        <v>7306</v>
      </c>
      <c r="D1027" s="12">
        <v>1047320</v>
      </c>
      <c r="E1027" s="12" t="s">
        <v>13</v>
      </c>
      <c r="F1027" s="12" t="s">
        <v>14</v>
      </c>
      <c r="G1027" s="25">
        <v>1047320</v>
      </c>
      <c r="H1027" s="12">
        <f t="shared" si="42"/>
        <v>0</v>
      </c>
      <c r="I1027" s="14">
        <v>45100</v>
      </c>
      <c r="J1027" s="12" t="s">
        <v>38</v>
      </c>
      <c r="K1027" s="12" t="s">
        <v>19</v>
      </c>
      <c r="L1027" s="12" t="s">
        <v>55</v>
      </c>
      <c r="M1027" s="12">
        <v>229.98</v>
      </c>
      <c r="N1027" s="12">
        <v>196.95699999999999</v>
      </c>
      <c r="O1027" s="12">
        <v>5.2</v>
      </c>
      <c r="Q1027" s="13">
        <f t="shared" si="43"/>
        <v>0.84692888048181247</v>
      </c>
    </row>
    <row r="1028" spans="1:17" x14ac:dyDescent="0.25">
      <c r="A1028" s="12">
        <f t="shared" si="44"/>
        <v>6</v>
      </c>
      <c r="B1028" s="12">
        <v>2023</v>
      </c>
      <c r="C1028" s="12">
        <v>7307</v>
      </c>
      <c r="D1028" s="12">
        <v>1047487</v>
      </c>
      <c r="E1028" s="12" t="s">
        <v>13</v>
      </c>
      <c r="F1028" s="12" t="s">
        <v>14</v>
      </c>
      <c r="G1028" s="25">
        <v>1047487</v>
      </c>
      <c r="H1028" s="12">
        <f t="shared" si="42"/>
        <v>0</v>
      </c>
      <c r="I1028" s="14">
        <v>45101</v>
      </c>
      <c r="J1028" s="12" t="s">
        <v>38</v>
      </c>
      <c r="K1028" s="12" t="s">
        <v>19</v>
      </c>
      <c r="L1028" s="12" t="s">
        <v>55</v>
      </c>
      <c r="M1028" s="12">
        <v>229.98099999999999</v>
      </c>
      <c r="N1028" s="12">
        <v>191.85599999999999</v>
      </c>
      <c r="O1028" s="12">
        <v>4.3</v>
      </c>
      <c r="Q1028" s="13">
        <f t="shared" si="43"/>
        <v>0.83428479501906549</v>
      </c>
    </row>
    <row r="1029" spans="1:17" x14ac:dyDescent="0.25">
      <c r="A1029" s="12">
        <f t="shared" si="44"/>
        <v>6</v>
      </c>
      <c r="B1029" s="12">
        <v>2023</v>
      </c>
      <c r="C1029" s="12">
        <v>7308</v>
      </c>
      <c r="D1029" s="12">
        <v>1047618</v>
      </c>
      <c r="E1029" s="12" t="s">
        <v>13</v>
      </c>
      <c r="F1029" s="12" t="s">
        <v>14</v>
      </c>
      <c r="G1029" s="25">
        <v>1047618</v>
      </c>
      <c r="H1029" s="12">
        <f t="shared" si="42"/>
        <v>0</v>
      </c>
      <c r="I1029" s="14">
        <v>45102</v>
      </c>
      <c r="J1029" s="12" t="s">
        <v>38</v>
      </c>
      <c r="K1029" s="12" t="s">
        <v>19</v>
      </c>
      <c r="L1029" s="12" t="s">
        <v>55</v>
      </c>
      <c r="M1029" s="12">
        <v>229.96700000000001</v>
      </c>
      <c r="N1029" s="12">
        <v>194.785</v>
      </c>
      <c r="O1029" s="12">
        <v>4.8</v>
      </c>
      <c r="Q1029" s="13">
        <f t="shared" si="43"/>
        <v>0.85640925297851989</v>
      </c>
    </row>
    <row r="1030" spans="1:17" x14ac:dyDescent="0.25">
      <c r="A1030" s="12">
        <f t="shared" si="44"/>
        <v>6</v>
      </c>
      <c r="B1030" s="12">
        <v>2023</v>
      </c>
      <c r="C1030" s="12">
        <v>7309</v>
      </c>
      <c r="D1030" s="12">
        <v>1047630</v>
      </c>
      <c r="E1030" s="12" t="s">
        <v>13</v>
      </c>
      <c r="F1030" s="12" t="s">
        <v>14</v>
      </c>
      <c r="G1030" s="25">
        <v>1047630</v>
      </c>
      <c r="H1030" s="12">
        <f t="shared" si="42"/>
        <v>0</v>
      </c>
      <c r="I1030" s="14">
        <v>45103</v>
      </c>
      <c r="J1030" s="12" t="s">
        <v>38</v>
      </c>
      <c r="K1030" s="12" t="s">
        <v>19</v>
      </c>
      <c r="L1030" s="12" t="s">
        <v>55</v>
      </c>
      <c r="M1030" s="12">
        <v>229.96799999999999</v>
      </c>
      <c r="N1030" s="12">
        <v>188.624</v>
      </c>
      <c r="O1030" s="12">
        <v>3.6</v>
      </c>
      <c r="Q1030" s="13">
        <f t="shared" si="43"/>
        <v>0.83422543601427945</v>
      </c>
    </row>
    <row r="1031" spans="1:17" x14ac:dyDescent="0.25">
      <c r="A1031" s="12">
        <f t="shared" si="44"/>
        <v>6</v>
      </c>
      <c r="B1031" s="12">
        <v>2023</v>
      </c>
      <c r="C1031" s="12">
        <v>7310</v>
      </c>
      <c r="D1031" s="22">
        <v>1047717</v>
      </c>
      <c r="E1031" s="12" t="s">
        <v>13</v>
      </c>
      <c r="F1031" s="12" t="s">
        <v>14</v>
      </c>
      <c r="G1031" s="25">
        <v>1047717</v>
      </c>
      <c r="H1031" s="12">
        <f t="shared" si="42"/>
        <v>0</v>
      </c>
      <c r="I1031" s="14">
        <v>45104</v>
      </c>
      <c r="J1031" s="12" t="s">
        <v>18</v>
      </c>
      <c r="K1031" s="12" t="s">
        <v>20</v>
      </c>
      <c r="L1031" s="12" t="s">
        <v>79</v>
      </c>
      <c r="M1031" s="12">
        <v>230.001</v>
      </c>
      <c r="N1031" s="12">
        <v>199.12</v>
      </c>
      <c r="Q1031" s="13">
        <f t="shared" si="43"/>
        <v>0.84701283227593516</v>
      </c>
    </row>
    <row r="1032" spans="1:17" x14ac:dyDescent="0.25">
      <c r="A1032" s="12">
        <f t="shared" si="44"/>
        <v>6</v>
      </c>
      <c r="B1032" s="12">
        <v>2023</v>
      </c>
      <c r="C1032" s="12">
        <v>7311</v>
      </c>
      <c r="D1032" s="12">
        <v>1047721</v>
      </c>
      <c r="E1032" s="12" t="s">
        <v>13</v>
      </c>
      <c r="F1032" s="12" t="s">
        <v>14</v>
      </c>
      <c r="G1032" s="25">
        <v>1047721</v>
      </c>
      <c r="H1032" s="12">
        <f t="shared" si="42"/>
        <v>0</v>
      </c>
      <c r="I1032" s="14">
        <v>45105</v>
      </c>
      <c r="J1032" s="12" t="s">
        <v>18</v>
      </c>
      <c r="K1032" s="12" t="s">
        <v>20</v>
      </c>
      <c r="L1032" s="12" t="s">
        <v>79</v>
      </c>
      <c r="M1032" s="12">
        <v>230</v>
      </c>
      <c r="N1032" s="12">
        <v>196.374</v>
      </c>
      <c r="O1032" s="12">
        <v>4</v>
      </c>
      <c r="Q1032" s="13">
        <f t="shared" si="43"/>
        <v>0.82021846517776387</v>
      </c>
    </row>
    <row r="1033" spans="1:17" x14ac:dyDescent="0.25">
      <c r="A1033" s="12">
        <f t="shared" si="44"/>
        <v>6</v>
      </c>
      <c r="B1033" s="12">
        <v>2023</v>
      </c>
      <c r="C1033" s="12">
        <v>7312</v>
      </c>
      <c r="D1033" s="12">
        <v>1047903</v>
      </c>
      <c r="E1033" s="12" t="s">
        <v>13</v>
      </c>
      <c r="F1033" s="12" t="s">
        <v>14</v>
      </c>
      <c r="G1033" s="25">
        <v>1047903</v>
      </c>
      <c r="H1033" s="12">
        <f t="shared" si="42"/>
        <v>0</v>
      </c>
      <c r="I1033" s="14">
        <v>45106</v>
      </c>
      <c r="J1033" s="12" t="s">
        <v>18</v>
      </c>
      <c r="K1033" s="12" t="s">
        <v>20</v>
      </c>
      <c r="L1033" s="12" t="s">
        <v>48</v>
      </c>
      <c r="M1033" s="12">
        <v>230.005</v>
      </c>
      <c r="N1033" s="12">
        <v>196.07300000000001</v>
      </c>
      <c r="O1033" s="12">
        <v>4.4000000000000004</v>
      </c>
      <c r="Q1033" s="13">
        <f t="shared" si="43"/>
        <v>0.86573536636797233</v>
      </c>
    </row>
    <row r="1034" spans="1:17" x14ac:dyDescent="0.25">
      <c r="A1034" s="12">
        <f t="shared" si="44"/>
        <v>6</v>
      </c>
      <c r="B1034" s="12">
        <v>2023</v>
      </c>
      <c r="C1034" s="12">
        <v>7313</v>
      </c>
      <c r="D1034" s="12">
        <v>1048122</v>
      </c>
      <c r="E1034" s="12" t="s">
        <v>13</v>
      </c>
      <c r="F1034" s="12" t="s">
        <v>14</v>
      </c>
      <c r="G1034" s="25">
        <v>1048122</v>
      </c>
      <c r="H1034" s="12">
        <f t="shared" si="42"/>
        <v>0</v>
      </c>
      <c r="I1034" s="14">
        <v>45107</v>
      </c>
      <c r="J1034" s="12" t="s">
        <v>18</v>
      </c>
      <c r="K1034" s="12" t="s">
        <v>20</v>
      </c>
      <c r="L1034" s="12" t="s">
        <v>48</v>
      </c>
      <c r="M1034" s="12">
        <v>230.00399999999999</v>
      </c>
      <c r="N1034" s="12">
        <v>191.19200000000001</v>
      </c>
      <c r="O1034" s="12">
        <v>4</v>
      </c>
      <c r="Q1034" s="13">
        <f t="shared" si="43"/>
        <v>0.8538</v>
      </c>
    </row>
    <row r="1035" spans="1:17" x14ac:dyDescent="0.25">
      <c r="A1035" s="12">
        <f t="shared" si="44"/>
        <v>7</v>
      </c>
      <c r="B1035" s="12">
        <v>2023</v>
      </c>
      <c r="C1035" s="12">
        <v>7314</v>
      </c>
      <c r="D1035" s="12">
        <v>1048271</v>
      </c>
      <c r="E1035" s="12" t="s">
        <v>13</v>
      </c>
      <c r="F1035" s="12" t="s">
        <v>14</v>
      </c>
      <c r="G1035" s="25">
        <v>1048271</v>
      </c>
      <c r="H1035" s="12">
        <f t="shared" si="42"/>
        <v>0</v>
      </c>
      <c r="I1035" s="14">
        <v>45108</v>
      </c>
      <c r="J1035" s="12" t="s">
        <v>18</v>
      </c>
      <c r="K1035" s="12" t="s">
        <v>19</v>
      </c>
      <c r="L1035" s="12" t="s">
        <v>55</v>
      </c>
      <c r="M1035" s="12">
        <v>230.00200000000001</v>
      </c>
      <c r="N1035" s="12">
        <v>189.958</v>
      </c>
      <c r="O1035" s="12">
        <v>3.9</v>
      </c>
      <c r="P1035" s="12">
        <v>12.4</v>
      </c>
      <c r="Q1035" s="13">
        <f t="shared" si="43"/>
        <v>0.85247277233103635</v>
      </c>
    </row>
    <row r="1036" spans="1:17" x14ac:dyDescent="0.25">
      <c r="A1036" s="12">
        <f t="shared" si="44"/>
        <v>7</v>
      </c>
      <c r="B1036" s="12">
        <v>2023</v>
      </c>
      <c r="C1036" s="12">
        <v>7315</v>
      </c>
      <c r="D1036" s="12">
        <v>1048303</v>
      </c>
      <c r="E1036" s="12" t="s">
        <v>13</v>
      </c>
      <c r="F1036" s="12" t="s">
        <v>14</v>
      </c>
      <c r="G1036" s="25">
        <v>1048303</v>
      </c>
      <c r="H1036" s="12">
        <f t="shared" si="42"/>
        <v>0</v>
      </c>
      <c r="I1036" s="14">
        <v>45109</v>
      </c>
      <c r="J1036" s="12" t="s">
        <v>18</v>
      </c>
      <c r="K1036" s="12" t="s">
        <v>19</v>
      </c>
      <c r="L1036" s="12" t="s">
        <v>55</v>
      </c>
      <c r="M1036" s="12">
        <v>229.98400000000001</v>
      </c>
      <c r="N1036" s="12">
        <v>180.083</v>
      </c>
      <c r="O1036" s="12">
        <v>3.8</v>
      </c>
      <c r="Q1036" s="13">
        <f t="shared" si="43"/>
        <v>0.83125510860680696</v>
      </c>
    </row>
    <row r="1037" spans="1:17" x14ac:dyDescent="0.25">
      <c r="A1037" s="12">
        <f t="shared" si="44"/>
        <v>7</v>
      </c>
      <c r="B1037" s="12">
        <v>2023</v>
      </c>
      <c r="C1037" s="12">
        <v>7316</v>
      </c>
      <c r="D1037" s="12">
        <v>1048304</v>
      </c>
      <c r="E1037" s="12" t="s">
        <v>13</v>
      </c>
      <c r="F1037" s="12" t="s">
        <v>14</v>
      </c>
      <c r="G1037" s="25">
        <v>1048304</v>
      </c>
      <c r="H1037" s="12">
        <f t="shared" si="42"/>
        <v>0</v>
      </c>
      <c r="I1037" s="14">
        <v>45110</v>
      </c>
      <c r="J1037" s="12" t="s">
        <v>18</v>
      </c>
      <c r="K1037" s="12" t="s">
        <v>19</v>
      </c>
      <c r="L1037" s="12" t="s">
        <v>55</v>
      </c>
      <c r="M1037" s="12">
        <v>229.98400000000001</v>
      </c>
      <c r="N1037" s="12">
        <v>202.714</v>
      </c>
      <c r="O1037" s="12">
        <v>5.3</v>
      </c>
      <c r="Q1037" s="13">
        <f t="shared" si="43"/>
        <v>0.82589716611159902</v>
      </c>
    </row>
    <row r="1038" spans="1:17" x14ac:dyDescent="0.25">
      <c r="A1038" s="12">
        <f t="shared" si="44"/>
        <v>7</v>
      </c>
      <c r="B1038" s="12">
        <v>2023</v>
      </c>
      <c r="C1038" s="12">
        <v>7317</v>
      </c>
      <c r="D1038" s="12">
        <v>1048308</v>
      </c>
      <c r="E1038" s="12" t="s">
        <v>13</v>
      </c>
      <c r="F1038" s="12" t="s">
        <v>14</v>
      </c>
      <c r="G1038" s="25">
        <v>1048308</v>
      </c>
      <c r="H1038" s="12">
        <f t="shared" si="42"/>
        <v>0</v>
      </c>
      <c r="I1038" s="14">
        <v>45111</v>
      </c>
      <c r="J1038" s="12" t="s">
        <v>18</v>
      </c>
      <c r="K1038" s="12" t="s">
        <v>19</v>
      </c>
      <c r="L1038" s="12" t="s">
        <v>55</v>
      </c>
      <c r="M1038" s="12">
        <v>230.00700000000001</v>
      </c>
      <c r="N1038" s="12">
        <v>194.565</v>
      </c>
      <c r="O1038" s="12">
        <v>4.0999999999999996</v>
      </c>
      <c r="Q1038" s="13">
        <f t="shared" si="43"/>
        <v>0.78302403645470986</v>
      </c>
    </row>
    <row r="1039" spans="1:17" x14ac:dyDescent="0.25">
      <c r="A1039" s="12">
        <f t="shared" si="44"/>
        <v>7</v>
      </c>
      <c r="B1039" s="12">
        <v>2023</v>
      </c>
      <c r="C1039" s="12">
        <v>7318</v>
      </c>
      <c r="D1039" s="12">
        <v>1048552</v>
      </c>
      <c r="E1039" s="12" t="s">
        <v>13</v>
      </c>
      <c r="F1039" s="12" t="s">
        <v>14</v>
      </c>
      <c r="G1039" s="25">
        <v>1048552</v>
      </c>
      <c r="H1039" s="12">
        <f t="shared" si="42"/>
        <v>0</v>
      </c>
      <c r="I1039" s="14">
        <v>45112</v>
      </c>
      <c r="J1039" s="12" t="s">
        <v>18</v>
      </c>
      <c r="K1039" s="12" t="s">
        <v>19</v>
      </c>
      <c r="L1039" s="12" t="s">
        <v>55</v>
      </c>
      <c r="M1039" s="12">
        <v>230.00700000000001</v>
      </c>
      <c r="N1039" s="12">
        <v>190.071</v>
      </c>
      <c r="O1039" s="12">
        <v>4.2</v>
      </c>
      <c r="Q1039" s="13">
        <f t="shared" si="43"/>
        <v>0.8814265340197579</v>
      </c>
    </row>
    <row r="1040" spans="1:17" x14ac:dyDescent="0.25">
      <c r="A1040" s="12">
        <f t="shared" si="44"/>
        <v>7</v>
      </c>
      <c r="B1040" s="12">
        <v>2023</v>
      </c>
      <c r="C1040" s="12">
        <v>7319</v>
      </c>
      <c r="D1040" s="12">
        <v>1048787</v>
      </c>
      <c r="E1040" s="12" t="s">
        <v>13</v>
      </c>
      <c r="F1040" s="12" t="s">
        <v>14</v>
      </c>
      <c r="G1040" s="25">
        <v>1048787</v>
      </c>
      <c r="H1040" s="12">
        <f t="shared" si="42"/>
        <v>0</v>
      </c>
      <c r="I1040" s="14">
        <v>45113</v>
      </c>
      <c r="J1040" s="12" t="s">
        <v>38</v>
      </c>
      <c r="K1040" s="12" t="s">
        <v>19</v>
      </c>
      <c r="L1040" s="12" t="s">
        <v>55</v>
      </c>
      <c r="M1040" s="12">
        <v>229.99799999999999</v>
      </c>
      <c r="N1040" s="12">
        <v>195.17099999999999</v>
      </c>
      <c r="O1040" s="12">
        <v>3.9</v>
      </c>
      <c r="P1040" s="12">
        <v>13.1</v>
      </c>
      <c r="Q1040" s="13">
        <f t="shared" si="43"/>
        <v>0.84590903755103097</v>
      </c>
    </row>
    <row r="1041" spans="1:17" x14ac:dyDescent="0.25">
      <c r="A1041" s="12">
        <f t="shared" si="44"/>
        <v>7</v>
      </c>
      <c r="B1041" s="12">
        <v>2023</v>
      </c>
      <c r="C1041" s="12">
        <v>7320</v>
      </c>
      <c r="D1041" s="12">
        <v>1048946</v>
      </c>
      <c r="E1041" s="12" t="s">
        <v>13</v>
      </c>
      <c r="F1041" s="12" t="s">
        <v>14</v>
      </c>
      <c r="G1041" s="25">
        <v>1048946</v>
      </c>
      <c r="H1041" s="12">
        <f t="shared" si="42"/>
        <v>0</v>
      </c>
      <c r="I1041" s="14">
        <v>45114</v>
      </c>
      <c r="J1041" s="12" t="s">
        <v>38</v>
      </c>
      <c r="K1041" s="12" t="s">
        <v>19</v>
      </c>
      <c r="L1041" s="12" t="s">
        <v>55</v>
      </c>
      <c r="M1041" s="12">
        <v>230.00800000000001</v>
      </c>
      <c r="N1041" s="12">
        <v>190.99299999999999</v>
      </c>
      <c r="O1041" s="12">
        <v>4.5</v>
      </c>
      <c r="Q1041" s="13">
        <f t="shared" si="43"/>
        <v>0.82637050176733751</v>
      </c>
    </row>
    <row r="1042" spans="1:17" x14ac:dyDescent="0.25">
      <c r="A1042" s="12">
        <f t="shared" si="44"/>
        <v>7</v>
      </c>
      <c r="B1042" s="12">
        <v>2023</v>
      </c>
      <c r="C1042" s="12">
        <v>7321</v>
      </c>
      <c r="D1042" s="12">
        <v>1049034</v>
      </c>
      <c r="E1042" s="12" t="s">
        <v>13</v>
      </c>
      <c r="F1042" s="12" t="s">
        <v>14</v>
      </c>
      <c r="G1042" s="25">
        <v>1049034</v>
      </c>
      <c r="H1042" s="12">
        <f t="shared" si="42"/>
        <v>0</v>
      </c>
      <c r="I1042" s="14">
        <v>45115</v>
      </c>
      <c r="J1042" s="12" t="s">
        <v>38</v>
      </c>
      <c r="K1042" s="12" t="s">
        <v>19</v>
      </c>
      <c r="L1042" s="12" t="s">
        <v>55</v>
      </c>
      <c r="M1042" s="12">
        <v>230.00800000000001</v>
      </c>
      <c r="N1042" s="12">
        <v>192.13800000000001</v>
      </c>
      <c r="O1042" s="12">
        <v>3.8</v>
      </c>
      <c r="Q1042" s="13">
        <f t="shared" si="43"/>
        <v>0.84857694414734042</v>
      </c>
    </row>
    <row r="1043" spans="1:17" x14ac:dyDescent="0.25">
      <c r="A1043" s="12">
        <f t="shared" si="44"/>
        <v>7</v>
      </c>
      <c r="B1043" s="12">
        <v>2023</v>
      </c>
      <c r="C1043" s="12">
        <v>7322</v>
      </c>
      <c r="D1043" s="12">
        <v>1049263</v>
      </c>
      <c r="E1043" s="12" t="s">
        <v>13</v>
      </c>
      <c r="F1043" s="12" t="s">
        <v>14</v>
      </c>
      <c r="G1043" s="25">
        <v>1049263</v>
      </c>
      <c r="H1043" s="12">
        <f t="shared" si="42"/>
        <v>0</v>
      </c>
      <c r="I1043" s="14">
        <v>45116</v>
      </c>
      <c r="J1043" s="12" t="s">
        <v>38</v>
      </c>
      <c r="K1043" s="12" t="s">
        <v>19</v>
      </c>
      <c r="L1043" s="12" t="s">
        <v>55</v>
      </c>
      <c r="M1043" s="12">
        <v>230.00899999999999</v>
      </c>
      <c r="N1043" s="12">
        <v>193.303</v>
      </c>
      <c r="O1043" s="12">
        <v>4.5</v>
      </c>
      <c r="Q1043" s="13">
        <f t="shared" si="43"/>
        <v>0.83037546520121031</v>
      </c>
    </row>
    <row r="1044" spans="1:17" x14ac:dyDescent="0.25">
      <c r="A1044" s="12">
        <f t="shared" si="44"/>
        <v>7</v>
      </c>
      <c r="B1044" s="12">
        <v>2023</v>
      </c>
      <c r="C1044" s="12">
        <v>7323</v>
      </c>
      <c r="D1044" s="12">
        <v>1049380</v>
      </c>
      <c r="E1044" s="12" t="s">
        <v>13</v>
      </c>
      <c r="F1044" s="12" t="s">
        <v>14</v>
      </c>
      <c r="G1044" s="25">
        <v>1049380</v>
      </c>
      <c r="H1044" s="12">
        <f t="shared" si="42"/>
        <v>0</v>
      </c>
      <c r="I1044" s="14">
        <v>45117</v>
      </c>
      <c r="J1044" s="12" t="s">
        <v>38</v>
      </c>
      <c r="K1044" s="12" t="s">
        <v>19</v>
      </c>
      <c r="L1044" s="12" t="s">
        <v>55</v>
      </c>
      <c r="M1044" s="12">
        <v>230.00800000000001</v>
      </c>
      <c r="N1044" s="12">
        <v>191.30799999999999</v>
      </c>
      <c r="O1044" s="12">
        <v>3.7</v>
      </c>
      <c r="Q1044" s="13">
        <f t="shared" si="43"/>
        <v>0.83535355291989843</v>
      </c>
    </row>
    <row r="1045" spans="1:17" x14ac:dyDescent="0.25">
      <c r="A1045" s="12">
        <f t="shared" si="44"/>
        <v>7</v>
      </c>
      <c r="B1045" s="12">
        <v>2023</v>
      </c>
      <c r="C1045" s="12">
        <v>7324</v>
      </c>
      <c r="D1045" s="12">
        <v>1049382</v>
      </c>
      <c r="E1045" s="12" t="s">
        <v>13</v>
      </c>
      <c r="F1045" s="12" t="s">
        <v>14</v>
      </c>
      <c r="G1045" s="25">
        <v>1049382</v>
      </c>
      <c r="H1045" s="12">
        <f t="shared" si="42"/>
        <v>0</v>
      </c>
      <c r="I1045" s="14">
        <v>45118</v>
      </c>
      <c r="J1045" s="12" t="s">
        <v>18</v>
      </c>
      <c r="K1045" s="12" t="s">
        <v>20</v>
      </c>
      <c r="L1045" s="12" t="s">
        <v>79</v>
      </c>
      <c r="M1045" s="12">
        <v>230.00700000000001</v>
      </c>
      <c r="N1045" s="12">
        <v>141.16800000000001</v>
      </c>
      <c r="O1045" s="12">
        <v>5.2</v>
      </c>
      <c r="Q1045" s="13">
        <f t="shared" si="43"/>
        <v>0.84041494028494546</v>
      </c>
    </row>
    <row r="1046" spans="1:17" x14ac:dyDescent="0.25">
      <c r="A1046" s="12">
        <f t="shared" si="44"/>
        <v>7</v>
      </c>
      <c r="B1046" s="12">
        <v>2023</v>
      </c>
      <c r="C1046" s="12">
        <v>7325</v>
      </c>
      <c r="D1046" s="12">
        <v>1049413</v>
      </c>
      <c r="E1046" s="12" t="s">
        <v>13</v>
      </c>
      <c r="F1046" s="12" t="s">
        <v>14</v>
      </c>
      <c r="G1046" s="25">
        <v>1049413</v>
      </c>
      <c r="H1046" s="12">
        <f t="shared" si="42"/>
        <v>0</v>
      </c>
      <c r="I1046" s="14">
        <v>45119</v>
      </c>
      <c r="J1046" s="12" t="s">
        <v>18</v>
      </c>
      <c r="K1046" s="12" t="s">
        <v>20</v>
      </c>
      <c r="L1046" s="12" t="s">
        <v>79</v>
      </c>
      <c r="M1046" s="12">
        <v>230.00700000000001</v>
      </c>
      <c r="N1046" s="12">
        <v>203.006</v>
      </c>
      <c r="O1046" s="12">
        <v>4.2</v>
      </c>
      <c r="Q1046" s="13">
        <f t="shared" si="43"/>
        <v>0.83174498278320752</v>
      </c>
    </row>
    <row r="1047" spans="1:17" x14ac:dyDescent="0.25">
      <c r="A1047" s="12">
        <f t="shared" si="44"/>
        <v>7</v>
      </c>
      <c r="B1047" s="12">
        <v>2023</v>
      </c>
      <c r="C1047" s="12">
        <v>7326</v>
      </c>
      <c r="D1047" s="12">
        <v>1049609</v>
      </c>
      <c r="E1047" s="12" t="s">
        <v>13</v>
      </c>
      <c r="F1047" s="12" t="s">
        <v>14</v>
      </c>
      <c r="G1047" s="25">
        <v>1049609</v>
      </c>
      <c r="H1047" s="12">
        <f t="shared" si="42"/>
        <v>0</v>
      </c>
      <c r="I1047" s="14">
        <v>45120</v>
      </c>
      <c r="J1047" s="12" t="s">
        <v>38</v>
      </c>
      <c r="K1047" s="12" t="s">
        <v>19</v>
      </c>
      <c r="L1047" s="12" t="s">
        <v>55</v>
      </c>
      <c r="M1047" s="12">
        <v>229.999</v>
      </c>
      <c r="N1047" s="12">
        <v>189.60599999999999</v>
      </c>
      <c r="O1047" s="12">
        <v>4</v>
      </c>
      <c r="P1047" s="12">
        <v>12.2</v>
      </c>
      <c r="Q1047" s="13">
        <f t="shared" si="43"/>
        <v>0.61375523353637063</v>
      </c>
    </row>
    <row r="1048" spans="1:17" x14ac:dyDescent="0.25">
      <c r="A1048" s="12">
        <f t="shared" si="44"/>
        <v>7</v>
      </c>
      <c r="B1048" s="12">
        <v>2023</v>
      </c>
      <c r="C1048" s="12">
        <v>7327</v>
      </c>
      <c r="D1048" s="12">
        <v>1049720</v>
      </c>
      <c r="E1048" s="12" t="s">
        <v>13</v>
      </c>
      <c r="F1048" s="12" t="s">
        <v>14</v>
      </c>
      <c r="G1048" s="25">
        <v>1049720</v>
      </c>
      <c r="H1048" s="12">
        <f t="shared" si="42"/>
        <v>0</v>
      </c>
      <c r="I1048" s="14">
        <v>45121</v>
      </c>
      <c r="J1048" s="12" t="s">
        <v>38</v>
      </c>
      <c r="K1048" s="12" t="s">
        <v>19</v>
      </c>
      <c r="L1048" s="12" t="s">
        <v>55</v>
      </c>
      <c r="M1048" s="12">
        <v>229.99</v>
      </c>
      <c r="N1048" s="12">
        <v>192.489</v>
      </c>
      <c r="O1048" s="12">
        <v>3.8</v>
      </c>
      <c r="Q1048" s="13">
        <f t="shared" si="43"/>
        <v>0.88260792062850257</v>
      </c>
    </row>
    <row r="1049" spans="1:17" x14ac:dyDescent="0.25">
      <c r="A1049" s="12">
        <f t="shared" si="44"/>
        <v>7</v>
      </c>
      <c r="B1049" s="12">
        <v>2023</v>
      </c>
      <c r="C1049" s="12">
        <v>7328</v>
      </c>
      <c r="D1049" s="12">
        <v>1049847</v>
      </c>
      <c r="E1049" s="12" t="s">
        <v>13</v>
      </c>
      <c r="F1049" s="12" t="s">
        <v>14</v>
      </c>
      <c r="G1049" s="25">
        <v>1049847</v>
      </c>
      <c r="H1049" s="12">
        <f t="shared" si="42"/>
        <v>0</v>
      </c>
      <c r="I1049" s="14">
        <v>45122</v>
      </c>
      <c r="J1049" s="12" t="s">
        <v>38</v>
      </c>
      <c r="K1049" s="12" t="s">
        <v>19</v>
      </c>
      <c r="L1049" s="12" t="s">
        <v>55</v>
      </c>
      <c r="M1049" s="12">
        <v>229.99</v>
      </c>
      <c r="N1049" s="12">
        <v>187.114</v>
      </c>
      <c r="O1049" s="12">
        <v>4.5999999999999996</v>
      </c>
      <c r="Q1049" s="13">
        <f t="shared" si="43"/>
        <v>0.82437749729346643</v>
      </c>
    </row>
    <row r="1050" spans="1:17" x14ac:dyDescent="0.25">
      <c r="A1050" s="12">
        <f t="shared" si="44"/>
        <v>7</v>
      </c>
      <c r="B1050" s="12">
        <v>2023</v>
      </c>
      <c r="C1050" s="12">
        <v>7329</v>
      </c>
      <c r="D1050" s="12">
        <v>1049907</v>
      </c>
      <c r="E1050" s="12" t="s">
        <v>13</v>
      </c>
      <c r="F1050" s="12" t="s">
        <v>14</v>
      </c>
      <c r="G1050" s="25">
        <v>1049907</v>
      </c>
      <c r="H1050" s="12">
        <f t="shared" si="42"/>
        <v>0</v>
      </c>
      <c r="I1050" s="14">
        <v>45123</v>
      </c>
      <c r="J1050" s="12" t="s">
        <v>38</v>
      </c>
      <c r="K1050" s="12" t="s">
        <v>19</v>
      </c>
      <c r="L1050" s="12" t="s">
        <v>55</v>
      </c>
      <c r="M1050" s="12">
        <v>229.99100000000001</v>
      </c>
      <c r="N1050" s="12">
        <v>189.28399999999999</v>
      </c>
      <c r="O1050" s="12">
        <v>3.7</v>
      </c>
      <c r="Q1050" s="13">
        <f t="shared" si="43"/>
        <v>0.83694508456889427</v>
      </c>
    </row>
    <row r="1051" spans="1:17" x14ac:dyDescent="0.25">
      <c r="A1051" s="12">
        <f t="shared" si="44"/>
        <v>7</v>
      </c>
      <c r="B1051" s="12">
        <v>2023</v>
      </c>
      <c r="C1051" s="12">
        <v>7330</v>
      </c>
      <c r="D1051" s="12">
        <v>1049910</v>
      </c>
      <c r="E1051" s="12" t="s">
        <v>13</v>
      </c>
      <c r="F1051" s="12" t="s">
        <v>14</v>
      </c>
      <c r="G1051" s="25">
        <v>1049910</v>
      </c>
      <c r="H1051" s="12">
        <f t="shared" si="42"/>
        <v>0</v>
      </c>
      <c r="I1051" s="14">
        <v>45124</v>
      </c>
      <c r="J1051" s="12" t="s">
        <v>38</v>
      </c>
      <c r="K1051" s="12" t="s">
        <v>19</v>
      </c>
      <c r="L1051" s="12" t="s">
        <v>55</v>
      </c>
      <c r="M1051" s="12">
        <v>229.99100000000001</v>
      </c>
      <c r="N1051" s="12">
        <v>193.53200000000001</v>
      </c>
      <c r="O1051" s="12">
        <v>4.4000000000000004</v>
      </c>
      <c r="Q1051" s="13">
        <f t="shared" si="43"/>
        <v>0.81357450323927127</v>
      </c>
    </row>
    <row r="1052" spans="1:17" x14ac:dyDescent="0.25">
      <c r="A1052" s="12">
        <f t="shared" si="44"/>
        <v>7</v>
      </c>
      <c r="B1052" s="12">
        <v>2023</v>
      </c>
      <c r="C1052" s="12">
        <v>7331</v>
      </c>
      <c r="D1052" s="12">
        <v>1050027</v>
      </c>
      <c r="E1052" s="12" t="s">
        <v>13</v>
      </c>
      <c r="F1052" s="12" t="s">
        <v>14</v>
      </c>
      <c r="G1052" s="25">
        <v>1050027</v>
      </c>
      <c r="H1052" s="12">
        <f t="shared" si="42"/>
        <v>0</v>
      </c>
      <c r="I1052" s="14">
        <v>45125</v>
      </c>
      <c r="J1052" s="12" t="s">
        <v>18</v>
      </c>
      <c r="K1052" s="12" t="s">
        <v>20</v>
      </c>
      <c r="L1052" s="12" t="s">
        <v>48</v>
      </c>
      <c r="M1052" s="12">
        <v>230.00700000000001</v>
      </c>
      <c r="N1052" s="12">
        <v>193.74</v>
      </c>
      <c r="O1052" s="12">
        <v>4.2</v>
      </c>
      <c r="Q1052" s="13">
        <f t="shared" si="43"/>
        <v>0.82300611763068976</v>
      </c>
    </row>
    <row r="1053" spans="1:17" x14ac:dyDescent="0.25">
      <c r="A1053" s="12">
        <f t="shared" si="44"/>
        <v>7</v>
      </c>
      <c r="B1053" s="12">
        <v>2023</v>
      </c>
      <c r="C1053" s="12">
        <v>7332</v>
      </c>
      <c r="D1053" s="12">
        <v>1050028</v>
      </c>
      <c r="E1053" s="12" t="s">
        <v>13</v>
      </c>
      <c r="F1053" s="12" t="s">
        <v>14</v>
      </c>
      <c r="G1053" s="25">
        <v>1050028</v>
      </c>
      <c r="H1053" s="12">
        <f t="shared" si="42"/>
        <v>0</v>
      </c>
      <c r="I1053" s="14">
        <v>45126</v>
      </c>
      <c r="J1053" s="12" t="s">
        <v>18</v>
      </c>
      <c r="K1053" s="12" t="s">
        <v>20</v>
      </c>
      <c r="L1053" s="12" t="s">
        <v>48</v>
      </c>
      <c r="M1053" s="12">
        <v>230.006</v>
      </c>
      <c r="N1053" s="12">
        <v>190.32300000000001</v>
      </c>
      <c r="O1053" s="12">
        <v>4.4000000000000004</v>
      </c>
      <c r="Q1053" s="13">
        <f t="shared" si="43"/>
        <v>0.84147640559847992</v>
      </c>
    </row>
    <row r="1054" spans="1:17" x14ac:dyDescent="0.25">
      <c r="A1054" s="12">
        <f t="shared" si="44"/>
        <v>7</v>
      </c>
      <c r="B1054" s="12">
        <v>2023</v>
      </c>
      <c r="C1054" s="12">
        <v>7333</v>
      </c>
      <c r="D1054" s="12">
        <v>1050246</v>
      </c>
      <c r="E1054" s="12" t="s">
        <v>13</v>
      </c>
      <c r="F1054" s="12" t="s">
        <v>14</v>
      </c>
      <c r="G1054" s="25">
        <v>1050246</v>
      </c>
      <c r="H1054" s="12">
        <f t="shared" si="42"/>
        <v>0</v>
      </c>
      <c r="I1054" s="14">
        <v>45127</v>
      </c>
      <c r="J1054" s="12" t="s">
        <v>18</v>
      </c>
      <c r="K1054" s="12" t="s">
        <v>19</v>
      </c>
      <c r="L1054" s="12" t="s">
        <v>55</v>
      </c>
      <c r="M1054" s="12">
        <v>230.01300000000001</v>
      </c>
      <c r="N1054" s="12">
        <v>193.31899999999999</v>
      </c>
      <c r="O1054" s="12">
        <v>3.9</v>
      </c>
      <c r="P1054" s="12">
        <v>12</v>
      </c>
      <c r="Q1054" s="13">
        <f t="shared" si="43"/>
        <v>0.84232219019421151</v>
      </c>
    </row>
    <row r="1055" spans="1:17" x14ac:dyDescent="0.25">
      <c r="A1055" s="12">
        <f t="shared" si="44"/>
        <v>7</v>
      </c>
      <c r="B1055" s="12">
        <v>2023</v>
      </c>
      <c r="C1055" s="12">
        <v>7334</v>
      </c>
      <c r="D1055" s="12">
        <v>1050420</v>
      </c>
      <c r="E1055" s="12" t="s">
        <v>13</v>
      </c>
      <c r="F1055" s="12" t="s">
        <v>14</v>
      </c>
      <c r="G1055" s="25">
        <v>1050420</v>
      </c>
      <c r="H1055" s="12">
        <f t="shared" si="42"/>
        <v>0</v>
      </c>
      <c r="I1055" s="14">
        <v>45128</v>
      </c>
      <c r="J1055" s="12" t="s">
        <v>18</v>
      </c>
      <c r="K1055" s="12" t="s">
        <v>19</v>
      </c>
      <c r="L1055" s="12" t="s">
        <v>55</v>
      </c>
      <c r="M1055" s="12">
        <v>230.00700000000001</v>
      </c>
      <c r="N1055" s="12">
        <v>190.50299999999999</v>
      </c>
      <c r="O1055" s="12">
        <v>3.7</v>
      </c>
      <c r="Q1055" s="13">
        <f t="shared" si="43"/>
        <v>0.82746971818126491</v>
      </c>
    </row>
    <row r="1056" spans="1:17" x14ac:dyDescent="0.25">
      <c r="A1056" s="12">
        <f t="shared" si="44"/>
        <v>7</v>
      </c>
      <c r="B1056" s="12">
        <v>2023</v>
      </c>
      <c r="C1056" s="12">
        <v>7335</v>
      </c>
      <c r="D1056" s="12">
        <v>1050515</v>
      </c>
      <c r="E1056" s="12" t="s">
        <v>13</v>
      </c>
      <c r="F1056" s="12" t="s">
        <v>14</v>
      </c>
      <c r="G1056" s="25">
        <v>1050515</v>
      </c>
      <c r="H1056" s="12">
        <f t="shared" si="42"/>
        <v>0</v>
      </c>
      <c r="I1056" s="14">
        <v>45129</v>
      </c>
      <c r="J1056" s="12" t="s">
        <v>18</v>
      </c>
      <c r="K1056" s="12" t="s">
        <v>19</v>
      </c>
      <c r="L1056" s="12" t="s">
        <v>55</v>
      </c>
      <c r="M1056" s="12">
        <v>230.00700000000001</v>
      </c>
      <c r="N1056" s="12">
        <v>192.88300000000001</v>
      </c>
      <c r="O1056" s="12">
        <v>3.7</v>
      </c>
      <c r="Q1056" s="13">
        <f t="shared" si="43"/>
        <v>0.84046988648467691</v>
      </c>
    </row>
    <row r="1057" spans="1:17" x14ac:dyDescent="0.25">
      <c r="A1057" s="12">
        <f t="shared" si="44"/>
        <v>7</v>
      </c>
      <c r="B1057" s="12">
        <v>2023</v>
      </c>
      <c r="C1057" s="12">
        <v>7336</v>
      </c>
      <c r="D1057" s="12">
        <v>1050636</v>
      </c>
      <c r="E1057" s="12" t="s">
        <v>13</v>
      </c>
      <c r="F1057" s="12" t="s">
        <v>14</v>
      </c>
      <c r="G1057" s="25">
        <v>1050636</v>
      </c>
      <c r="H1057" s="12">
        <f t="shared" si="42"/>
        <v>0</v>
      </c>
      <c r="I1057" s="14">
        <v>45130</v>
      </c>
      <c r="J1057" s="12" t="s">
        <v>18</v>
      </c>
      <c r="K1057" s="12" t="s">
        <v>19</v>
      </c>
      <c r="L1057" s="12" t="s">
        <v>55</v>
      </c>
      <c r="M1057" s="12">
        <v>230.005</v>
      </c>
      <c r="N1057" s="12">
        <v>191.40799999999999</v>
      </c>
      <c r="O1057" s="12">
        <v>4.4000000000000004</v>
      </c>
      <c r="Q1057" s="13">
        <f t="shared" si="43"/>
        <v>0.82824870547418117</v>
      </c>
    </row>
    <row r="1058" spans="1:17" x14ac:dyDescent="0.25">
      <c r="A1058" s="12">
        <f t="shared" si="44"/>
        <v>7</v>
      </c>
      <c r="B1058" s="12">
        <v>2023</v>
      </c>
      <c r="C1058" s="12">
        <v>7337</v>
      </c>
      <c r="D1058" s="12">
        <v>1050694</v>
      </c>
      <c r="E1058" s="12" t="s">
        <v>13</v>
      </c>
      <c r="F1058" s="12" t="s">
        <v>14</v>
      </c>
      <c r="G1058" s="25">
        <v>1050694</v>
      </c>
      <c r="H1058" s="12">
        <f t="shared" ref="H1058:H1121" si="45">D1058-G1058</f>
        <v>0</v>
      </c>
      <c r="I1058" s="14">
        <v>45131</v>
      </c>
      <c r="J1058" s="12" t="s">
        <v>18</v>
      </c>
      <c r="K1058" s="12" t="s">
        <v>19</v>
      </c>
      <c r="L1058" s="12" t="s">
        <v>55</v>
      </c>
      <c r="M1058" s="12">
        <v>230.005</v>
      </c>
      <c r="N1058" s="12">
        <v>193.73500000000001</v>
      </c>
      <c r="O1058" s="12">
        <v>3.8</v>
      </c>
      <c r="Q1058" s="13">
        <f t="shared" si="43"/>
        <v>0.83859621663688499</v>
      </c>
    </row>
    <row r="1059" spans="1:17" x14ac:dyDescent="0.25">
      <c r="A1059" s="12">
        <f t="shared" si="44"/>
        <v>7</v>
      </c>
      <c r="B1059" s="12">
        <v>2023</v>
      </c>
      <c r="C1059" s="12">
        <v>7338</v>
      </c>
      <c r="D1059" s="12">
        <v>1050696</v>
      </c>
      <c r="E1059" s="12" t="s">
        <v>13</v>
      </c>
      <c r="F1059" s="12" t="s">
        <v>14</v>
      </c>
      <c r="G1059" s="25">
        <v>1050696</v>
      </c>
      <c r="H1059" s="12">
        <f t="shared" si="45"/>
        <v>0</v>
      </c>
      <c r="I1059" s="14">
        <v>45132</v>
      </c>
      <c r="J1059" s="12" t="s">
        <v>17</v>
      </c>
      <c r="K1059" s="12" t="s">
        <v>19</v>
      </c>
      <c r="L1059" s="12" t="s">
        <v>78</v>
      </c>
      <c r="M1059" s="12">
        <v>230.00800000000001</v>
      </c>
      <c r="N1059" s="12">
        <v>190.018</v>
      </c>
      <c r="O1059" s="12">
        <v>4.0999999999999996</v>
      </c>
      <c r="Q1059" s="13">
        <f t="shared" si="43"/>
        <v>0.83219060455207494</v>
      </c>
    </row>
    <row r="1060" spans="1:17" x14ac:dyDescent="0.25">
      <c r="A1060" s="12">
        <f t="shared" si="44"/>
        <v>7</v>
      </c>
      <c r="B1060" s="12">
        <v>2023</v>
      </c>
      <c r="C1060" s="12">
        <v>7339</v>
      </c>
      <c r="D1060" s="12">
        <v>1050750</v>
      </c>
      <c r="E1060" s="12" t="s">
        <v>13</v>
      </c>
      <c r="F1060" s="12" t="s">
        <v>14</v>
      </c>
      <c r="G1060" s="25">
        <v>1050750</v>
      </c>
      <c r="H1060" s="12">
        <f t="shared" si="45"/>
        <v>0</v>
      </c>
      <c r="I1060" s="14">
        <v>45133</v>
      </c>
      <c r="J1060" s="12" t="s">
        <v>17</v>
      </c>
      <c r="K1060" s="12" t="s">
        <v>19</v>
      </c>
      <c r="L1060" s="12" t="s">
        <v>78</v>
      </c>
      <c r="M1060" s="12">
        <v>230.00700000000001</v>
      </c>
      <c r="N1060" s="12">
        <v>190.041</v>
      </c>
      <c r="O1060" s="12">
        <v>4.5999999999999996</v>
      </c>
      <c r="Q1060" s="13">
        <f t="shared" si="43"/>
        <v>0.84230777591791495</v>
      </c>
    </row>
    <row r="1061" spans="1:17" x14ac:dyDescent="0.25">
      <c r="A1061" s="12">
        <f t="shared" si="44"/>
        <v>7</v>
      </c>
      <c r="B1061" s="12">
        <v>2023</v>
      </c>
      <c r="C1061" s="12">
        <v>7340</v>
      </c>
      <c r="D1061" s="12">
        <v>1050955</v>
      </c>
      <c r="E1061" s="12" t="s">
        <v>13</v>
      </c>
      <c r="F1061" s="12" t="s">
        <v>14</v>
      </c>
      <c r="G1061" s="25">
        <v>1050955</v>
      </c>
      <c r="H1061" s="12">
        <f t="shared" si="45"/>
        <v>0</v>
      </c>
      <c r="I1061" s="14">
        <v>45134</v>
      </c>
      <c r="J1061" s="12" t="s">
        <v>18</v>
      </c>
      <c r="K1061" s="12" t="s">
        <v>19</v>
      </c>
      <c r="L1061" s="12" t="s">
        <v>55</v>
      </c>
      <c r="M1061" s="12">
        <v>230.00200000000001</v>
      </c>
      <c r="N1061" s="12">
        <v>193.64400000000001</v>
      </c>
      <c r="O1061" s="12">
        <v>4.0999999999999996</v>
      </c>
      <c r="P1061" s="12">
        <v>12.1</v>
      </c>
      <c r="Q1061" s="13">
        <f t="shared" si="43"/>
        <v>0.82613648220931446</v>
      </c>
    </row>
    <row r="1062" spans="1:17" x14ac:dyDescent="0.25">
      <c r="A1062" s="12">
        <f t="shared" si="44"/>
        <v>7</v>
      </c>
      <c r="B1062" s="12">
        <v>2023</v>
      </c>
      <c r="C1062" s="12">
        <v>7341</v>
      </c>
      <c r="D1062" s="12">
        <v>1051075</v>
      </c>
      <c r="E1062" s="12" t="s">
        <v>13</v>
      </c>
      <c r="F1062" s="12" t="s">
        <v>14</v>
      </c>
      <c r="G1062" s="25">
        <v>1051075</v>
      </c>
      <c r="H1062" s="12">
        <f t="shared" si="45"/>
        <v>0</v>
      </c>
      <c r="I1062" s="14">
        <v>45135</v>
      </c>
      <c r="J1062" s="12" t="s">
        <v>18</v>
      </c>
      <c r="K1062" s="12" t="s">
        <v>19</v>
      </c>
      <c r="L1062" s="12" t="s">
        <v>55</v>
      </c>
      <c r="M1062" s="12">
        <v>230.006</v>
      </c>
      <c r="N1062" s="12">
        <v>188.93</v>
      </c>
      <c r="O1062" s="12">
        <v>4</v>
      </c>
      <c r="Q1062" s="13">
        <f t="shared" si="43"/>
        <v>0.82624007095436225</v>
      </c>
    </row>
    <row r="1063" spans="1:17" x14ac:dyDescent="0.25">
      <c r="A1063" s="12">
        <f t="shared" si="44"/>
        <v>7</v>
      </c>
      <c r="B1063" s="12">
        <v>2023</v>
      </c>
      <c r="C1063" s="12">
        <v>7342</v>
      </c>
      <c r="D1063" s="12">
        <v>1051175</v>
      </c>
      <c r="E1063" s="12" t="s">
        <v>13</v>
      </c>
      <c r="F1063" s="12" t="s">
        <v>14</v>
      </c>
      <c r="G1063" s="25">
        <v>1051175</v>
      </c>
      <c r="H1063" s="12">
        <f t="shared" si="45"/>
        <v>0</v>
      </c>
      <c r="I1063" s="14">
        <v>45136</v>
      </c>
      <c r="J1063" s="12" t="s">
        <v>18</v>
      </c>
      <c r="K1063" s="12" t="s">
        <v>19</v>
      </c>
      <c r="L1063" s="12" t="s">
        <v>55</v>
      </c>
      <c r="M1063" s="12">
        <v>230.00700000000001</v>
      </c>
      <c r="N1063" s="12">
        <v>192.56800000000001</v>
      </c>
      <c r="O1063" s="12">
        <v>3.8</v>
      </c>
      <c r="Q1063" s="13">
        <f t="shared" si="43"/>
        <v>0.84192311371205464</v>
      </c>
    </row>
    <row r="1064" spans="1:17" x14ac:dyDescent="0.25">
      <c r="A1064" s="12">
        <f t="shared" si="44"/>
        <v>7</v>
      </c>
      <c r="B1064" s="12">
        <v>2023</v>
      </c>
      <c r="C1064" s="12">
        <v>7343</v>
      </c>
      <c r="D1064" s="12">
        <v>1051305</v>
      </c>
      <c r="E1064" s="12" t="s">
        <v>13</v>
      </c>
      <c r="F1064" s="12" t="s">
        <v>14</v>
      </c>
      <c r="G1064" s="25">
        <v>1051305</v>
      </c>
      <c r="H1064" s="12">
        <f t="shared" si="45"/>
        <v>0</v>
      </c>
      <c r="I1064" s="14">
        <v>45137</v>
      </c>
      <c r="J1064" s="12" t="s">
        <v>18</v>
      </c>
      <c r="K1064" s="12" t="s">
        <v>19</v>
      </c>
      <c r="L1064" s="12" t="s">
        <v>55</v>
      </c>
      <c r="M1064" s="12">
        <v>229.96</v>
      </c>
      <c r="N1064" s="12">
        <v>191.864</v>
      </c>
      <c r="O1064" s="12">
        <v>4.5999999999999996</v>
      </c>
      <c r="P1064" s="12">
        <v>12.3</v>
      </c>
      <c r="Q1064" s="13">
        <f t="shared" si="43"/>
        <v>0.82141335443423213</v>
      </c>
    </row>
    <row r="1065" spans="1:17" x14ac:dyDescent="0.25">
      <c r="A1065" s="12">
        <f t="shared" si="44"/>
        <v>7</v>
      </c>
      <c r="B1065" s="12">
        <v>2023</v>
      </c>
      <c r="C1065" s="12">
        <v>7344</v>
      </c>
      <c r="D1065" s="12">
        <v>1051351</v>
      </c>
      <c r="E1065" s="12" t="s">
        <v>13</v>
      </c>
      <c r="F1065" s="12" t="s">
        <v>14</v>
      </c>
      <c r="G1065" s="25">
        <v>1051351</v>
      </c>
      <c r="H1065" s="12">
        <f t="shared" si="45"/>
        <v>0</v>
      </c>
      <c r="I1065" s="14">
        <v>45138</v>
      </c>
      <c r="J1065" s="12" t="s">
        <v>18</v>
      </c>
      <c r="K1065" s="12" t="s">
        <v>19</v>
      </c>
      <c r="L1065" s="12" t="s">
        <v>55</v>
      </c>
      <c r="M1065" s="12">
        <v>229.977</v>
      </c>
      <c r="N1065" s="12">
        <v>191.5</v>
      </c>
      <c r="O1065" s="12">
        <v>4.3</v>
      </c>
      <c r="Q1065" s="13">
        <f t="shared" si="43"/>
        <v>0.83722669310064479</v>
      </c>
    </row>
    <row r="1066" spans="1:17" x14ac:dyDescent="0.25">
      <c r="A1066" s="12">
        <f t="shared" si="44"/>
        <v>8</v>
      </c>
      <c r="B1066" s="12">
        <v>2023</v>
      </c>
      <c r="C1066" s="12">
        <v>7345</v>
      </c>
      <c r="D1066" s="12">
        <v>1051352</v>
      </c>
      <c r="E1066" s="12" t="s">
        <v>13</v>
      </c>
      <c r="F1066" s="12" t="s">
        <v>14</v>
      </c>
      <c r="G1066" s="25">
        <v>1051352</v>
      </c>
      <c r="H1066" s="12">
        <f t="shared" si="45"/>
        <v>0</v>
      </c>
      <c r="I1066" s="14">
        <v>45139</v>
      </c>
      <c r="J1066" s="12" t="s">
        <v>38</v>
      </c>
      <c r="K1066" s="12" t="s">
        <v>19</v>
      </c>
      <c r="L1066" s="12" t="s">
        <v>55</v>
      </c>
      <c r="M1066" s="12">
        <v>229.976</v>
      </c>
      <c r="N1066" s="12">
        <v>191.27</v>
      </c>
      <c r="O1066" s="12">
        <v>4.2</v>
      </c>
      <c r="Q1066" s="13">
        <f t="shared" si="43"/>
        <v>0.83433640633153594</v>
      </c>
    </row>
    <row r="1067" spans="1:17" x14ac:dyDescent="0.25">
      <c r="A1067" s="12">
        <f t="shared" si="44"/>
        <v>8</v>
      </c>
      <c r="B1067" s="12">
        <v>2023</v>
      </c>
      <c r="C1067" s="12">
        <v>7346</v>
      </c>
      <c r="D1067" s="12">
        <v>1051446</v>
      </c>
      <c r="E1067" s="12" t="s">
        <v>13</v>
      </c>
      <c r="F1067" s="12" t="s">
        <v>14</v>
      </c>
      <c r="G1067" s="25">
        <v>1051446</v>
      </c>
      <c r="H1067" s="12">
        <f t="shared" si="45"/>
        <v>0</v>
      </c>
      <c r="I1067" s="14">
        <v>45140</v>
      </c>
      <c r="J1067" s="12" t="s">
        <v>38</v>
      </c>
      <c r="K1067" s="12" t="s">
        <v>19</v>
      </c>
      <c r="L1067" s="12" t="s">
        <v>55</v>
      </c>
      <c r="M1067" s="12">
        <v>230.01</v>
      </c>
      <c r="N1067" s="12">
        <v>190.989</v>
      </c>
      <c r="O1067" s="12">
        <v>4.2</v>
      </c>
      <c r="P1067" s="12">
        <v>11.9</v>
      </c>
      <c r="Q1067" s="13">
        <f t="shared" ref="Q1067:Q1130" si="46">N1065/M1065</f>
        <v>0.83269196484865882</v>
      </c>
    </row>
    <row r="1068" spans="1:17" x14ac:dyDescent="0.25">
      <c r="A1068" s="12">
        <f t="shared" si="44"/>
        <v>8</v>
      </c>
      <c r="B1068" s="12">
        <v>2023</v>
      </c>
      <c r="C1068" s="12">
        <v>7347</v>
      </c>
      <c r="D1068" s="12">
        <v>1051628</v>
      </c>
      <c r="E1068" s="12" t="s">
        <v>13</v>
      </c>
      <c r="F1068" s="12" t="s">
        <v>14</v>
      </c>
      <c r="G1068" s="25">
        <v>1051628</v>
      </c>
      <c r="H1068" s="12">
        <f t="shared" si="45"/>
        <v>0</v>
      </c>
      <c r="I1068" s="14">
        <v>45141</v>
      </c>
      <c r="J1068" s="12" t="s">
        <v>38</v>
      </c>
      <c r="K1068" s="12" t="s">
        <v>19</v>
      </c>
      <c r="L1068" s="12" t="s">
        <v>55</v>
      </c>
      <c r="M1068" s="12">
        <v>229.99600000000001</v>
      </c>
      <c r="N1068" s="12">
        <v>190.18600000000001</v>
      </c>
      <c r="O1068" s="12">
        <v>3.8</v>
      </c>
      <c r="Q1068" s="13">
        <f t="shared" si="46"/>
        <v>0.83169548126761061</v>
      </c>
    </row>
    <row r="1069" spans="1:17" x14ac:dyDescent="0.25">
      <c r="A1069" s="12">
        <f t="shared" si="44"/>
        <v>8</v>
      </c>
      <c r="B1069" s="12">
        <v>2023</v>
      </c>
      <c r="C1069" s="12">
        <v>7348</v>
      </c>
      <c r="D1069" s="12">
        <v>1051784</v>
      </c>
      <c r="E1069" s="12" t="s">
        <v>13</v>
      </c>
      <c r="F1069" s="12" t="s">
        <v>14</v>
      </c>
      <c r="G1069" s="25">
        <v>1051784</v>
      </c>
      <c r="H1069" s="12">
        <f t="shared" si="45"/>
        <v>0</v>
      </c>
      <c r="I1069" s="14">
        <v>45142</v>
      </c>
      <c r="J1069" s="12" t="s">
        <v>38</v>
      </c>
      <c r="K1069" s="12" t="s">
        <v>19</v>
      </c>
      <c r="L1069" s="12" t="s">
        <v>55</v>
      </c>
      <c r="M1069" s="12">
        <v>229.995</v>
      </c>
      <c r="N1069" s="12">
        <v>194.40799999999999</v>
      </c>
      <c r="O1069" s="12">
        <v>4.5</v>
      </c>
      <c r="Q1069" s="13">
        <f t="shared" si="46"/>
        <v>0.83035085431068223</v>
      </c>
    </row>
    <row r="1070" spans="1:17" x14ac:dyDescent="0.25">
      <c r="A1070" s="12">
        <f t="shared" si="44"/>
        <v>8</v>
      </c>
      <c r="B1070" s="12">
        <v>2023</v>
      </c>
      <c r="C1070" s="12">
        <v>7349</v>
      </c>
      <c r="D1070" s="12">
        <v>1051914</v>
      </c>
      <c r="E1070" s="12" t="s">
        <v>13</v>
      </c>
      <c r="F1070" s="12" t="s">
        <v>14</v>
      </c>
      <c r="G1070" s="25">
        <v>1051914</v>
      </c>
      <c r="H1070" s="12">
        <f t="shared" si="45"/>
        <v>0</v>
      </c>
      <c r="I1070" s="14">
        <v>45143</v>
      </c>
      <c r="J1070" s="12" t="s">
        <v>38</v>
      </c>
      <c r="K1070" s="12" t="s">
        <v>19</v>
      </c>
      <c r="L1070" s="12" t="s">
        <v>55</v>
      </c>
      <c r="M1070" s="12">
        <v>229.94399999999999</v>
      </c>
      <c r="N1070" s="12">
        <v>195.256</v>
      </c>
      <c r="O1070" s="12">
        <v>4.3</v>
      </c>
      <c r="Q1070" s="13">
        <f t="shared" si="46"/>
        <v>0.82691003321796896</v>
      </c>
    </row>
    <row r="1071" spans="1:17" x14ac:dyDescent="0.25">
      <c r="A1071" s="12">
        <f t="shared" si="44"/>
        <v>8</v>
      </c>
      <c r="B1071" s="12">
        <v>2023</v>
      </c>
      <c r="C1071" s="12">
        <v>7350</v>
      </c>
      <c r="D1071" s="12">
        <v>1051915</v>
      </c>
      <c r="E1071" s="12" t="s">
        <v>13</v>
      </c>
      <c r="F1071" s="12" t="s">
        <v>14</v>
      </c>
      <c r="G1071" s="25">
        <v>1051915</v>
      </c>
      <c r="H1071" s="12">
        <f t="shared" si="45"/>
        <v>0</v>
      </c>
      <c r="I1071" s="14">
        <v>45144</v>
      </c>
      <c r="J1071" s="12" t="s">
        <v>38</v>
      </c>
      <c r="K1071" s="12" t="s">
        <v>19</v>
      </c>
      <c r="L1071" s="12" t="s">
        <v>55</v>
      </c>
      <c r="M1071" s="12">
        <v>229.94300000000001</v>
      </c>
      <c r="N1071" s="12">
        <v>191.78399999999999</v>
      </c>
      <c r="O1071" s="12">
        <v>4.2</v>
      </c>
      <c r="Q1071" s="13">
        <f t="shared" si="46"/>
        <v>0.84527054935976864</v>
      </c>
    </row>
    <row r="1072" spans="1:17" x14ac:dyDescent="0.25">
      <c r="A1072" s="12">
        <f t="shared" si="44"/>
        <v>8</v>
      </c>
      <c r="B1072" s="12">
        <v>2023</v>
      </c>
      <c r="C1072" s="12">
        <v>7351</v>
      </c>
      <c r="D1072" s="12">
        <v>1051916</v>
      </c>
      <c r="E1072" s="12" t="s">
        <v>13</v>
      </c>
      <c r="F1072" s="12" t="s">
        <v>14</v>
      </c>
      <c r="G1072" s="25">
        <v>1051916</v>
      </c>
      <c r="H1072" s="12">
        <f t="shared" si="45"/>
        <v>0</v>
      </c>
      <c r="I1072" s="14">
        <v>45145</v>
      </c>
      <c r="J1072" s="12" t="s">
        <v>17</v>
      </c>
      <c r="K1072" s="12" t="s">
        <v>19</v>
      </c>
      <c r="L1072" s="12" t="s">
        <v>57</v>
      </c>
      <c r="M1072" s="12">
        <v>225.012</v>
      </c>
      <c r="N1072" s="12">
        <v>190.75</v>
      </c>
      <c r="O1072" s="12">
        <v>4.2</v>
      </c>
      <c r="P1072" s="12">
        <v>12</v>
      </c>
      <c r="Q1072" s="13">
        <f t="shared" si="46"/>
        <v>0.8491458789966253</v>
      </c>
    </row>
    <row r="1073" spans="1:17" x14ac:dyDescent="0.25">
      <c r="A1073" s="12">
        <f t="shared" si="44"/>
        <v>8</v>
      </c>
      <c r="B1073" s="12">
        <v>2023</v>
      </c>
      <c r="C1073" s="12">
        <v>7352</v>
      </c>
      <c r="D1073" s="12">
        <v>1052217</v>
      </c>
      <c r="E1073" s="12" t="s">
        <v>13</v>
      </c>
      <c r="F1073" s="12" t="s">
        <v>14</v>
      </c>
      <c r="G1073" s="25">
        <v>1052217</v>
      </c>
      <c r="H1073" s="12">
        <f t="shared" si="45"/>
        <v>0</v>
      </c>
      <c r="I1073" s="14">
        <v>45146</v>
      </c>
      <c r="J1073" s="12" t="s">
        <v>38</v>
      </c>
      <c r="K1073" s="12" t="s">
        <v>19</v>
      </c>
      <c r="L1073" s="12" t="s">
        <v>55</v>
      </c>
      <c r="M1073" s="12">
        <v>230</v>
      </c>
      <c r="N1073" s="12">
        <v>196.05500000000001</v>
      </c>
      <c r="O1073" s="12">
        <v>4.3</v>
      </c>
      <c r="P1073" s="12">
        <v>11.9</v>
      </c>
      <c r="Q1073" s="13">
        <f t="shared" si="46"/>
        <v>0.8340501776527226</v>
      </c>
    </row>
    <row r="1074" spans="1:17" x14ac:dyDescent="0.25">
      <c r="A1074" s="12">
        <f t="shared" si="44"/>
        <v>8</v>
      </c>
      <c r="B1074" s="12">
        <v>2023</v>
      </c>
      <c r="C1074" s="12">
        <v>7353</v>
      </c>
      <c r="D1074" s="12">
        <v>1052218</v>
      </c>
      <c r="E1074" s="12" t="s">
        <v>13</v>
      </c>
      <c r="F1074" s="12" t="s">
        <v>14</v>
      </c>
      <c r="G1074" s="25">
        <v>1052218</v>
      </c>
      <c r="H1074" s="12">
        <f t="shared" si="45"/>
        <v>0</v>
      </c>
      <c r="I1074" s="14">
        <v>45147</v>
      </c>
      <c r="J1074" s="12" t="s">
        <v>38</v>
      </c>
      <c r="K1074" s="12" t="s">
        <v>19</v>
      </c>
      <c r="L1074" s="12" t="s">
        <v>55</v>
      </c>
      <c r="M1074" s="12">
        <v>230.13</v>
      </c>
      <c r="N1074" s="12">
        <v>196.36199999999999</v>
      </c>
      <c r="O1074" s="12">
        <v>3.7</v>
      </c>
      <c r="P1074" s="12">
        <v>12.2</v>
      </c>
      <c r="Q1074" s="13">
        <f t="shared" si="46"/>
        <v>0.8477325653742912</v>
      </c>
    </row>
    <row r="1075" spans="1:17" x14ac:dyDescent="0.25">
      <c r="A1075" s="12">
        <f t="shared" si="44"/>
        <v>8</v>
      </c>
      <c r="B1075" s="12">
        <v>2023</v>
      </c>
      <c r="C1075" s="12">
        <v>7354</v>
      </c>
      <c r="D1075" s="12">
        <v>1052445</v>
      </c>
      <c r="E1075" s="12" t="s">
        <v>13</v>
      </c>
      <c r="F1075" s="12" t="s">
        <v>14</v>
      </c>
      <c r="G1075" s="25">
        <v>1052445</v>
      </c>
      <c r="H1075" s="12">
        <f t="shared" si="45"/>
        <v>0</v>
      </c>
      <c r="I1075" s="14">
        <v>45148</v>
      </c>
      <c r="J1075" s="12" t="s">
        <v>38</v>
      </c>
      <c r="K1075" s="12" t="s">
        <v>19</v>
      </c>
      <c r="L1075" s="12" t="s">
        <v>55</v>
      </c>
      <c r="M1075" s="12">
        <v>229.994</v>
      </c>
      <c r="N1075" s="12">
        <v>194.22399999999999</v>
      </c>
      <c r="O1075" s="12">
        <v>4.0999999999999996</v>
      </c>
      <c r="P1075" s="12">
        <v>11.7</v>
      </c>
      <c r="Q1075" s="13">
        <f t="shared" si="46"/>
        <v>0.85241304347826086</v>
      </c>
    </row>
    <row r="1076" spans="1:17" x14ac:dyDescent="0.25">
      <c r="A1076" s="12">
        <f t="shared" si="44"/>
        <v>8</v>
      </c>
      <c r="B1076" s="12">
        <v>2023</v>
      </c>
      <c r="C1076" s="12">
        <v>7355</v>
      </c>
      <c r="D1076" s="12">
        <v>1052530</v>
      </c>
      <c r="E1076" s="12" t="s">
        <v>13</v>
      </c>
      <c r="F1076" s="12" t="s">
        <v>14</v>
      </c>
      <c r="G1076" s="25">
        <v>1052530</v>
      </c>
      <c r="H1076" s="12">
        <f t="shared" si="45"/>
        <v>0</v>
      </c>
      <c r="I1076" s="14">
        <v>45149</v>
      </c>
      <c r="J1076" s="12" t="s">
        <v>18</v>
      </c>
      <c r="K1076" s="12" t="s">
        <v>20</v>
      </c>
      <c r="L1076" s="12" t="s">
        <v>56</v>
      </c>
      <c r="M1076" s="12">
        <v>230.00700000000001</v>
      </c>
      <c r="N1076" s="12">
        <v>196.16300000000001</v>
      </c>
      <c r="O1076" s="12">
        <v>4.4000000000000004</v>
      </c>
      <c r="P1076" s="12">
        <v>11.4</v>
      </c>
      <c r="Q1076" s="13">
        <f t="shared" si="46"/>
        <v>0.85326554556120449</v>
      </c>
    </row>
    <row r="1077" spans="1:17" x14ac:dyDescent="0.25">
      <c r="A1077" s="12">
        <f t="shared" si="44"/>
        <v>8</v>
      </c>
      <c r="B1077" s="12">
        <v>2023</v>
      </c>
      <c r="C1077" s="12">
        <v>7356</v>
      </c>
      <c r="D1077" s="12">
        <v>1052626</v>
      </c>
      <c r="E1077" s="12" t="s">
        <v>13</v>
      </c>
      <c r="F1077" s="12" t="s">
        <v>14</v>
      </c>
      <c r="G1077" s="25">
        <v>1052626</v>
      </c>
      <c r="H1077" s="12">
        <f t="shared" si="45"/>
        <v>0</v>
      </c>
      <c r="I1077" s="14">
        <v>45150</v>
      </c>
      <c r="J1077" s="12" t="s">
        <v>18</v>
      </c>
      <c r="K1077" s="12" t="s">
        <v>20</v>
      </c>
      <c r="L1077" s="12" t="s">
        <v>56</v>
      </c>
      <c r="M1077" s="12">
        <v>229.94300000000001</v>
      </c>
      <c r="N1077" s="12">
        <v>194.785</v>
      </c>
      <c r="O1077" s="12">
        <v>4.5999999999999996</v>
      </c>
      <c r="Q1077" s="13">
        <f t="shared" si="46"/>
        <v>0.84447420367487847</v>
      </c>
    </row>
    <row r="1078" spans="1:17" x14ac:dyDescent="0.25">
      <c r="A1078" s="12">
        <f t="shared" si="44"/>
        <v>8</v>
      </c>
      <c r="B1078" s="12">
        <v>2023</v>
      </c>
      <c r="C1078" s="12">
        <v>7357</v>
      </c>
      <c r="D1078" s="12">
        <v>1052783</v>
      </c>
      <c r="E1078" s="12" t="s">
        <v>13</v>
      </c>
      <c r="F1078" s="12" t="s">
        <v>14</v>
      </c>
      <c r="G1078" s="25">
        <v>1052783</v>
      </c>
      <c r="H1078" s="12">
        <f t="shared" si="45"/>
        <v>0</v>
      </c>
      <c r="I1078" s="14">
        <v>45151</v>
      </c>
      <c r="J1078" s="12" t="s">
        <v>18</v>
      </c>
      <c r="K1078" s="12" t="s">
        <v>20</v>
      </c>
      <c r="L1078" s="12" t="s">
        <v>56</v>
      </c>
      <c r="M1078" s="12">
        <v>230.01599999999999</v>
      </c>
      <c r="N1078" s="12">
        <v>195.38300000000001</v>
      </c>
      <c r="O1078" s="12">
        <v>4</v>
      </c>
      <c r="Q1078" s="13">
        <f t="shared" si="46"/>
        <v>0.85285665218884643</v>
      </c>
    </row>
    <row r="1079" spans="1:17" x14ac:dyDescent="0.25">
      <c r="A1079" s="12">
        <f t="shared" si="44"/>
        <v>8</v>
      </c>
      <c r="B1079" s="12">
        <v>2023</v>
      </c>
      <c r="C1079" s="12">
        <v>7358</v>
      </c>
      <c r="D1079" s="12">
        <v>1052798</v>
      </c>
      <c r="E1079" s="12" t="s">
        <v>13</v>
      </c>
      <c r="F1079" s="12" t="s">
        <v>14</v>
      </c>
      <c r="G1079" s="25">
        <v>1052798</v>
      </c>
      <c r="H1079" s="12">
        <f t="shared" si="45"/>
        <v>0</v>
      </c>
      <c r="I1079" s="14">
        <v>45152</v>
      </c>
      <c r="J1079" s="12" t="s">
        <v>18</v>
      </c>
      <c r="K1079" s="12" t="s">
        <v>20</v>
      </c>
      <c r="L1079" s="12" t="s">
        <v>48</v>
      </c>
      <c r="M1079" s="12">
        <v>230.011</v>
      </c>
      <c r="N1079" s="12">
        <v>195.114</v>
      </c>
      <c r="O1079" s="12">
        <v>5</v>
      </c>
      <c r="P1079" s="12">
        <v>12.1</v>
      </c>
      <c r="Q1079" s="13">
        <f t="shared" si="46"/>
        <v>0.84710123813292859</v>
      </c>
    </row>
    <row r="1080" spans="1:17" x14ac:dyDescent="0.25">
      <c r="A1080" s="12">
        <f t="shared" si="44"/>
        <v>8</v>
      </c>
      <c r="B1080" s="12">
        <v>2023</v>
      </c>
      <c r="C1080" s="12">
        <v>7359</v>
      </c>
      <c r="D1080" s="12">
        <v>1052802</v>
      </c>
      <c r="E1080" s="12" t="s">
        <v>13</v>
      </c>
      <c r="F1080" s="12" t="s">
        <v>14</v>
      </c>
      <c r="G1080" s="25">
        <v>1052802</v>
      </c>
      <c r="H1080" s="12">
        <f t="shared" si="45"/>
        <v>0</v>
      </c>
      <c r="I1080" s="14">
        <v>45153</v>
      </c>
      <c r="J1080" s="12" t="s">
        <v>18</v>
      </c>
      <c r="K1080" s="12" t="s">
        <v>20</v>
      </c>
      <c r="L1080" s="12" t="s">
        <v>48</v>
      </c>
      <c r="M1080" s="12">
        <v>230.00899999999999</v>
      </c>
      <c r="N1080" s="12">
        <v>190.87200000000001</v>
      </c>
      <c r="O1080" s="12">
        <v>4.2</v>
      </c>
      <c r="P1080" s="12">
        <v>11.8</v>
      </c>
      <c r="Q1080" s="13">
        <f t="shared" si="46"/>
        <v>0.84943221341124098</v>
      </c>
    </row>
    <row r="1081" spans="1:17" x14ac:dyDescent="0.25">
      <c r="A1081" s="12">
        <f t="shared" si="44"/>
        <v>8</v>
      </c>
      <c r="B1081" s="12">
        <v>2023</v>
      </c>
      <c r="C1081" s="12">
        <v>7360</v>
      </c>
      <c r="D1081" s="12">
        <v>1052807</v>
      </c>
      <c r="E1081" s="12" t="s">
        <v>13</v>
      </c>
      <c r="F1081" s="12" t="s">
        <v>14</v>
      </c>
      <c r="G1081" s="25">
        <v>1052807</v>
      </c>
      <c r="H1081" s="12">
        <f t="shared" si="45"/>
        <v>0</v>
      </c>
      <c r="I1081" s="14">
        <v>45154</v>
      </c>
      <c r="J1081" s="12" t="s">
        <v>17</v>
      </c>
      <c r="K1081" s="12" t="s">
        <v>19</v>
      </c>
      <c r="L1081" s="12" t="s">
        <v>58</v>
      </c>
      <c r="M1081" s="12">
        <v>229.999</v>
      </c>
      <c r="N1081" s="12">
        <v>190.12899999999999</v>
      </c>
      <c r="O1081" s="12">
        <v>4</v>
      </c>
      <c r="P1081" s="12">
        <v>11.4</v>
      </c>
      <c r="Q1081" s="13">
        <f t="shared" si="46"/>
        <v>0.84828116916147489</v>
      </c>
    </row>
    <row r="1082" spans="1:17" x14ac:dyDescent="0.25">
      <c r="A1082" s="12">
        <f t="shared" si="44"/>
        <v>8</v>
      </c>
      <c r="B1082" s="12">
        <v>2023</v>
      </c>
      <c r="C1082" s="12">
        <v>7361</v>
      </c>
      <c r="D1082" s="12">
        <v>1053104</v>
      </c>
      <c r="E1082" s="12" t="s">
        <v>13</v>
      </c>
      <c r="F1082" s="12" t="s">
        <v>14</v>
      </c>
      <c r="G1082" s="25">
        <v>1053104</v>
      </c>
      <c r="H1082" s="12">
        <f t="shared" si="45"/>
        <v>0</v>
      </c>
      <c r="I1082" s="14">
        <v>45155</v>
      </c>
      <c r="J1082" s="12" t="s">
        <v>17</v>
      </c>
      <c r="K1082" s="12" t="s">
        <v>19</v>
      </c>
      <c r="L1082" s="12" t="s">
        <v>57</v>
      </c>
      <c r="M1082" s="12">
        <v>225.001</v>
      </c>
      <c r="N1082" s="12">
        <v>191.37799999999999</v>
      </c>
      <c r="O1082" s="12">
        <v>4.2</v>
      </c>
      <c r="P1082" s="12">
        <v>11.9</v>
      </c>
      <c r="Q1082" s="13">
        <f t="shared" si="46"/>
        <v>0.82984578864305325</v>
      </c>
    </row>
    <row r="1083" spans="1:17" x14ac:dyDescent="0.25">
      <c r="A1083" s="12">
        <f t="shared" si="44"/>
        <v>8</v>
      </c>
      <c r="B1083" s="12">
        <v>2023</v>
      </c>
      <c r="C1083" s="12">
        <v>7362</v>
      </c>
      <c r="D1083" s="12">
        <v>1053237</v>
      </c>
      <c r="E1083" s="12" t="s">
        <v>13</v>
      </c>
      <c r="F1083" s="12" t="s">
        <v>14</v>
      </c>
      <c r="G1083" s="25">
        <v>1053237</v>
      </c>
      <c r="H1083" s="12">
        <f t="shared" si="45"/>
        <v>0</v>
      </c>
      <c r="I1083" s="14">
        <v>45156</v>
      </c>
      <c r="J1083" s="12" t="s">
        <v>38</v>
      </c>
      <c r="K1083" s="12" t="s">
        <v>19</v>
      </c>
      <c r="L1083" s="12" t="s">
        <v>55</v>
      </c>
      <c r="M1083" s="12">
        <v>230.001</v>
      </c>
      <c r="N1083" s="12">
        <v>191.44800000000001</v>
      </c>
      <c r="O1083" s="12">
        <v>4.2</v>
      </c>
      <c r="P1083" s="12">
        <v>13.3</v>
      </c>
      <c r="Q1083" s="13">
        <f t="shared" si="46"/>
        <v>0.82665142022356619</v>
      </c>
    </row>
    <row r="1084" spans="1:17" x14ac:dyDescent="0.25">
      <c r="A1084" s="12">
        <f t="shared" si="44"/>
        <v>8</v>
      </c>
      <c r="B1084" s="12">
        <v>2023</v>
      </c>
      <c r="C1084" s="12">
        <v>7363</v>
      </c>
      <c r="D1084" s="12">
        <v>1053359</v>
      </c>
      <c r="E1084" s="12" t="s">
        <v>13</v>
      </c>
      <c r="F1084" s="12" t="s">
        <v>14</v>
      </c>
      <c r="G1084" s="25">
        <v>1053359</v>
      </c>
      <c r="H1084" s="12">
        <f t="shared" si="45"/>
        <v>0</v>
      </c>
      <c r="I1084" s="14">
        <v>45157</v>
      </c>
      <c r="J1084" s="12" t="s">
        <v>38</v>
      </c>
      <c r="K1084" s="12" t="s">
        <v>19</v>
      </c>
      <c r="L1084" s="12" t="s">
        <v>55</v>
      </c>
      <c r="M1084" s="12">
        <v>230.09200000000001</v>
      </c>
      <c r="N1084" s="12">
        <v>191.14500000000001</v>
      </c>
      <c r="O1084" s="12">
        <v>4.2</v>
      </c>
      <c r="P1084" s="12">
        <v>13</v>
      </c>
      <c r="Q1084" s="13">
        <f t="shared" si="46"/>
        <v>0.85056510859951728</v>
      </c>
    </row>
    <row r="1085" spans="1:17" x14ac:dyDescent="0.25">
      <c r="A1085" s="12">
        <f t="shared" si="44"/>
        <v>8</v>
      </c>
      <c r="B1085" s="12">
        <v>2023</v>
      </c>
      <c r="C1085" s="12">
        <v>7364</v>
      </c>
      <c r="D1085" s="12">
        <v>1053475</v>
      </c>
      <c r="E1085" s="12" t="s">
        <v>13</v>
      </c>
      <c r="F1085" s="12" t="s">
        <v>14</v>
      </c>
      <c r="G1085" s="25">
        <v>1053475</v>
      </c>
      <c r="H1085" s="12">
        <f t="shared" si="45"/>
        <v>0</v>
      </c>
      <c r="I1085" s="14">
        <v>45158</v>
      </c>
      <c r="J1085" s="12" t="s">
        <v>38</v>
      </c>
      <c r="K1085" s="12" t="s">
        <v>19</v>
      </c>
      <c r="L1085" s="12" t="s">
        <v>55</v>
      </c>
      <c r="M1085" s="12">
        <v>230.001</v>
      </c>
      <c r="N1085" s="12">
        <v>194.45699999999999</v>
      </c>
      <c r="O1085" s="12">
        <v>4.3</v>
      </c>
      <c r="Q1085" s="13">
        <f t="shared" si="46"/>
        <v>0.83237898965656676</v>
      </c>
    </row>
    <row r="1086" spans="1:17" x14ac:dyDescent="0.25">
      <c r="A1086" s="12">
        <f t="shared" si="44"/>
        <v>8</v>
      </c>
      <c r="B1086" s="12">
        <v>2023</v>
      </c>
      <c r="C1086" s="12">
        <v>7365</v>
      </c>
      <c r="D1086" s="12">
        <v>1053529</v>
      </c>
      <c r="E1086" s="12" t="s">
        <v>13</v>
      </c>
      <c r="F1086" s="12" t="s">
        <v>14</v>
      </c>
      <c r="G1086" s="25">
        <v>1053529</v>
      </c>
      <c r="H1086" s="12">
        <f t="shared" si="45"/>
        <v>0</v>
      </c>
      <c r="I1086" s="14">
        <v>45159</v>
      </c>
      <c r="J1086" s="12" t="s">
        <v>38</v>
      </c>
      <c r="K1086" s="12" t="s">
        <v>19</v>
      </c>
      <c r="L1086" s="12" t="s">
        <v>55</v>
      </c>
      <c r="M1086" s="12">
        <v>230</v>
      </c>
      <c r="N1086" s="12">
        <v>189.4</v>
      </c>
      <c r="O1086" s="12">
        <v>4.4000000000000004</v>
      </c>
      <c r="Q1086" s="13">
        <f t="shared" si="46"/>
        <v>0.83073292422161571</v>
      </c>
    </row>
    <row r="1087" spans="1:17" x14ac:dyDescent="0.25">
      <c r="A1087" s="12">
        <f t="shared" si="44"/>
        <v>8</v>
      </c>
      <c r="B1087" s="12">
        <v>2023</v>
      </c>
      <c r="C1087" s="12">
        <v>7366</v>
      </c>
      <c r="D1087" s="12">
        <v>1053564</v>
      </c>
      <c r="E1087" s="12" t="s">
        <v>13</v>
      </c>
      <c r="F1087" s="12" t="s">
        <v>14</v>
      </c>
      <c r="G1087" s="25">
        <v>1053564</v>
      </c>
      <c r="H1087" s="12">
        <f t="shared" si="45"/>
        <v>0</v>
      </c>
      <c r="I1087" s="14">
        <v>45160</v>
      </c>
      <c r="J1087" s="12" t="s">
        <v>38</v>
      </c>
      <c r="K1087" s="12" t="s">
        <v>19</v>
      </c>
      <c r="L1087" s="12" t="s">
        <v>55</v>
      </c>
      <c r="M1087" s="12">
        <v>230.048</v>
      </c>
      <c r="N1087" s="12">
        <v>186.11099999999999</v>
      </c>
      <c r="O1087" s="12">
        <v>4.2</v>
      </c>
      <c r="Q1087" s="13">
        <f t="shared" si="46"/>
        <v>0.84546154147155872</v>
      </c>
    </row>
    <row r="1088" spans="1:17" x14ac:dyDescent="0.25">
      <c r="A1088" s="12">
        <f t="shared" si="44"/>
        <v>8</v>
      </c>
      <c r="B1088" s="12">
        <v>2023</v>
      </c>
      <c r="C1088" s="12">
        <v>7367</v>
      </c>
      <c r="D1088" s="12">
        <v>1053565</v>
      </c>
      <c r="E1088" s="12" t="s">
        <v>13</v>
      </c>
      <c r="F1088" s="12" t="s">
        <v>14</v>
      </c>
      <c r="G1088" s="25">
        <v>1053565</v>
      </c>
      <c r="H1088" s="12">
        <f t="shared" si="45"/>
        <v>0</v>
      </c>
      <c r="I1088" s="14">
        <v>45161</v>
      </c>
      <c r="J1088" s="12" t="s">
        <v>18</v>
      </c>
      <c r="K1088" s="12" t="s">
        <v>19</v>
      </c>
      <c r="L1088" s="12" t="s">
        <v>55</v>
      </c>
      <c r="M1088" s="12">
        <v>230.04900000000001</v>
      </c>
      <c r="N1088" s="12">
        <v>194.51499999999999</v>
      </c>
      <c r="O1088" s="12">
        <v>3.9</v>
      </c>
      <c r="Q1088" s="13">
        <f t="shared" si="46"/>
        <v>0.82347826086956522</v>
      </c>
    </row>
    <row r="1089" spans="1:17" x14ac:dyDescent="0.25">
      <c r="A1089" s="12">
        <f t="shared" si="44"/>
        <v>8</v>
      </c>
      <c r="B1089" s="12">
        <v>2023</v>
      </c>
      <c r="C1089" s="12">
        <v>7368</v>
      </c>
      <c r="D1089" s="12">
        <v>1053658</v>
      </c>
      <c r="E1089" s="12" t="s">
        <v>13</v>
      </c>
      <c r="F1089" s="12" t="s">
        <v>14</v>
      </c>
      <c r="G1089" s="25">
        <v>1053658</v>
      </c>
      <c r="H1089" s="12">
        <f t="shared" si="45"/>
        <v>0</v>
      </c>
      <c r="I1089" s="14">
        <v>45162</v>
      </c>
      <c r="J1089" s="12" t="s">
        <v>18</v>
      </c>
      <c r="K1089" s="12" t="s">
        <v>20</v>
      </c>
      <c r="L1089" s="12" t="s">
        <v>48</v>
      </c>
      <c r="M1089" s="12">
        <v>230.02199999999999</v>
      </c>
      <c r="N1089" s="12">
        <v>191.24700000000001</v>
      </c>
      <c r="O1089" s="12">
        <v>4.2</v>
      </c>
      <c r="P1089" s="12">
        <v>12.1</v>
      </c>
      <c r="Q1089" s="13">
        <f t="shared" si="46"/>
        <v>0.80900942412018362</v>
      </c>
    </row>
    <row r="1090" spans="1:17" x14ac:dyDescent="0.25">
      <c r="A1090" s="12">
        <f t="shared" si="44"/>
        <v>8</v>
      </c>
      <c r="B1090" s="12">
        <v>2023</v>
      </c>
      <c r="C1090" s="12">
        <v>7369</v>
      </c>
      <c r="D1090" s="12">
        <v>1053660</v>
      </c>
      <c r="E1090" s="12" t="s">
        <v>13</v>
      </c>
      <c r="F1090" s="12" t="s">
        <v>14</v>
      </c>
      <c r="G1090" s="25">
        <v>1053660</v>
      </c>
      <c r="H1090" s="12">
        <f t="shared" si="45"/>
        <v>0</v>
      </c>
      <c r="I1090" s="14">
        <v>45163</v>
      </c>
      <c r="J1090" s="12" t="s">
        <v>18</v>
      </c>
      <c r="K1090" s="12" t="s">
        <v>20</v>
      </c>
      <c r="L1090" s="12" t="s">
        <v>48</v>
      </c>
      <c r="M1090" s="12">
        <v>229.99600000000001</v>
      </c>
      <c r="N1090" s="12">
        <v>193.721</v>
      </c>
      <c r="O1090" s="12">
        <v>4.3</v>
      </c>
      <c r="P1090" s="12">
        <v>12.1</v>
      </c>
      <c r="Q1090" s="13">
        <f t="shared" si="46"/>
        <v>0.84553725510652067</v>
      </c>
    </row>
    <row r="1091" spans="1:17" x14ac:dyDescent="0.25">
      <c r="A1091" s="12">
        <f t="shared" ref="A1091:A1154" si="47">MONTH(I1091)</f>
        <v>8</v>
      </c>
      <c r="B1091" s="12">
        <v>2023</v>
      </c>
      <c r="C1091" s="12">
        <v>7370</v>
      </c>
      <c r="D1091" s="12">
        <v>1053869</v>
      </c>
      <c r="E1091" s="12" t="s">
        <v>13</v>
      </c>
      <c r="F1091" s="12" t="s">
        <v>14</v>
      </c>
      <c r="G1091" s="25">
        <v>1053869</v>
      </c>
      <c r="H1091" s="12">
        <f t="shared" si="45"/>
        <v>0</v>
      </c>
      <c r="I1091" s="14">
        <v>45164</v>
      </c>
      <c r="J1091" s="12" t="s">
        <v>18</v>
      </c>
      <c r="K1091" s="12" t="s">
        <v>19</v>
      </c>
      <c r="L1091" s="12" t="s">
        <v>55</v>
      </c>
      <c r="M1091" s="12">
        <v>230.00899999999999</v>
      </c>
      <c r="N1091" s="12">
        <v>192.63800000000001</v>
      </c>
      <c r="O1091" s="12">
        <v>3.7</v>
      </c>
      <c r="Q1091" s="13">
        <f t="shared" si="46"/>
        <v>0.8314291676448341</v>
      </c>
    </row>
    <row r="1092" spans="1:17" x14ac:dyDescent="0.25">
      <c r="A1092" s="12">
        <f t="shared" si="47"/>
        <v>8</v>
      </c>
      <c r="B1092" s="12">
        <v>2023</v>
      </c>
      <c r="C1092" s="12">
        <v>7371</v>
      </c>
      <c r="D1092" s="12">
        <v>1054060</v>
      </c>
      <c r="E1092" s="12" t="s">
        <v>13</v>
      </c>
      <c r="F1092" s="12" t="s">
        <v>14</v>
      </c>
      <c r="G1092" s="25">
        <v>1054060</v>
      </c>
      <c r="H1092" s="12">
        <f t="shared" si="45"/>
        <v>0</v>
      </c>
      <c r="I1092" s="14">
        <v>45165</v>
      </c>
      <c r="J1092" s="12" t="s">
        <v>18</v>
      </c>
      <c r="K1092" s="12" t="s">
        <v>19</v>
      </c>
      <c r="L1092" s="12" t="s">
        <v>55</v>
      </c>
      <c r="M1092" s="12">
        <v>230.00800000000001</v>
      </c>
      <c r="N1092" s="12">
        <v>184.631</v>
      </c>
      <c r="O1092" s="12">
        <v>3.6</v>
      </c>
      <c r="Q1092" s="13">
        <f t="shared" si="46"/>
        <v>0.84227986573679536</v>
      </c>
    </row>
    <row r="1093" spans="1:17" x14ac:dyDescent="0.25">
      <c r="A1093" s="12">
        <f t="shared" si="47"/>
        <v>8</v>
      </c>
      <c r="B1093" s="12">
        <v>2023</v>
      </c>
      <c r="C1093" s="12">
        <v>7372</v>
      </c>
      <c r="D1093" s="12">
        <v>1054132</v>
      </c>
      <c r="E1093" s="12" t="s">
        <v>13</v>
      </c>
      <c r="F1093" s="12" t="s">
        <v>14</v>
      </c>
      <c r="G1093" s="25">
        <v>1054132</v>
      </c>
      <c r="H1093" s="12">
        <f t="shared" si="45"/>
        <v>0</v>
      </c>
      <c r="I1093" s="14">
        <v>45166</v>
      </c>
      <c r="J1093" s="12" t="s">
        <v>18</v>
      </c>
      <c r="K1093" s="12" t="s">
        <v>19</v>
      </c>
      <c r="L1093" s="12" t="s">
        <v>55</v>
      </c>
      <c r="M1093" s="12">
        <v>229.977</v>
      </c>
      <c r="N1093" s="12">
        <v>191.988</v>
      </c>
      <c r="O1093" s="12">
        <v>4.7</v>
      </c>
      <c r="P1093" s="12">
        <v>11.6</v>
      </c>
      <c r="Q1093" s="13">
        <f t="shared" si="46"/>
        <v>0.83752374907068861</v>
      </c>
    </row>
    <row r="1094" spans="1:17" x14ac:dyDescent="0.25">
      <c r="A1094" s="12">
        <f t="shared" si="47"/>
        <v>8</v>
      </c>
      <c r="B1094" s="12">
        <v>2023</v>
      </c>
      <c r="C1094" s="12">
        <v>7373</v>
      </c>
      <c r="D1094" s="12">
        <v>1054134</v>
      </c>
      <c r="E1094" s="12" t="s">
        <v>13</v>
      </c>
      <c r="F1094" s="12" t="s">
        <v>14</v>
      </c>
      <c r="G1094" s="25">
        <v>1054134</v>
      </c>
      <c r="H1094" s="12">
        <f t="shared" si="45"/>
        <v>0</v>
      </c>
      <c r="I1094" s="14">
        <v>45167</v>
      </c>
      <c r="J1094" s="12" t="s">
        <v>18</v>
      </c>
      <c r="K1094" s="12" t="s">
        <v>19</v>
      </c>
      <c r="L1094" s="12" t="s">
        <v>55</v>
      </c>
      <c r="M1094" s="12">
        <v>230.00800000000001</v>
      </c>
      <c r="N1094" s="12">
        <v>190.85900000000001</v>
      </c>
      <c r="O1094" s="12">
        <v>3.6</v>
      </c>
      <c r="Q1094" s="13">
        <f t="shared" si="46"/>
        <v>0.80271555771973147</v>
      </c>
    </row>
    <row r="1095" spans="1:17" x14ac:dyDescent="0.25">
      <c r="A1095" s="12">
        <f t="shared" si="47"/>
        <v>8</v>
      </c>
      <c r="B1095" s="12">
        <v>2023</v>
      </c>
      <c r="C1095" s="12">
        <v>7374</v>
      </c>
      <c r="D1095" s="12">
        <v>1054136</v>
      </c>
      <c r="E1095" s="12" t="s">
        <v>13</v>
      </c>
      <c r="F1095" s="12" t="s">
        <v>14</v>
      </c>
      <c r="G1095" s="25">
        <v>1054136</v>
      </c>
      <c r="H1095" s="12">
        <f t="shared" si="45"/>
        <v>0</v>
      </c>
      <c r="I1095" s="14">
        <v>45168</v>
      </c>
      <c r="J1095" s="12" t="s">
        <v>18</v>
      </c>
      <c r="K1095" s="12" t="s">
        <v>19</v>
      </c>
      <c r="L1095" s="12" t="s">
        <v>55</v>
      </c>
      <c r="M1095" s="12">
        <v>230.00700000000001</v>
      </c>
      <c r="N1095" s="12">
        <v>191.75700000000001</v>
      </c>
      <c r="O1095" s="12">
        <v>4</v>
      </c>
      <c r="Q1095" s="13">
        <f t="shared" si="46"/>
        <v>0.83481391617422607</v>
      </c>
    </row>
    <row r="1096" spans="1:17" x14ac:dyDescent="0.25">
      <c r="A1096" s="12">
        <f t="shared" si="47"/>
        <v>8</v>
      </c>
      <c r="B1096" s="12">
        <v>2023</v>
      </c>
      <c r="C1096" s="12">
        <v>7375</v>
      </c>
      <c r="D1096" s="12">
        <v>1054363</v>
      </c>
      <c r="E1096" s="12" t="s">
        <v>13</v>
      </c>
      <c r="F1096" s="12" t="s">
        <v>14</v>
      </c>
      <c r="G1096" s="25">
        <v>1054363</v>
      </c>
      <c r="H1096" s="12">
        <f t="shared" si="45"/>
        <v>0</v>
      </c>
      <c r="I1096" s="14">
        <v>45169</v>
      </c>
      <c r="J1096" s="12" t="s">
        <v>18</v>
      </c>
      <c r="K1096" s="12" t="s">
        <v>19</v>
      </c>
      <c r="L1096" s="12" t="s">
        <v>55</v>
      </c>
      <c r="M1096" s="12">
        <v>230.00399999999999</v>
      </c>
      <c r="N1096" s="12">
        <v>193.68600000000001</v>
      </c>
      <c r="O1096" s="12">
        <v>3.4</v>
      </c>
      <c r="Q1096" s="13">
        <f t="shared" si="46"/>
        <v>0.82979287676950364</v>
      </c>
    </row>
    <row r="1097" spans="1:17" x14ac:dyDescent="0.25">
      <c r="A1097" s="12">
        <f t="shared" si="47"/>
        <v>9</v>
      </c>
      <c r="B1097" s="12">
        <v>2023</v>
      </c>
      <c r="C1097" s="16">
        <v>7376</v>
      </c>
      <c r="D1097" s="12">
        <v>1054404</v>
      </c>
      <c r="E1097" s="12" t="s">
        <v>13</v>
      </c>
      <c r="F1097" s="12" t="s">
        <v>14</v>
      </c>
      <c r="G1097" s="25">
        <v>1054404</v>
      </c>
      <c r="H1097" s="12">
        <f t="shared" si="45"/>
        <v>0</v>
      </c>
      <c r="I1097" s="14">
        <v>45170</v>
      </c>
      <c r="J1097" s="12" t="s">
        <v>18</v>
      </c>
      <c r="K1097" s="12" t="s">
        <v>19</v>
      </c>
      <c r="L1097" s="12" t="s">
        <v>55</v>
      </c>
      <c r="M1097" s="12">
        <v>230.005</v>
      </c>
      <c r="N1097" s="12">
        <v>191.542</v>
      </c>
      <c r="O1097" s="12">
        <v>4.4000000000000004</v>
      </c>
      <c r="Q1097" s="13">
        <f t="shared" si="46"/>
        <v>0.83370071345654695</v>
      </c>
    </row>
    <row r="1098" spans="1:17" x14ac:dyDescent="0.25">
      <c r="A1098" s="12">
        <f t="shared" si="47"/>
        <v>9</v>
      </c>
      <c r="B1098" s="12">
        <v>2023</v>
      </c>
      <c r="C1098" s="12">
        <v>7377</v>
      </c>
      <c r="D1098" s="12">
        <v>1054562</v>
      </c>
      <c r="E1098" s="12" t="s">
        <v>13</v>
      </c>
      <c r="F1098" s="12" t="s">
        <v>14</v>
      </c>
      <c r="G1098" s="25">
        <v>1054562</v>
      </c>
      <c r="H1098" s="12">
        <f t="shared" si="45"/>
        <v>0</v>
      </c>
      <c r="I1098" s="14">
        <v>45171</v>
      </c>
      <c r="J1098" s="12" t="s">
        <v>18</v>
      </c>
      <c r="K1098" s="12" t="s">
        <v>19</v>
      </c>
      <c r="L1098" s="12" t="s">
        <v>55</v>
      </c>
      <c r="M1098" s="12">
        <v>229.935</v>
      </c>
      <c r="N1098" s="12">
        <v>188.69900000000001</v>
      </c>
      <c r="O1098" s="12">
        <v>4</v>
      </c>
      <c r="P1098" s="12">
        <v>13.1</v>
      </c>
      <c r="Q1098" s="13">
        <f t="shared" si="46"/>
        <v>0.84209839828872546</v>
      </c>
    </row>
    <row r="1099" spans="1:17" x14ac:dyDescent="0.25">
      <c r="A1099" s="12">
        <f t="shared" si="47"/>
        <v>9</v>
      </c>
      <c r="B1099" s="12">
        <v>2023</v>
      </c>
      <c r="C1099" s="12">
        <v>7378</v>
      </c>
      <c r="D1099" s="12">
        <v>1054703</v>
      </c>
      <c r="E1099" s="12" t="s">
        <v>13</v>
      </c>
      <c r="F1099" s="12" t="s">
        <v>14</v>
      </c>
      <c r="G1099" s="25">
        <v>1054703</v>
      </c>
      <c r="H1099" s="12">
        <f t="shared" si="45"/>
        <v>0</v>
      </c>
      <c r="I1099" s="14">
        <v>45172</v>
      </c>
      <c r="J1099" s="12" t="s">
        <v>18</v>
      </c>
      <c r="K1099" s="12" t="s">
        <v>19</v>
      </c>
      <c r="L1099" s="12" t="s">
        <v>55</v>
      </c>
      <c r="M1099" s="12">
        <v>230.00800000000001</v>
      </c>
      <c r="N1099" s="12">
        <v>188.529</v>
      </c>
      <c r="O1099" s="12">
        <v>4</v>
      </c>
      <c r="Q1099" s="13">
        <f t="shared" si="46"/>
        <v>0.83277320058259607</v>
      </c>
    </row>
    <row r="1100" spans="1:17" x14ac:dyDescent="0.25">
      <c r="A1100" s="12">
        <f t="shared" si="47"/>
        <v>9</v>
      </c>
      <c r="B1100" s="12">
        <v>2023</v>
      </c>
      <c r="C1100" s="12">
        <v>7379</v>
      </c>
      <c r="D1100" s="12">
        <v>1054781</v>
      </c>
      <c r="E1100" s="12" t="s">
        <v>13</v>
      </c>
      <c r="F1100" s="12" t="s">
        <v>14</v>
      </c>
      <c r="G1100" s="25">
        <v>1054781</v>
      </c>
      <c r="H1100" s="12">
        <f t="shared" si="45"/>
        <v>0</v>
      </c>
      <c r="I1100" s="14">
        <v>45173</v>
      </c>
      <c r="J1100" s="12" t="s">
        <v>18</v>
      </c>
      <c r="K1100" s="12" t="s">
        <v>19</v>
      </c>
      <c r="L1100" s="12" t="s">
        <v>55</v>
      </c>
      <c r="M1100" s="12">
        <v>230.00700000000001</v>
      </c>
      <c r="N1100" s="12">
        <v>190.86600000000001</v>
      </c>
      <c r="O1100" s="12">
        <v>3.9</v>
      </c>
      <c r="Q1100" s="13">
        <f t="shared" si="46"/>
        <v>0.8206623611020506</v>
      </c>
    </row>
    <row r="1101" spans="1:17" x14ac:dyDescent="0.25">
      <c r="A1101" s="12">
        <f t="shared" si="47"/>
        <v>9</v>
      </c>
      <c r="B1101" s="12">
        <v>2023</v>
      </c>
      <c r="C1101" s="12">
        <v>7380</v>
      </c>
      <c r="D1101" s="12">
        <v>1054782</v>
      </c>
      <c r="E1101" s="12" t="s">
        <v>13</v>
      </c>
      <c r="F1101" s="12" t="s">
        <v>14</v>
      </c>
      <c r="G1101" s="25">
        <v>1054782</v>
      </c>
      <c r="H1101" s="12">
        <f t="shared" si="45"/>
        <v>0</v>
      </c>
      <c r="I1101" s="14">
        <v>45174</v>
      </c>
      <c r="J1101" s="12" t="s">
        <v>18</v>
      </c>
      <c r="K1101" s="12" t="s">
        <v>20</v>
      </c>
      <c r="L1101" s="12" t="s">
        <v>56</v>
      </c>
      <c r="M1101" s="12">
        <v>230.00800000000001</v>
      </c>
      <c r="N1101" s="12">
        <v>191.71799999999999</v>
      </c>
      <c r="O1101" s="12">
        <v>4.2</v>
      </c>
      <c r="Q1101" s="13">
        <f t="shared" si="46"/>
        <v>0.81966279433758815</v>
      </c>
    </row>
    <row r="1102" spans="1:17" x14ac:dyDescent="0.25">
      <c r="A1102" s="12">
        <f t="shared" si="47"/>
        <v>9</v>
      </c>
      <c r="B1102" s="12">
        <v>2023</v>
      </c>
      <c r="C1102" s="12">
        <v>7381</v>
      </c>
      <c r="D1102" s="12">
        <v>1054783</v>
      </c>
      <c r="E1102" s="12" t="s">
        <v>13</v>
      </c>
      <c r="F1102" s="12" t="s">
        <v>14</v>
      </c>
      <c r="G1102" s="25">
        <v>1054783</v>
      </c>
      <c r="H1102" s="12">
        <f t="shared" si="45"/>
        <v>0</v>
      </c>
      <c r="I1102" s="14">
        <v>45175</v>
      </c>
      <c r="J1102" s="12" t="s">
        <v>18</v>
      </c>
      <c r="K1102" s="12" t="s">
        <v>20</v>
      </c>
      <c r="L1102" s="12" t="s">
        <v>56</v>
      </c>
      <c r="M1102" s="12">
        <v>230.00700000000001</v>
      </c>
      <c r="N1102" s="12">
        <v>183.79400000000001</v>
      </c>
      <c r="O1102" s="12">
        <v>3.8</v>
      </c>
      <c r="Q1102" s="13">
        <f t="shared" si="46"/>
        <v>0.82982691831118183</v>
      </c>
    </row>
    <row r="1103" spans="1:17" x14ac:dyDescent="0.25">
      <c r="A1103" s="12">
        <f t="shared" si="47"/>
        <v>9</v>
      </c>
      <c r="B1103" s="12">
        <v>2023</v>
      </c>
      <c r="C1103" s="12">
        <v>7382</v>
      </c>
      <c r="D1103" s="12">
        <v>1055022</v>
      </c>
      <c r="E1103" s="12" t="s">
        <v>13</v>
      </c>
      <c r="F1103" s="12" t="s">
        <v>14</v>
      </c>
      <c r="G1103" s="25">
        <v>1055022</v>
      </c>
      <c r="H1103" s="12">
        <f t="shared" si="45"/>
        <v>0</v>
      </c>
      <c r="I1103" s="14">
        <v>45176</v>
      </c>
      <c r="J1103" s="12" t="s">
        <v>18</v>
      </c>
      <c r="K1103" s="12" t="s">
        <v>20</v>
      </c>
      <c r="L1103" s="12" t="s">
        <v>56</v>
      </c>
      <c r="M1103" s="12">
        <v>230.01300000000001</v>
      </c>
      <c r="N1103" s="12">
        <v>191.233</v>
      </c>
      <c r="O1103" s="12">
        <v>4</v>
      </c>
      <c r="P1103" s="12">
        <v>11.2</v>
      </c>
      <c r="Q1103" s="13">
        <f t="shared" si="46"/>
        <v>0.83352752947723552</v>
      </c>
    </row>
    <row r="1104" spans="1:17" x14ac:dyDescent="0.25">
      <c r="A1104" s="12">
        <f t="shared" si="47"/>
        <v>9</v>
      </c>
      <c r="B1104" s="12">
        <v>2023</v>
      </c>
      <c r="C1104" s="12">
        <v>7383</v>
      </c>
      <c r="D1104" s="12">
        <v>1055176</v>
      </c>
      <c r="E1104" s="12" t="s">
        <v>13</v>
      </c>
      <c r="F1104" s="12" t="s">
        <v>14</v>
      </c>
      <c r="G1104" s="25">
        <v>1055176</v>
      </c>
      <c r="H1104" s="12">
        <f t="shared" si="45"/>
        <v>0</v>
      </c>
      <c r="I1104" s="14">
        <v>45177</v>
      </c>
      <c r="J1104" s="12" t="s">
        <v>18</v>
      </c>
      <c r="K1104" s="12" t="s">
        <v>20</v>
      </c>
      <c r="L1104" s="12" t="s">
        <v>56</v>
      </c>
      <c r="M1104" s="12">
        <v>229.95</v>
      </c>
      <c r="N1104" s="12">
        <v>188.52600000000001</v>
      </c>
      <c r="O1104" s="12">
        <v>4</v>
      </c>
      <c r="P1104" s="12">
        <v>11.1</v>
      </c>
      <c r="Q1104" s="13">
        <f t="shared" si="46"/>
        <v>0.7990800279991479</v>
      </c>
    </row>
    <row r="1105" spans="1:17" x14ac:dyDescent="0.25">
      <c r="A1105" s="12">
        <f t="shared" si="47"/>
        <v>9</v>
      </c>
      <c r="B1105" s="12">
        <v>2023</v>
      </c>
      <c r="C1105" s="12">
        <v>7384</v>
      </c>
      <c r="D1105" s="12">
        <v>1055284</v>
      </c>
      <c r="E1105" s="12" t="s">
        <v>13</v>
      </c>
      <c r="F1105" s="12" t="s">
        <v>14</v>
      </c>
      <c r="G1105" s="25">
        <v>1055284</v>
      </c>
      <c r="H1105" s="12">
        <f t="shared" si="45"/>
        <v>0</v>
      </c>
      <c r="I1105" s="14">
        <v>45178</v>
      </c>
      <c r="J1105" s="12" t="s">
        <v>18</v>
      </c>
      <c r="K1105" s="12" t="s">
        <v>20</v>
      </c>
      <c r="L1105" s="12" t="s">
        <v>56</v>
      </c>
      <c r="M1105" s="12">
        <v>229.958</v>
      </c>
      <c r="N1105" s="12">
        <v>194.684</v>
      </c>
      <c r="O1105" s="12">
        <v>4.8</v>
      </c>
      <c r="P1105" s="12">
        <v>11.2</v>
      </c>
      <c r="Q1105" s="13">
        <f t="shared" si="46"/>
        <v>0.8314008338659119</v>
      </c>
    </row>
    <row r="1106" spans="1:17" x14ac:dyDescent="0.25">
      <c r="A1106" s="12">
        <f t="shared" si="47"/>
        <v>9</v>
      </c>
      <c r="B1106" s="12">
        <v>2023</v>
      </c>
      <c r="C1106" s="12">
        <v>7385</v>
      </c>
      <c r="D1106" s="12">
        <v>1055449</v>
      </c>
      <c r="E1106" s="12" t="s">
        <v>13</v>
      </c>
      <c r="F1106" s="12" t="s">
        <v>14</v>
      </c>
      <c r="G1106" s="25">
        <v>1055449</v>
      </c>
      <c r="H1106" s="12">
        <f t="shared" si="45"/>
        <v>0</v>
      </c>
      <c r="I1106" s="14">
        <v>45179</v>
      </c>
      <c r="J1106" s="12" t="s">
        <v>18</v>
      </c>
      <c r="K1106" s="12" t="s">
        <v>19</v>
      </c>
      <c r="L1106" s="12" t="s">
        <v>57</v>
      </c>
      <c r="M1106" s="12">
        <v>230.00800000000001</v>
      </c>
      <c r="N1106" s="12">
        <v>191.90899999999999</v>
      </c>
      <c r="O1106" s="12">
        <v>4.2</v>
      </c>
      <c r="P1106" s="12">
        <v>11.8</v>
      </c>
      <c r="Q1106" s="13">
        <f t="shared" si="46"/>
        <v>0.81985649054142218</v>
      </c>
    </row>
    <row r="1107" spans="1:17" x14ac:dyDescent="0.25">
      <c r="A1107" s="12">
        <f t="shared" si="47"/>
        <v>9</v>
      </c>
      <c r="B1107" s="12">
        <v>2023</v>
      </c>
      <c r="C1107" s="12">
        <v>7386</v>
      </c>
      <c r="D1107" s="12">
        <v>1055523</v>
      </c>
      <c r="E1107" s="12" t="s">
        <v>13</v>
      </c>
      <c r="F1107" s="12" t="s">
        <v>14</v>
      </c>
      <c r="G1107" s="25">
        <v>1055523</v>
      </c>
      <c r="H1107" s="12">
        <f t="shared" si="45"/>
        <v>0</v>
      </c>
      <c r="I1107" s="14">
        <v>45180</v>
      </c>
      <c r="J1107" s="12" t="s">
        <v>18</v>
      </c>
      <c r="K1107" s="12" t="s">
        <v>19</v>
      </c>
      <c r="L1107" s="12" t="s">
        <v>57</v>
      </c>
      <c r="M1107" s="12">
        <v>230.00800000000001</v>
      </c>
      <c r="N1107" s="12">
        <v>192.40700000000001</v>
      </c>
      <c r="O1107" s="12">
        <v>4.0999999999999996</v>
      </c>
      <c r="P1107" s="12">
        <v>11.7</v>
      </c>
      <c r="Q1107" s="13">
        <f t="shared" si="46"/>
        <v>0.84660677167134868</v>
      </c>
    </row>
    <row r="1108" spans="1:17" x14ac:dyDescent="0.25">
      <c r="A1108" s="12">
        <f t="shared" si="47"/>
        <v>9</v>
      </c>
      <c r="B1108" s="12">
        <v>2023</v>
      </c>
      <c r="C1108" s="12">
        <v>7387</v>
      </c>
      <c r="D1108" s="12">
        <v>1055524</v>
      </c>
      <c r="E1108" s="12" t="s">
        <v>13</v>
      </c>
      <c r="F1108" s="12" t="s">
        <v>14</v>
      </c>
      <c r="G1108" s="25">
        <v>1055524</v>
      </c>
      <c r="H1108" s="12">
        <f t="shared" si="45"/>
        <v>0</v>
      </c>
      <c r="I1108" s="14">
        <v>45181</v>
      </c>
      <c r="J1108" s="12" t="s">
        <v>17</v>
      </c>
      <c r="K1108" s="12" t="s">
        <v>19</v>
      </c>
      <c r="L1108" s="12" t="s">
        <v>58</v>
      </c>
      <c r="M1108" s="12">
        <v>230.00299999999999</v>
      </c>
      <c r="N1108" s="12">
        <v>192.54900000000001</v>
      </c>
      <c r="O1108" s="12">
        <v>4.2</v>
      </c>
      <c r="Q1108" s="13">
        <f t="shared" si="46"/>
        <v>0.83435793537616076</v>
      </c>
    </row>
    <row r="1109" spans="1:17" x14ac:dyDescent="0.25">
      <c r="A1109" s="12">
        <f t="shared" si="47"/>
        <v>9</v>
      </c>
      <c r="B1109" s="12">
        <v>2023</v>
      </c>
      <c r="C1109" s="12">
        <v>7388</v>
      </c>
      <c r="D1109" s="12">
        <v>1055545</v>
      </c>
      <c r="E1109" s="12" t="s">
        <v>13</v>
      </c>
      <c r="F1109" s="12" t="s">
        <v>14</v>
      </c>
      <c r="G1109" s="25">
        <v>1055545</v>
      </c>
      <c r="H1109" s="12">
        <f t="shared" si="45"/>
        <v>0</v>
      </c>
      <c r="I1109" s="14">
        <v>45182</v>
      </c>
      <c r="J1109" s="12" t="s">
        <v>17</v>
      </c>
      <c r="K1109" s="12" t="s">
        <v>19</v>
      </c>
      <c r="L1109" s="12" t="s">
        <v>58</v>
      </c>
      <c r="M1109" s="12">
        <v>230.00200000000001</v>
      </c>
      <c r="N1109" s="12">
        <v>189.739</v>
      </c>
      <c r="O1109" s="12">
        <v>4.0999999999999996</v>
      </c>
      <c r="Q1109" s="13">
        <f t="shared" si="46"/>
        <v>0.83652307745817533</v>
      </c>
    </row>
    <row r="1110" spans="1:17" x14ac:dyDescent="0.25">
      <c r="A1110" s="12">
        <f t="shared" si="47"/>
        <v>9</v>
      </c>
      <c r="B1110" s="12">
        <v>2023</v>
      </c>
      <c r="C1110" s="12">
        <v>7389</v>
      </c>
      <c r="D1110" s="12">
        <v>1055701</v>
      </c>
      <c r="E1110" s="12" t="s">
        <v>13</v>
      </c>
      <c r="F1110" s="12" t="s">
        <v>14</v>
      </c>
      <c r="G1110" s="25">
        <v>1055701</v>
      </c>
      <c r="H1110" s="12">
        <f t="shared" si="45"/>
        <v>0</v>
      </c>
      <c r="I1110" s="14">
        <v>45183</v>
      </c>
      <c r="J1110" s="12" t="s">
        <v>51</v>
      </c>
      <c r="K1110" s="12" t="s">
        <v>19</v>
      </c>
      <c r="L1110" s="12" t="s">
        <v>57</v>
      </c>
      <c r="M1110" s="12">
        <v>230.01400000000001</v>
      </c>
      <c r="N1110" s="12">
        <v>190.71</v>
      </c>
      <c r="O1110" s="12">
        <v>4</v>
      </c>
      <c r="P1110" s="12">
        <v>11.8</v>
      </c>
      <c r="Q1110" s="13">
        <f t="shared" si="46"/>
        <v>0.83715864575679455</v>
      </c>
    </row>
    <row r="1111" spans="1:17" x14ac:dyDescent="0.25">
      <c r="A1111" s="12">
        <f t="shared" si="47"/>
        <v>9</v>
      </c>
      <c r="B1111" s="12">
        <v>2023</v>
      </c>
      <c r="C1111" s="12">
        <v>7390</v>
      </c>
      <c r="D1111" s="12">
        <v>1055807</v>
      </c>
      <c r="E1111" s="12" t="s">
        <v>13</v>
      </c>
      <c r="F1111" s="12" t="s">
        <v>14</v>
      </c>
      <c r="G1111" s="25">
        <v>1055807</v>
      </c>
      <c r="H1111" s="12">
        <f t="shared" si="45"/>
        <v>0</v>
      </c>
      <c r="I1111" s="14">
        <v>45184</v>
      </c>
      <c r="J1111" s="12" t="s">
        <v>51</v>
      </c>
      <c r="K1111" s="12" t="s">
        <v>19</v>
      </c>
      <c r="L1111" s="12" t="s">
        <v>57</v>
      </c>
      <c r="M1111" s="12">
        <v>230.02</v>
      </c>
      <c r="N1111" s="12">
        <v>195.19200000000001</v>
      </c>
      <c r="O1111" s="12">
        <v>4</v>
      </c>
      <c r="P1111" s="12">
        <v>11.8</v>
      </c>
      <c r="Q1111" s="13">
        <f t="shared" si="46"/>
        <v>0.8249450004782567</v>
      </c>
    </row>
    <row r="1112" spans="1:17" x14ac:dyDescent="0.25">
      <c r="A1112" s="12">
        <f t="shared" si="47"/>
        <v>9</v>
      </c>
      <c r="B1112" s="12">
        <v>2023</v>
      </c>
      <c r="C1112" s="12">
        <v>7391</v>
      </c>
      <c r="D1112" s="12">
        <v>1055905</v>
      </c>
      <c r="E1112" s="12" t="s">
        <v>13</v>
      </c>
      <c r="F1112" s="12" t="s">
        <v>14</v>
      </c>
      <c r="G1112" s="25">
        <v>1055905</v>
      </c>
      <c r="H1112" s="12">
        <f t="shared" si="45"/>
        <v>0</v>
      </c>
      <c r="I1112" s="14">
        <v>45185</v>
      </c>
      <c r="J1112" s="12" t="s">
        <v>51</v>
      </c>
      <c r="K1112" s="12" t="s">
        <v>19</v>
      </c>
      <c r="L1112" s="12" t="s">
        <v>57</v>
      </c>
      <c r="M1112" s="12">
        <v>230.01599999999999</v>
      </c>
      <c r="N1112" s="12">
        <v>189.816</v>
      </c>
      <c r="O1112" s="12">
        <v>4.0999999999999996</v>
      </c>
      <c r="P1112" s="12">
        <v>11.7</v>
      </c>
      <c r="Q1112" s="13">
        <f t="shared" si="46"/>
        <v>0.8291234446598903</v>
      </c>
    </row>
    <row r="1113" spans="1:17" x14ac:dyDescent="0.25">
      <c r="A1113" s="12">
        <f t="shared" si="47"/>
        <v>9</v>
      </c>
      <c r="B1113" s="12">
        <v>2023</v>
      </c>
      <c r="C1113" s="12">
        <v>7392</v>
      </c>
      <c r="D1113" s="12">
        <v>1055944</v>
      </c>
      <c r="E1113" s="12" t="s">
        <v>13</v>
      </c>
      <c r="F1113" s="12" t="s">
        <v>14</v>
      </c>
      <c r="G1113" s="25">
        <v>1055944</v>
      </c>
      <c r="H1113" s="12">
        <f t="shared" si="45"/>
        <v>0</v>
      </c>
      <c r="I1113" s="14">
        <v>45186</v>
      </c>
      <c r="J1113" s="12" t="s">
        <v>51</v>
      </c>
      <c r="K1113" s="12" t="s">
        <v>19</v>
      </c>
      <c r="L1113" s="12" t="s">
        <v>57</v>
      </c>
      <c r="M1113" s="12">
        <v>230.017</v>
      </c>
      <c r="N1113" s="12">
        <v>189.31299999999999</v>
      </c>
      <c r="O1113" s="12">
        <v>4.5</v>
      </c>
      <c r="P1113" s="12">
        <v>11.8</v>
      </c>
      <c r="Q1113" s="13">
        <f t="shared" si="46"/>
        <v>0.84858707938440137</v>
      </c>
    </row>
    <row r="1114" spans="1:17" x14ac:dyDescent="0.25">
      <c r="A1114" s="12">
        <f t="shared" si="47"/>
        <v>9</v>
      </c>
      <c r="B1114" s="12">
        <v>2023</v>
      </c>
      <c r="C1114" s="12">
        <v>7393</v>
      </c>
      <c r="D1114" s="12">
        <v>1056087</v>
      </c>
      <c r="E1114" s="12" t="s">
        <v>13</v>
      </c>
      <c r="F1114" s="12" t="s">
        <v>14</v>
      </c>
      <c r="G1114" s="25">
        <v>1056087</v>
      </c>
      <c r="H1114" s="12">
        <f t="shared" si="45"/>
        <v>0</v>
      </c>
      <c r="I1114" s="14">
        <v>45187</v>
      </c>
      <c r="J1114" s="12" t="s">
        <v>51</v>
      </c>
      <c r="K1114" s="12" t="s">
        <v>19</v>
      </c>
      <c r="L1114" s="12" t="s">
        <v>57</v>
      </c>
      <c r="M1114" s="12">
        <v>229.98599999999999</v>
      </c>
      <c r="N1114" s="12">
        <v>193.34</v>
      </c>
      <c r="O1114" s="12">
        <v>4.0999999999999996</v>
      </c>
      <c r="P1114" s="12">
        <v>11.9</v>
      </c>
      <c r="Q1114" s="13">
        <f t="shared" si="46"/>
        <v>0.82522954924874792</v>
      </c>
    </row>
    <row r="1115" spans="1:17" x14ac:dyDescent="0.25">
      <c r="A1115" s="12">
        <f t="shared" si="47"/>
        <v>9</v>
      </c>
      <c r="B1115" s="12">
        <v>2023</v>
      </c>
      <c r="C1115" s="12">
        <v>7394</v>
      </c>
      <c r="D1115" s="12">
        <v>1056088</v>
      </c>
      <c r="E1115" s="12" t="s">
        <v>13</v>
      </c>
      <c r="F1115" s="12" t="s">
        <v>14</v>
      </c>
      <c r="G1115" s="25">
        <v>1056088</v>
      </c>
      <c r="H1115" s="12">
        <f t="shared" si="45"/>
        <v>0</v>
      </c>
      <c r="I1115" s="14">
        <v>45188</v>
      </c>
      <c r="J1115" s="12" t="s">
        <v>18</v>
      </c>
      <c r="K1115" s="12" t="s">
        <v>19</v>
      </c>
      <c r="L1115" s="12" t="s">
        <v>57</v>
      </c>
      <c r="M1115" s="12">
        <v>230.00399999999999</v>
      </c>
      <c r="N1115" s="12">
        <v>198.41300000000001</v>
      </c>
      <c r="O1115" s="12">
        <v>4.3</v>
      </c>
      <c r="P1115" s="12">
        <v>11.3</v>
      </c>
      <c r="Q1115" s="13">
        <f t="shared" si="46"/>
        <v>0.82303916667028953</v>
      </c>
    </row>
    <row r="1116" spans="1:17" x14ac:dyDescent="0.25">
      <c r="A1116" s="12">
        <f t="shared" si="47"/>
        <v>9</v>
      </c>
      <c r="B1116" s="12">
        <v>2023</v>
      </c>
      <c r="C1116" s="12">
        <v>7395</v>
      </c>
      <c r="D1116" s="12">
        <v>1056268</v>
      </c>
      <c r="E1116" s="12" t="s">
        <v>13</v>
      </c>
      <c r="F1116" s="12" t="s">
        <v>14</v>
      </c>
      <c r="G1116" s="25">
        <v>1056268</v>
      </c>
      <c r="H1116" s="12">
        <f t="shared" si="45"/>
        <v>0</v>
      </c>
      <c r="I1116" s="14">
        <v>45189</v>
      </c>
      <c r="J1116" s="12" t="s">
        <v>18</v>
      </c>
      <c r="K1116" s="12" t="s">
        <v>19</v>
      </c>
      <c r="L1116" s="12" t="s">
        <v>57</v>
      </c>
      <c r="M1116" s="12">
        <v>230.012</v>
      </c>
      <c r="N1116" s="12">
        <v>191.78899999999999</v>
      </c>
      <c r="O1116" s="12">
        <v>3.8</v>
      </c>
      <c r="P1116" s="12">
        <v>12</v>
      </c>
      <c r="Q1116" s="13">
        <f t="shared" si="46"/>
        <v>0.84065986625272848</v>
      </c>
    </row>
    <row r="1117" spans="1:17" x14ac:dyDescent="0.25">
      <c r="A1117" s="12">
        <f t="shared" si="47"/>
        <v>9</v>
      </c>
      <c r="B1117" s="12">
        <v>2023</v>
      </c>
      <c r="C1117" s="12">
        <v>7396</v>
      </c>
      <c r="D1117" s="12">
        <v>1056422</v>
      </c>
      <c r="E1117" s="12" t="s">
        <v>13</v>
      </c>
      <c r="F1117" s="12" t="s">
        <v>14</v>
      </c>
      <c r="G1117" s="25">
        <v>1056422</v>
      </c>
      <c r="H1117" s="12">
        <f t="shared" si="45"/>
        <v>0</v>
      </c>
      <c r="I1117" s="14">
        <v>45190</v>
      </c>
      <c r="J1117" s="12" t="s">
        <v>18</v>
      </c>
      <c r="K1117" s="12" t="s">
        <v>19</v>
      </c>
      <c r="L1117" s="12" t="s">
        <v>57</v>
      </c>
      <c r="M1117" s="12">
        <v>230.00399999999999</v>
      </c>
      <c r="N1117" s="12">
        <v>194.51300000000001</v>
      </c>
      <c r="O1117" s="12">
        <v>4.2</v>
      </c>
      <c r="P1117" s="12">
        <v>12</v>
      </c>
      <c r="Q1117" s="13">
        <f t="shared" si="46"/>
        <v>0.86265021477887349</v>
      </c>
    </row>
    <row r="1118" spans="1:17" x14ac:dyDescent="0.25">
      <c r="A1118" s="12">
        <f t="shared" si="47"/>
        <v>9</v>
      </c>
      <c r="B1118" s="12">
        <v>2023</v>
      </c>
      <c r="C1118" s="12">
        <v>7397</v>
      </c>
      <c r="D1118" s="12">
        <v>1056522</v>
      </c>
      <c r="E1118" s="12" t="s">
        <v>13</v>
      </c>
      <c r="F1118" s="12" t="s">
        <v>14</v>
      </c>
      <c r="G1118" s="25">
        <v>1056522</v>
      </c>
      <c r="H1118" s="12">
        <f t="shared" si="45"/>
        <v>0</v>
      </c>
      <c r="I1118" s="14">
        <v>45191</v>
      </c>
      <c r="J1118" s="12" t="s">
        <v>18</v>
      </c>
      <c r="K1118" s="12" t="s">
        <v>19</v>
      </c>
      <c r="L1118" s="12" t="s">
        <v>57</v>
      </c>
      <c r="M1118" s="12">
        <v>229.928</v>
      </c>
      <c r="N1118" s="12">
        <v>192.916</v>
      </c>
      <c r="O1118" s="12">
        <v>3.5</v>
      </c>
      <c r="P1118" s="12">
        <v>11.9</v>
      </c>
      <c r="Q1118" s="13">
        <f t="shared" si="46"/>
        <v>0.83382171364972257</v>
      </c>
    </row>
    <row r="1119" spans="1:17" x14ac:dyDescent="0.25">
      <c r="A1119" s="12">
        <f t="shared" si="47"/>
        <v>9</v>
      </c>
      <c r="B1119" s="12">
        <v>2023</v>
      </c>
      <c r="C1119" s="12">
        <v>7398</v>
      </c>
      <c r="D1119" s="12">
        <v>1056628</v>
      </c>
      <c r="E1119" s="12" t="s">
        <v>13</v>
      </c>
      <c r="F1119" s="12" t="s">
        <v>14</v>
      </c>
      <c r="G1119" s="25">
        <v>1056628</v>
      </c>
      <c r="H1119" s="12">
        <f t="shared" si="45"/>
        <v>0</v>
      </c>
      <c r="I1119" s="14">
        <v>45192</v>
      </c>
      <c r="J1119" s="12" t="s">
        <v>18</v>
      </c>
      <c r="K1119" s="12" t="s">
        <v>19</v>
      </c>
      <c r="L1119" s="12" t="s">
        <v>57</v>
      </c>
      <c r="M1119" s="12">
        <v>230.01300000000001</v>
      </c>
      <c r="N1119" s="12">
        <v>191.381</v>
      </c>
      <c r="O1119" s="12">
        <v>4.3</v>
      </c>
      <c r="P1119" s="12">
        <v>11.9</v>
      </c>
      <c r="Q1119" s="13">
        <f t="shared" si="46"/>
        <v>0.84569398793064476</v>
      </c>
    </row>
    <row r="1120" spans="1:17" x14ac:dyDescent="0.25">
      <c r="A1120" s="12">
        <f t="shared" si="47"/>
        <v>9</v>
      </c>
      <c r="B1120" s="12">
        <v>2023</v>
      </c>
      <c r="C1120" s="12">
        <v>7399</v>
      </c>
      <c r="D1120" s="12">
        <v>1056751</v>
      </c>
      <c r="E1120" s="12" t="s">
        <v>13</v>
      </c>
      <c r="F1120" s="12" t="s">
        <v>14</v>
      </c>
      <c r="G1120" s="25">
        <v>1056751</v>
      </c>
      <c r="H1120" s="12">
        <f t="shared" si="45"/>
        <v>0</v>
      </c>
      <c r="I1120" s="14">
        <v>45193</v>
      </c>
      <c r="J1120" s="12" t="s">
        <v>17</v>
      </c>
      <c r="K1120" s="12" t="s">
        <v>19</v>
      </c>
      <c r="L1120" s="12" t="s">
        <v>59</v>
      </c>
      <c r="M1120" s="12">
        <v>230.001</v>
      </c>
      <c r="N1120" s="12">
        <v>196.37100000000001</v>
      </c>
      <c r="O1120" s="12">
        <v>3.5</v>
      </c>
      <c r="P1120" s="12">
        <v>11.4</v>
      </c>
      <c r="Q1120" s="13">
        <f t="shared" si="46"/>
        <v>0.83902786959395981</v>
      </c>
    </row>
    <row r="1121" spans="1:17" x14ac:dyDescent="0.25">
      <c r="A1121" s="12">
        <f t="shared" si="47"/>
        <v>9</v>
      </c>
      <c r="B1121" s="12">
        <v>2023</v>
      </c>
      <c r="C1121" s="12">
        <v>7400</v>
      </c>
      <c r="D1121" s="12">
        <v>1056815</v>
      </c>
      <c r="E1121" s="12" t="s">
        <v>13</v>
      </c>
      <c r="F1121" s="12" t="s">
        <v>14</v>
      </c>
      <c r="G1121" s="25">
        <v>1056815</v>
      </c>
      <c r="H1121" s="12">
        <f t="shared" si="45"/>
        <v>0</v>
      </c>
      <c r="I1121" s="14">
        <v>45194</v>
      </c>
      <c r="J1121" s="12" t="s">
        <v>18</v>
      </c>
      <c r="K1121" s="12" t="s">
        <v>19</v>
      </c>
      <c r="L1121" s="12" t="s">
        <v>57</v>
      </c>
      <c r="M1121" s="12">
        <v>229.97300000000001</v>
      </c>
      <c r="N1121" s="12">
        <v>193.48</v>
      </c>
      <c r="O1121" s="12">
        <v>3.7</v>
      </c>
      <c r="P1121" s="12">
        <v>11.8</v>
      </c>
      <c r="Q1121" s="13">
        <f t="shared" si="46"/>
        <v>0.83204427575832673</v>
      </c>
    </row>
    <row r="1122" spans="1:17" x14ac:dyDescent="0.25">
      <c r="A1122" s="12">
        <f t="shared" si="47"/>
        <v>9</v>
      </c>
      <c r="B1122" s="12">
        <v>2023</v>
      </c>
      <c r="C1122" s="12">
        <v>7401</v>
      </c>
      <c r="D1122" s="12">
        <v>1056816</v>
      </c>
      <c r="E1122" s="12" t="s">
        <v>13</v>
      </c>
      <c r="F1122" s="12" t="s">
        <v>14</v>
      </c>
      <c r="G1122" s="25">
        <v>1056816</v>
      </c>
      <c r="H1122" s="12">
        <f t="shared" ref="H1122:H1185" si="48">D1122-G1122</f>
        <v>0</v>
      </c>
      <c r="I1122" s="14">
        <v>45195</v>
      </c>
      <c r="J1122" s="12" t="s">
        <v>18</v>
      </c>
      <c r="K1122" s="12" t="s">
        <v>19</v>
      </c>
      <c r="L1122" s="12" t="s">
        <v>57</v>
      </c>
      <c r="M1122" s="12">
        <v>230.00299999999999</v>
      </c>
      <c r="N1122" s="12">
        <v>193.12899999999999</v>
      </c>
      <c r="O1122" s="12">
        <v>3.7</v>
      </c>
      <c r="P1122" s="12">
        <v>11.8</v>
      </c>
      <c r="Q1122" s="13">
        <f t="shared" si="46"/>
        <v>0.85378324442067643</v>
      </c>
    </row>
    <row r="1123" spans="1:17" x14ac:dyDescent="0.25">
      <c r="A1123" s="12">
        <f t="shared" si="47"/>
        <v>9</v>
      </c>
      <c r="B1123" s="12">
        <v>2023</v>
      </c>
      <c r="C1123" s="12">
        <v>7402</v>
      </c>
      <c r="D1123" s="12">
        <v>1056817</v>
      </c>
      <c r="E1123" s="12" t="s">
        <v>13</v>
      </c>
      <c r="F1123" s="12" t="s">
        <v>14</v>
      </c>
      <c r="G1123" s="25">
        <v>1056817</v>
      </c>
      <c r="H1123" s="12">
        <f t="shared" si="48"/>
        <v>0</v>
      </c>
      <c r="I1123" s="14">
        <v>45196</v>
      </c>
      <c r="J1123" s="12" t="s">
        <v>18</v>
      </c>
      <c r="K1123" s="12" t="s">
        <v>19</v>
      </c>
      <c r="L1123" s="12" t="s">
        <v>57</v>
      </c>
      <c r="M1123" s="12">
        <v>229.98699999999999</v>
      </c>
      <c r="N1123" s="12">
        <v>194.87</v>
      </c>
      <c r="O1123" s="12">
        <v>4.4000000000000004</v>
      </c>
      <c r="P1123" s="12">
        <v>11.4</v>
      </c>
      <c r="Q1123" s="13">
        <f t="shared" si="46"/>
        <v>0.841316154505094</v>
      </c>
    </row>
    <row r="1124" spans="1:17" x14ac:dyDescent="0.25">
      <c r="A1124" s="12">
        <f t="shared" si="47"/>
        <v>9</v>
      </c>
      <c r="B1124" s="12">
        <v>2023</v>
      </c>
      <c r="C1124" s="12">
        <v>7403</v>
      </c>
      <c r="D1124" s="12">
        <v>1057003</v>
      </c>
      <c r="E1124" s="12" t="s">
        <v>13</v>
      </c>
      <c r="F1124" s="12" t="s">
        <v>14</v>
      </c>
      <c r="G1124" s="25">
        <v>1057003</v>
      </c>
      <c r="H1124" s="12">
        <f t="shared" si="48"/>
        <v>0</v>
      </c>
      <c r="I1124" s="14">
        <v>45197</v>
      </c>
      <c r="J1124" s="12" t="s">
        <v>18</v>
      </c>
      <c r="K1124" s="12" t="s">
        <v>19</v>
      </c>
      <c r="L1124" s="12" t="s">
        <v>57</v>
      </c>
      <c r="M1124" s="12">
        <v>229.99700000000001</v>
      </c>
      <c r="N1124" s="12">
        <v>192.785</v>
      </c>
      <c r="O1124" s="12">
        <v>3.9</v>
      </c>
      <c r="P1124" s="12">
        <v>11.7</v>
      </c>
      <c r="Q1124" s="13">
        <f t="shared" si="46"/>
        <v>0.8396803519954088</v>
      </c>
    </row>
    <row r="1125" spans="1:17" x14ac:dyDescent="0.25">
      <c r="A1125" s="12">
        <f t="shared" si="47"/>
        <v>9</v>
      </c>
      <c r="B1125" s="12">
        <v>2023</v>
      </c>
      <c r="C1125" s="12">
        <v>7404</v>
      </c>
      <c r="D1125" s="12">
        <v>1057184</v>
      </c>
      <c r="E1125" s="12" t="s">
        <v>13</v>
      </c>
      <c r="F1125" s="12" t="s">
        <v>14</v>
      </c>
      <c r="G1125" s="25">
        <v>1057184</v>
      </c>
      <c r="H1125" s="12">
        <f t="shared" si="48"/>
        <v>0</v>
      </c>
      <c r="I1125" s="14">
        <v>45198</v>
      </c>
      <c r="J1125" s="12" t="s">
        <v>18</v>
      </c>
      <c r="K1125" s="12" t="s">
        <v>19</v>
      </c>
      <c r="L1125" s="12" t="s">
        <v>57</v>
      </c>
      <c r="M1125" s="12">
        <v>230.03</v>
      </c>
      <c r="N1125" s="12">
        <v>195.142</v>
      </c>
      <c r="O1125" s="12">
        <v>4.0999999999999996</v>
      </c>
      <c r="P1125" s="12">
        <v>11.6</v>
      </c>
      <c r="Q1125" s="13">
        <f t="shared" si="46"/>
        <v>0.84730876092996565</v>
      </c>
    </row>
    <row r="1126" spans="1:17" x14ac:dyDescent="0.25">
      <c r="A1126" s="12">
        <f t="shared" si="47"/>
        <v>9</v>
      </c>
      <c r="B1126" s="12">
        <v>2023</v>
      </c>
      <c r="C1126" s="12">
        <v>7405</v>
      </c>
      <c r="D1126" s="12">
        <v>1057293</v>
      </c>
      <c r="E1126" s="12" t="s">
        <v>13</v>
      </c>
      <c r="F1126" s="12" t="s">
        <v>14</v>
      </c>
      <c r="G1126" s="25">
        <v>1057293</v>
      </c>
      <c r="H1126" s="12">
        <f t="shared" si="48"/>
        <v>0</v>
      </c>
      <c r="I1126" s="14">
        <v>45199</v>
      </c>
      <c r="J1126" s="12" t="s">
        <v>17</v>
      </c>
      <c r="K1126" s="12" t="s">
        <v>19</v>
      </c>
      <c r="L1126" s="12" t="s">
        <v>58</v>
      </c>
      <c r="M1126" s="12">
        <v>230</v>
      </c>
      <c r="N1126" s="12">
        <v>193.16800000000001</v>
      </c>
      <c r="O1126" s="12">
        <v>3.6</v>
      </c>
      <c r="P1126" s="12">
        <v>12.4</v>
      </c>
      <c r="Q1126" s="13">
        <f t="shared" si="46"/>
        <v>0.83820658530328651</v>
      </c>
    </row>
    <row r="1127" spans="1:17" x14ac:dyDescent="0.25">
      <c r="A1127" s="12">
        <f t="shared" si="47"/>
        <v>10</v>
      </c>
      <c r="B1127" s="12">
        <v>2023</v>
      </c>
      <c r="C1127" s="12">
        <v>7406</v>
      </c>
      <c r="D1127" s="12">
        <v>1057379</v>
      </c>
      <c r="E1127" s="12" t="s">
        <v>13</v>
      </c>
      <c r="F1127" s="12" t="s">
        <v>14</v>
      </c>
      <c r="G1127" s="25">
        <v>1057379</v>
      </c>
      <c r="H1127" s="12">
        <f t="shared" si="48"/>
        <v>0</v>
      </c>
      <c r="I1127" s="14">
        <v>45200</v>
      </c>
      <c r="J1127" s="12" t="s">
        <v>64</v>
      </c>
      <c r="K1127" s="12" t="s">
        <v>20</v>
      </c>
      <c r="L1127" s="12" t="s">
        <v>56</v>
      </c>
      <c r="M1127" s="12">
        <v>230.01</v>
      </c>
      <c r="N1127" s="12">
        <v>192.245</v>
      </c>
      <c r="O1127" s="12">
        <v>4</v>
      </c>
      <c r="P1127" s="12">
        <v>11.1</v>
      </c>
      <c r="Q1127" s="13">
        <f t="shared" si="46"/>
        <v>0.84833282615311045</v>
      </c>
    </row>
    <row r="1128" spans="1:17" x14ac:dyDescent="0.25">
      <c r="A1128" s="12">
        <f t="shared" si="47"/>
        <v>10</v>
      </c>
      <c r="B1128" s="12">
        <v>2023</v>
      </c>
      <c r="C1128" s="12">
        <v>7407</v>
      </c>
      <c r="D1128" s="12">
        <v>1057479</v>
      </c>
      <c r="E1128" s="12" t="s">
        <v>13</v>
      </c>
      <c r="F1128" s="12" t="s">
        <v>14</v>
      </c>
      <c r="G1128" s="25">
        <v>1057479</v>
      </c>
      <c r="H1128" s="12">
        <f t="shared" si="48"/>
        <v>0</v>
      </c>
      <c r="I1128" s="14">
        <v>45201</v>
      </c>
      <c r="J1128" s="12" t="s">
        <v>64</v>
      </c>
      <c r="K1128" s="12" t="s">
        <v>20</v>
      </c>
      <c r="L1128" s="12" t="s">
        <v>56</v>
      </c>
      <c r="M1128" s="12">
        <v>234.934</v>
      </c>
      <c r="N1128" s="12">
        <v>190.87899999999999</v>
      </c>
      <c r="O1128" s="12">
        <v>3.5</v>
      </c>
      <c r="P1128" s="12">
        <v>11.1</v>
      </c>
      <c r="Q1128" s="13">
        <f t="shared" si="46"/>
        <v>0.83986086956521744</v>
      </c>
    </row>
    <row r="1129" spans="1:17" x14ac:dyDescent="0.25">
      <c r="A1129" s="12">
        <f t="shared" si="47"/>
        <v>10</v>
      </c>
      <c r="B1129" s="12">
        <v>2023</v>
      </c>
      <c r="C1129" s="12">
        <v>7408</v>
      </c>
      <c r="D1129" s="12">
        <v>1057482</v>
      </c>
      <c r="E1129" s="12" t="s">
        <v>13</v>
      </c>
      <c r="F1129" s="12" t="s">
        <v>14</v>
      </c>
      <c r="G1129" s="25">
        <v>1057482</v>
      </c>
      <c r="H1129" s="12">
        <f t="shared" si="48"/>
        <v>0</v>
      </c>
      <c r="I1129" s="14">
        <v>45202</v>
      </c>
      <c r="J1129" s="12" t="s">
        <v>64</v>
      </c>
      <c r="K1129" s="12" t="s">
        <v>20</v>
      </c>
      <c r="L1129" s="12" t="s">
        <v>56</v>
      </c>
      <c r="M1129" s="12">
        <v>235.09899999999999</v>
      </c>
      <c r="N1129" s="12">
        <v>198.358</v>
      </c>
      <c r="O1129" s="12">
        <v>4.2</v>
      </c>
      <c r="P1129" s="12">
        <v>11.5</v>
      </c>
      <c r="Q1129" s="13">
        <f t="shared" si="46"/>
        <v>0.83581148645711056</v>
      </c>
    </row>
    <row r="1130" spans="1:17" x14ac:dyDescent="0.25">
      <c r="A1130" s="12">
        <f t="shared" si="47"/>
        <v>10</v>
      </c>
      <c r="B1130" s="12">
        <v>2023</v>
      </c>
      <c r="C1130" s="12">
        <v>7409</v>
      </c>
      <c r="D1130" s="12">
        <v>1057511</v>
      </c>
      <c r="E1130" s="12" t="s">
        <v>13</v>
      </c>
      <c r="F1130" s="12" t="s">
        <v>14</v>
      </c>
      <c r="G1130" s="25">
        <v>1057511</v>
      </c>
      <c r="H1130" s="12">
        <f t="shared" si="48"/>
        <v>0</v>
      </c>
      <c r="I1130" s="14">
        <v>45203</v>
      </c>
      <c r="J1130" s="12" t="s">
        <v>64</v>
      </c>
      <c r="K1130" s="12" t="s">
        <v>20</v>
      </c>
      <c r="L1130" s="12" t="s">
        <v>56</v>
      </c>
      <c r="M1130" s="12">
        <v>235.09200000000001</v>
      </c>
      <c r="N1130" s="12">
        <v>193.53899999999999</v>
      </c>
      <c r="O1130" s="12">
        <v>3.6</v>
      </c>
      <c r="P1130" s="12">
        <v>11.8</v>
      </c>
      <c r="Q1130" s="13">
        <f t="shared" si="46"/>
        <v>0.81247924949134642</v>
      </c>
    </row>
    <row r="1131" spans="1:17" x14ac:dyDescent="0.25">
      <c r="A1131" s="12">
        <f t="shared" si="47"/>
        <v>10</v>
      </c>
      <c r="B1131" s="12">
        <v>2023</v>
      </c>
      <c r="C1131" s="12">
        <v>7410</v>
      </c>
      <c r="D1131" s="12">
        <v>1057666</v>
      </c>
      <c r="E1131" s="12" t="s">
        <v>13</v>
      </c>
      <c r="F1131" s="12" t="s">
        <v>14</v>
      </c>
      <c r="G1131" s="25">
        <v>1057666</v>
      </c>
      <c r="H1131" s="12">
        <f t="shared" si="48"/>
        <v>0</v>
      </c>
      <c r="I1131" s="14">
        <v>45204</v>
      </c>
      <c r="J1131" s="12" t="s">
        <v>64</v>
      </c>
      <c r="K1131" s="12" t="s">
        <v>20</v>
      </c>
      <c r="L1131" s="12" t="s">
        <v>56</v>
      </c>
      <c r="M1131" s="12">
        <v>234.98500000000001</v>
      </c>
      <c r="N1131" s="12">
        <v>187.65</v>
      </c>
      <c r="O1131" s="12">
        <v>3.6</v>
      </c>
      <c r="P1131" s="12">
        <v>11.1</v>
      </c>
      <c r="Q1131" s="13">
        <f t="shared" ref="Q1131:Q1194" si="49">N1129/M1129</f>
        <v>0.84372115576842099</v>
      </c>
    </row>
    <row r="1132" spans="1:17" x14ac:dyDescent="0.25">
      <c r="A1132" s="12">
        <f t="shared" si="47"/>
        <v>10</v>
      </c>
      <c r="B1132" s="12">
        <v>2023</v>
      </c>
      <c r="C1132" s="12">
        <v>7411</v>
      </c>
      <c r="D1132" s="12">
        <v>1057855</v>
      </c>
      <c r="E1132" s="12" t="s">
        <v>13</v>
      </c>
      <c r="F1132" s="12" t="s">
        <v>14</v>
      </c>
      <c r="G1132" s="25">
        <v>1057855</v>
      </c>
      <c r="H1132" s="12">
        <f t="shared" si="48"/>
        <v>0</v>
      </c>
      <c r="I1132" s="14">
        <v>45205</v>
      </c>
      <c r="J1132" s="12" t="s">
        <v>64</v>
      </c>
      <c r="K1132" s="12" t="s">
        <v>20</v>
      </c>
      <c r="L1132" s="12" t="s">
        <v>56</v>
      </c>
      <c r="M1132" s="12">
        <v>235.018</v>
      </c>
      <c r="N1132" s="12">
        <v>193.72</v>
      </c>
      <c r="O1132" s="12">
        <v>3.4</v>
      </c>
      <c r="P1132" s="12">
        <v>11.4</v>
      </c>
      <c r="Q1132" s="13">
        <f t="shared" si="49"/>
        <v>0.82324791996324831</v>
      </c>
    </row>
    <row r="1133" spans="1:17" x14ac:dyDescent="0.25">
      <c r="A1133" s="12">
        <f t="shared" si="47"/>
        <v>10</v>
      </c>
      <c r="B1133" s="12">
        <v>2023</v>
      </c>
      <c r="C1133" s="12">
        <v>7412</v>
      </c>
      <c r="D1133" s="12">
        <v>1057960</v>
      </c>
      <c r="E1133" s="12" t="s">
        <v>13</v>
      </c>
      <c r="F1133" s="12" t="s">
        <v>14</v>
      </c>
      <c r="G1133" s="25">
        <v>1057960</v>
      </c>
      <c r="H1133" s="12">
        <f t="shared" si="48"/>
        <v>0</v>
      </c>
      <c r="I1133" s="14">
        <v>45206</v>
      </c>
      <c r="J1133" s="12" t="s">
        <v>64</v>
      </c>
      <c r="K1133" s="12" t="s">
        <v>20</v>
      </c>
      <c r="L1133" s="12" t="s">
        <v>56</v>
      </c>
      <c r="M1133" s="12">
        <v>235.00800000000001</v>
      </c>
      <c r="N1133" s="12">
        <v>195.89500000000001</v>
      </c>
      <c r="O1133" s="12">
        <v>4</v>
      </c>
      <c r="P1133" s="12">
        <v>11.3</v>
      </c>
      <c r="Q1133" s="13">
        <f t="shared" si="49"/>
        <v>0.79856161031555206</v>
      </c>
    </row>
    <row r="1134" spans="1:17" x14ac:dyDescent="0.25">
      <c r="A1134" s="12">
        <f t="shared" si="47"/>
        <v>10</v>
      </c>
      <c r="B1134" s="12">
        <v>2023</v>
      </c>
      <c r="C1134" s="12">
        <v>7413</v>
      </c>
      <c r="D1134" s="12">
        <v>1058045</v>
      </c>
      <c r="E1134" s="12" t="s">
        <v>13</v>
      </c>
      <c r="F1134" s="12" t="s">
        <v>14</v>
      </c>
      <c r="G1134" s="25">
        <v>1058045</v>
      </c>
      <c r="H1134" s="12">
        <f t="shared" si="48"/>
        <v>0</v>
      </c>
      <c r="I1134" s="14">
        <v>45207</v>
      </c>
      <c r="J1134" s="12" t="s">
        <v>64</v>
      </c>
      <c r="K1134" s="12" t="s">
        <v>20</v>
      </c>
      <c r="L1134" s="12" t="s">
        <v>56</v>
      </c>
      <c r="M1134" s="12">
        <v>235.09299999999999</v>
      </c>
      <c r="N1134" s="12">
        <v>195.53899999999999</v>
      </c>
      <c r="O1134" s="12">
        <v>3.6</v>
      </c>
      <c r="P1134" s="12">
        <v>11.4</v>
      </c>
      <c r="Q1134" s="13">
        <f t="shared" si="49"/>
        <v>0.82427728939910982</v>
      </c>
    </row>
    <row r="1135" spans="1:17" x14ac:dyDescent="0.25">
      <c r="A1135" s="12">
        <f t="shared" si="47"/>
        <v>10</v>
      </c>
      <c r="B1135" s="12">
        <v>2023</v>
      </c>
      <c r="C1135" s="12">
        <v>7414</v>
      </c>
      <c r="D1135" s="12">
        <v>1058207</v>
      </c>
      <c r="E1135" s="12" t="s">
        <v>13</v>
      </c>
      <c r="F1135" s="12" t="s">
        <v>14</v>
      </c>
      <c r="G1135" s="25">
        <v>1058207</v>
      </c>
      <c r="H1135" s="12">
        <f t="shared" si="48"/>
        <v>0</v>
      </c>
      <c r="I1135" s="14">
        <v>45208</v>
      </c>
      <c r="J1135" s="12" t="s">
        <v>18</v>
      </c>
      <c r="K1135" s="12" t="s">
        <v>20</v>
      </c>
      <c r="L1135" s="12" t="s">
        <v>56</v>
      </c>
      <c r="M1135" s="12">
        <v>234.96100000000001</v>
      </c>
      <c r="N1135" s="12">
        <v>197.16200000000001</v>
      </c>
      <c r="O1135" s="12">
        <v>4.4000000000000004</v>
      </c>
      <c r="P1135" s="12">
        <v>12</v>
      </c>
      <c r="Q1135" s="13">
        <f t="shared" si="49"/>
        <v>0.83356736791939001</v>
      </c>
    </row>
    <row r="1136" spans="1:17" x14ac:dyDescent="0.25">
      <c r="A1136" s="12">
        <f t="shared" si="47"/>
        <v>10</v>
      </c>
      <c r="B1136" s="12">
        <v>2023</v>
      </c>
      <c r="C1136" s="12">
        <v>7415</v>
      </c>
      <c r="D1136" s="12">
        <v>1058389</v>
      </c>
      <c r="E1136" s="12" t="s">
        <v>13</v>
      </c>
      <c r="F1136" s="12" t="s">
        <v>14</v>
      </c>
      <c r="G1136" s="25">
        <v>1058389</v>
      </c>
      <c r="H1136" s="12">
        <f t="shared" si="48"/>
        <v>0</v>
      </c>
      <c r="I1136" s="14">
        <v>45209</v>
      </c>
      <c r="J1136" s="12" t="s">
        <v>18</v>
      </c>
      <c r="K1136" s="12" t="s">
        <v>20</v>
      </c>
      <c r="L1136" s="12" t="s">
        <v>56</v>
      </c>
      <c r="M1136" s="12">
        <v>235</v>
      </c>
      <c r="N1136" s="12">
        <v>197.71600000000001</v>
      </c>
      <c r="O1136" s="12">
        <v>3.8</v>
      </c>
      <c r="P1136" s="12">
        <v>11.5</v>
      </c>
      <c r="Q1136" s="13">
        <f t="shared" si="49"/>
        <v>0.83175168975681968</v>
      </c>
    </row>
    <row r="1137" spans="1:17" x14ac:dyDescent="0.25">
      <c r="A1137" s="12">
        <f t="shared" si="47"/>
        <v>10</v>
      </c>
      <c r="B1137" s="12">
        <v>2023</v>
      </c>
      <c r="C1137" s="12">
        <v>7416</v>
      </c>
      <c r="D1137" s="12">
        <v>1058391</v>
      </c>
      <c r="E1137" s="12" t="s">
        <v>13</v>
      </c>
      <c r="F1137" s="12" t="s">
        <v>14</v>
      </c>
      <c r="G1137" s="25">
        <v>1058391</v>
      </c>
      <c r="H1137" s="12">
        <f t="shared" si="48"/>
        <v>0</v>
      </c>
      <c r="I1137" s="14">
        <v>45210</v>
      </c>
      <c r="J1137" s="12" t="s">
        <v>18</v>
      </c>
      <c r="K1137" s="12" t="s">
        <v>20</v>
      </c>
      <c r="L1137" s="12" t="s">
        <v>56</v>
      </c>
      <c r="M1137" s="12">
        <v>234.93199999999999</v>
      </c>
      <c r="N1137" s="12">
        <v>199.03</v>
      </c>
      <c r="O1137" s="12">
        <v>5.2</v>
      </c>
      <c r="P1137" s="12">
        <v>11.3</v>
      </c>
      <c r="Q1137" s="13">
        <f t="shared" si="49"/>
        <v>0.8391264933329361</v>
      </c>
    </row>
    <row r="1138" spans="1:17" x14ac:dyDescent="0.25">
      <c r="A1138" s="12">
        <f t="shared" si="47"/>
        <v>10</v>
      </c>
      <c r="B1138" s="12">
        <v>2023</v>
      </c>
      <c r="C1138" s="12">
        <v>7417</v>
      </c>
      <c r="D1138" s="12">
        <v>1058584</v>
      </c>
      <c r="E1138" s="12" t="s">
        <v>13</v>
      </c>
      <c r="F1138" s="12" t="s">
        <v>14</v>
      </c>
      <c r="G1138" s="25">
        <v>1058584</v>
      </c>
      <c r="H1138" s="12">
        <f t="shared" si="48"/>
        <v>0</v>
      </c>
      <c r="I1138" s="14">
        <v>45211</v>
      </c>
      <c r="J1138" s="12" t="s">
        <v>18</v>
      </c>
      <c r="K1138" s="12" t="s">
        <v>20</v>
      </c>
      <c r="L1138" s="12" t="s">
        <v>56</v>
      </c>
      <c r="M1138" s="12">
        <v>235.02799999999999</v>
      </c>
      <c r="N1138" s="12">
        <v>195.98400000000001</v>
      </c>
      <c r="O1138" s="12">
        <v>3.7</v>
      </c>
      <c r="P1138" s="12">
        <v>11.5</v>
      </c>
      <c r="Q1138" s="13">
        <f t="shared" si="49"/>
        <v>0.84134468085106384</v>
      </c>
    </row>
    <row r="1139" spans="1:17" x14ac:dyDescent="0.25">
      <c r="A1139" s="12">
        <f t="shared" si="47"/>
        <v>10</v>
      </c>
      <c r="B1139" s="12">
        <v>2023</v>
      </c>
      <c r="C1139" s="12">
        <v>7418</v>
      </c>
      <c r="D1139" s="12">
        <v>1058720</v>
      </c>
      <c r="E1139" s="12" t="s">
        <v>13</v>
      </c>
      <c r="F1139" s="12" t="s">
        <v>14</v>
      </c>
      <c r="G1139" s="25">
        <v>1058720</v>
      </c>
      <c r="H1139" s="12">
        <f t="shared" si="48"/>
        <v>0</v>
      </c>
      <c r="I1139" s="14">
        <v>45212</v>
      </c>
      <c r="J1139" s="12" t="s">
        <v>18</v>
      </c>
      <c r="K1139" s="12" t="s">
        <v>20</v>
      </c>
      <c r="L1139" s="12" t="s">
        <v>56</v>
      </c>
      <c r="M1139" s="12">
        <v>235.05199999999999</v>
      </c>
      <c r="N1139" s="12">
        <v>198.99299999999999</v>
      </c>
      <c r="O1139" s="12">
        <v>4.7</v>
      </c>
      <c r="P1139" s="12">
        <v>11.5</v>
      </c>
      <c r="Q1139" s="13">
        <f t="shared" si="49"/>
        <v>0.84718131203922842</v>
      </c>
    </row>
    <row r="1140" spans="1:17" x14ac:dyDescent="0.25">
      <c r="A1140" s="12">
        <f t="shared" si="47"/>
        <v>10</v>
      </c>
      <c r="B1140" s="12">
        <v>2023</v>
      </c>
      <c r="C1140" s="12">
        <v>7419</v>
      </c>
      <c r="D1140" s="12">
        <v>1058883</v>
      </c>
      <c r="E1140" s="12" t="s">
        <v>13</v>
      </c>
      <c r="F1140" s="12" t="s">
        <v>14</v>
      </c>
      <c r="G1140" s="25">
        <v>1058883</v>
      </c>
      <c r="H1140" s="12">
        <f t="shared" si="48"/>
        <v>0</v>
      </c>
      <c r="I1140" s="14">
        <v>45213</v>
      </c>
      <c r="J1140" s="12" t="s">
        <v>18</v>
      </c>
      <c r="K1140" s="12" t="s">
        <v>20</v>
      </c>
      <c r="L1140" s="12" t="s">
        <v>56</v>
      </c>
      <c r="M1140" s="12">
        <v>234.941</v>
      </c>
      <c r="N1140" s="12">
        <v>190.328</v>
      </c>
      <c r="O1140" s="12">
        <v>4.7</v>
      </c>
      <c r="P1140" s="12">
        <v>11.8</v>
      </c>
      <c r="Q1140" s="13">
        <f t="shared" si="49"/>
        <v>0.83387511275252313</v>
      </c>
    </row>
    <row r="1141" spans="1:17" x14ac:dyDescent="0.25">
      <c r="A1141" s="12">
        <f t="shared" si="47"/>
        <v>10</v>
      </c>
      <c r="B1141" s="12">
        <v>2023</v>
      </c>
      <c r="C1141" s="12">
        <v>7420</v>
      </c>
      <c r="D1141" s="12">
        <v>1058915</v>
      </c>
      <c r="E1141" s="12" t="s">
        <v>13</v>
      </c>
      <c r="F1141" s="12" t="s">
        <v>14</v>
      </c>
      <c r="G1141" s="25">
        <v>1058915</v>
      </c>
      <c r="H1141" s="12">
        <f t="shared" si="48"/>
        <v>0</v>
      </c>
      <c r="I1141" s="14">
        <v>45214</v>
      </c>
      <c r="J1141" s="12" t="s">
        <v>17</v>
      </c>
      <c r="K1141" s="12" t="s">
        <v>19</v>
      </c>
      <c r="L1141" s="12" t="s">
        <v>58</v>
      </c>
      <c r="M1141" s="12">
        <v>235.01400000000001</v>
      </c>
      <c r="N1141" s="12">
        <v>195.453</v>
      </c>
      <c r="O1141" s="12">
        <v>4.8</v>
      </c>
      <c r="P1141" s="12">
        <v>11.3</v>
      </c>
      <c r="Q1141" s="13">
        <f t="shared" si="49"/>
        <v>0.8465913925429267</v>
      </c>
    </row>
    <row r="1142" spans="1:17" x14ac:dyDescent="0.25">
      <c r="A1142" s="12">
        <f t="shared" si="47"/>
        <v>10</v>
      </c>
      <c r="B1142" s="12">
        <v>2023</v>
      </c>
      <c r="C1142" s="12">
        <v>7421</v>
      </c>
      <c r="D1142" s="12">
        <v>1058921</v>
      </c>
      <c r="E1142" s="12" t="s">
        <v>13</v>
      </c>
      <c r="F1142" s="12" t="s">
        <v>14</v>
      </c>
      <c r="G1142" s="25">
        <v>1058921</v>
      </c>
      <c r="H1142" s="12">
        <f t="shared" si="48"/>
        <v>0</v>
      </c>
      <c r="I1142" s="14">
        <v>45215</v>
      </c>
      <c r="J1142" s="12" t="s">
        <v>17</v>
      </c>
      <c r="K1142" s="12" t="s">
        <v>19</v>
      </c>
      <c r="L1142" s="12" t="s">
        <v>58</v>
      </c>
      <c r="M1142" s="12">
        <v>235.00899999999999</v>
      </c>
      <c r="N1142" s="12">
        <v>198.374</v>
      </c>
      <c r="O1142" s="12">
        <v>3.4</v>
      </c>
      <c r="P1142" s="12">
        <v>11</v>
      </c>
      <c r="Q1142" s="13">
        <f t="shared" si="49"/>
        <v>0.81010977224069025</v>
      </c>
    </row>
    <row r="1143" spans="1:17" x14ac:dyDescent="0.25">
      <c r="A1143" s="12">
        <f t="shared" si="47"/>
        <v>10</v>
      </c>
      <c r="B1143" s="12">
        <v>2023</v>
      </c>
      <c r="C1143" s="12">
        <v>7422</v>
      </c>
      <c r="D1143" s="12">
        <v>1058923</v>
      </c>
      <c r="E1143" s="12" t="s">
        <v>13</v>
      </c>
      <c r="F1143" s="12" t="s">
        <v>14</v>
      </c>
      <c r="G1143" s="25">
        <v>1058923</v>
      </c>
      <c r="H1143" s="12">
        <f t="shared" si="48"/>
        <v>0</v>
      </c>
      <c r="I1143" s="14">
        <v>45216</v>
      </c>
      <c r="J1143" s="12" t="s">
        <v>17</v>
      </c>
      <c r="K1143" s="12" t="s">
        <v>19</v>
      </c>
      <c r="L1143" s="12" t="s">
        <v>57</v>
      </c>
      <c r="M1143" s="12">
        <v>235.00899999999999</v>
      </c>
      <c r="N1143" s="12">
        <v>194.04400000000001</v>
      </c>
      <c r="O1143" s="12">
        <v>3.8</v>
      </c>
      <c r="P1143" s="12">
        <v>11</v>
      </c>
      <c r="Q1143" s="13">
        <f t="shared" si="49"/>
        <v>0.83166534759631339</v>
      </c>
    </row>
    <row r="1144" spans="1:17" x14ac:dyDescent="0.25">
      <c r="A1144" s="12">
        <f t="shared" si="47"/>
        <v>10</v>
      </c>
      <c r="B1144" s="12">
        <v>2023</v>
      </c>
      <c r="C1144" s="12">
        <v>7423</v>
      </c>
      <c r="D1144" s="12">
        <v>1059190</v>
      </c>
      <c r="E1144" s="12" t="s">
        <v>13</v>
      </c>
      <c r="F1144" s="12" t="s">
        <v>14</v>
      </c>
      <c r="G1144" s="25">
        <v>1059190</v>
      </c>
      <c r="H1144" s="12">
        <f t="shared" si="48"/>
        <v>0</v>
      </c>
      <c r="I1144" s="14">
        <v>45217</v>
      </c>
      <c r="J1144" s="12" t="s">
        <v>17</v>
      </c>
      <c r="K1144" s="12" t="s">
        <v>19</v>
      </c>
      <c r="L1144" s="12" t="s">
        <v>57</v>
      </c>
      <c r="M1144" s="12">
        <v>235.00800000000001</v>
      </c>
      <c r="N1144" s="12">
        <v>198.35</v>
      </c>
      <c r="O1144" s="12">
        <v>3.8</v>
      </c>
      <c r="P1144" s="12">
        <v>11.6</v>
      </c>
      <c r="Q1144" s="13">
        <f t="shared" si="49"/>
        <v>0.84411235314392219</v>
      </c>
    </row>
    <row r="1145" spans="1:17" x14ac:dyDescent="0.25">
      <c r="A1145" s="12">
        <f t="shared" si="47"/>
        <v>10</v>
      </c>
      <c r="B1145" s="12">
        <v>2023</v>
      </c>
      <c r="C1145" s="12">
        <v>7424</v>
      </c>
      <c r="D1145" s="12">
        <v>1059413</v>
      </c>
      <c r="E1145" s="12" t="s">
        <v>13</v>
      </c>
      <c r="F1145" s="12" t="s">
        <v>14</v>
      </c>
      <c r="G1145" s="25">
        <v>1059413</v>
      </c>
      <c r="H1145" s="12">
        <f t="shared" si="48"/>
        <v>0</v>
      </c>
      <c r="I1145" s="14">
        <v>45218</v>
      </c>
      <c r="J1145" s="12" t="s">
        <v>17</v>
      </c>
      <c r="K1145" s="12" t="s">
        <v>19</v>
      </c>
      <c r="L1145" s="12" t="s">
        <v>60</v>
      </c>
      <c r="M1145" s="12">
        <v>235.00800000000001</v>
      </c>
      <c r="N1145" s="12">
        <v>199.16399999999999</v>
      </c>
      <c r="O1145" s="12">
        <v>4.5999999999999996</v>
      </c>
      <c r="P1145" s="12">
        <v>11.6</v>
      </c>
      <c r="Q1145" s="13">
        <f t="shared" si="49"/>
        <v>0.82568752686067348</v>
      </c>
    </row>
    <row r="1146" spans="1:17" x14ac:dyDescent="0.25">
      <c r="A1146" s="12">
        <f t="shared" si="47"/>
        <v>10</v>
      </c>
      <c r="B1146" s="12">
        <v>2023</v>
      </c>
      <c r="C1146" s="12">
        <v>7425</v>
      </c>
      <c r="D1146" s="12">
        <v>1059602</v>
      </c>
      <c r="E1146" s="12" t="s">
        <v>13</v>
      </c>
      <c r="F1146" s="12" t="s">
        <v>14</v>
      </c>
      <c r="G1146" s="25">
        <v>1059602</v>
      </c>
      <c r="H1146" s="12">
        <f t="shared" si="48"/>
        <v>0</v>
      </c>
      <c r="I1146" s="14">
        <v>45219</v>
      </c>
      <c r="J1146" s="12" t="s">
        <v>64</v>
      </c>
      <c r="K1146" s="12" t="s">
        <v>20</v>
      </c>
      <c r="L1146" s="12" t="s">
        <v>61</v>
      </c>
      <c r="M1146" s="12">
        <v>235.00800000000001</v>
      </c>
      <c r="N1146" s="12">
        <v>203.04599999999999</v>
      </c>
      <c r="O1146" s="12">
        <v>4.3</v>
      </c>
      <c r="P1146" s="12">
        <v>11.5</v>
      </c>
      <c r="Q1146" s="13">
        <f t="shared" si="49"/>
        <v>0.84401382080610021</v>
      </c>
    </row>
    <row r="1147" spans="1:17" x14ac:dyDescent="0.25">
      <c r="A1147" s="12">
        <f t="shared" si="47"/>
        <v>10</v>
      </c>
      <c r="B1147" s="12">
        <v>2023</v>
      </c>
      <c r="C1147" s="12">
        <v>7426</v>
      </c>
      <c r="D1147" s="12">
        <v>1059745</v>
      </c>
      <c r="E1147" s="12" t="s">
        <v>13</v>
      </c>
      <c r="F1147" s="12" t="s">
        <v>14</v>
      </c>
      <c r="G1147" s="25">
        <v>1059745</v>
      </c>
      <c r="H1147" s="12">
        <f t="shared" si="48"/>
        <v>0</v>
      </c>
      <c r="I1147" s="14">
        <v>45220</v>
      </c>
      <c r="J1147" s="12" t="s">
        <v>17</v>
      </c>
      <c r="K1147" s="12" t="s">
        <v>19</v>
      </c>
      <c r="L1147" s="12" t="s">
        <v>58</v>
      </c>
      <c r="M1147" s="12">
        <v>235.005</v>
      </c>
      <c r="N1147" s="12">
        <v>204.11199999999999</v>
      </c>
      <c r="O1147" s="12">
        <v>4.5999999999999996</v>
      </c>
      <c r="P1147" s="12">
        <v>11.7</v>
      </c>
      <c r="Q1147" s="13">
        <f t="shared" si="49"/>
        <v>0.84747753267973847</v>
      </c>
    </row>
    <row r="1148" spans="1:17" x14ac:dyDescent="0.25">
      <c r="A1148" s="12">
        <f t="shared" si="47"/>
        <v>10</v>
      </c>
      <c r="B1148" s="12">
        <v>2023</v>
      </c>
      <c r="C1148" s="12">
        <v>7427</v>
      </c>
      <c r="D1148" s="12">
        <v>1059892</v>
      </c>
      <c r="E1148" s="12" t="s">
        <v>13</v>
      </c>
      <c r="F1148" s="12" t="s">
        <v>14</v>
      </c>
      <c r="G1148" s="25">
        <v>1059892</v>
      </c>
      <c r="H1148" s="12">
        <f t="shared" si="48"/>
        <v>0</v>
      </c>
      <c r="I1148" s="14">
        <v>45221</v>
      </c>
      <c r="J1148" s="12" t="s">
        <v>64</v>
      </c>
      <c r="K1148" s="12" t="s">
        <v>20</v>
      </c>
      <c r="L1148" s="12" t="s">
        <v>62</v>
      </c>
      <c r="M1148" s="12">
        <v>235.01</v>
      </c>
      <c r="N1148" s="12">
        <v>195.62700000000001</v>
      </c>
      <c r="O1148" s="12">
        <v>4.0999999999999996</v>
      </c>
      <c r="P1148" s="12">
        <v>11.8</v>
      </c>
      <c r="Q1148" s="13">
        <f t="shared" si="49"/>
        <v>0.86399611928104569</v>
      </c>
    </row>
    <row r="1149" spans="1:17" x14ac:dyDescent="0.25">
      <c r="A1149" s="12">
        <f t="shared" si="47"/>
        <v>10</v>
      </c>
      <c r="B1149" s="12">
        <v>2023</v>
      </c>
      <c r="C1149" s="12">
        <v>7428</v>
      </c>
      <c r="D1149" s="12">
        <v>1060048</v>
      </c>
      <c r="E1149" s="12" t="s">
        <v>13</v>
      </c>
      <c r="F1149" s="12" t="s">
        <v>14</v>
      </c>
      <c r="G1149" s="25">
        <v>1060048</v>
      </c>
      <c r="H1149" s="12">
        <f t="shared" si="48"/>
        <v>0</v>
      </c>
      <c r="I1149" s="14">
        <v>45222</v>
      </c>
      <c r="J1149" s="12" t="s">
        <v>18</v>
      </c>
      <c r="K1149" s="12" t="s">
        <v>20</v>
      </c>
      <c r="L1149" s="12" t="s">
        <v>56</v>
      </c>
      <c r="M1149" s="12">
        <v>235.01</v>
      </c>
      <c r="N1149" s="12">
        <v>197.93299999999999</v>
      </c>
      <c r="O1149" s="12">
        <v>4.0999999999999996</v>
      </c>
      <c r="P1149" s="12">
        <v>12</v>
      </c>
      <c r="Q1149" s="13">
        <f t="shared" si="49"/>
        <v>0.86854322248462801</v>
      </c>
    </row>
    <row r="1150" spans="1:17" x14ac:dyDescent="0.25">
      <c r="A1150" s="12">
        <f t="shared" si="47"/>
        <v>10</v>
      </c>
      <c r="B1150" s="12">
        <v>2023</v>
      </c>
      <c r="C1150" s="12">
        <v>7429</v>
      </c>
      <c r="D1150" s="12">
        <v>1060051</v>
      </c>
      <c r="E1150" s="12" t="s">
        <v>13</v>
      </c>
      <c r="F1150" s="12" t="s">
        <v>14</v>
      </c>
      <c r="G1150" s="25">
        <v>1060051</v>
      </c>
      <c r="H1150" s="12">
        <f t="shared" si="48"/>
        <v>0</v>
      </c>
      <c r="I1150" s="14">
        <v>45223</v>
      </c>
      <c r="J1150" s="12" t="s">
        <v>18</v>
      </c>
      <c r="K1150" s="12" t="s">
        <v>20</v>
      </c>
      <c r="L1150" s="12" t="s">
        <v>56</v>
      </c>
      <c r="M1150" s="12">
        <v>235.01400000000001</v>
      </c>
      <c r="N1150" s="12">
        <v>196.46299999999999</v>
      </c>
      <c r="O1150" s="12">
        <v>3.7</v>
      </c>
      <c r="P1150" s="12">
        <v>10.9</v>
      </c>
      <c r="Q1150" s="13">
        <f t="shared" si="49"/>
        <v>0.83241989702565855</v>
      </c>
    </row>
    <row r="1151" spans="1:17" x14ac:dyDescent="0.25">
      <c r="A1151" s="12">
        <f t="shared" si="47"/>
        <v>10</v>
      </c>
      <c r="B1151" s="12">
        <v>2023</v>
      </c>
      <c r="C1151" s="12">
        <v>7430</v>
      </c>
      <c r="D1151" s="12">
        <v>1060097</v>
      </c>
      <c r="E1151" s="12" t="s">
        <v>13</v>
      </c>
      <c r="F1151" s="12" t="s">
        <v>14</v>
      </c>
      <c r="G1151" s="25">
        <v>1060097</v>
      </c>
      <c r="H1151" s="12">
        <f t="shared" si="48"/>
        <v>0</v>
      </c>
      <c r="I1151" s="14">
        <v>45224</v>
      </c>
      <c r="J1151" s="12" t="s">
        <v>18</v>
      </c>
      <c r="K1151" s="12" t="s">
        <v>20</v>
      </c>
      <c r="L1151" s="12" t="s">
        <v>56</v>
      </c>
      <c r="M1151" s="12">
        <v>235.01</v>
      </c>
      <c r="N1151" s="12">
        <v>198.42099999999999</v>
      </c>
      <c r="O1151" s="12">
        <v>4.3</v>
      </c>
      <c r="P1151" s="12">
        <v>11.6</v>
      </c>
      <c r="Q1151" s="13">
        <f t="shared" si="49"/>
        <v>0.84223224543636444</v>
      </c>
    </row>
    <row r="1152" spans="1:17" x14ac:dyDescent="0.25">
      <c r="A1152" s="12">
        <f t="shared" si="47"/>
        <v>10</v>
      </c>
      <c r="B1152" s="12">
        <v>2023</v>
      </c>
      <c r="C1152" s="12">
        <v>7431</v>
      </c>
      <c r="D1152" s="12">
        <v>1060403</v>
      </c>
      <c r="E1152" s="12" t="s">
        <v>13</v>
      </c>
      <c r="F1152" s="12" t="s">
        <v>14</v>
      </c>
      <c r="G1152" s="25">
        <v>1060403</v>
      </c>
      <c r="H1152" s="12">
        <f t="shared" si="48"/>
        <v>0</v>
      </c>
      <c r="I1152" s="14">
        <v>45225</v>
      </c>
      <c r="J1152" s="12" t="s">
        <v>18</v>
      </c>
      <c r="K1152" s="12" t="s">
        <v>20</v>
      </c>
      <c r="L1152" s="12" t="s">
        <v>56</v>
      </c>
      <c r="M1152" s="12">
        <v>235.01499999999999</v>
      </c>
      <c r="N1152" s="12">
        <v>194.7</v>
      </c>
      <c r="O1152" s="12">
        <v>4.0999999999999996</v>
      </c>
      <c r="P1152" s="12">
        <v>11.3</v>
      </c>
      <c r="Q1152" s="13">
        <f t="shared" si="49"/>
        <v>0.83596296390853309</v>
      </c>
    </row>
    <row r="1153" spans="1:17" x14ac:dyDescent="0.25">
      <c r="A1153" s="12">
        <f t="shared" si="47"/>
        <v>10</v>
      </c>
      <c r="B1153" s="12">
        <v>2023</v>
      </c>
      <c r="C1153" s="12">
        <v>7432</v>
      </c>
      <c r="D1153" s="12">
        <v>1060519</v>
      </c>
      <c r="E1153" s="12" t="s">
        <v>13</v>
      </c>
      <c r="F1153" s="12" t="s">
        <v>14</v>
      </c>
      <c r="G1153" s="25">
        <v>1060519</v>
      </c>
      <c r="H1153" s="12">
        <f t="shared" si="48"/>
        <v>0</v>
      </c>
      <c r="I1153" s="14">
        <v>45226</v>
      </c>
      <c r="J1153" s="12" t="s">
        <v>18</v>
      </c>
      <c r="K1153" s="12" t="s">
        <v>20</v>
      </c>
      <c r="L1153" s="12" t="s">
        <v>56</v>
      </c>
      <c r="M1153" s="12">
        <v>235.01</v>
      </c>
      <c r="N1153" s="12">
        <v>204.845</v>
      </c>
      <c r="O1153" s="12">
        <v>5.2</v>
      </c>
      <c r="P1153" s="12">
        <v>10.7</v>
      </c>
      <c r="Q1153" s="13">
        <f t="shared" si="49"/>
        <v>0.84430875281902895</v>
      </c>
    </row>
    <row r="1154" spans="1:17" x14ac:dyDescent="0.25">
      <c r="A1154" s="12">
        <f t="shared" si="47"/>
        <v>10</v>
      </c>
      <c r="B1154" s="12">
        <v>2023</v>
      </c>
      <c r="C1154" s="12">
        <v>7433</v>
      </c>
      <c r="D1154" s="12">
        <v>1060709</v>
      </c>
      <c r="E1154" s="12" t="s">
        <v>13</v>
      </c>
      <c r="F1154" s="12" t="s">
        <v>14</v>
      </c>
      <c r="G1154" s="25">
        <v>1060709</v>
      </c>
      <c r="H1154" s="12">
        <f t="shared" si="48"/>
        <v>0</v>
      </c>
      <c r="I1154" s="14">
        <v>45227</v>
      </c>
      <c r="J1154" s="12" t="s">
        <v>64</v>
      </c>
      <c r="K1154" s="12" t="s">
        <v>20</v>
      </c>
      <c r="L1154" s="12" t="s">
        <v>63</v>
      </c>
      <c r="M1154" s="12">
        <v>235.01300000000001</v>
      </c>
      <c r="N1154" s="12">
        <v>197.68600000000001</v>
      </c>
      <c r="O1154" s="12">
        <v>3.9</v>
      </c>
      <c r="P1154" s="12">
        <v>11.4</v>
      </c>
      <c r="Q1154" s="13">
        <f t="shared" si="49"/>
        <v>0.82845775801544586</v>
      </c>
    </row>
    <row r="1155" spans="1:17" x14ac:dyDescent="0.25">
      <c r="A1155" s="12">
        <f t="shared" ref="A1155:A1218" si="50">MONTH(I1155)</f>
        <v>10</v>
      </c>
      <c r="B1155" s="12">
        <v>2023</v>
      </c>
      <c r="C1155" s="12">
        <v>7434</v>
      </c>
      <c r="D1155" s="12">
        <v>1060822</v>
      </c>
      <c r="E1155" s="12" t="s">
        <v>13</v>
      </c>
      <c r="F1155" s="12" t="s">
        <v>14</v>
      </c>
      <c r="G1155" s="25">
        <v>1060822</v>
      </c>
      <c r="H1155" s="12">
        <f t="shared" si="48"/>
        <v>0</v>
      </c>
      <c r="I1155" s="14">
        <v>45228</v>
      </c>
      <c r="J1155" s="12" t="s">
        <v>18</v>
      </c>
      <c r="K1155" s="12" t="s">
        <v>19</v>
      </c>
      <c r="L1155" s="12" t="s">
        <v>57</v>
      </c>
      <c r="M1155" s="12">
        <v>235.00899999999999</v>
      </c>
      <c r="N1155" s="12">
        <v>199.57400000000001</v>
      </c>
      <c r="O1155" s="12">
        <v>4.2</v>
      </c>
      <c r="P1155" s="12">
        <v>11.5</v>
      </c>
      <c r="Q1155" s="13">
        <f t="shared" si="49"/>
        <v>0.87164375984000686</v>
      </c>
    </row>
    <row r="1156" spans="1:17" x14ac:dyDescent="0.25">
      <c r="A1156" s="12">
        <f t="shared" si="50"/>
        <v>10</v>
      </c>
      <c r="B1156" s="12">
        <v>2023</v>
      </c>
      <c r="C1156" s="12">
        <v>7435</v>
      </c>
      <c r="D1156" s="12">
        <v>1060945</v>
      </c>
      <c r="E1156" s="12" t="s">
        <v>13</v>
      </c>
      <c r="F1156" s="12" t="s">
        <v>14</v>
      </c>
      <c r="G1156" s="25">
        <v>1060945</v>
      </c>
      <c r="H1156" s="12">
        <f t="shared" si="48"/>
        <v>0</v>
      </c>
      <c r="I1156" s="14">
        <v>45229</v>
      </c>
      <c r="J1156" s="12" t="s">
        <v>18</v>
      </c>
      <c r="K1156" s="12" t="s">
        <v>19</v>
      </c>
      <c r="L1156" s="12" t="s">
        <v>57</v>
      </c>
      <c r="M1156" s="12">
        <v>234.99799999999999</v>
      </c>
      <c r="N1156" s="12">
        <v>196.93</v>
      </c>
      <c r="O1156" s="12">
        <v>4</v>
      </c>
      <c r="P1156" s="12">
        <v>11.7</v>
      </c>
      <c r="Q1156" s="13">
        <f t="shared" si="49"/>
        <v>0.84117048844106501</v>
      </c>
    </row>
    <row r="1157" spans="1:17" x14ac:dyDescent="0.25">
      <c r="A1157" s="12">
        <f t="shared" si="50"/>
        <v>10</v>
      </c>
      <c r="B1157" s="12">
        <v>2023</v>
      </c>
      <c r="C1157" s="12">
        <v>7436</v>
      </c>
      <c r="D1157" s="12">
        <v>1060947</v>
      </c>
      <c r="E1157" s="12" t="s">
        <v>13</v>
      </c>
      <c r="F1157" s="12" t="s">
        <v>14</v>
      </c>
      <c r="G1157" s="25">
        <v>1060947</v>
      </c>
      <c r="H1157" s="12">
        <f t="shared" si="48"/>
        <v>0</v>
      </c>
      <c r="I1157" s="14">
        <v>45230</v>
      </c>
      <c r="J1157" s="12" t="s">
        <v>65</v>
      </c>
      <c r="K1157" s="12" t="s">
        <v>20</v>
      </c>
      <c r="L1157" s="12" t="s">
        <v>62</v>
      </c>
      <c r="M1157" s="12">
        <v>234.97800000000001</v>
      </c>
      <c r="N1157" s="12">
        <v>201.50899999999999</v>
      </c>
      <c r="O1157" s="12">
        <v>3.7</v>
      </c>
      <c r="P1157" s="12">
        <v>11.9</v>
      </c>
      <c r="Q1157" s="13">
        <f t="shared" si="49"/>
        <v>0.84921854056653157</v>
      </c>
    </row>
    <row r="1158" spans="1:17" x14ac:dyDescent="0.25">
      <c r="A1158" s="12">
        <f t="shared" si="50"/>
        <v>11</v>
      </c>
      <c r="B1158" s="12">
        <v>2023</v>
      </c>
      <c r="C1158" s="12">
        <v>7437</v>
      </c>
      <c r="D1158" s="12">
        <v>1060983</v>
      </c>
      <c r="E1158" s="12" t="s">
        <v>13</v>
      </c>
      <c r="F1158" s="12" t="s">
        <v>14</v>
      </c>
      <c r="G1158" s="25">
        <v>1060983</v>
      </c>
      <c r="H1158" s="12">
        <f t="shared" si="48"/>
        <v>0</v>
      </c>
      <c r="I1158" s="14">
        <v>45231</v>
      </c>
      <c r="J1158" s="12" t="s">
        <v>18</v>
      </c>
      <c r="K1158" s="12" t="s">
        <v>19</v>
      </c>
      <c r="L1158" s="12" t="s">
        <v>57</v>
      </c>
      <c r="M1158" s="12">
        <v>235.00299999999999</v>
      </c>
      <c r="N1158" s="12">
        <v>196.50200000000001</v>
      </c>
      <c r="O1158" s="12">
        <v>3.4</v>
      </c>
      <c r="P1158" s="12">
        <v>11.6</v>
      </c>
      <c r="Q1158" s="13">
        <f t="shared" si="49"/>
        <v>0.83800713197559129</v>
      </c>
    </row>
    <row r="1159" spans="1:17" x14ac:dyDescent="0.25">
      <c r="A1159" s="12">
        <f t="shared" si="50"/>
        <v>11</v>
      </c>
      <c r="B1159" s="12">
        <v>2023</v>
      </c>
      <c r="C1159" s="12">
        <v>7438</v>
      </c>
      <c r="D1159" s="12">
        <v>1061192</v>
      </c>
      <c r="E1159" s="12" t="s">
        <v>13</v>
      </c>
      <c r="F1159" s="12" t="s">
        <v>14</v>
      </c>
      <c r="G1159" s="25">
        <v>1061192</v>
      </c>
      <c r="H1159" s="12">
        <f t="shared" si="48"/>
        <v>0</v>
      </c>
      <c r="I1159" s="14">
        <v>45232</v>
      </c>
      <c r="J1159" s="12" t="s">
        <v>17</v>
      </c>
      <c r="K1159" s="12" t="s">
        <v>19</v>
      </c>
      <c r="L1159" s="12" t="s">
        <v>60</v>
      </c>
      <c r="M1159" s="12">
        <v>235.017</v>
      </c>
      <c r="N1159" s="12">
        <v>200.964</v>
      </c>
      <c r="O1159" s="12">
        <v>3.8</v>
      </c>
      <c r="P1159" s="12">
        <v>12.4</v>
      </c>
      <c r="Q1159" s="13">
        <f t="shared" si="49"/>
        <v>0.85756538910025615</v>
      </c>
    </row>
    <row r="1160" spans="1:17" x14ac:dyDescent="0.25">
      <c r="A1160" s="12">
        <f t="shared" si="50"/>
        <v>11</v>
      </c>
      <c r="B1160" s="12">
        <v>2023</v>
      </c>
      <c r="C1160" s="12">
        <v>7439</v>
      </c>
      <c r="D1160" s="12">
        <v>1061357</v>
      </c>
      <c r="E1160" s="12" t="s">
        <v>13</v>
      </c>
      <c r="F1160" s="12" t="s">
        <v>14</v>
      </c>
      <c r="G1160" s="25">
        <v>1061357</v>
      </c>
      <c r="H1160" s="12">
        <f t="shared" si="48"/>
        <v>0</v>
      </c>
      <c r="I1160" s="14">
        <v>45233</v>
      </c>
      <c r="J1160" s="12" t="s">
        <v>65</v>
      </c>
      <c r="K1160" s="12" t="s">
        <v>20</v>
      </c>
      <c r="L1160" s="12" t="s">
        <v>66</v>
      </c>
      <c r="M1160" s="12">
        <v>235.00200000000001</v>
      </c>
      <c r="N1160" s="12">
        <v>201.161</v>
      </c>
      <c r="O1160" s="12">
        <v>3.4</v>
      </c>
      <c r="P1160" s="12">
        <v>11.4</v>
      </c>
      <c r="Q1160" s="13">
        <f t="shared" si="49"/>
        <v>0.83616804891852459</v>
      </c>
    </row>
    <row r="1161" spans="1:17" x14ac:dyDescent="0.25">
      <c r="A1161" s="12">
        <f t="shared" si="50"/>
        <v>11</v>
      </c>
      <c r="B1161" s="12">
        <v>2023</v>
      </c>
      <c r="C1161" s="12">
        <v>7440</v>
      </c>
      <c r="D1161" s="12">
        <v>1061569</v>
      </c>
      <c r="E1161" s="12" t="s">
        <v>13</v>
      </c>
      <c r="F1161" s="12" t="s">
        <v>14</v>
      </c>
      <c r="G1161" s="25">
        <v>1061569</v>
      </c>
      <c r="H1161" s="12">
        <f t="shared" si="48"/>
        <v>0</v>
      </c>
      <c r="I1161" s="14">
        <v>45234</v>
      </c>
      <c r="J1161" s="12" t="s">
        <v>65</v>
      </c>
      <c r="K1161" s="12" t="s">
        <v>20</v>
      </c>
      <c r="L1161" s="12" t="s">
        <v>61</v>
      </c>
      <c r="M1161" s="12">
        <v>235.01499999999999</v>
      </c>
      <c r="N1161" s="12">
        <v>198.75399999999999</v>
      </c>
      <c r="O1161" s="12">
        <v>4.7</v>
      </c>
      <c r="P1161" s="12">
        <v>11.7</v>
      </c>
      <c r="Q1161" s="13">
        <f t="shared" si="49"/>
        <v>0.85510409885242344</v>
      </c>
    </row>
    <row r="1162" spans="1:17" x14ac:dyDescent="0.25">
      <c r="A1162" s="12">
        <f t="shared" si="50"/>
        <v>11</v>
      </c>
      <c r="B1162" s="12">
        <v>2023</v>
      </c>
      <c r="C1162" s="12">
        <v>7441</v>
      </c>
      <c r="D1162" s="12">
        <v>1061594</v>
      </c>
      <c r="E1162" s="12" t="s">
        <v>13</v>
      </c>
      <c r="F1162" s="12" t="s">
        <v>14</v>
      </c>
      <c r="G1162" s="25">
        <v>1061594</v>
      </c>
      <c r="H1162" s="12">
        <f t="shared" si="48"/>
        <v>0</v>
      </c>
      <c r="I1162" s="14">
        <v>45235</v>
      </c>
      <c r="J1162" s="12" t="s">
        <v>65</v>
      </c>
      <c r="K1162" s="12" t="s">
        <v>20</v>
      </c>
      <c r="L1162" s="12" t="s">
        <v>61</v>
      </c>
      <c r="M1162" s="12">
        <v>235.00700000000001</v>
      </c>
      <c r="N1162" s="12">
        <v>200.45599999999999</v>
      </c>
      <c r="O1162" s="12">
        <v>3.6</v>
      </c>
      <c r="P1162" s="12">
        <v>12.3</v>
      </c>
      <c r="Q1162" s="13">
        <f t="shared" si="49"/>
        <v>0.85599697023855115</v>
      </c>
    </row>
    <row r="1163" spans="1:17" x14ac:dyDescent="0.25">
      <c r="A1163" s="12">
        <f t="shared" si="50"/>
        <v>11</v>
      </c>
      <c r="B1163" s="12">
        <v>2023</v>
      </c>
      <c r="C1163" s="12">
        <v>7442</v>
      </c>
      <c r="D1163" s="12">
        <v>1061597</v>
      </c>
      <c r="E1163" s="12" t="s">
        <v>13</v>
      </c>
      <c r="F1163" s="12" t="s">
        <v>14</v>
      </c>
      <c r="G1163" s="25">
        <v>1061597</v>
      </c>
      <c r="H1163" s="12">
        <f t="shared" si="48"/>
        <v>0</v>
      </c>
      <c r="I1163" s="14">
        <v>45236</v>
      </c>
      <c r="J1163" s="12" t="s">
        <v>17</v>
      </c>
      <c r="K1163" s="12" t="s">
        <v>19</v>
      </c>
      <c r="L1163" s="12" t="s">
        <v>67</v>
      </c>
      <c r="M1163" s="12">
        <v>235.03299999999999</v>
      </c>
      <c r="N1163" s="12">
        <v>201.429</v>
      </c>
      <c r="O1163" s="12">
        <v>3.6</v>
      </c>
      <c r="P1163" s="12">
        <v>11.8</v>
      </c>
      <c r="Q1163" s="13">
        <f t="shared" si="49"/>
        <v>0.84570772078377976</v>
      </c>
    </row>
    <row r="1164" spans="1:17" x14ac:dyDescent="0.25">
      <c r="A1164" s="12">
        <f t="shared" si="50"/>
        <v>11</v>
      </c>
      <c r="B1164" s="12">
        <v>2023</v>
      </c>
      <c r="C1164" s="12">
        <v>7443</v>
      </c>
      <c r="D1164" s="12">
        <v>1061603</v>
      </c>
      <c r="E1164" s="12" t="s">
        <v>13</v>
      </c>
      <c r="F1164" s="12" t="s">
        <v>14</v>
      </c>
      <c r="G1164" s="25">
        <v>1061603</v>
      </c>
      <c r="H1164" s="12">
        <f t="shared" si="48"/>
        <v>0</v>
      </c>
      <c r="I1164" s="14">
        <v>45237</v>
      </c>
      <c r="J1164" s="12" t="s">
        <v>17</v>
      </c>
      <c r="K1164" s="12" t="s">
        <v>19</v>
      </c>
      <c r="L1164" s="12" t="s">
        <v>67</v>
      </c>
      <c r="M1164" s="12">
        <v>235</v>
      </c>
      <c r="N1164" s="12">
        <v>198.721</v>
      </c>
      <c r="O1164" s="12">
        <v>3.1</v>
      </c>
      <c r="P1164" s="12">
        <v>11.7</v>
      </c>
      <c r="Q1164" s="13">
        <f t="shared" si="49"/>
        <v>0.85297884743858687</v>
      </c>
    </row>
    <row r="1165" spans="1:17" x14ac:dyDescent="0.25">
      <c r="A1165" s="12">
        <f t="shared" si="50"/>
        <v>11</v>
      </c>
      <c r="B1165" s="12">
        <v>2023</v>
      </c>
      <c r="C1165" s="12">
        <v>7444</v>
      </c>
      <c r="D1165" s="12">
        <v>1061982</v>
      </c>
      <c r="E1165" s="12" t="s">
        <v>13</v>
      </c>
      <c r="F1165" s="12" t="s">
        <v>14</v>
      </c>
      <c r="G1165" s="25">
        <v>1061982</v>
      </c>
      <c r="H1165" s="12">
        <f t="shared" si="48"/>
        <v>0</v>
      </c>
      <c r="I1165" s="14">
        <v>45238</v>
      </c>
      <c r="J1165" s="12" t="s">
        <v>17</v>
      </c>
      <c r="K1165" s="12" t="s">
        <v>19</v>
      </c>
      <c r="L1165" s="12" t="s">
        <v>68</v>
      </c>
      <c r="M1165" s="12">
        <v>235.01400000000001</v>
      </c>
      <c r="N1165" s="12">
        <v>201.624</v>
      </c>
      <c r="O1165" s="12">
        <v>3.7</v>
      </c>
      <c r="P1165" s="12">
        <v>11.6</v>
      </c>
      <c r="Q1165" s="13">
        <f t="shared" si="49"/>
        <v>0.85702433275327305</v>
      </c>
    </row>
    <row r="1166" spans="1:17" x14ac:dyDescent="0.25">
      <c r="A1166" s="12">
        <f t="shared" si="50"/>
        <v>11</v>
      </c>
      <c r="B1166" s="12">
        <v>2023</v>
      </c>
      <c r="C1166" s="12">
        <v>7445</v>
      </c>
      <c r="D1166" s="12">
        <v>1062278</v>
      </c>
      <c r="E1166" s="12" t="s">
        <v>13</v>
      </c>
      <c r="F1166" s="12" t="s">
        <v>14</v>
      </c>
      <c r="G1166" s="25">
        <v>1062423</v>
      </c>
      <c r="H1166" s="12">
        <f t="shared" si="48"/>
        <v>-145</v>
      </c>
      <c r="I1166" s="14">
        <v>45239</v>
      </c>
      <c r="M1166" s="12">
        <v>235.02</v>
      </c>
      <c r="N1166" s="12">
        <v>204.386</v>
      </c>
      <c r="O1166" s="12">
        <v>4.3</v>
      </c>
      <c r="P1166" s="12">
        <v>11.5</v>
      </c>
      <c r="Q1166" s="13">
        <f t="shared" si="49"/>
        <v>0.84562127659574471</v>
      </c>
    </row>
    <row r="1167" spans="1:17" x14ac:dyDescent="0.25">
      <c r="A1167" s="12">
        <f t="shared" si="50"/>
        <v>11</v>
      </c>
      <c r="B1167" s="12">
        <v>2023</v>
      </c>
      <c r="C1167" s="12">
        <v>7446</v>
      </c>
      <c r="D1167" s="12">
        <v>1062421</v>
      </c>
      <c r="E1167" s="12" t="s">
        <v>13</v>
      </c>
      <c r="F1167" s="12" t="s">
        <v>14</v>
      </c>
      <c r="G1167" s="25"/>
      <c r="H1167" s="12">
        <f t="shared" si="48"/>
        <v>1062421</v>
      </c>
      <c r="I1167" s="14">
        <v>45240</v>
      </c>
      <c r="J1167" s="12" t="s">
        <v>65</v>
      </c>
      <c r="K1167" s="12" t="s">
        <v>20</v>
      </c>
      <c r="L1167" s="12" t="s">
        <v>56</v>
      </c>
      <c r="M1167" s="12">
        <v>235.00899999999999</v>
      </c>
      <c r="N1167" s="12">
        <v>199.577</v>
      </c>
      <c r="O1167" s="12">
        <v>4</v>
      </c>
      <c r="P1167" s="12">
        <v>11.7</v>
      </c>
      <c r="Q1167" s="13">
        <f t="shared" si="49"/>
        <v>0.85792335775741013</v>
      </c>
    </row>
    <row r="1168" spans="1:17" x14ac:dyDescent="0.25">
      <c r="A1168" s="12">
        <f t="shared" si="50"/>
        <v>11</v>
      </c>
      <c r="B1168" s="12">
        <v>2023</v>
      </c>
      <c r="C1168" s="12">
        <v>7447</v>
      </c>
      <c r="D1168" s="12">
        <v>1062423</v>
      </c>
      <c r="E1168" s="12" t="s">
        <v>13</v>
      </c>
      <c r="F1168" s="12" t="s">
        <v>14</v>
      </c>
      <c r="G1168" s="25"/>
      <c r="H1168" s="12">
        <f t="shared" si="48"/>
        <v>1062423</v>
      </c>
      <c r="I1168" s="14">
        <v>45241</v>
      </c>
      <c r="J1168" s="12" t="s">
        <v>65</v>
      </c>
      <c r="K1168" s="12" t="s">
        <v>20</v>
      </c>
      <c r="L1168" s="12" t="s">
        <v>56</v>
      </c>
      <c r="M1168" s="12">
        <v>235.00399999999999</v>
      </c>
      <c r="N1168" s="12">
        <v>200.07599999999999</v>
      </c>
      <c r="O1168" s="12">
        <v>4.3</v>
      </c>
      <c r="P1168" s="12">
        <v>11.7</v>
      </c>
      <c r="Q1168" s="13">
        <f t="shared" si="49"/>
        <v>0.86965364649817034</v>
      </c>
    </row>
    <row r="1169" spans="1:17" x14ac:dyDescent="0.25">
      <c r="A1169" s="12">
        <f t="shared" si="50"/>
        <v>11</v>
      </c>
      <c r="B1169" s="12">
        <v>2023</v>
      </c>
      <c r="C1169" s="12">
        <v>7448</v>
      </c>
      <c r="D1169" s="12">
        <v>1062579</v>
      </c>
      <c r="E1169" s="12" t="s">
        <v>13</v>
      </c>
      <c r="F1169" s="12" t="s">
        <v>14</v>
      </c>
      <c r="G1169" s="25">
        <v>1062579</v>
      </c>
      <c r="H1169" s="12">
        <f t="shared" si="48"/>
        <v>0</v>
      </c>
      <c r="I1169" s="14">
        <v>45242</v>
      </c>
      <c r="J1169" s="12" t="s">
        <v>65</v>
      </c>
      <c r="K1169" s="12" t="s">
        <v>20</v>
      </c>
      <c r="L1169" s="12" t="s">
        <v>56</v>
      </c>
      <c r="M1169" s="12">
        <v>234.96100000000001</v>
      </c>
      <c r="N1169" s="12">
        <v>210.87299999999999</v>
      </c>
      <c r="O1169" s="12">
        <v>4.5</v>
      </c>
      <c r="P1169" s="12">
        <v>11.1</v>
      </c>
      <c r="Q1169" s="13">
        <f t="shared" si="49"/>
        <v>0.84923130603508801</v>
      </c>
    </row>
    <row r="1170" spans="1:17" x14ac:dyDescent="0.25">
      <c r="A1170" s="12">
        <f t="shared" si="50"/>
        <v>11</v>
      </c>
      <c r="B1170" s="12">
        <v>2023</v>
      </c>
      <c r="C1170" s="12">
        <v>7449</v>
      </c>
      <c r="D1170" s="12">
        <v>1062718</v>
      </c>
      <c r="E1170" s="12" t="s">
        <v>13</v>
      </c>
      <c r="F1170" s="12" t="s">
        <v>14</v>
      </c>
      <c r="G1170" s="25">
        <v>1062718</v>
      </c>
      <c r="H1170" s="12">
        <f t="shared" si="48"/>
        <v>0</v>
      </c>
      <c r="I1170" s="14">
        <v>45243</v>
      </c>
      <c r="J1170" s="12" t="s">
        <v>18</v>
      </c>
      <c r="K1170" s="12" t="s">
        <v>19</v>
      </c>
      <c r="L1170" s="12" t="s">
        <v>57</v>
      </c>
      <c r="M1170" s="12">
        <v>234.96</v>
      </c>
      <c r="N1170" s="12">
        <v>189.49799999999999</v>
      </c>
      <c r="O1170" s="12">
        <v>4.2</v>
      </c>
      <c r="P1170" s="12">
        <v>10.1</v>
      </c>
      <c r="Q1170" s="13">
        <f t="shared" si="49"/>
        <v>0.85137274259161544</v>
      </c>
    </row>
    <row r="1171" spans="1:17" x14ac:dyDescent="0.25">
      <c r="A1171" s="12">
        <f t="shared" si="50"/>
        <v>11</v>
      </c>
      <c r="B1171" s="12">
        <v>2023</v>
      </c>
      <c r="C1171" s="12">
        <v>7450</v>
      </c>
      <c r="D1171" s="12">
        <v>1062719</v>
      </c>
      <c r="E1171" s="12" t="s">
        <v>13</v>
      </c>
      <c r="F1171" s="12" t="s">
        <v>14</v>
      </c>
      <c r="G1171" s="25">
        <v>1062719</v>
      </c>
      <c r="H1171" s="12">
        <f t="shared" si="48"/>
        <v>0</v>
      </c>
      <c r="I1171" s="14">
        <v>45244</v>
      </c>
      <c r="J1171" s="12" t="s">
        <v>18</v>
      </c>
      <c r="K1171" s="12" t="s">
        <v>19</v>
      </c>
      <c r="L1171" s="12" t="s">
        <v>57</v>
      </c>
      <c r="M1171" s="12">
        <v>235.02</v>
      </c>
      <c r="N1171" s="12">
        <v>200.935</v>
      </c>
      <c r="O1171" s="12">
        <v>4.3</v>
      </c>
      <c r="P1171" s="12">
        <v>12</v>
      </c>
      <c r="Q1171" s="13">
        <f t="shared" si="49"/>
        <v>0.89748085852545734</v>
      </c>
    </row>
    <row r="1172" spans="1:17" x14ac:dyDescent="0.25">
      <c r="A1172" s="12">
        <f t="shared" si="50"/>
        <v>11</v>
      </c>
      <c r="B1172" s="12">
        <v>2023</v>
      </c>
      <c r="C1172" s="12">
        <v>7451</v>
      </c>
      <c r="D1172" s="12">
        <v>1062748</v>
      </c>
      <c r="E1172" s="12" t="s">
        <v>13</v>
      </c>
      <c r="F1172" s="12" t="s">
        <v>14</v>
      </c>
      <c r="G1172" s="25">
        <v>1062748</v>
      </c>
      <c r="H1172" s="12">
        <f t="shared" si="48"/>
        <v>0</v>
      </c>
      <c r="I1172" s="14">
        <v>45245</v>
      </c>
      <c r="J1172" s="12" t="s">
        <v>18</v>
      </c>
      <c r="K1172" s="12" t="s">
        <v>19</v>
      </c>
      <c r="L1172" s="12" t="s">
        <v>57</v>
      </c>
      <c r="M1172" s="12">
        <v>235</v>
      </c>
      <c r="N1172" s="12">
        <v>199.47800000000001</v>
      </c>
      <c r="O1172" s="12">
        <v>3.5</v>
      </c>
      <c r="P1172" s="12">
        <v>12</v>
      </c>
      <c r="Q1172" s="13">
        <f t="shared" si="49"/>
        <v>0.80651174668028591</v>
      </c>
    </row>
    <row r="1173" spans="1:17" x14ac:dyDescent="0.25">
      <c r="A1173" s="12">
        <f t="shared" si="50"/>
        <v>11</v>
      </c>
      <c r="B1173" s="12">
        <v>2023</v>
      </c>
      <c r="C1173" s="12">
        <v>7452</v>
      </c>
      <c r="D1173" s="12">
        <v>1062959</v>
      </c>
      <c r="E1173" s="12" t="s">
        <v>13</v>
      </c>
      <c r="F1173" s="12" t="s">
        <v>14</v>
      </c>
      <c r="G1173" s="25">
        <v>1062959</v>
      </c>
      <c r="H1173" s="12">
        <f t="shared" si="48"/>
        <v>0</v>
      </c>
      <c r="I1173" s="14">
        <v>45246</v>
      </c>
      <c r="J1173" s="12" t="s">
        <v>18</v>
      </c>
      <c r="K1173" s="12" t="s">
        <v>19</v>
      </c>
      <c r="L1173" s="12" t="s">
        <v>57</v>
      </c>
      <c r="M1173" s="12">
        <v>235.005</v>
      </c>
      <c r="N1173" s="12">
        <v>201.078</v>
      </c>
      <c r="O1173" s="12">
        <v>5.7</v>
      </c>
      <c r="P1173" s="12">
        <v>12</v>
      </c>
      <c r="Q1173" s="13">
        <f t="shared" si="49"/>
        <v>0.85496978980512295</v>
      </c>
    </row>
    <row r="1174" spans="1:17" x14ac:dyDescent="0.25">
      <c r="A1174" s="12">
        <f t="shared" si="50"/>
        <v>11</v>
      </c>
      <c r="B1174" s="12">
        <v>2023</v>
      </c>
      <c r="C1174" s="12">
        <v>7453</v>
      </c>
      <c r="D1174" s="12">
        <v>1063136</v>
      </c>
      <c r="E1174" s="12" t="s">
        <v>13</v>
      </c>
      <c r="F1174" s="12" t="s">
        <v>14</v>
      </c>
      <c r="G1174" s="25">
        <v>1063136</v>
      </c>
      <c r="H1174" s="12">
        <f t="shared" si="48"/>
        <v>0</v>
      </c>
      <c r="I1174" s="14">
        <v>45247</v>
      </c>
      <c r="J1174" s="12" t="s">
        <v>18</v>
      </c>
      <c r="K1174" s="12" t="s">
        <v>19</v>
      </c>
      <c r="L1174" s="12" t="s">
        <v>57</v>
      </c>
      <c r="M1174" s="12">
        <v>235.053</v>
      </c>
      <c r="N1174" s="12">
        <v>200.93100000000001</v>
      </c>
      <c r="O1174" s="12">
        <v>3.5</v>
      </c>
      <c r="P1174" s="12">
        <v>11.8</v>
      </c>
      <c r="Q1174" s="13">
        <f t="shared" si="49"/>
        <v>0.84884255319148938</v>
      </c>
    </row>
    <row r="1175" spans="1:17" x14ac:dyDescent="0.25">
      <c r="A1175" s="12">
        <f t="shared" si="50"/>
        <v>11</v>
      </c>
      <c r="B1175" s="12">
        <v>2023</v>
      </c>
      <c r="C1175" s="12">
        <v>7454</v>
      </c>
      <c r="D1175" s="12">
        <v>1063287</v>
      </c>
      <c r="E1175" s="12" t="s">
        <v>13</v>
      </c>
      <c r="F1175" s="12" t="s">
        <v>14</v>
      </c>
      <c r="G1175" s="25">
        <v>1063287</v>
      </c>
      <c r="H1175" s="12">
        <f t="shared" si="48"/>
        <v>0</v>
      </c>
      <c r="I1175" s="14">
        <v>45248</v>
      </c>
      <c r="J1175" s="12" t="s">
        <v>52</v>
      </c>
      <c r="K1175" s="12" t="s">
        <v>20</v>
      </c>
      <c r="L1175" s="12" t="s">
        <v>53</v>
      </c>
      <c r="M1175" s="12">
        <v>235.02799999999999</v>
      </c>
      <c r="N1175" s="12">
        <v>201.15199999999999</v>
      </c>
      <c r="O1175" s="12">
        <v>4.0999999999999996</v>
      </c>
      <c r="P1175" s="12">
        <v>11.9</v>
      </c>
      <c r="Q1175" s="13">
        <f t="shared" si="49"/>
        <v>0.85563285887534313</v>
      </c>
    </row>
    <row r="1176" spans="1:17" x14ac:dyDescent="0.25">
      <c r="A1176" s="12">
        <f t="shared" si="50"/>
        <v>11</v>
      </c>
      <c r="B1176" s="12">
        <v>2023</v>
      </c>
      <c r="C1176" s="12">
        <v>7455</v>
      </c>
      <c r="D1176" s="12">
        <v>1063440</v>
      </c>
      <c r="E1176" s="12" t="s">
        <v>13</v>
      </c>
      <c r="F1176" s="12" t="s">
        <v>14</v>
      </c>
      <c r="G1176" s="25">
        <v>1063440</v>
      </c>
      <c r="H1176" s="12">
        <f t="shared" si="48"/>
        <v>0</v>
      </c>
      <c r="I1176" s="14">
        <v>45249</v>
      </c>
      <c r="J1176" s="12" t="s">
        <v>52</v>
      </c>
      <c r="K1176" s="12" t="s">
        <v>20</v>
      </c>
      <c r="L1176" s="12" t="s">
        <v>53</v>
      </c>
      <c r="M1176" s="12">
        <v>235.011</v>
      </c>
      <c r="N1176" s="12">
        <v>196.98599999999999</v>
      </c>
      <c r="O1176" s="12">
        <v>4.5</v>
      </c>
      <c r="P1176" s="12">
        <v>11.7</v>
      </c>
      <c r="Q1176" s="13">
        <f t="shared" si="49"/>
        <v>0.8548327398501615</v>
      </c>
    </row>
    <row r="1177" spans="1:17" x14ac:dyDescent="0.25">
      <c r="A1177" s="12">
        <f t="shared" si="50"/>
        <v>11</v>
      </c>
      <c r="B1177" s="12">
        <v>2023</v>
      </c>
      <c r="C1177" s="12">
        <v>7456</v>
      </c>
      <c r="D1177" s="12">
        <v>1063611</v>
      </c>
      <c r="E1177" s="12" t="s">
        <v>13</v>
      </c>
      <c r="F1177" s="12" t="s">
        <v>14</v>
      </c>
      <c r="G1177" s="25">
        <v>1063611</v>
      </c>
      <c r="H1177" s="12">
        <f t="shared" si="48"/>
        <v>0</v>
      </c>
      <c r="I1177" s="14">
        <v>45250</v>
      </c>
      <c r="J1177" s="12" t="s">
        <v>17</v>
      </c>
      <c r="K1177" s="12" t="s">
        <v>19</v>
      </c>
      <c r="L1177" s="12" t="s">
        <v>69</v>
      </c>
      <c r="M1177" s="12">
        <v>234.995</v>
      </c>
      <c r="N1177" s="12">
        <v>201.79499999999999</v>
      </c>
      <c r="O1177" s="12">
        <v>5.0999999999999996</v>
      </c>
      <c r="P1177" s="12">
        <v>11.4</v>
      </c>
      <c r="Q1177" s="13">
        <f t="shared" si="49"/>
        <v>0.85586398216382731</v>
      </c>
    </row>
    <row r="1178" spans="1:17" x14ac:dyDescent="0.25">
      <c r="A1178" s="12">
        <f t="shared" si="50"/>
        <v>11</v>
      </c>
      <c r="B1178" s="12">
        <v>2023</v>
      </c>
      <c r="C1178" s="12">
        <v>7457</v>
      </c>
      <c r="D1178" s="20">
        <v>1063612</v>
      </c>
      <c r="E1178" s="12" t="s">
        <v>13</v>
      </c>
      <c r="F1178" s="12" t="s">
        <v>14</v>
      </c>
      <c r="G1178" s="25"/>
      <c r="H1178" s="12">
        <f t="shared" si="48"/>
        <v>1063612</v>
      </c>
      <c r="I1178" s="14">
        <v>45251</v>
      </c>
      <c r="J1178" s="12" t="s">
        <v>18</v>
      </c>
      <c r="K1178" s="12" t="s">
        <v>19</v>
      </c>
      <c r="L1178" s="12" t="s">
        <v>57</v>
      </c>
      <c r="M1178" s="12">
        <v>235.001</v>
      </c>
      <c r="N1178" s="12">
        <v>201.89500000000001</v>
      </c>
      <c r="P1178" s="12">
        <v>11.6</v>
      </c>
      <c r="Q1178" s="13">
        <f t="shared" si="49"/>
        <v>0.83819906302258185</v>
      </c>
    </row>
    <row r="1179" spans="1:17" x14ac:dyDescent="0.25">
      <c r="A1179" s="12">
        <f t="shared" si="50"/>
        <v>11</v>
      </c>
      <c r="B1179" s="12">
        <v>2023</v>
      </c>
      <c r="C1179" s="12">
        <v>7458</v>
      </c>
      <c r="D1179" s="12">
        <v>1063651</v>
      </c>
      <c r="E1179" s="12" t="s">
        <v>13</v>
      </c>
      <c r="F1179" s="12" t="s">
        <v>14</v>
      </c>
      <c r="G1179" s="25">
        <v>1063651</v>
      </c>
      <c r="H1179" s="12">
        <f t="shared" si="48"/>
        <v>0</v>
      </c>
      <c r="I1179" s="14">
        <v>45252</v>
      </c>
      <c r="J1179" s="12" t="s">
        <v>18</v>
      </c>
      <c r="K1179" s="12" t="s">
        <v>19</v>
      </c>
      <c r="L1179" s="12" t="s">
        <v>57</v>
      </c>
      <c r="M1179" s="12">
        <v>235.005</v>
      </c>
      <c r="N1179" s="12">
        <v>198.63800000000001</v>
      </c>
      <c r="O1179" s="12">
        <v>4</v>
      </c>
      <c r="P1179" s="12">
        <v>11.9</v>
      </c>
      <c r="Q1179" s="13">
        <f t="shared" si="49"/>
        <v>0.85872039830634683</v>
      </c>
    </row>
    <row r="1180" spans="1:17" x14ac:dyDescent="0.25">
      <c r="A1180" s="12">
        <f t="shared" si="50"/>
        <v>11</v>
      </c>
      <c r="B1180" s="12">
        <v>2023</v>
      </c>
      <c r="C1180" s="12">
        <v>7459</v>
      </c>
      <c r="D1180" s="12">
        <v>1063903</v>
      </c>
      <c r="E1180" s="12" t="s">
        <v>13</v>
      </c>
      <c r="F1180" s="12" t="s">
        <v>14</v>
      </c>
      <c r="G1180" s="25">
        <v>1063903</v>
      </c>
      <c r="H1180" s="12">
        <f t="shared" si="48"/>
        <v>0</v>
      </c>
      <c r="I1180" s="14">
        <v>45253</v>
      </c>
      <c r="J1180" s="12" t="s">
        <v>18</v>
      </c>
      <c r="K1180" s="12" t="s">
        <v>19</v>
      </c>
      <c r="L1180" s="12" t="s">
        <v>57</v>
      </c>
      <c r="M1180" s="12">
        <v>235.06100000000001</v>
      </c>
      <c r="N1180" s="12">
        <v>200.495</v>
      </c>
      <c r="O1180" s="12">
        <v>3.5</v>
      </c>
      <c r="P1180" s="12">
        <v>12.1</v>
      </c>
      <c r="Q1180" s="13">
        <f t="shared" si="49"/>
        <v>0.85912400372764375</v>
      </c>
    </row>
    <row r="1181" spans="1:17" x14ac:dyDescent="0.25">
      <c r="A1181" s="12">
        <f t="shared" si="50"/>
        <v>11</v>
      </c>
      <c r="B1181" s="12">
        <v>2023</v>
      </c>
      <c r="C1181" s="12">
        <v>7460</v>
      </c>
      <c r="D1181" s="12">
        <v>1064143</v>
      </c>
      <c r="E1181" s="12" t="s">
        <v>13</v>
      </c>
      <c r="F1181" s="12" t="s">
        <v>14</v>
      </c>
      <c r="G1181" s="25">
        <v>1064143</v>
      </c>
      <c r="H1181" s="12">
        <f t="shared" si="48"/>
        <v>0</v>
      </c>
      <c r="I1181" s="14">
        <v>45254</v>
      </c>
      <c r="J1181" s="12" t="s">
        <v>18</v>
      </c>
      <c r="K1181" s="12" t="s">
        <v>19</v>
      </c>
      <c r="L1181" s="12" t="s">
        <v>57</v>
      </c>
      <c r="M1181" s="12">
        <v>234.99700000000001</v>
      </c>
      <c r="N1181" s="12">
        <v>203.67599999999999</v>
      </c>
      <c r="O1181" s="12">
        <v>4.2</v>
      </c>
      <c r="P1181" s="12">
        <v>12.2</v>
      </c>
      <c r="Q1181" s="13">
        <f t="shared" si="49"/>
        <v>0.84525010106167953</v>
      </c>
    </row>
    <row r="1182" spans="1:17" x14ac:dyDescent="0.25">
      <c r="A1182" s="12">
        <f t="shared" si="50"/>
        <v>11</v>
      </c>
      <c r="B1182" s="12">
        <v>2023</v>
      </c>
      <c r="C1182" s="12">
        <v>7461</v>
      </c>
      <c r="D1182" s="12">
        <v>1064289</v>
      </c>
      <c r="E1182" s="12" t="s">
        <v>13</v>
      </c>
      <c r="F1182" s="12" t="s">
        <v>14</v>
      </c>
      <c r="G1182" s="25">
        <v>1064289</v>
      </c>
      <c r="H1182" s="12">
        <f t="shared" si="48"/>
        <v>0</v>
      </c>
      <c r="I1182" s="14">
        <v>45255</v>
      </c>
      <c r="J1182" s="12" t="s">
        <v>18</v>
      </c>
      <c r="K1182" s="12" t="s">
        <v>19</v>
      </c>
      <c r="L1182" s="12" t="s">
        <v>57</v>
      </c>
      <c r="M1182" s="12">
        <v>235.05</v>
      </c>
      <c r="N1182" s="12">
        <v>201.46799999999999</v>
      </c>
      <c r="O1182" s="12">
        <v>3.6</v>
      </c>
      <c r="P1182" s="12">
        <v>12.3</v>
      </c>
      <c r="Q1182" s="13">
        <f t="shared" si="49"/>
        <v>0.85294880903254899</v>
      </c>
    </row>
    <row r="1183" spans="1:17" x14ac:dyDescent="0.25">
      <c r="A1183" s="12">
        <f t="shared" si="50"/>
        <v>11</v>
      </c>
      <c r="B1183" s="12">
        <v>2023</v>
      </c>
      <c r="C1183" s="12">
        <v>7462</v>
      </c>
      <c r="D1183" s="12">
        <v>1064290</v>
      </c>
      <c r="E1183" s="12" t="s">
        <v>13</v>
      </c>
      <c r="F1183" s="12" t="s">
        <v>14</v>
      </c>
      <c r="G1183" s="25">
        <v>1064290</v>
      </c>
      <c r="H1183" s="12">
        <f t="shared" si="48"/>
        <v>0</v>
      </c>
      <c r="I1183" s="14">
        <v>45256</v>
      </c>
      <c r="J1183" s="12" t="s">
        <v>46</v>
      </c>
      <c r="K1183" s="12" t="s">
        <v>70</v>
      </c>
      <c r="L1183" s="12" t="s">
        <v>71</v>
      </c>
      <c r="M1183" s="12">
        <v>235.035</v>
      </c>
      <c r="N1183" s="12">
        <v>201.66200000000001</v>
      </c>
      <c r="O1183" s="12">
        <v>3.8</v>
      </c>
      <c r="P1183" s="12">
        <v>12.1</v>
      </c>
      <c r="Q1183" s="13">
        <f t="shared" si="49"/>
        <v>0.86671744745677592</v>
      </c>
    </row>
    <row r="1184" spans="1:17" x14ac:dyDescent="0.25">
      <c r="A1184" s="12">
        <f t="shared" si="50"/>
        <v>11</v>
      </c>
      <c r="B1184" s="12">
        <v>2023</v>
      </c>
      <c r="C1184" s="12">
        <v>7463</v>
      </c>
      <c r="D1184" s="20">
        <v>1064535</v>
      </c>
      <c r="E1184" s="12" t="s">
        <v>13</v>
      </c>
      <c r="F1184" s="12" t="s">
        <v>14</v>
      </c>
      <c r="G1184" s="25"/>
      <c r="H1184" s="12">
        <f t="shared" si="48"/>
        <v>1064535</v>
      </c>
      <c r="I1184" s="14">
        <v>45257</v>
      </c>
      <c r="J1184" s="12" t="s">
        <v>64</v>
      </c>
      <c r="K1184" s="12" t="s">
        <v>20</v>
      </c>
      <c r="L1184" s="12" t="s">
        <v>62</v>
      </c>
      <c r="M1184" s="12">
        <v>235</v>
      </c>
      <c r="N1184" s="12">
        <v>201.41399999999999</v>
      </c>
      <c r="P1184" s="12">
        <v>12.8</v>
      </c>
      <c r="Q1184" s="13">
        <f t="shared" si="49"/>
        <v>0.85712827058072738</v>
      </c>
    </row>
    <row r="1185" spans="1:17" x14ac:dyDescent="0.25">
      <c r="A1185" s="12">
        <f t="shared" si="50"/>
        <v>11</v>
      </c>
      <c r="B1185" s="12">
        <v>2023</v>
      </c>
      <c r="C1185" s="12">
        <v>7464</v>
      </c>
      <c r="D1185" s="12">
        <v>1064551</v>
      </c>
      <c r="E1185" s="12" t="s">
        <v>13</v>
      </c>
      <c r="F1185" s="12" t="s">
        <v>14</v>
      </c>
      <c r="G1185" s="25">
        <v>1064551</v>
      </c>
      <c r="H1185" s="12">
        <f t="shared" si="48"/>
        <v>0</v>
      </c>
      <c r="I1185" s="14">
        <v>45258</v>
      </c>
      <c r="J1185" s="12" t="s">
        <v>64</v>
      </c>
      <c r="K1185" s="12" t="s">
        <v>20</v>
      </c>
      <c r="L1185" s="12" t="s">
        <v>62</v>
      </c>
      <c r="M1185" s="12">
        <v>235.07300000000001</v>
      </c>
      <c r="N1185" s="12">
        <v>198.46100000000001</v>
      </c>
      <c r="O1185" s="12">
        <v>4.7</v>
      </c>
      <c r="Q1185" s="13">
        <f t="shared" si="49"/>
        <v>0.85800838173038063</v>
      </c>
    </row>
    <row r="1186" spans="1:17" x14ac:dyDescent="0.25">
      <c r="A1186" s="12">
        <f t="shared" si="50"/>
        <v>11</v>
      </c>
      <c r="B1186" s="12">
        <v>2023</v>
      </c>
      <c r="C1186" s="12">
        <v>7465</v>
      </c>
      <c r="D1186" s="12">
        <v>1064621</v>
      </c>
      <c r="E1186" s="12" t="s">
        <v>13</v>
      </c>
      <c r="F1186" s="12" t="s">
        <v>14</v>
      </c>
      <c r="G1186" s="25">
        <v>1064621</v>
      </c>
      <c r="H1186" s="12">
        <f t="shared" ref="H1186:H1249" si="51">D1186-G1186</f>
        <v>0</v>
      </c>
      <c r="I1186" s="14">
        <v>45258</v>
      </c>
      <c r="J1186" s="12" t="s">
        <v>64</v>
      </c>
      <c r="K1186" s="12" t="s">
        <v>20</v>
      </c>
      <c r="L1186" s="12" t="s">
        <v>62</v>
      </c>
      <c r="M1186" s="12">
        <v>235.07300000000001</v>
      </c>
      <c r="N1186" s="12">
        <v>199.63</v>
      </c>
      <c r="O1186" s="12">
        <v>3.9</v>
      </c>
      <c r="Q1186" s="13">
        <f t="shared" si="49"/>
        <v>0.8570808510638297</v>
      </c>
    </row>
    <row r="1187" spans="1:17" x14ac:dyDescent="0.25">
      <c r="A1187" s="12">
        <f t="shared" si="50"/>
        <v>11</v>
      </c>
      <c r="B1187" s="12">
        <v>2023</v>
      </c>
      <c r="C1187" s="12">
        <v>7466</v>
      </c>
      <c r="D1187" s="12">
        <v>1064953</v>
      </c>
      <c r="E1187" s="12" t="s">
        <v>13</v>
      </c>
      <c r="F1187" s="12" t="s">
        <v>14</v>
      </c>
      <c r="G1187" s="25">
        <v>1064953</v>
      </c>
      <c r="H1187" s="12">
        <f t="shared" si="51"/>
        <v>0</v>
      </c>
      <c r="I1187" s="14">
        <v>45259</v>
      </c>
      <c r="J1187" s="12" t="s">
        <v>18</v>
      </c>
      <c r="K1187" s="12" t="s">
        <v>20</v>
      </c>
      <c r="L1187" s="12" t="s">
        <v>62</v>
      </c>
      <c r="M1187" s="12">
        <v>235.01</v>
      </c>
      <c r="N1187" s="12">
        <v>205.61099999999999</v>
      </c>
      <c r="O1187" s="12">
        <v>5.0999999999999996</v>
      </c>
      <c r="P1187" s="12">
        <v>12</v>
      </c>
      <c r="Q1187" s="13">
        <f t="shared" si="49"/>
        <v>0.84425263641507109</v>
      </c>
    </row>
    <row r="1188" spans="1:17" x14ac:dyDescent="0.25">
      <c r="A1188" s="12">
        <f t="shared" si="50"/>
        <v>11</v>
      </c>
      <c r="B1188" s="12">
        <v>2023</v>
      </c>
      <c r="C1188" s="12">
        <v>7467</v>
      </c>
      <c r="D1188" s="12">
        <v>1065054</v>
      </c>
      <c r="E1188" s="12" t="s">
        <v>13</v>
      </c>
      <c r="F1188" s="12" t="s">
        <v>14</v>
      </c>
      <c r="G1188" s="25">
        <v>1065054</v>
      </c>
      <c r="H1188" s="12">
        <f t="shared" si="51"/>
        <v>0</v>
      </c>
      <c r="I1188" s="14">
        <v>45260</v>
      </c>
      <c r="J1188" s="12" t="s">
        <v>18</v>
      </c>
      <c r="K1188" s="12" t="s">
        <v>20</v>
      </c>
      <c r="L1188" s="12" t="s">
        <v>62</v>
      </c>
      <c r="M1188" s="12">
        <v>235.012</v>
      </c>
      <c r="N1188" s="12">
        <v>196.89</v>
      </c>
      <c r="O1188" s="12">
        <v>3.6</v>
      </c>
      <c r="P1188" s="12">
        <v>12.1</v>
      </c>
      <c r="Q1188" s="13">
        <f t="shared" si="49"/>
        <v>0.84922555971974656</v>
      </c>
    </row>
    <row r="1189" spans="1:17" x14ac:dyDescent="0.25">
      <c r="A1189" s="12">
        <f t="shared" si="50"/>
        <v>12</v>
      </c>
      <c r="B1189" s="12">
        <v>2023</v>
      </c>
      <c r="C1189" s="12">
        <v>7468</v>
      </c>
      <c r="D1189" s="12">
        <v>1065221</v>
      </c>
      <c r="E1189" s="12" t="s">
        <v>13</v>
      </c>
      <c r="F1189" s="12" t="s">
        <v>14</v>
      </c>
      <c r="G1189" s="25">
        <v>1065221</v>
      </c>
      <c r="H1189" s="12">
        <f t="shared" si="51"/>
        <v>0</v>
      </c>
      <c r="I1189" s="14">
        <v>45261</v>
      </c>
      <c r="J1189" s="12" t="s">
        <v>18</v>
      </c>
      <c r="K1189" s="12" t="s">
        <v>20</v>
      </c>
      <c r="L1189" s="12" t="s">
        <v>62</v>
      </c>
      <c r="M1189" s="12">
        <v>235.02699999999999</v>
      </c>
      <c r="N1189" s="12">
        <v>200.88</v>
      </c>
      <c r="O1189" s="12">
        <v>4.8</v>
      </c>
      <c r="P1189" s="12">
        <v>12.2</v>
      </c>
      <c r="Q1189" s="13">
        <f t="shared" si="49"/>
        <v>0.87490319560869745</v>
      </c>
    </row>
    <row r="1190" spans="1:17" x14ac:dyDescent="0.25">
      <c r="A1190" s="12">
        <f t="shared" si="50"/>
        <v>12</v>
      </c>
      <c r="B1190" s="12">
        <v>2023</v>
      </c>
      <c r="C1190" s="12">
        <v>7469</v>
      </c>
      <c r="D1190" s="12">
        <v>1065222</v>
      </c>
      <c r="E1190" s="12" t="s">
        <v>13</v>
      </c>
      <c r="F1190" s="12" t="s">
        <v>14</v>
      </c>
      <c r="G1190" s="25">
        <v>1065222</v>
      </c>
      <c r="H1190" s="12">
        <f t="shared" si="51"/>
        <v>0</v>
      </c>
      <c r="I1190" s="14">
        <v>45262</v>
      </c>
      <c r="J1190" s="12" t="s">
        <v>18</v>
      </c>
      <c r="K1190" s="12" t="s">
        <v>19</v>
      </c>
      <c r="L1190" s="12" t="s">
        <v>57</v>
      </c>
      <c r="M1190" s="12">
        <v>234.99799999999999</v>
      </c>
      <c r="N1190" s="12">
        <v>202.80199999999999</v>
      </c>
      <c r="O1190" s="12">
        <v>3.3</v>
      </c>
      <c r="P1190" s="12">
        <v>11.9</v>
      </c>
      <c r="Q1190" s="13">
        <f t="shared" si="49"/>
        <v>0.83778700662093841</v>
      </c>
    </row>
    <row r="1191" spans="1:17" x14ac:dyDescent="0.25">
      <c r="A1191" s="12">
        <f t="shared" si="50"/>
        <v>12</v>
      </c>
      <c r="B1191" s="12">
        <v>2023</v>
      </c>
      <c r="C1191" s="12">
        <v>7470</v>
      </c>
      <c r="D1191" s="12">
        <v>1065223</v>
      </c>
      <c r="E1191" s="12" t="s">
        <v>13</v>
      </c>
      <c r="F1191" s="12" t="s">
        <v>14</v>
      </c>
      <c r="G1191" s="25">
        <v>1065223</v>
      </c>
      <c r="H1191" s="12">
        <f t="shared" si="51"/>
        <v>0</v>
      </c>
      <c r="I1191" s="14">
        <v>45263</v>
      </c>
      <c r="J1191" s="12" t="s">
        <v>18</v>
      </c>
      <c r="K1191" s="12" t="s">
        <v>19</v>
      </c>
      <c r="L1191" s="12" t="s">
        <v>57</v>
      </c>
      <c r="M1191" s="12">
        <v>235.00299999999999</v>
      </c>
      <c r="N1191" s="12">
        <v>200.80500000000001</v>
      </c>
      <c r="O1191" s="12">
        <v>4.3</v>
      </c>
      <c r="P1191" s="12">
        <v>11.9</v>
      </c>
      <c r="Q1191" s="13">
        <f t="shared" si="49"/>
        <v>0.85471030987929053</v>
      </c>
    </row>
    <row r="1192" spans="1:17" x14ac:dyDescent="0.25">
      <c r="A1192" s="12">
        <f t="shared" si="50"/>
        <v>12</v>
      </c>
      <c r="B1192" s="12">
        <v>2023</v>
      </c>
      <c r="C1192" s="12">
        <v>7471</v>
      </c>
      <c r="D1192" s="12">
        <v>1065368</v>
      </c>
      <c r="E1192" s="12" t="s">
        <v>13</v>
      </c>
      <c r="F1192" s="12" t="s">
        <v>14</v>
      </c>
      <c r="G1192" s="25">
        <v>1065368</v>
      </c>
      <c r="H1192" s="12">
        <f t="shared" si="51"/>
        <v>0</v>
      </c>
      <c r="I1192" s="14">
        <v>45264</v>
      </c>
      <c r="J1192" s="12" t="s">
        <v>18</v>
      </c>
      <c r="K1192" s="12" t="s">
        <v>19</v>
      </c>
      <c r="L1192" s="12" t="s">
        <v>57</v>
      </c>
      <c r="M1192" s="12">
        <v>235.01499999999999</v>
      </c>
      <c r="N1192" s="12">
        <v>204.744</v>
      </c>
      <c r="O1192" s="12">
        <v>3.6</v>
      </c>
      <c r="P1192" s="12">
        <v>12</v>
      </c>
      <c r="Q1192" s="13">
        <f t="shared" si="49"/>
        <v>0.86299457867726537</v>
      </c>
    </row>
    <row r="1193" spans="1:17" x14ac:dyDescent="0.25">
      <c r="A1193" s="12">
        <f t="shared" si="50"/>
        <v>12</v>
      </c>
      <c r="B1193" s="12">
        <v>2023</v>
      </c>
      <c r="C1193" s="12">
        <v>7472</v>
      </c>
      <c r="D1193" s="12">
        <v>1065509</v>
      </c>
      <c r="E1193" s="12" t="s">
        <v>13</v>
      </c>
      <c r="F1193" s="12" t="s">
        <v>14</v>
      </c>
      <c r="G1193" s="25">
        <v>1065509</v>
      </c>
      <c r="H1193" s="12">
        <f t="shared" si="51"/>
        <v>0</v>
      </c>
      <c r="I1193" s="14">
        <v>45265</v>
      </c>
      <c r="J1193" s="12" t="s">
        <v>18</v>
      </c>
      <c r="K1193" s="12" t="s">
        <v>19</v>
      </c>
      <c r="L1193" s="12" t="s">
        <v>57</v>
      </c>
      <c r="M1193" s="12">
        <v>234.797</v>
      </c>
      <c r="N1193" s="12">
        <v>201.32</v>
      </c>
      <c r="O1193" s="12">
        <v>4.4000000000000004</v>
      </c>
      <c r="P1193" s="12">
        <v>11.8</v>
      </c>
      <c r="Q1193" s="13">
        <f t="shared" si="49"/>
        <v>0.8544784534665516</v>
      </c>
    </row>
    <row r="1194" spans="1:17" x14ac:dyDescent="0.25">
      <c r="A1194" s="12">
        <f t="shared" si="50"/>
        <v>12</v>
      </c>
      <c r="B1194" s="12">
        <v>2023</v>
      </c>
      <c r="C1194" s="12">
        <v>7473</v>
      </c>
      <c r="D1194" s="12">
        <v>1065754</v>
      </c>
      <c r="E1194" s="12" t="s">
        <v>13</v>
      </c>
      <c r="F1194" s="12" t="s">
        <v>14</v>
      </c>
      <c r="G1194" s="25">
        <v>1065754</v>
      </c>
      <c r="H1194" s="12">
        <f t="shared" si="51"/>
        <v>0</v>
      </c>
      <c r="I1194" s="14">
        <v>45266</v>
      </c>
      <c r="J1194" s="12" t="s">
        <v>18</v>
      </c>
      <c r="K1194" s="12" t="s">
        <v>19</v>
      </c>
      <c r="L1194" s="12" t="s">
        <v>57</v>
      </c>
      <c r="M1194" s="12">
        <v>235.00899999999999</v>
      </c>
      <c r="N1194" s="12">
        <v>203.916</v>
      </c>
      <c r="O1194" s="12">
        <v>3.6</v>
      </c>
      <c r="P1194" s="12">
        <v>11.6</v>
      </c>
      <c r="Q1194" s="13">
        <f t="shared" si="49"/>
        <v>0.87119545560921652</v>
      </c>
    </row>
    <row r="1195" spans="1:17" x14ac:dyDescent="0.25">
      <c r="A1195" s="12">
        <f t="shared" si="50"/>
        <v>12</v>
      </c>
      <c r="B1195" s="12">
        <v>2023</v>
      </c>
      <c r="C1195" s="12">
        <v>7474</v>
      </c>
      <c r="D1195" s="12">
        <v>1065925</v>
      </c>
      <c r="E1195" s="12" t="s">
        <v>13</v>
      </c>
      <c r="F1195" s="12" t="s">
        <v>14</v>
      </c>
      <c r="G1195" s="25">
        <v>1065925</v>
      </c>
      <c r="H1195" s="12">
        <f t="shared" si="51"/>
        <v>0</v>
      </c>
      <c r="I1195" s="14">
        <v>45267</v>
      </c>
      <c r="J1195" s="12" t="s">
        <v>18</v>
      </c>
      <c r="K1195" s="12" t="s">
        <v>20</v>
      </c>
      <c r="L1195" s="12" t="s">
        <v>61</v>
      </c>
      <c r="M1195" s="12">
        <v>235.00200000000001</v>
      </c>
      <c r="N1195" s="12">
        <v>202.03899999999999</v>
      </c>
      <c r="O1195" s="12">
        <v>4.2</v>
      </c>
      <c r="P1195" s="12">
        <v>11.8</v>
      </c>
      <c r="Q1195" s="13">
        <f t="shared" ref="Q1195:Q1258" si="52">N1193/M1193</f>
        <v>0.85742151731069816</v>
      </c>
    </row>
    <row r="1196" spans="1:17" x14ac:dyDescent="0.25">
      <c r="A1196" s="12">
        <f t="shared" si="50"/>
        <v>12</v>
      </c>
      <c r="B1196" s="12">
        <v>2023</v>
      </c>
      <c r="C1196" s="12">
        <v>7475</v>
      </c>
      <c r="D1196" s="12">
        <v>1066111</v>
      </c>
      <c r="E1196" s="12" t="s">
        <v>13</v>
      </c>
      <c r="F1196" s="12" t="s">
        <v>14</v>
      </c>
      <c r="G1196" s="25">
        <v>1066111</v>
      </c>
      <c r="H1196" s="12">
        <f t="shared" si="51"/>
        <v>0</v>
      </c>
      <c r="I1196" s="14">
        <v>45268</v>
      </c>
      <c r="J1196" s="12" t="s">
        <v>18</v>
      </c>
      <c r="K1196" s="12" t="s">
        <v>20</v>
      </c>
      <c r="L1196" s="12" t="s">
        <v>61</v>
      </c>
      <c r="M1196" s="12">
        <v>235.00200000000001</v>
      </c>
      <c r="N1196" s="12">
        <v>208.524</v>
      </c>
      <c r="O1196" s="12">
        <v>3.9</v>
      </c>
      <c r="P1196" s="12">
        <v>12.7</v>
      </c>
      <c r="Q1196" s="13">
        <f t="shared" si="52"/>
        <v>0.86769442872400637</v>
      </c>
    </row>
    <row r="1197" spans="1:17" x14ac:dyDescent="0.25">
      <c r="A1197" s="12">
        <f t="shared" si="50"/>
        <v>12</v>
      </c>
      <c r="B1197" s="12">
        <v>2023</v>
      </c>
      <c r="C1197" s="12">
        <v>7476</v>
      </c>
      <c r="D1197" s="12">
        <v>1066346</v>
      </c>
      <c r="E1197" s="12" t="s">
        <v>13</v>
      </c>
      <c r="F1197" s="12" t="s">
        <v>14</v>
      </c>
      <c r="G1197" s="25">
        <v>1066346</v>
      </c>
      <c r="H1197" s="12">
        <f t="shared" si="51"/>
        <v>0</v>
      </c>
      <c r="I1197" s="14">
        <v>45269</v>
      </c>
      <c r="J1197" s="12" t="s">
        <v>18</v>
      </c>
      <c r="K1197" s="12" t="s">
        <v>19</v>
      </c>
      <c r="L1197" s="12" t="s">
        <v>67</v>
      </c>
      <c r="M1197" s="12">
        <v>235.00399999999999</v>
      </c>
      <c r="N1197" s="12">
        <v>202.221</v>
      </c>
      <c r="O1197" s="12">
        <v>5.6</v>
      </c>
      <c r="P1197" s="12">
        <v>11.6</v>
      </c>
      <c r="Q1197" s="13">
        <f t="shared" si="52"/>
        <v>0.85973310865439434</v>
      </c>
    </row>
    <row r="1198" spans="1:17" x14ac:dyDescent="0.25">
      <c r="A1198" s="12">
        <f t="shared" si="50"/>
        <v>12</v>
      </c>
      <c r="B1198" s="12">
        <v>2023</v>
      </c>
      <c r="C1198" s="12">
        <v>7477</v>
      </c>
      <c r="D1198" s="12">
        <v>1066408</v>
      </c>
      <c r="E1198" s="12" t="s">
        <v>13</v>
      </c>
      <c r="F1198" s="12" t="s">
        <v>14</v>
      </c>
      <c r="G1198" s="25">
        <v>1066408</v>
      </c>
      <c r="H1198" s="12">
        <f t="shared" si="51"/>
        <v>0</v>
      </c>
      <c r="I1198" s="14">
        <v>45270</v>
      </c>
      <c r="J1198" s="12" t="s">
        <v>18</v>
      </c>
      <c r="K1198" s="12" t="s">
        <v>19</v>
      </c>
      <c r="L1198" s="12" t="s">
        <v>67</v>
      </c>
      <c r="M1198" s="12">
        <v>235.018</v>
      </c>
      <c r="N1198" s="12">
        <v>204.32400000000001</v>
      </c>
      <c r="O1198" s="12">
        <v>3.7</v>
      </c>
      <c r="P1198" s="12">
        <v>11.6</v>
      </c>
      <c r="Q1198" s="13">
        <f t="shared" si="52"/>
        <v>0.88732861847984268</v>
      </c>
    </row>
    <row r="1199" spans="1:17" x14ac:dyDescent="0.25">
      <c r="A1199" s="12">
        <f t="shared" si="50"/>
        <v>12</v>
      </c>
      <c r="B1199" s="12">
        <v>2023</v>
      </c>
      <c r="C1199" s="12">
        <v>7478</v>
      </c>
      <c r="D1199" s="12">
        <v>1066409</v>
      </c>
      <c r="E1199" s="12" t="s">
        <v>13</v>
      </c>
      <c r="F1199" s="12" t="s">
        <v>14</v>
      </c>
      <c r="G1199" s="25">
        <v>1066409</v>
      </c>
      <c r="H1199" s="12">
        <f t="shared" si="51"/>
        <v>0</v>
      </c>
      <c r="I1199" s="14">
        <v>45271</v>
      </c>
      <c r="J1199" s="12" t="s">
        <v>18</v>
      </c>
      <c r="K1199" s="12" t="s">
        <v>19</v>
      </c>
      <c r="L1199" s="12" t="s">
        <v>57</v>
      </c>
      <c r="M1199" s="12">
        <v>235.00200000000001</v>
      </c>
      <c r="N1199" s="12">
        <v>203.68600000000001</v>
      </c>
      <c r="O1199" s="12">
        <v>4.5999999999999996</v>
      </c>
      <c r="P1199" s="12">
        <v>12</v>
      </c>
      <c r="Q1199" s="13">
        <f t="shared" si="52"/>
        <v>0.86050024680430981</v>
      </c>
    </row>
    <row r="1200" spans="1:17" x14ac:dyDescent="0.25">
      <c r="A1200" s="12">
        <f t="shared" si="50"/>
        <v>12</v>
      </c>
      <c r="B1200" s="12">
        <v>2023</v>
      </c>
      <c r="C1200" s="12">
        <v>7479</v>
      </c>
      <c r="D1200" s="12">
        <v>1066421</v>
      </c>
      <c r="E1200" s="12" t="s">
        <v>13</v>
      </c>
      <c r="F1200" s="12" t="s">
        <v>14</v>
      </c>
      <c r="G1200" s="25">
        <v>1066421</v>
      </c>
      <c r="H1200" s="12">
        <f t="shared" si="51"/>
        <v>0</v>
      </c>
      <c r="I1200" s="14">
        <v>45272</v>
      </c>
      <c r="J1200" s="12" t="s">
        <v>18</v>
      </c>
      <c r="K1200" s="12" t="s">
        <v>19</v>
      </c>
      <c r="L1200" s="12" t="s">
        <v>57</v>
      </c>
      <c r="M1200" s="12">
        <v>235.00899999999999</v>
      </c>
      <c r="N1200" s="12">
        <v>204.02600000000001</v>
      </c>
      <c r="O1200" s="12">
        <v>3.9</v>
      </c>
      <c r="P1200" s="12">
        <v>11.8</v>
      </c>
      <c r="Q1200" s="13">
        <f t="shared" si="52"/>
        <v>0.86939723765839216</v>
      </c>
    </row>
    <row r="1201" spans="1:17" x14ac:dyDescent="0.25">
      <c r="A1201" s="12">
        <f t="shared" si="50"/>
        <v>12</v>
      </c>
      <c r="B1201" s="12">
        <v>2023</v>
      </c>
      <c r="C1201" s="12">
        <v>7480</v>
      </c>
      <c r="D1201" s="12">
        <v>1066662</v>
      </c>
      <c r="E1201" s="12" t="s">
        <v>13</v>
      </c>
      <c r="F1201" s="12" t="s">
        <v>14</v>
      </c>
      <c r="G1201" s="25">
        <v>1066662</v>
      </c>
      <c r="H1201" s="12">
        <f t="shared" si="51"/>
        <v>0</v>
      </c>
      <c r="I1201" s="14">
        <v>45273</v>
      </c>
      <c r="J1201" s="12" t="s">
        <v>18</v>
      </c>
      <c r="K1201" s="12" t="s">
        <v>19</v>
      </c>
      <c r="L1201" s="12" t="s">
        <v>57</v>
      </c>
      <c r="M1201" s="12">
        <v>235.00700000000001</v>
      </c>
      <c r="N1201" s="12">
        <v>203.27600000000001</v>
      </c>
      <c r="O1201" s="12">
        <v>4.4000000000000004</v>
      </c>
      <c r="P1201" s="12">
        <v>12</v>
      </c>
      <c r="Q1201" s="13">
        <f t="shared" si="52"/>
        <v>0.86674155964630084</v>
      </c>
    </row>
    <row r="1202" spans="1:17" x14ac:dyDescent="0.25">
      <c r="A1202" s="12">
        <f t="shared" si="50"/>
        <v>12</v>
      </c>
      <c r="B1202" s="12">
        <v>2023</v>
      </c>
      <c r="C1202" s="12">
        <v>7481</v>
      </c>
      <c r="D1202" s="12">
        <v>1066815</v>
      </c>
      <c r="E1202" s="12" t="s">
        <v>13</v>
      </c>
      <c r="F1202" s="12" t="s">
        <v>14</v>
      </c>
      <c r="G1202" s="25">
        <v>1066815</v>
      </c>
      <c r="H1202" s="12">
        <f t="shared" si="51"/>
        <v>0</v>
      </c>
      <c r="I1202" s="14">
        <v>45273</v>
      </c>
      <c r="J1202" s="12" t="s">
        <v>18</v>
      </c>
      <c r="K1202" s="12" t="s">
        <v>19</v>
      </c>
      <c r="L1202" s="12" t="s">
        <v>57</v>
      </c>
      <c r="M1202" s="12">
        <v>235.011</v>
      </c>
      <c r="N1202" s="12">
        <v>200.977</v>
      </c>
      <c r="O1202" s="12">
        <v>3.7</v>
      </c>
      <c r="P1202" s="12">
        <v>11.2</v>
      </c>
      <c r="Q1202" s="13">
        <f t="shared" si="52"/>
        <v>0.8681624959044123</v>
      </c>
    </row>
    <row r="1203" spans="1:17" x14ac:dyDescent="0.25">
      <c r="A1203" s="12">
        <f t="shared" si="50"/>
        <v>12</v>
      </c>
      <c r="B1203" s="12">
        <v>2023</v>
      </c>
      <c r="C1203" s="12">
        <v>7482</v>
      </c>
      <c r="D1203" s="12">
        <v>1066964</v>
      </c>
      <c r="E1203" s="12" t="s">
        <v>13</v>
      </c>
      <c r="F1203" s="12" t="s">
        <v>14</v>
      </c>
      <c r="G1203" s="25">
        <v>1066964</v>
      </c>
      <c r="H1203" s="12">
        <f t="shared" si="51"/>
        <v>0</v>
      </c>
      <c r="I1203" s="14">
        <v>45274</v>
      </c>
      <c r="J1203" s="12" t="s">
        <v>18</v>
      </c>
      <c r="K1203" s="12" t="s">
        <v>19</v>
      </c>
      <c r="L1203" s="12" t="s">
        <v>57</v>
      </c>
      <c r="M1203" s="12">
        <v>235</v>
      </c>
      <c r="N1203" s="12">
        <v>200.44300000000001</v>
      </c>
      <c r="O1203" s="12">
        <v>3.9</v>
      </c>
      <c r="P1203" s="12">
        <v>11.5</v>
      </c>
      <c r="Q1203" s="13">
        <f t="shared" si="52"/>
        <v>0.86497849000242544</v>
      </c>
    </row>
    <row r="1204" spans="1:17" x14ac:dyDescent="0.25">
      <c r="A1204" s="12">
        <f t="shared" si="50"/>
        <v>12</v>
      </c>
      <c r="B1204" s="12">
        <v>2023</v>
      </c>
      <c r="C1204" s="12">
        <v>7483</v>
      </c>
      <c r="D1204" s="12">
        <v>1067137</v>
      </c>
      <c r="E1204" s="12" t="s">
        <v>13</v>
      </c>
      <c r="F1204" s="12" t="s">
        <v>14</v>
      </c>
      <c r="G1204" s="25">
        <v>1067137</v>
      </c>
      <c r="H1204" s="12">
        <f t="shared" si="51"/>
        <v>0</v>
      </c>
      <c r="I1204" s="14">
        <v>45275</v>
      </c>
      <c r="J1204" s="12" t="s">
        <v>17</v>
      </c>
      <c r="K1204" s="12" t="s">
        <v>19</v>
      </c>
      <c r="L1204" s="12" t="s">
        <v>57</v>
      </c>
      <c r="M1204" s="12">
        <v>235.00700000000001</v>
      </c>
      <c r="N1204" s="12">
        <v>204.26300000000001</v>
      </c>
      <c r="O1204" s="12">
        <v>4</v>
      </c>
      <c r="P1204" s="12">
        <v>11.2</v>
      </c>
      <c r="Q1204" s="13">
        <f t="shared" si="52"/>
        <v>0.85518124683525454</v>
      </c>
    </row>
    <row r="1205" spans="1:17" x14ac:dyDescent="0.25">
      <c r="A1205" s="12">
        <f t="shared" si="50"/>
        <v>12</v>
      </c>
      <c r="B1205" s="12">
        <v>2023</v>
      </c>
      <c r="C1205" s="12">
        <v>7484</v>
      </c>
      <c r="D1205" s="12">
        <v>1067152</v>
      </c>
      <c r="E1205" s="12" t="s">
        <v>13</v>
      </c>
      <c r="F1205" s="12" t="s">
        <v>14</v>
      </c>
      <c r="G1205" s="25">
        <v>1067152</v>
      </c>
      <c r="H1205" s="12">
        <f t="shared" si="51"/>
        <v>0</v>
      </c>
      <c r="I1205" s="14">
        <v>45276</v>
      </c>
      <c r="J1205" s="12" t="s">
        <v>17</v>
      </c>
      <c r="K1205" s="12" t="s">
        <v>19</v>
      </c>
      <c r="L1205" s="12" t="s">
        <v>57</v>
      </c>
      <c r="M1205" s="12">
        <v>235.006</v>
      </c>
      <c r="N1205" s="12">
        <v>200.86600000000001</v>
      </c>
      <c r="O1205" s="12">
        <v>3.8</v>
      </c>
      <c r="P1205" s="12">
        <v>11.2</v>
      </c>
      <c r="Q1205" s="13">
        <f t="shared" si="52"/>
        <v>0.85294893617021283</v>
      </c>
    </row>
    <row r="1206" spans="1:17" x14ac:dyDescent="0.25">
      <c r="A1206" s="12">
        <f t="shared" si="50"/>
        <v>12</v>
      </c>
      <c r="B1206" s="12">
        <v>2023</v>
      </c>
      <c r="C1206" s="12">
        <v>7485</v>
      </c>
      <c r="D1206" s="12">
        <v>1067263</v>
      </c>
      <c r="E1206" s="12" t="s">
        <v>13</v>
      </c>
      <c r="F1206" s="12" t="s">
        <v>14</v>
      </c>
      <c r="G1206" s="25">
        <v>1067263</v>
      </c>
      <c r="H1206" s="12">
        <f t="shared" si="51"/>
        <v>0</v>
      </c>
      <c r="I1206" s="14">
        <v>45277</v>
      </c>
      <c r="J1206" s="12" t="s">
        <v>17</v>
      </c>
      <c r="K1206" s="12" t="s">
        <v>19</v>
      </c>
      <c r="L1206" s="12" t="s">
        <v>57</v>
      </c>
      <c r="M1206" s="12">
        <v>234.98500000000001</v>
      </c>
      <c r="N1206" s="12">
        <v>204.35</v>
      </c>
      <c r="O1206" s="12">
        <v>3.5</v>
      </c>
      <c r="P1206" s="12">
        <v>11.3</v>
      </c>
      <c r="Q1206" s="13">
        <f t="shared" si="52"/>
        <v>0.86917836489976896</v>
      </c>
    </row>
    <row r="1207" spans="1:17" x14ac:dyDescent="0.25">
      <c r="A1207" s="12">
        <f t="shared" si="50"/>
        <v>12</v>
      </c>
      <c r="B1207" s="12">
        <v>2023</v>
      </c>
      <c r="C1207" s="12">
        <v>7486</v>
      </c>
      <c r="D1207" s="12">
        <v>1067264</v>
      </c>
      <c r="E1207" s="12" t="s">
        <v>13</v>
      </c>
      <c r="F1207" s="12" t="s">
        <v>14</v>
      </c>
      <c r="G1207" s="25">
        <v>1067264</v>
      </c>
      <c r="H1207" s="12">
        <f t="shared" si="51"/>
        <v>0</v>
      </c>
      <c r="I1207" s="14">
        <v>45278</v>
      </c>
      <c r="J1207" s="12" t="s">
        <v>17</v>
      </c>
      <c r="K1207" s="12" t="s">
        <v>19</v>
      </c>
      <c r="L1207" s="12" t="s">
        <v>57</v>
      </c>
      <c r="M1207" s="12">
        <v>235.00399999999999</v>
      </c>
      <c r="N1207" s="12">
        <v>202.66300000000001</v>
      </c>
      <c r="O1207" s="12">
        <v>6.2</v>
      </c>
      <c r="P1207" s="12">
        <v>11.3</v>
      </c>
      <c r="Q1207" s="13">
        <f t="shared" si="52"/>
        <v>0.8547271133502975</v>
      </c>
    </row>
    <row r="1208" spans="1:17" x14ac:dyDescent="0.25">
      <c r="A1208" s="12">
        <f t="shared" si="50"/>
        <v>12</v>
      </c>
      <c r="B1208" s="12">
        <v>2023</v>
      </c>
      <c r="C1208" s="12">
        <v>7487</v>
      </c>
      <c r="D1208" s="12">
        <v>1067267</v>
      </c>
      <c r="E1208" s="12" t="s">
        <v>13</v>
      </c>
      <c r="F1208" s="12" t="s">
        <v>14</v>
      </c>
      <c r="G1208" s="25">
        <v>1067267</v>
      </c>
      <c r="H1208" s="12">
        <f t="shared" si="51"/>
        <v>0</v>
      </c>
      <c r="I1208" s="14">
        <v>45279</v>
      </c>
      <c r="J1208" s="12" t="s">
        <v>17</v>
      </c>
      <c r="K1208" s="12" t="s">
        <v>19</v>
      </c>
      <c r="L1208" s="12" t="s">
        <v>57</v>
      </c>
      <c r="M1208" s="12">
        <v>235.08</v>
      </c>
      <c r="N1208" s="12">
        <v>201.38</v>
      </c>
      <c r="O1208" s="12">
        <v>3.4</v>
      </c>
      <c r="P1208" s="12">
        <v>11.7</v>
      </c>
      <c r="Q1208" s="13">
        <f t="shared" si="52"/>
        <v>0.8696299763814711</v>
      </c>
    </row>
    <row r="1209" spans="1:17" x14ac:dyDescent="0.25">
      <c r="A1209" s="12">
        <f t="shared" si="50"/>
        <v>12</v>
      </c>
      <c r="B1209" s="12">
        <v>2023</v>
      </c>
      <c r="C1209" s="12">
        <v>7488</v>
      </c>
      <c r="D1209" s="12">
        <v>1067565</v>
      </c>
      <c r="E1209" s="12" t="s">
        <v>13</v>
      </c>
      <c r="F1209" s="12" t="s">
        <v>14</v>
      </c>
      <c r="G1209" s="25">
        <v>1067565</v>
      </c>
      <c r="H1209" s="12">
        <f t="shared" si="51"/>
        <v>0</v>
      </c>
      <c r="I1209" s="14">
        <v>45280</v>
      </c>
      <c r="J1209" s="12" t="s">
        <v>18</v>
      </c>
      <c r="K1209" s="12" t="s">
        <v>20</v>
      </c>
      <c r="L1209" s="12" t="s">
        <v>61</v>
      </c>
      <c r="M1209" s="12">
        <v>235.02600000000001</v>
      </c>
      <c r="N1209" s="12">
        <v>209.94200000000001</v>
      </c>
      <c r="O1209" s="12">
        <v>3.9</v>
      </c>
      <c r="P1209" s="12">
        <v>11</v>
      </c>
      <c r="Q1209" s="13">
        <f t="shared" si="52"/>
        <v>0.86238106585419827</v>
      </c>
    </row>
    <row r="1210" spans="1:17" x14ac:dyDescent="0.25">
      <c r="A1210" s="12">
        <f t="shared" si="50"/>
        <v>12</v>
      </c>
      <c r="B1210" s="12">
        <v>2023</v>
      </c>
      <c r="C1210" s="12">
        <v>7489</v>
      </c>
      <c r="D1210" s="12">
        <v>1067648</v>
      </c>
      <c r="E1210" s="12" t="s">
        <v>13</v>
      </c>
      <c r="F1210" s="12" t="s">
        <v>14</v>
      </c>
      <c r="G1210" s="25">
        <v>1067648</v>
      </c>
      <c r="H1210" s="12">
        <f t="shared" si="51"/>
        <v>0</v>
      </c>
      <c r="I1210" s="14">
        <v>45281</v>
      </c>
      <c r="J1210" s="12" t="s">
        <v>18</v>
      </c>
      <c r="K1210" s="12" t="s">
        <v>20</v>
      </c>
      <c r="L1210" s="12" t="s">
        <v>61</v>
      </c>
      <c r="M1210" s="12">
        <v>234.95</v>
      </c>
      <c r="N1210" s="12">
        <v>206.38399999999999</v>
      </c>
      <c r="O1210" s="12">
        <v>3.6</v>
      </c>
      <c r="P1210" s="12">
        <v>12.7</v>
      </c>
      <c r="Q1210" s="13">
        <f t="shared" si="52"/>
        <v>0.85664454653734889</v>
      </c>
    </row>
    <row r="1211" spans="1:17" x14ac:dyDescent="0.25">
      <c r="A1211" s="12">
        <f t="shared" si="50"/>
        <v>12</v>
      </c>
      <c r="B1211" s="12">
        <v>2023</v>
      </c>
      <c r="C1211" s="12">
        <v>7490</v>
      </c>
      <c r="D1211" s="12">
        <v>1067526</v>
      </c>
      <c r="E1211" s="12" t="s">
        <v>13</v>
      </c>
      <c r="F1211" s="12" t="s">
        <v>14</v>
      </c>
      <c r="G1211" s="25">
        <v>1067526</v>
      </c>
      <c r="H1211" s="12">
        <f t="shared" si="51"/>
        <v>0</v>
      </c>
      <c r="I1211" s="14">
        <v>45282</v>
      </c>
      <c r="J1211" s="12" t="s">
        <v>18</v>
      </c>
      <c r="K1211" s="12" t="s">
        <v>19</v>
      </c>
      <c r="L1211" s="12" t="s">
        <v>67</v>
      </c>
      <c r="M1211" s="12">
        <v>235.01300000000001</v>
      </c>
      <c r="N1211" s="12">
        <v>196.857</v>
      </c>
      <c r="O1211" s="12">
        <v>4.4000000000000004</v>
      </c>
      <c r="P1211" s="12">
        <v>12</v>
      </c>
      <c r="Q1211" s="13">
        <f t="shared" si="52"/>
        <v>0.89327138274063289</v>
      </c>
    </row>
    <row r="1212" spans="1:17" x14ac:dyDescent="0.25">
      <c r="A1212" s="12">
        <f t="shared" si="50"/>
        <v>12</v>
      </c>
      <c r="B1212" s="12">
        <v>2023</v>
      </c>
      <c r="C1212" s="12">
        <v>7491</v>
      </c>
      <c r="D1212" s="12">
        <v>1067866</v>
      </c>
      <c r="E1212" s="12" t="s">
        <v>13</v>
      </c>
      <c r="F1212" s="12" t="s">
        <v>14</v>
      </c>
      <c r="G1212" s="25">
        <v>1067866</v>
      </c>
      <c r="H1212" s="12">
        <f t="shared" si="51"/>
        <v>0</v>
      </c>
      <c r="I1212" s="14">
        <v>45283</v>
      </c>
      <c r="J1212" s="12" t="s">
        <v>18</v>
      </c>
      <c r="K1212" s="12" t="s">
        <v>19</v>
      </c>
      <c r="L1212" s="12" t="s">
        <v>57</v>
      </c>
      <c r="M1212" s="12">
        <v>235.00800000000001</v>
      </c>
      <c r="N1212" s="12">
        <v>208.72200000000001</v>
      </c>
      <c r="O1212" s="12">
        <v>3.9</v>
      </c>
      <c r="P1212" s="12">
        <v>12.2</v>
      </c>
      <c r="Q1212" s="13">
        <f t="shared" si="52"/>
        <v>0.87841668440093634</v>
      </c>
    </row>
    <row r="1213" spans="1:17" x14ac:dyDescent="0.25">
      <c r="A1213" s="12">
        <f t="shared" si="50"/>
        <v>12</v>
      </c>
      <c r="B1213" s="12">
        <v>2023</v>
      </c>
      <c r="C1213" s="12">
        <v>7492</v>
      </c>
      <c r="D1213" s="12">
        <v>1067869</v>
      </c>
      <c r="E1213" s="12" t="s">
        <v>13</v>
      </c>
      <c r="F1213" s="12" t="s">
        <v>14</v>
      </c>
      <c r="G1213" s="25">
        <v>1067869</v>
      </c>
      <c r="H1213" s="12">
        <f t="shared" si="51"/>
        <v>0</v>
      </c>
      <c r="I1213" s="14">
        <v>45284</v>
      </c>
      <c r="J1213" s="12" t="s">
        <v>18</v>
      </c>
      <c r="K1213" s="12" t="s">
        <v>19</v>
      </c>
      <c r="L1213" s="12" t="s">
        <v>57</v>
      </c>
      <c r="M1213" s="12">
        <v>235.01</v>
      </c>
      <c r="N1213" s="12">
        <v>202.60499999999999</v>
      </c>
      <c r="O1213" s="12">
        <v>3.7</v>
      </c>
      <c r="P1213" s="12">
        <v>12.2</v>
      </c>
      <c r="Q1213" s="13">
        <f t="shared" si="52"/>
        <v>0.83764302400292745</v>
      </c>
    </row>
    <row r="1214" spans="1:17" x14ac:dyDescent="0.25">
      <c r="A1214" s="12">
        <f t="shared" si="50"/>
        <v>12</v>
      </c>
      <c r="B1214" s="12">
        <v>2023</v>
      </c>
      <c r="C1214" s="12">
        <v>7493</v>
      </c>
      <c r="D1214" s="12">
        <v>1068161</v>
      </c>
      <c r="E1214" s="12" t="s">
        <v>13</v>
      </c>
      <c r="F1214" s="12" t="s">
        <v>14</v>
      </c>
      <c r="G1214" s="25">
        <v>1068161</v>
      </c>
      <c r="H1214" s="12">
        <f t="shared" si="51"/>
        <v>0</v>
      </c>
      <c r="I1214" s="14">
        <v>45285</v>
      </c>
      <c r="J1214" s="12" t="s">
        <v>18</v>
      </c>
      <c r="K1214" s="12" t="s">
        <v>19</v>
      </c>
      <c r="L1214" s="12" t="s">
        <v>57</v>
      </c>
      <c r="M1214" s="12">
        <v>235.02500000000001</v>
      </c>
      <c r="N1214" s="12">
        <v>204.56299999999999</v>
      </c>
      <c r="O1214" s="12">
        <v>4.2</v>
      </c>
      <c r="P1214" s="12">
        <v>12.3</v>
      </c>
      <c r="Q1214" s="13">
        <f t="shared" si="52"/>
        <v>0.8881484885620915</v>
      </c>
    </row>
    <row r="1215" spans="1:17" x14ac:dyDescent="0.25">
      <c r="A1215" s="12">
        <f t="shared" si="50"/>
        <v>12</v>
      </c>
      <c r="B1215" s="12">
        <v>2023</v>
      </c>
      <c r="C1215" s="12">
        <v>7494</v>
      </c>
      <c r="D1215" s="12">
        <v>1068194</v>
      </c>
      <c r="E1215" s="12" t="s">
        <v>13</v>
      </c>
      <c r="F1215" s="12" t="s">
        <v>14</v>
      </c>
      <c r="G1215" s="25">
        <v>1068194</v>
      </c>
      <c r="H1215" s="12">
        <f t="shared" si="51"/>
        <v>0</v>
      </c>
      <c r="I1215" s="14">
        <v>45286</v>
      </c>
      <c r="J1215" s="12" t="s">
        <v>18</v>
      </c>
      <c r="K1215" s="12" t="s">
        <v>19</v>
      </c>
      <c r="L1215" s="12" t="s">
        <v>57</v>
      </c>
      <c r="M1215" s="12">
        <v>235.01300000000001</v>
      </c>
      <c r="N1215" s="12">
        <v>200.22900000000001</v>
      </c>
      <c r="O1215" s="12">
        <v>4</v>
      </c>
      <c r="P1215" s="12">
        <v>12.3</v>
      </c>
      <c r="Q1215" s="13">
        <f t="shared" si="52"/>
        <v>0.86211225054253005</v>
      </c>
    </row>
    <row r="1216" spans="1:17" x14ac:dyDescent="0.25">
      <c r="A1216" s="12">
        <f t="shared" si="50"/>
        <v>12</v>
      </c>
      <c r="B1216" s="12">
        <v>2023</v>
      </c>
      <c r="C1216" s="12">
        <v>7495</v>
      </c>
      <c r="D1216" s="12">
        <v>1068593</v>
      </c>
      <c r="E1216" s="12" t="s">
        <v>13</v>
      </c>
      <c r="F1216" s="12" t="s">
        <v>14</v>
      </c>
      <c r="G1216" s="25">
        <v>1068593</v>
      </c>
      <c r="H1216" s="12">
        <f t="shared" si="51"/>
        <v>0</v>
      </c>
      <c r="I1216" s="14">
        <v>45287</v>
      </c>
      <c r="J1216" s="12" t="s">
        <v>18</v>
      </c>
      <c r="K1216" s="12" t="s">
        <v>19</v>
      </c>
      <c r="L1216" s="12" t="s">
        <v>57</v>
      </c>
      <c r="M1216" s="12">
        <v>235</v>
      </c>
      <c r="N1216" s="12">
        <v>199.417</v>
      </c>
      <c r="O1216" s="12">
        <v>4.5</v>
      </c>
      <c r="P1216" s="12">
        <v>12.2</v>
      </c>
      <c r="Q1216" s="13">
        <f t="shared" si="52"/>
        <v>0.87038825656845009</v>
      </c>
    </row>
    <row r="1217" spans="1:17" x14ac:dyDescent="0.25">
      <c r="A1217" s="12">
        <f t="shared" si="50"/>
        <v>12</v>
      </c>
      <c r="B1217" s="12">
        <v>2023</v>
      </c>
      <c r="C1217" s="12">
        <v>7496</v>
      </c>
      <c r="D1217" s="12">
        <v>1068740</v>
      </c>
      <c r="E1217" s="12" t="s">
        <v>13</v>
      </c>
      <c r="F1217" s="12" t="s">
        <v>14</v>
      </c>
      <c r="G1217" s="25">
        <v>1068740</v>
      </c>
      <c r="H1217" s="12">
        <f t="shared" si="51"/>
        <v>0</v>
      </c>
      <c r="I1217" s="14">
        <v>45288</v>
      </c>
      <c r="J1217" s="12" t="s">
        <v>64</v>
      </c>
      <c r="K1217" s="12" t="s">
        <v>20</v>
      </c>
      <c r="L1217" s="12" t="s">
        <v>62</v>
      </c>
      <c r="M1217" s="12">
        <v>235.00399999999999</v>
      </c>
      <c r="N1217" s="12">
        <v>200.102</v>
      </c>
      <c r="O1217" s="12">
        <v>3.8</v>
      </c>
      <c r="P1217" s="12">
        <v>12.2</v>
      </c>
      <c r="Q1217" s="13">
        <f t="shared" si="52"/>
        <v>0.8519911664461115</v>
      </c>
    </row>
    <row r="1218" spans="1:17" x14ac:dyDescent="0.25">
      <c r="A1218" s="12">
        <f t="shared" si="50"/>
        <v>12</v>
      </c>
      <c r="B1218" s="12">
        <v>2023</v>
      </c>
      <c r="C1218" s="12">
        <v>7497</v>
      </c>
      <c r="D1218" s="12">
        <v>1068801</v>
      </c>
      <c r="E1218" s="12" t="s">
        <v>13</v>
      </c>
      <c r="F1218" s="12" t="s">
        <v>14</v>
      </c>
      <c r="G1218" s="25">
        <v>1068801</v>
      </c>
      <c r="H1218" s="12">
        <f t="shared" si="51"/>
        <v>0</v>
      </c>
      <c r="I1218" s="14">
        <v>45289</v>
      </c>
      <c r="J1218" s="12" t="s">
        <v>64</v>
      </c>
      <c r="K1218" s="12" t="s">
        <v>20</v>
      </c>
      <c r="L1218" s="12" t="s">
        <v>62</v>
      </c>
      <c r="M1218" s="12">
        <v>235.01</v>
      </c>
      <c r="N1218" s="12">
        <v>201.65</v>
      </c>
      <c r="O1218" s="12">
        <v>5.8</v>
      </c>
      <c r="P1218" s="12">
        <v>12.4</v>
      </c>
      <c r="Q1218" s="13">
        <f t="shared" si="52"/>
        <v>0.84858297872340427</v>
      </c>
    </row>
    <row r="1219" spans="1:17" x14ac:dyDescent="0.25">
      <c r="A1219" s="12">
        <f t="shared" ref="A1219:A1282" si="53">MONTH(I1219)</f>
        <v>12</v>
      </c>
      <c r="B1219" s="12">
        <v>2023</v>
      </c>
      <c r="C1219" s="12">
        <v>7498</v>
      </c>
      <c r="D1219" s="12">
        <v>1068916</v>
      </c>
      <c r="E1219" s="12" t="s">
        <v>13</v>
      </c>
      <c r="F1219" s="12" t="s">
        <v>14</v>
      </c>
      <c r="G1219" s="25">
        <v>1068916</v>
      </c>
      <c r="H1219" s="12">
        <f t="shared" si="51"/>
        <v>0</v>
      </c>
      <c r="I1219" s="14">
        <v>45290</v>
      </c>
      <c r="J1219" s="12" t="s">
        <v>64</v>
      </c>
      <c r="K1219" s="12" t="s">
        <v>20</v>
      </c>
      <c r="L1219" s="12" t="s">
        <v>62</v>
      </c>
      <c r="M1219" s="12">
        <v>235.00399999999999</v>
      </c>
      <c r="N1219" s="12">
        <v>199.31399999999999</v>
      </c>
      <c r="O1219" s="12">
        <v>3.6</v>
      </c>
      <c r="P1219" s="12">
        <v>12.6</v>
      </c>
      <c r="Q1219" s="13">
        <f t="shared" si="52"/>
        <v>0.85148337900631488</v>
      </c>
    </row>
    <row r="1220" spans="1:17" x14ac:dyDescent="0.25">
      <c r="A1220" s="12">
        <f t="shared" si="53"/>
        <v>12</v>
      </c>
      <c r="B1220" s="12">
        <v>2023</v>
      </c>
      <c r="C1220" s="16">
        <v>7499</v>
      </c>
      <c r="D1220" s="12">
        <v>1069004</v>
      </c>
      <c r="E1220" s="12" t="s">
        <v>13</v>
      </c>
      <c r="F1220" s="12" t="s">
        <v>14</v>
      </c>
      <c r="G1220" s="25">
        <v>1069004</v>
      </c>
      <c r="H1220" s="12">
        <f t="shared" si="51"/>
        <v>0</v>
      </c>
      <c r="I1220" s="14">
        <v>45291</v>
      </c>
      <c r="J1220" s="12" t="s">
        <v>64</v>
      </c>
      <c r="K1220" s="12" t="s">
        <v>20</v>
      </c>
      <c r="L1220" s="12" t="s">
        <v>62</v>
      </c>
      <c r="M1220" s="12">
        <v>235.01300000000001</v>
      </c>
      <c r="N1220" s="12">
        <v>202.71700000000001</v>
      </c>
      <c r="O1220" s="12">
        <v>4.4000000000000004</v>
      </c>
      <c r="P1220" s="12">
        <v>12.5</v>
      </c>
      <c r="Q1220" s="13">
        <f t="shared" si="52"/>
        <v>0.85804859367686492</v>
      </c>
    </row>
    <row r="1221" spans="1:17" x14ac:dyDescent="0.25">
      <c r="A1221" s="12">
        <f t="shared" si="53"/>
        <v>1</v>
      </c>
      <c r="B1221" s="12">
        <v>2024</v>
      </c>
      <c r="C1221" s="12">
        <v>7500</v>
      </c>
      <c r="D1221" s="12">
        <v>1069005</v>
      </c>
      <c r="E1221" s="12" t="s">
        <v>13</v>
      </c>
      <c r="F1221" s="12" t="s">
        <v>14</v>
      </c>
      <c r="G1221" s="25">
        <v>1069005</v>
      </c>
      <c r="H1221" s="12">
        <f t="shared" si="51"/>
        <v>0</v>
      </c>
      <c r="I1221" s="14">
        <v>45292</v>
      </c>
      <c r="J1221" s="12" t="s">
        <v>64</v>
      </c>
      <c r="K1221" s="12" t="s">
        <v>20</v>
      </c>
      <c r="L1221" s="12" t="s">
        <v>62</v>
      </c>
      <c r="M1221" s="30">
        <v>235.018</v>
      </c>
      <c r="N1221" s="12">
        <v>201.53299999999999</v>
      </c>
      <c r="O1221" s="12">
        <v>4</v>
      </c>
      <c r="P1221" s="12">
        <v>12.2</v>
      </c>
      <c r="Q1221" s="13">
        <f t="shared" si="52"/>
        <v>0.84813024459158137</v>
      </c>
    </row>
    <row r="1222" spans="1:17" x14ac:dyDescent="0.25">
      <c r="A1222" s="12">
        <f t="shared" si="53"/>
        <v>1</v>
      </c>
      <c r="B1222" s="12">
        <v>2024</v>
      </c>
      <c r="C1222" s="12">
        <v>7501</v>
      </c>
      <c r="D1222" s="12">
        <v>1069007</v>
      </c>
      <c r="E1222" s="12" t="s">
        <v>13</v>
      </c>
      <c r="F1222" s="12" t="s">
        <v>14</v>
      </c>
      <c r="G1222" s="25">
        <v>1069007</v>
      </c>
      <c r="H1222" s="12">
        <f t="shared" si="51"/>
        <v>0</v>
      </c>
      <c r="I1222" s="14">
        <v>45292</v>
      </c>
      <c r="J1222" s="12" t="s">
        <v>18</v>
      </c>
      <c r="K1222" s="12" t="s">
        <v>19</v>
      </c>
      <c r="L1222" s="12" t="s">
        <v>57</v>
      </c>
      <c r="M1222" s="30">
        <v>235.01300000000001</v>
      </c>
      <c r="N1222" s="12">
        <v>202.71700000000001</v>
      </c>
      <c r="O1222" s="12">
        <v>4.3</v>
      </c>
      <c r="P1222" s="12">
        <v>11.9</v>
      </c>
      <c r="Q1222" s="13">
        <f t="shared" si="52"/>
        <v>0.8625778148442852</v>
      </c>
    </row>
    <row r="1223" spans="1:17" x14ac:dyDescent="0.25">
      <c r="A1223" s="12">
        <f t="shared" si="53"/>
        <v>1</v>
      </c>
      <c r="B1223" s="12">
        <v>2024</v>
      </c>
      <c r="C1223" s="12">
        <v>7502</v>
      </c>
      <c r="D1223" s="12">
        <v>1069096</v>
      </c>
      <c r="E1223" s="12" t="s">
        <v>13</v>
      </c>
      <c r="F1223" s="12" t="s">
        <v>14</v>
      </c>
      <c r="G1223" s="25">
        <v>1069096</v>
      </c>
      <c r="H1223" s="12">
        <f t="shared" si="51"/>
        <v>0</v>
      </c>
      <c r="I1223" s="14">
        <v>45293</v>
      </c>
      <c r="J1223" s="12" t="s">
        <v>18</v>
      </c>
      <c r="K1223" s="12" t="s">
        <v>19</v>
      </c>
      <c r="L1223" s="12" t="s">
        <v>57</v>
      </c>
      <c r="M1223" s="30">
        <v>235.03100000000001</v>
      </c>
      <c r="N1223" s="12">
        <v>204.21</v>
      </c>
      <c r="O1223" s="12">
        <v>3.6</v>
      </c>
      <c r="P1223" s="12">
        <v>11.8</v>
      </c>
      <c r="Q1223" s="13">
        <f t="shared" si="52"/>
        <v>0.85752155154073295</v>
      </c>
    </row>
    <row r="1224" spans="1:17" x14ac:dyDescent="0.25">
      <c r="A1224" s="12">
        <f t="shared" si="53"/>
        <v>1</v>
      </c>
      <c r="B1224" s="12">
        <v>2024</v>
      </c>
      <c r="C1224" s="12">
        <v>7503</v>
      </c>
      <c r="D1224" s="12">
        <v>1069135</v>
      </c>
      <c r="E1224" s="12" t="s">
        <v>13</v>
      </c>
      <c r="F1224" s="12" t="s">
        <v>14</v>
      </c>
      <c r="G1224" s="25">
        <v>1069135</v>
      </c>
      <c r="H1224" s="12">
        <f t="shared" si="51"/>
        <v>0</v>
      </c>
      <c r="I1224" s="14">
        <v>45294</v>
      </c>
      <c r="J1224" s="12" t="s">
        <v>18</v>
      </c>
      <c r="K1224" s="12" t="s">
        <v>19</v>
      </c>
      <c r="L1224" s="12" t="s">
        <v>57</v>
      </c>
      <c r="M1224" s="30">
        <v>235.02199999999999</v>
      </c>
      <c r="N1224" s="12">
        <v>200.1</v>
      </c>
      <c r="O1224" s="12">
        <v>4.5</v>
      </c>
      <c r="P1224" s="12">
        <v>12.2</v>
      </c>
      <c r="Q1224" s="13">
        <f t="shared" si="52"/>
        <v>0.8625778148442852</v>
      </c>
    </row>
    <row r="1225" spans="1:17" x14ac:dyDescent="0.25">
      <c r="A1225" s="12">
        <f t="shared" si="53"/>
        <v>1</v>
      </c>
      <c r="B1225" s="12">
        <v>2024</v>
      </c>
      <c r="C1225" s="12">
        <v>7504</v>
      </c>
      <c r="D1225" s="12">
        <v>1069144</v>
      </c>
      <c r="E1225" s="12" t="s">
        <v>13</v>
      </c>
      <c r="F1225" s="12" t="s">
        <v>14</v>
      </c>
      <c r="G1225" s="25">
        <v>1069144</v>
      </c>
      <c r="H1225" s="12">
        <f t="shared" si="51"/>
        <v>0</v>
      </c>
      <c r="I1225" s="14">
        <v>45295</v>
      </c>
      <c r="J1225" s="12" t="s">
        <v>18</v>
      </c>
      <c r="K1225" s="12" t="s">
        <v>19</v>
      </c>
      <c r="L1225" s="12" t="s">
        <v>57</v>
      </c>
      <c r="M1225" s="31">
        <v>235.00299999999999</v>
      </c>
      <c r="N1225" s="12">
        <v>203.52500000000001</v>
      </c>
      <c r="O1225" s="12">
        <v>3.6</v>
      </c>
      <c r="P1225" s="12">
        <v>12</v>
      </c>
      <c r="Q1225" s="13">
        <f t="shared" si="52"/>
        <v>0.86886410728797481</v>
      </c>
    </row>
    <row r="1226" spans="1:17" x14ac:dyDescent="0.25">
      <c r="A1226" s="12">
        <f t="shared" si="53"/>
        <v>1</v>
      </c>
      <c r="B1226" s="12">
        <v>2024</v>
      </c>
      <c r="C1226" s="12">
        <v>7505</v>
      </c>
      <c r="D1226" s="12">
        <v>1069249</v>
      </c>
      <c r="E1226" s="12" t="s">
        <v>13</v>
      </c>
      <c r="F1226" s="12" t="s">
        <v>14</v>
      </c>
      <c r="G1226" s="25">
        <v>1069249</v>
      </c>
      <c r="H1226" s="12">
        <f t="shared" si="51"/>
        <v>0</v>
      </c>
      <c r="I1226" s="14">
        <v>45296</v>
      </c>
      <c r="J1226" s="12" t="s">
        <v>18</v>
      </c>
      <c r="K1226" s="12" t="s">
        <v>19</v>
      </c>
      <c r="L1226" s="12" t="s">
        <v>57</v>
      </c>
      <c r="M1226" s="31">
        <v>234.93899999999999</v>
      </c>
      <c r="N1226" s="12">
        <v>198.59899999999999</v>
      </c>
      <c r="O1226" s="12">
        <v>4.2</v>
      </c>
      <c r="P1226" s="12">
        <v>11.7</v>
      </c>
      <c r="Q1226" s="13">
        <f t="shared" si="52"/>
        <v>0.85140965526631551</v>
      </c>
    </row>
    <row r="1227" spans="1:17" x14ac:dyDescent="0.25">
      <c r="A1227" s="12">
        <f t="shared" si="53"/>
        <v>1</v>
      </c>
      <c r="B1227" s="12">
        <v>2024</v>
      </c>
      <c r="C1227" s="12">
        <v>7506</v>
      </c>
      <c r="D1227" s="12">
        <v>1069547</v>
      </c>
      <c r="E1227" s="12" t="s">
        <v>13</v>
      </c>
      <c r="F1227" s="12" t="s">
        <v>14</v>
      </c>
      <c r="G1227" s="25">
        <v>1069547</v>
      </c>
      <c r="H1227" s="12">
        <f t="shared" si="51"/>
        <v>0</v>
      </c>
      <c r="I1227" s="14">
        <v>45297</v>
      </c>
      <c r="J1227" s="12" t="s">
        <v>18</v>
      </c>
      <c r="K1227" s="12" t="s">
        <v>19</v>
      </c>
      <c r="L1227" s="12" t="s">
        <v>67</v>
      </c>
      <c r="M1227" s="31">
        <v>235.00899999999999</v>
      </c>
      <c r="N1227" s="12">
        <v>203.73699999999999</v>
      </c>
      <c r="O1227" s="12">
        <v>3.4</v>
      </c>
      <c r="P1227" s="12">
        <v>11.2</v>
      </c>
      <c r="Q1227" s="13">
        <f t="shared" si="52"/>
        <v>0.86605277379437717</v>
      </c>
    </row>
    <row r="1228" spans="1:17" x14ac:dyDescent="0.25">
      <c r="A1228" s="12">
        <f t="shared" si="53"/>
        <v>1</v>
      </c>
      <c r="B1228" s="12">
        <v>2024</v>
      </c>
      <c r="C1228" s="12">
        <v>7507</v>
      </c>
      <c r="D1228" s="12">
        <v>1069552</v>
      </c>
      <c r="E1228" s="12" t="s">
        <v>13</v>
      </c>
      <c r="F1228" s="12" t="s">
        <v>14</v>
      </c>
      <c r="G1228" s="25">
        <v>1069552</v>
      </c>
      <c r="H1228" s="12">
        <f t="shared" si="51"/>
        <v>0</v>
      </c>
      <c r="I1228" s="14">
        <v>45298</v>
      </c>
      <c r="J1228" s="12" t="s">
        <v>18</v>
      </c>
      <c r="K1228" s="12" t="s">
        <v>19</v>
      </c>
      <c r="L1228" s="12" t="s">
        <v>67</v>
      </c>
      <c r="M1228" s="31">
        <v>235.012</v>
      </c>
      <c r="N1228" s="12">
        <v>199.285</v>
      </c>
      <c r="O1228" s="12">
        <v>4.3</v>
      </c>
      <c r="P1228" s="12">
        <v>11.7</v>
      </c>
      <c r="Q1228" s="13">
        <f t="shared" si="52"/>
        <v>0.84532155155167932</v>
      </c>
    </row>
    <row r="1229" spans="1:17" x14ac:dyDescent="0.25">
      <c r="A1229" s="12">
        <f t="shared" si="53"/>
        <v>1</v>
      </c>
      <c r="B1229" s="12">
        <v>2024</v>
      </c>
      <c r="C1229" s="12">
        <v>7508</v>
      </c>
      <c r="D1229" s="12">
        <v>1069616</v>
      </c>
      <c r="E1229" s="12" t="s">
        <v>13</v>
      </c>
      <c r="F1229" s="12" t="s">
        <v>14</v>
      </c>
      <c r="G1229" s="25">
        <v>1069616</v>
      </c>
      <c r="H1229" s="12">
        <f t="shared" si="51"/>
        <v>0</v>
      </c>
      <c r="I1229" s="14">
        <v>45299</v>
      </c>
      <c r="J1229" s="12" t="s">
        <v>18</v>
      </c>
      <c r="K1229" s="12" t="s">
        <v>19</v>
      </c>
      <c r="L1229" s="12" t="s">
        <v>57</v>
      </c>
      <c r="M1229" s="31">
        <v>234.92400000000001</v>
      </c>
      <c r="N1229" s="12">
        <v>201.649</v>
      </c>
      <c r="O1229" s="12">
        <v>3.6</v>
      </c>
      <c r="P1229" s="12">
        <v>11.7</v>
      </c>
      <c r="Q1229" s="13">
        <f t="shared" si="52"/>
        <v>0.8669327557668004</v>
      </c>
    </row>
    <row r="1230" spans="1:17" x14ac:dyDescent="0.25">
      <c r="A1230" s="12">
        <f t="shared" si="53"/>
        <v>1</v>
      </c>
      <c r="B1230" s="12">
        <v>2024</v>
      </c>
      <c r="C1230" s="12">
        <v>7509</v>
      </c>
      <c r="D1230" s="12">
        <v>1069623</v>
      </c>
      <c r="E1230" s="12" t="s">
        <v>13</v>
      </c>
      <c r="F1230" s="12" t="s">
        <v>14</v>
      </c>
      <c r="G1230" s="25">
        <v>1069623</v>
      </c>
      <c r="H1230" s="12">
        <f t="shared" si="51"/>
        <v>0</v>
      </c>
      <c r="I1230" s="14">
        <v>45300</v>
      </c>
      <c r="J1230" s="12" t="s">
        <v>18</v>
      </c>
      <c r="K1230" s="12" t="s">
        <v>19</v>
      </c>
      <c r="L1230" s="12" t="s">
        <v>57</v>
      </c>
      <c r="M1230" s="30">
        <v>234.952</v>
      </c>
      <c r="N1230" s="12">
        <v>199.179</v>
      </c>
      <c r="O1230" s="12">
        <v>4.4000000000000004</v>
      </c>
      <c r="P1230" s="12">
        <v>11.8</v>
      </c>
      <c r="Q1230" s="13">
        <f t="shared" si="52"/>
        <v>0.84797797559273569</v>
      </c>
    </row>
    <row r="1231" spans="1:17" x14ac:dyDescent="0.25">
      <c r="A1231" s="12">
        <f t="shared" si="53"/>
        <v>1</v>
      </c>
      <c r="B1231" s="12">
        <v>2024</v>
      </c>
      <c r="C1231" s="12">
        <v>7510</v>
      </c>
      <c r="D1231" s="12">
        <v>1069714</v>
      </c>
      <c r="E1231" s="12" t="s">
        <v>13</v>
      </c>
      <c r="F1231" s="12" t="s">
        <v>14</v>
      </c>
      <c r="G1231" s="25">
        <v>1069714</v>
      </c>
      <c r="H1231" s="12">
        <f t="shared" si="51"/>
        <v>0</v>
      </c>
      <c r="I1231" s="14">
        <v>45301</v>
      </c>
      <c r="J1231" s="12" t="s">
        <v>18</v>
      </c>
      <c r="K1231" s="12" t="s">
        <v>19</v>
      </c>
      <c r="L1231" s="12" t="s">
        <v>57</v>
      </c>
      <c r="M1231" s="30">
        <v>235.03700000000001</v>
      </c>
      <c r="N1231" s="12">
        <v>201.88499999999999</v>
      </c>
      <c r="O1231" s="12">
        <v>3.8</v>
      </c>
      <c r="P1231" s="12">
        <v>11.7</v>
      </c>
      <c r="Q1231" s="13">
        <f t="shared" si="52"/>
        <v>0.85835844783844983</v>
      </c>
    </row>
    <row r="1232" spans="1:17" x14ac:dyDescent="0.25">
      <c r="A1232" s="12">
        <f t="shared" si="53"/>
        <v>1</v>
      </c>
      <c r="B1232" s="12">
        <v>2024</v>
      </c>
      <c r="C1232" s="12">
        <v>7511</v>
      </c>
      <c r="D1232" s="12">
        <v>1069718</v>
      </c>
      <c r="E1232" s="12" t="s">
        <v>13</v>
      </c>
      <c r="F1232" s="12" t="s">
        <v>14</v>
      </c>
      <c r="G1232" s="25">
        <v>1069718</v>
      </c>
      <c r="H1232" s="12">
        <f t="shared" si="51"/>
        <v>0</v>
      </c>
      <c r="I1232" s="14">
        <v>45302</v>
      </c>
      <c r="J1232" s="12" t="s">
        <v>18</v>
      </c>
      <c r="K1232" s="12" t="s">
        <v>19</v>
      </c>
      <c r="L1232" s="12" t="s">
        <v>57</v>
      </c>
      <c r="M1232" s="30">
        <v>235.02500000000001</v>
      </c>
      <c r="N1232" s="12">
        <v>199.17699999999999</v>
      </c>
      <c r="O1232" s="12">
        <v>4.3</v>
      </c>
      <c r="P1232" s="12">
        <v>11.4</v>
      </c>
      <c r="Q1232" s="13">
        <f t="shared" si="52"/>
        <v>0.84774336885832002</v>
      </c>
    </row>
    <row r="1233" spans="1:17" x14ac:dyDescent="0.25">
      <c r="A1233" s="12">
        <f t="shared" si="53"/>
        <v>1</v>
      </c>
      <c r="B1233" s="12">
        <v>2024</v>
      </c>
      <c r="C1233" s="12">
        <v>7512</v>
      </c>
      <c r="D1233" s="12">
        <v>1069859</v>
      </c>
      <c r="E1233" s="12" t="s">
        <v>13</v>
      </c>
      <c r="F1233" s="12" t="s">
        <v>14</v>
      </c>
      <c r="G1233" s="25">
        <v>1069859</v>
      </c>
      <c r="H1233" s="12">
        <f t="shared" si="51"/>
        <v>0</v>
      </c>
      <c r="I1233" s="14">
        <v>45303</v>
      </c>
      <c r="J1233" s="12" t="s">
        <v>18</v>
      </c>
      <c r="K1233" s="12" t="s">
        <v>19</v>
      </c>
      <c r="L1233" s="12" t="s">
        <v>57</v>
      </c>
      <c r="M1233" s="30">
        <v>235.077</v>
      </c>
      <c r="N1233" s="12">
        <v>203.12100000000001</v>
      </c>
      <c r="O1233" s="12">
        <v>3.8</v>
      </c>
      <c r="P1233" s="12">
        <v>11.3</v>
      </c>
      <c r="Q1233" s="13">
        <f t="shared" si="52"/>
        <v>0.85894986746767521</v>
      </c>
    </row>
    <row r="1234" spans="1:17" x14ac:dyDescent="0.25">
      <c r="A1234" s="12">
        <f t="shared" si="53"/>
        <v>1</v>
      </c>
      <c r="B1234" s="12">
        <v>2024</v>
      </c>
      <c r="C1234" s="12">
        <v>7513</v>
      </c>
      <c r="D1234" s="12">
        <v>1069972</v>
      </c>
      <c r="E1234" s="12" t="s">
        <v>13</v>
      </c>
      <c r="F1234" s="12" t="s">
        <v>14</v>
      </c>
      <c r="G1234" s="25">
        <v>1069972</v>
      </c>
      <c r="H1234" s="12">
        <f t="shared" si="51"/>
        <v>0</v>
      </c>
      <c r="I1234" s="14">
        <v>45304</v>
      </c>
      <c r="J1234" s="12" t="s">
        <v>64</v>
      </c>
      <c r="K1234" s="12" t="s">
        <v>20</v>
      </c>
      <c r="L1234" s="12" t="s">
        <v>61</v>
      </c>
      <c r="M1234" s="31">
        <v>235.06</v>
      </c>
      <c r="N1234" s="12">
        <v>201.75299999999999</v>
      </c>
      <c r="O1234" s="12">
        <v>4.2</v>
      </c>
      <c r="P1234" s="12">
        <v>11.6</v>
      </c>
      <c r="Q1234" s="13">
        <f t="shared" si="52"/>
        <v>0.84747154558025739</v>
      </c>
    </row>
    <row r="1235" spans="1:17" x14ac:dyDescent="0.25">
      <c r="A1235" s="12">
        <f t="shared" si="53"/>
        <v>1</v>
      </c>
      <c r="B1235" s="12">
        <v>2024</v>
      </c>
      <c r="C1235" s="12">
        <v>7514</v>
      </c>
      <c r="D1235" s="12">
        <v>1070190</v>
      </c>
      <c r="E1235" s="12" t="s">
        <v>13</v>
      </c>
      <c r="F1235" s="12" t="s">
        <v>14</v>
      </c>
      <c r="G1235" s="25">
        <v>1070190</v>
      </c>
      <c r="H1235" s="12">
        <f t="shared" si="51"/>
        <v>0</v>
      </c>
      <c r="I1235" s="14">
        <v>45305</v>
      </c>
      <c r="J1235" s="12" t="s">
        <v>64</v>
      </c>
      <c r="K1235" s="12" t="s">
        <v>20</v>
      </c>
      <c r="L1235" s="12" t="s">
        <v>61</v>
      </c>
      <c r="M1235" s="32">
        <v>235.00299999999999</v>
      </c>
      <c r="N1235" s="12">
        <v>204.20599999999999</v>
      </c>
      <c r="O1235" s="12">
        <v>3.8</v>
      </c>
      <c r="P1235" s="12">
        <v>11.7</v>
      </c>
      <c r="Q1235" s="13">
        <f t="shared" si="52"/>
        <v>0.86406156280708024</v>
      </c>
    </row>
    <row r="1236" spans="1:17" x14ac:dyDescent="0.25">
      <c r="A1236" s="12">
        <f t="shared" si="53"/>
        <v>1</v>
      </c>
      <c r="B1236" s="12">
        <v>2024</v>
      </c>
      <c r="C1236" s="12">
        <v>7515</v>
      </c>
      <c r="D1236" s="12">
        <v>1070295</v>
      </c>
      <c r="E1236" s="12" t="s">
        <v>13</v>
      </c>
      <c r="F1236" s="12" t="s">
        <v>14</v>
      </c>
      <c r="G1236" s="25">
        <v>1070295</v>
      </c>
      <c r="H1236" s="12">
        <f t="shared" si="51"/>
        <v>0</v>
      </c>
      <c r="I1236" s="14">
        <v>45306</v>
      </c>
      <c r="J1236" s="12" t="s">
        <v>17</v>
      </c>
      <c r="K1236" s="12" t="s">
        <v>19</v>
      </c>
      <c r="L1236" s="12" t="s">
        <v>57</v>
      </c>
      <c r="M1236" s="30">
        <v>235.024</v>
      </c>
      <c r="N1236" s="12">
        <v>202.48599999999999</v>
      </c>
      <c r="O1236" s="12">
        <v>3.7</v>
      </c>
      <c r="P1236" s="12">
        <v>11.4</v>
      </c>
      <c r="Q1236" s="13">
        <f t="shared" si="52"/>
        <v>0.85830426274142768</v>
      </c>
    </row>
    <row r="1237" spans="1:17" x14ac:dyDescent="0.25">
      <c r="A1237" s="12">
        <f t="shared" si="53"/>
        <v>1</v>
      </c>
      <c r="B1237" s="12">
        <v>2024</v>
      </c>
      <c r="C1237" s="12">
        <v>7516</v>
      </c>
      <c r="D1237" s="12">
        <v>1070296</v>
      </c>
      <c r="E1237" s="12" t="s">
        <v>13</v>
      </c>
      <c r="F1237" s="12" t="s">
        <v>14</v>
      </c>
      <c r="G1237" s="25">
        <v>1070296</v>
      </c>
      <c r="H1237" s="12">
        <f t="shared" si="51"/>
        <v>0</v>
      </c>
      <c r="I1237" s="14">
        <v>45307</v>
      </c>
      <c r="J1237" s="12" t="s">
        <v>17</v>
      </c>
      <c r="K1237" s="12" t="s">
        <v>19</v>
      </c>
      <c r="L1237" s="12" t="s">
        <v>57</v>
      </c>
      <c r="M1237" s="30">
        <v>234.999</v>
      </c>
      <c r="N1237" s="12">
        <v>203.09899999999999</v>
      </c>
      <c r="O1237" s="12">
        <v>3.7</v>
      </c>
      <c r="P1237" s="12">
        <v>12</v>
      </c>
      <c r="Q1237" s="13">
        <f t="shared" si="52"/>
        <v>0.86895060914115996</v>
      </c>
    </row>
    <row r="1238" spans="1:17" x14ac:dyDescent="0.25">
      <c r="A1238" s="12">
        <f t="shared" si="53"/>
        <v>1</v>
      </c>
      <c r="B1238" s="12">
        <v>2024</v>
      </c>
      <c r="C1238" s="12">
        <v>7517</v>
      </c>
      <c r="D1238" s="12">
        <v>1070297</v>
      </c>
      <c r="E1238" s="12" t="s">
        <v>13</v>
      </c>
      <c r="F1238" s="12" t="s">
        <v>14</v>
      </c>
      <c r="G1238" s="25">
        <v>1070297</v>
      </c>
      <c r="H1238" s="12">
        <f t="shared" si="51"/>
        <v>0</v>
      </c>
      <c r="I1238" s="14">
        <v>45308</v>
      </c>
      <c r="J1238" s="12" t="s">
        <v>17</v>
      </c>
      <c r="K1238" s="12" t="s">
        <v>19</v>
      </c>
      <c r="L1238" s="12" t="s">
        <v>57</v>
      </c>
      <c r="M1238" s="30">
        <v>235.02</v>
      </c>
      <c r="N1238" s="12">
        <v>199.08600000000001</v>
      </c>
      <c r="O1238" s="12">
        <v>4.2</v>
      </c>
      <c r="P1238" s="12">
        <v>12.6</v>
      </c>
      <c r="Q1238" s="13">
        <f t="shared" si="52"/>
        <v>0.86155456464020697</v>
      </c>
    </row>
    <row r="1239" spans="1:17" x14ac:dyDescent="0.25">
      <c r="A1239" s="12">
        <f t="shared" si="53"/>
        <v>1</v>
      </c>
      <c r="B1239" s="12">
        <v>2024</v>
      </c>
      <c r="C1239" s="12">
        <v>7518</v>
      </c>
      <c r="D1239" s="12">
        <v>1070530</v>
      </c>
      <c r="E1239" s="12" t="s">
        <v>13</v>
      </c>
      <c r="F1239" s="12" t="s">
        <v>14</v>
      </c>
      <c r="G1239" s="25">
        <v>1070530</v>
      </c>
      <c r="H1239" s="12">
        <f t="shared" si="51"/>
        <v>0</v>
      </c>
      <c r="I1239" s="14">
        <v>45309</v>
      </c>
      <c r="J1239" s="12" t="s">
        <v>17</v>
      </c>
      <c r="K1239" s="12" t="s">
        <v>19</v>
      </c>
      <c r="L1239" s="12" t="s">
        <v>57</v>
      </c>
      <c r="M1239" s="30">
        <v>235.00299999999999</v>
      </c>
      <c r="N1239" s="12">
        <v>201.44399999999999</v>
      </c>
      <c r="O1239" s="12">
        <v>3.8</v>
      </c>
      <c r="P1239" s="12">
        <v>11.8</v>
      </c>
      <c r="Q1239" s="13">
        <f t="shared" si="52"/>
        <v>0.86425474150953829</v>
      </c>
    </row>
    <row r="1240" spans="1:17" x14ac:dyDescent="0.25">
      <c r="A1240" s="12">
        <f t="shared" si="53"/>
        <v>1</v>
      </c>
      <c r="B1240" s="12">
        <v>2024</v>
      </c>
      <c r="C1240" s="12">
        <v>7519</v>
      </c>
      <c r="D1240" s="12">
        <v>1070718</v>
      </c>
      <c r="E1240" s="12" t="s">
        <v>13</v>
      </c>
      <c r="F1240" s="12" t="s">
        <v>14</v>
      </c>
      <c r="G1240" s="25">
        <v>1070718</v>
      </c>
      <c r="H1240" s="12">
        <f t="shared" si="51"/>
        <v>0</v>
      </c>
      <c r="I1240" s="14">
        <v>45310</v>
      </c>
      <c r="J1240" s="12" t="s">
        <v>17</v>
      </c>
      <c r="K1240" s="12" t="s">
        <v>19</v>
      </c>
      <c r="L1240" s="12" t="s">
        <v>57</v>
      </c>
      <c r="M1240" s="30">
        <v>235.01599999999999</v>
      </c>
      <c r="N1240" s="12">
        <v>199.15600000000001</v>
      </c>
      <c r="O1240" s="12">
        <v>3.9</v>
      </c>
      <c r="P1240" s="12">
        <v>12.1</v>
      </c>
      <c r="Q1240" s="13">
        <f t="shared" si="52"/>
        <v>0.84710237426601998</v>
      </c>
    </row>
    <row r="1241" spans="1:17" x14ac:dyDescent="0.25">
      <c r="A1241" s="12">
        <f t="shared" si="53"/>
        <v>1</v>
      </c>
      <c r="B1241" s="12">
        <v>2024</v>
      </c>
      <c r="C1241" s="12">
        <v>7520</v>
      </c>
      <c r="D1241" s="12">
        <v>1070798</v>
      </c>
      <c r="E1241" s="12" t="s">
        <v>13</v>
      </c>
      <c r="F1241" s="12" t="s">
        <v>14</v>
      </c>
      <c r="G1241" s="25">
        <v>1070798</v>
      </c>
      <c r="H1241" s="12">
        <f t="shared" si="51"/>
        <v>0</v>
      </c>
      <c r="I1241" s="14">
        <v>45311</v>
      </c>
      <c r="J1241" s="12" t="s">
        <v>18</v>
      </c>
      <c r="K1241" s="12" t="s">
        <v>19</v>
      </c>
      <c r="L1241" s="12" t="s">
        <v>67</v>
      </c>
      <c r="M1241" s="30">
        <v>234.988</v>
      </c>
      <c r="N1241" s="12">
        <v>201.023</v>
      </c>
      <c r="O1241" s="12">
        <v>3.5</v>
      </c>
      <c r="P1241" s="12">
        <v>11.5</v>
      </c>
      <c r="Q1241" s="13">
        <f t="shared" si="52"/>
        <v>0.85719756769062527</v>
      </c>
    </row>
    <row r="1242" spans="1:17" x14ac:dyDescent="0.25">
      <c r="A1242" s="12">
        <f t="shared" si="53"/>
        <v>1</v>
      </c>
      <c r="B1242" s="12">
        <v>2024</v>
      </c>
      <c r="C1242" s="12">
        <v>7521</v>
      </c>
      <c r="D1242" s="12">
        <v>1071015</v>
      </c>
      <c r="E1242" s="12" t="s">
        <v>13</v>
      </c>
      <c r="F1242" s="12" t="s">
        <v>14</v>
      </c>
      <c r="G1242" s="25">
        <v>1071015</v>
      </c>
      <c r="H1242" s="12">
        <f t="shared" si="51"/>
        <v>0</v>
      </c>
      <c r="I1242" s="14">
        <v>45312</v>
      </c>
      <c r="J1242" s="12" t="s">
        <v>18</v>
      </c>
      <c r="K1242" s="12" t="s">
        <v>19</v>
      </c>
      <c r="L1242" s="12" t="s">
        <v>67</v>
      </c>
      <c r="M1242" s="30">
        <v>235.001</v>
      </c>
      <c r="N1242" s="12">
        <v>200.73</v>
      </c>
      <c r="O1242" s="12">
        <v>4.2</v>
      </c>
      <c r="P1242" s="12">
        <v>11.5</v>
      </c>
      <c r="Q1242" s="13">
        <f t="shared" si="52"/>
        <v>0.84741464410933731</v>
      </c>
    </row>
    <row r="1243" spans="1:17" x14ac:dyDescent="0.25">
      <c r="A1243" s="12">
        <f t="shared" si="53"/>
        <v>1</v>
      </c>
      <c r="B1243" s="12">
        <v>2024</v>
      </c>
      <c r="C1243" s="12">
        <v>7522</v>
      </c>
      <c r="D1243" s="12">
        <v>1071155</v>
      </c>
      <c r="E1243" s="12" t="s">
        <v>13</v>
      </c>
      <c r="F1243" s="12" t="s">
        <v>14</v>
      </c>
      <c r="G1243" s="25">
        <v>1071155</v>
      </c>
      <c r="H1243" s="12">
        <f t="shared" si="51"/>
        <v>0</v>
      </c>
      <c r="I1243" s="14">
        <v>45313</v>
      </c>
      <c r="J1243" s="12" t="s">
        <v>18</v>
      </c>
      <c r="K1243" s="12" t="s">
        <v>19</v>
      </c>
      <c r="L1243" s="12" t="s">
        <v>57</v>
      </c>
      <c r="M1243" s="30">
        <v>235.001</v>
      </c>
      <c r="N1243" s="12">
        <v>206.87200000000001</v>
      </c>
      <c r="O1243" s="12">
        <v>3.7</v>
      </c>
      <c r="P1243" s="12">
        <v>11.9</v>
      </c>
      <c r="Q1243" s="13">
        <f t="shared" si="52"/>
        <v>0.85546070437639365</v>
      </c>
    </row>
    <row r="1244" spans="1:17" x14ac:dyDescent="0.25">
      <c r="A1244" s="12">
        <f t="shared" si="53"/>
        <v>1</v>
      </c>
      <c r="B1244" s="12">
        <v>2024</v>
      </c>
      <c r="C1244" s="12">
        <v>7523</v>
      </c>
      <c r="D1244" s="12">
        <v>1071157</v>
      </c>
      <c r="E1244" s="12" t="s">
        <v>13</v>
      </c>
      <c r="F1244" s="12" t="s">
        <v>14</v>
      </c>
      <c r="G1244" s="25">
        <v>1071157</v>
      </c>
      <c r="H1244" s="12">
        <f t="shared" si="51"/>
        <v>0</v>
      </c>
      <c r="I1244" s="14">
        <v>45314</v>
      </c>
      <c r="J1244" s="12" t="s">
        <v>18</v>
      </c>
      <c r="K1244" s="12" t="s">
        <v>19</v>
      </c>
      <c r="L1244" s="12" t="s">
        <v>57</v>
      </c>
      <c r="M1244" s="30">
        <v>234.999</v>
      </c>
      <c r="N1244" s="12">
        <v>204.03800000000001</v>
      </c>
      <c r="O1244" s="12">
        <v>3.7</v>
      </c>
      <c r="P1244" s="12">
        <v>12.1</v>
      </c>
      <c r="Q1244" s="13">
        <f t="shared" si="52"/>
        <v>0.85416657801456153</v>
      </c>
    </row>
    <row r="1245" spans="1:17" x14ac:dyDescent="0.25">
      <c r="A1245" s="12">
        <f t="shared" si="53"/>
        <v>1</v>
      </c>
      <c r="B1245" s="12">
        <v>2024</v>
      </c>
      <c r="C1245" s="12">
        <v>7524</v>
      </c>
      <c r="D1245" s="12">
        <v>1071158</v>
      </c>
      <c r="E1245" s="12" t="s">
        <v>13</v>
      </c>
      <c r="F1245" s="12" t="s">
        <v>14</v>
      </c>
      <c r="G1245" s="25">
        <v>1071158</v>
      </c>
      <c r="H1245" s="12">
        <f t="shared" si="51"/>
        <v>0</v>
      </c>
      <c r="I1245" s="14">
        <v>45315</v>
      </c>
      <c r="J1245" s="12" t="s">
        <v>18</v>
      </c>
      <c r="K1245" s="12" t="s">
        <v>19</v>
      </c>
      <c r="L1245" s="12" t="s">
        <v>57</v>
      </c>
      <c r="M1245" s="31">
        <v>234.971</v>
      </c>
      <c r="N1245" s="12">
        <v>210.05600000000001</v>
      </c>
      <c r="O1245" s="12">
        <v>3.7</v>
      </c>
      <c r="P1245" s="12">
        <v>11.3</v>
      </c>
      <c r="Q1245" s="13">
        <f t="shared" si="52"/>
        <v>0.88030263701005529</v>
      </c>
    </row>
    <row r="1246" spans="1:17" x14ac:dyDescent="0.25">
      <c r="A1246" s="12">
        <f t="shared" si="53"/>
        <v>1</v>
      </c>
      <c r="B1246" s="12">
        <v>2024</v>
      </c>
      <c r="C1246" s="12">
        <v>7525</v>
      </c>
      <c r="D1246" s="12">
        <v>1071383</v>
      </c>
      <c r="E1246" s="12" t="s">
        <v>13</v>
      </c>
      <c r="F1246" s="12" t="s">
        <v>14</v>
      </c>
      <c r="G1246" s="25">
        <v>1071383</v>
      </c>
      <c r="H1246" s="12">
        <f t="shared" si="51"/>
        <v>0</v>
      </c>
      <c r="I1246" s="14">
        <v>45316</v>
      </c>
      <c r="J1246" s="12" t="s">
        <v>18</v>
      </c>
      <c r="K1246" s="12" t="s">
        <v>19</v>
      </c>
      <c r="L1246" s="12" t="s">
        <v>57</v>
      </c>
      <c r="M1246" s="30">
        <v>235.1</v>
      </c>
      <c r="N1246" s="12">
        <v>207.922</v>
      </c>
      <c r="O1246" s="12">
        <v>4.2</v>
      </c>
      <c r="P1246" s="12">
        <v>11.1</v>
      </c>
      <c r="Q1246" s="13">
        <f t="shared" si="52"/>
        <v>0.86825050319363073</v>
      </c>
    </row>
    <row r="1247" spans="1:17" x14ac:dyDescent="0.25">
      <c r="A1247" s="12">
        <f t="shared" si="53"/>
        <v>1</v>
      </c>
      <c r="B1247" s="12">
        <v>2024</v>
      </c>
      <c r="C1247" s="12">
        <v>7526</v>
      </c>
      <c r="D1247" s="12">
        <v>1071595</v>
      </c>
      <c r="E1247" s="12" t="s">
        <v>13</v>
      </c>
      <c r="F1247" s="12" t="s">
        <v>14</v>
      </c>
      <c r="G1247" s="25">
        <v>1071595</v>
      </c>
      <c r="H1247" s="12">
        <f t="shared" si="51"/>
        <v>0</v>
      </c>
      <c r="I1247" s="14">
        <v>45317</v>
      </c>
      <c r="J1247" s="12" t="s">
        <v>18</v>
      </c>
      <c r="K1247" s="12" t="s">
        <v>19</v>
      </c>
      <c r="L1247" s="12" t="s">
        <v>57</v>
      </c>
      <c r="M1247" s="30">
        <v>235.053</v>
      </c>
      <c r="N1247" s="12">
        <v>203.05600000000001</v>
      </c>
      <c r="O1247" s="12">
        <v>3.5</v>
      </c>
      <c r="P1247" s="12">
        <v>12.2</v>
      </c>
      <c r="Q1247" s="13">
        <f t="shared" si="52"/>
        <v>0.89396563831281306</v>
      </c>
    </row>
    <row r="1248" spans="1:17" x14ac:dyDescent="0.25">
      <c r="A1248" s="12">
        <f t="shared" si="53"/>
        <v>1</v>
      </c>
      <c r="B1248" s="12">
        <v>2024</v>
      </c>
      <c r="C1248" s="12">
        <v>7527</v>
      </c>
      <c r="D1248" s="12">
        <v>1071756</v>
      </c>
      <c r="E1248" s="12" t="s">
        <v>13</v>
      </c>
      <c r="F1248" s="12" t="s">
        <v>14</v>
      </c>
      <c r="G1248" s="25">
        <v>1071756</v>
      </c>
      <c r="H1248" s="12">
        <f t="shared" si="51"/>
        <v>0</v>
      </c>
      <c r="I1248" s="14">
        <v>45318</v>
      </c>
      <c r="J1248" s="12" t="s">
        <v>64</v>
      </c>
      <c r="K1248" s="12" t="s">
        <v>20</v>
      </c>
      <c r="L1248" s="12" t="s">
        <v>62</v>
      </c>
      <c r="M1248" s="30">
        <v>235.011</v>
      </c>
      <c r="N1248" s="12">
        <v>196.48</v>
      </c>
      <c r="O1248" s="12">
        <v>4.4000000000000004</v>
      </c>
      <c r="P1248" s="12">
        <v>12.6</v>
      </c>
      <c r="Q1248" s="13">
        <f t="shared" si="52"/>
        <v>0.88439812845597621</v>
      </c>
    </row>
    <row r="1249" spans="1:17" x14ac:dyDescent="0.25">
      <c r="A1249" s="12">
        <f t="shared" si="53"/>
        <v>1</v>
      </c>
      <c r="B1249" s="12">
        <v>2024</v>
      </c>
      <c r="C1249" s="12">
        <v>7528</v>
      </c>
      <c r="D1249" s="12">
        <v>1071851</v>
      </c>
      <c r="E1249" s="12" t="s">
        <v>13</v>
      </c>
      <c r="F1249" s="12" t="s">
        <v>14</v>
      </c>
      <c r="G1249" s="25">
        <v>1071851</v>
      </c>
      <c r="H1249" s="12">
        <f t="shared" si="51"/>
        <v>0</v>
      </c>
      <c r="I1249" s="14">
        <v>45319</v>
      </c>
      <c r="J1249" s="12" t="s">
        <v>64</v>
      </c>
      <c r="K1249" s="12" t="s">
        <v>20</v>
      </c>
      <c r="L1249" s="12" t="s">
        <v>62</v>
      </c>
      <c r="M1249" s="30">
        <v>235</v>
      </c>
      <c r="N1249" s="12">
        <v>200.42599999999999</v>
      </c>
      <c r="O1249" s="12">
        <v>3.7</v>
      </c>
      <c r="P1249" s="12">
        <v>12.4</v>
      </c>
      <c r="Q1249" s="13">
        <f t="shared" si="52"/>
        <v>0.86387325411715665</v>
      </c>
    </row>
    <row r="1250" spans="1:17" x14ac:dyDescent="0.25">
      <c r="A1250" s="12">
        <f t="shared" si="53"/>
        <v>1</v>
      </c>
      <c r="B1250" s="12">
        <v>2024</v>
      </c>
      <c r="C1250" s="12">
        <v>7529</v>
      </c>
      <c r="D1250" s="12">
        <v>1071856</v>
      </c>
      <c r="E1250" s="12" t="s">
        <v>13</v>
      </c>
      <c r="F1250" s="12" t="s">
        <v>14</v>
      </c>
      <c r="G1250" s="25">
        <v>1071856</v>
      </c>
      <c r="H1250" s="12">
        <f t="shared" ref="H1250:H1313" si="54">D1250-G1250</f>
        <v>0</v>
      </c>
      <c r="I1250" s="14">
        <v>45320</v>
      </c>
      <c r="J1250" s="12" t="s">
        <v>64</v>
      </c>
      <c r="K1250" s="12" t="s">
        <v>20</v>
      </c>
      <c r="L1250" s="12" t="s">
        <v>62</v>
      </c>
      <c r="M1250" s="30">
        <v>235.01</v>
      </c>
      <c r="N1250" s="12">
        <v>197.44</v>
      </c>
      <c r="O1250" s="12">
        <v>4</v>
      </c>
      <c r="P1250" s="12">
        <v>12.6</v>
      </c>
      <c r="Q1250" s="13">
        <f t="shared" si="52"/>
        <v>0.83604597231618938</v>
      </c>
    </row>
    <row r="1251" spans="1:17" x14ac:dyDescent="0.25">
      <c r="A1251" s="12">
        <f t="shared" si="53"/>
        <v>1</v>
      </c>
      <c r="B1251" s="12">
        <v>2024</v>
      </c>
      <c r="C1251" s="12">
        <v>7530</v>
      </c>
      <c r="D1251" s="12">
        <v>1071862</v>
      </c>
      <c r="E1251" s="12" t="s">
        <v>13</v>
      </c>
      <c r="F1251" s="12" t="s">
        <v>14</v>
      </c>
      <c r="G1251" s="25">
        <v>1071862</v>
      </c>
      <c r="H1251" s="12">
        <f t="shared" si="54"/>
        <v>0</v>
      </c>
      <c r="I1251" s="14">
        <v>45321</v>
      </c>
      <c r="J1251" s="12" t="s">
        <v>64</v>
      </c>
      <c r="K1251" s="12" t="s">
        <v>20</v>
      </c>
      <c r="L1251" s="12" t="s">
        <v>62</v>
      </c>
      <c r="M1251" s="30">
        <v>235.011</v>
      </c>
      <c r="N1251" s="12">
        <v>199.86799999999999</v>
      </c>
      <c r="O1251" s="12">
        <v>4</v>
      </c>
      <c r="P1251" s="12">
        <v>12.8</v>
      </c>
      <c r="Q1251" s="13">
        <f t="shared" si="52"/>
        <v>0.85287659574468078</v>
      </c>
    </row>
    <row r="1252" spans="1:17" x14ac:dyDescent="0.25">
      <c r="A1252" s="12">
        <f t="shared" si="53"/>
        <v>1</v>
      </c>
      <c r="B1252" s="12">
        <v>2024</v>
      </c>
      <c r="C1252" s="12">
        <v>7531</v>
      </c>
      <c r="D1252" s="12">
        <v>1072169</v>
      </c>
      <c r="E1252" s="12" t="s">
        <v>13</v>
      </c>
      <c r="F1252" s="12" t="s">
        <v>14</v>
      </c>
      <c r="G1252" s="25">
        <v>1072169</v>
      </c>
      <c r="H1252" s="12">
        <f t="shared" si="54"/>
        <v>0</v>
      </c>
      <c r="I1252" s="14">
        <v>45322</v>
      </c>
      <c r="J1252" s="12" t="s">
        <v>64</v>
      </c>
      <c r="K1252" s="12" t="s">
        <v>20</v>
      </c>
      <c r="L1252" s="12" t="s">
        <v>62</v>
      </c>
      <c r="M1252" s="30">
        <v>235.011</v>
      </c>
      <c r="N1252" s="12">
        <v>197.744</v>
      </c>
      <c r="O1252" s="12">
        <v>4.5</v>
      </c>
      <c r="P1252" s="12">
        <v>12.5</v>
      </c>
      <c r="Q1252" s="13">
        <f t="shared" si="52"/>
        <v>0.84013446236330369</v>
      </c>
    </row>
    <row r="1253" spans="1:17" x14ac:dyDescent="0.25">
      <c r="A1253" s="12">
        <f t="shared" si="53"/>
        <v>2</v>
      </c>
      <c r="B1253" s="12">
        <v>2024</v>
      </c>
      <c r="C1253" s="12">
        <v>7532</v>
      </c>
      <c r="D1253" s="12">
        <v>1072174</v>
      </c>
      <c r="E1253" s="12" t="s">
        <v>13</v>
      </c>
      <c r="F1253" s="12" t="s">
        <v>14</v>
      </c>
      <c r="G1253" s="25">
        <v>1072174</v>
      </c>
      <c r="H1253" s="12">
        <f t="shared" si="54"/>
        <v>0</v>
      </c>
      <c r="I1253" s="14">
        <v>45323</v>
      </c>
      <c r="J1253" s="12" t="s">
        <v>64</v>
      </c>
      <c r="K1253" s="12" t="s">
        <v>20</v>
      </c>
      <c r="L1253" s="12" t="s">
        <v>61</v>
      </c>
      <c r="M1253" s="12">
        <v>232.011</v>
      </c>
      <c r="N1253" s="12">
        <v>201.47900000000001</v>
      </c>
      <c r="O1253" s="12">
        <v>4</v>
      </c>
      <c r="P1253" s="12">
        <v>12.5</v>
      </c>
      <c r="Q1253" s="13">
        <f t="shared" si="52"/>
        <v>0.85046231878507816</v>
      </c>
    </row>
    <row r="1254" spans="1:17" x14ac:dyDescent="0.25">
      <c r="A1254" s="12">
        <f t="shared" si="53"/>
        <v>2</v>
      </c>
      <c r="B1254" s="12">
        <v>2024</v>
      </c>
      <c r="C1254" s="12">
        <v>7533</v>
      </c>
      <c r="D1254" s="12">
        <v>1072382</v>
      </c>
      <c r="E1254" s="12" t="s">
        <v>13</v>
      </c>
      <c r="F1254" s="12" t="s">
        <v>14</v>
      </c>
      <c r="G1254" s="25">
        <v>1072382</v>
      </c>
      <c r="H1254" s="12">
        <f t="shared" si="54"/>
        <v>0</v>
      </c>
      <c r="I1254" s="14">
        <v>45324</v>
      </c>
      <c r="J1254" s="12" t="s">
        <v>64</v>
      </c>
      <c r="K1254" s="12" t="s">
        <v>20</v>
      </c>
      <c r="L1254" s="12" t="s">
        <v>61</v>
      </c>
      <c r="M1254" s="12">
        <v>232.03200000000001</v>
      </c>
      <c r="N1254" s="12">
        <v>201.26300000000001</v>
      </c>
      <c r="O1254" s="12">
        <v>4.2</v>
      </c>
      <c r="P1254" s="12">
        <v>12.3</v>
      </c>
      <c r="Q1254" s="13">
        <f t="shared" si="52"/>
        <v>0.84142444396219751</v>
      </c>
    </row>
    <row r="1255" spans="1:17" x14ac:dyDescent="0.25">
      <c r="A1255" s="12">
        <f t="shared" si="53"/>
        <v>2</v>
      </c>
      <c r="B1255" s="12">
        <v>2024</v>
      </c>
      <c r="C1255" s="12">
        <v>7534</v>
      </c>
      <c r="D1255" s="12">
        <v>1072622</v>
      </c>
      <c r="E1255" s="12" t="s">
        <v>13</v>
      </c>
      <c r="F1255" s="12" t="s">
        <v>14</v>
      </c>
      <c r="G1255" s="25">
        <v>1072622</v>
      </c>
      <c r="H1255" s="12">
        <f t="shared" si="54"/>
        <v>0</v>
      </c>
      <c r="I1255" s="14">
        <v>45325</v>
      </c>
      <c r="J1255" s="12" t="s">
        <v>18</v>
      </c>
      <c r="K1255" s="12" t="s">
        <v>19</v>
      </c>
      <c r="L1255" s="12" t="s">
        <v>67</v>
      </c>
      <c r="M1255" s="12">
        <v>235.00899999999999</v>
      </c>
      <c r="N1255" s="12">
        <v>202.40299999999999</v>
      </c>
      <c r="O1255" s="12">
        <v>3.4</v>
      </c>
      <c r="P1255" s="12">
        <v>11.6</v>
      </c>
      <c r="Q1255" s="13">
        <f t="shared" si="52"/>
        <v>0.86840279124696684</v>
      </c>
    </row>
    <row r="1256" spans="1:17" x14ac:dyDescent="0.25">
      <c r="A1256" s="12">
        <f t="shared" si="53"/>
        <v>2</v>
      </c>
      <c r="B1256" s="12">
        <v>2024</v>
      </c>
      <c r="C1256" s="12">
        <v>7535</v>
      </c>
      <c r="D1256" s="12">
        <v>1072779</v>
      </c>
      <c r="E1256" s="12" t="s">
        <v>13</v>
      </c>
      <c r="F1256" s="12" t="s">
        <v>14</v>
      </c>
      <c r="G1256" s="25">
        <v>1072779</v>
      </c>
      <c r="H1256" s="12">
        <f t="shared" si="54"/>
        <v>0</v>
      </c>
      <c r="I1256" s="14">
        <v>45325</v>
      </c>
      <c r="J1256" s="12" t="s">
        <v>18</v>
      </c>
      <c r="K1256" s="12" t="s">
        <v>19</v>
      </c>
      <c r="L1256" s="12" t="s">
        <v>67</v>
      </c>
      <c r="M1256" s="12">
        <v>234.97499999999999</v>
      </c>
      <c r="N1256" s="12">
        <v>199.19900000000001</v>
      </c>
      <c r="O1256" s="12">
        <v>4.0999999999999996</v>
      </c>
      <c r="P1256" s="12">
        <v>11.6</v>
      </c>
      <c r="Q1256" s="13">
        <f t="shared" si="52"/>
        <v>0.86739329058060954</v>
      </c>
    </row>
    <row r="1257" spans="1:17" x14ac:dyDescent="0.25">
      <c r="A1257" s="12">
        <f t="shared" si="53"/>
        <v>2</v>
      </c>
      <c r="B1257" s="12">
        <v>2024</v>
      </c>
      <c r="C1257" s="12">
        <v>7536</v>
      </c>
      <c r="D1257" s="12">
        <v>1072782</v>
      </c>
      <c r="E1257" s="12" t="s">
        <v>13</v>
      </c>
      <c r="F1257" s="12" t="s">
        <v>14</v>
      </c>
      <c r="G1257" s="25">
        <v>1072782</v>
      </c>
      <c r="H1257" s="12">
        <f t="shared" si="54"/>
        <v>0</v>
      </c>
      <c r="I1257" s="14">
        <v>45327</v>
      </c>
      <c r="J1257" s="12" t="s">
        <v>18</v>
      </c>
      <c r="K1257" s="12" t="s">
        <v>20</v>
      </c>
      <c r="L1257" s="12" t="s">
        <v>61</v>
      </c>
      <c r="M1257" s="12">
        <v>232.017</v>
      </c>
      <c r="N1257" s="12">
        <v>201.42699999999999</v>
      </c>
      <c r="O1257" s="12">
        <v>3.7</v>
      </c>
      <c r="P1257" s="12">
        <v>12.4</v>
      </c>
      <c r="Q1257" s="13">
        <f t="shared" si="52"/>
        <v>0.86125637741533301</v>
      </c>
    </row>
    <row r="1258" spans="1:17" x14ac:dyDescent="0.25">
      <c r="A1258" s="12">
        <f t="shared" si="53"/>
        <v>2</v>
      </c>
      <c r="B1258" s="12">
        <v>2024</v>
      </c>
      <c r="C1258" s="12">
        <v>7537</v>
      </c>
      <c r="D1258" s="12">
        <v>1072893</v>
      </c>
      <c r="E1258" s="12" t="s">
        <v>13</v>
      </c>
      <c r="F1258" s="12" t="s">
        <v>14</v>
      </c>
      <c r="G1258" s="25">
        <v>1072893</v>
      </c>
      <c r="H1258" s="12">
        <f t="shared" si="54"/>
        <v>0</v>
      </c>
      <c r="I1258" s="14">
        <v>45327</v>
      </c>
      <c r="J1258" s="12" t="s">
        <v>18</v>
      </c>
      <c r="K1258" s="12" t="s">
        <v>20</v>
      </c>
      <c r="L1258" s="12" t="s">
        <v>61</v>
      </c>
      <c r="M1258" s="12">
        <v>232.048</v>
      </c>
      <c r="N1258" s="12">
        <v>197.41499999999999</v>
      </c>
      <c r="O1258" s="12">
        <v>4.4000000000000004</v>
      </c>
      <c r="P1258" s="12">
        <v>12.4</v>
      </c>
      <c r="Q1258" s="13">
        <f t="shared" si="52"/>
        <v>0.84774550484094058</v>
      </c>
    </row>
    <row r="1259" spans="1:17" x14ac:dyDescent="0.25">
      <c r="A1259" s="12">
        <f t="shared" si="53"/>
        <v>2</v>
      </c>
      <c r="B1259" s="12">
        <v>2024</v>
      </c>
      <c r="C1259" s="12">
        <v>7538</v>
      </c>
      <c r="D1259" s="12">
        <v>1072895</v>
      </c>
      <c r="E1259" s="12" t="s">
        <v>13</v>
      </c>
      <c r="F1259" s="12" t="s">
        <v>14</v>
      </c>
      <c r="G1259" s="25">
        <v>1072895</v>
      </c>
      <c r="H1259" s="12">
        <f t="shared" si="54"/>
        <v>0</v>
      </c>
      <c r="I1259" s="14">
        <v>45328</v>
      </c>
      <c r="J1259" s="12" t="s">
        <v>18</v>
      </c>
      <c r="K1259" s="12" t="s">
        <v>19</v>
      </c>
      <c r="L1259" s="12" t="s">
        <v>57</v>
      </c>
      <c r="M1259" s="12">
        <v>235.00800000000001</v>
      </c>
      <c r="N1259" s="12">
        <v>205.97300000000001</v>
      </c>
      <c r="O1259" s="12">
        <v>3.7</v>
      </c>
      <c r="P1259" s="12">
        <v>11.7</v>
      </c>
      <c r="Q1259" s="13">
        <f t="shared" ref="Q1259:Q1322" si="55">N1257/M1257</f>
        <v>0.86815621269131138</v>
      </c>
    </row>
    <row r="1260" spans="1:17" x14ac:dyDescent="0.25">
      <c r="A1260" s="12">
        <f t="shared" si="53"/>
        <v>2</v>
      </c>
      <c r="B1260" s="12">
        <v>2024</v>
      </c>
      <c r="C1260" s="12">
        <v>7539</v>
      </c>
      <c r="D1260" s="12">
        <v>1072986</v>
      </c>
      <c r="E1260" s="12" t="s">
        <v>13</v>
      </c>
      <c r="F1260" s="12" t="s">
        <v>14</v>
      </c>
      <c r="G1260" s="25">
        <v>1072986</v>
      </c>
      <c r="H1260" s="12">
        <f t="shared" si="54"/>
        <v>0</v>
      </c>
      <c r="I1260" s="14">
        <v>45329</v>
      </c>
      <c r="J1260" s="12" t="s">
        <v>18</v>
      </c>
      <c r="K1260" s="12" t="s">
        <v>19</v>
      </c>
      <c r="L1260" s="12" t="s">
        <v>57</v>
      </c>
      <c r="M1260" s="12">
        <v>235</v>
      </c>
      <c r="N1260" s="12">
        <v>205.06399999999999</v>
      </c>
      <c r="O1260" s="12">
        <v>4.3</v>
      </c>
      <c r="Q1260" s="13">
        <f t="shared" si="55"/>
        <v>0.85075070675032749</v>
      </c>
    </row>
    <row r="1261" spans="1:17" x14ac:dyDescent="0.25">
      <c r="A1261" s="12">
        <f t="shared" si="53"/>
        <v>2</v>
      </c>
      <c r="B1261" s="12">
        <v>2024</v>
      </c>
      <c r="C1261" s="12">
        <v>7540</v>
      </c>
      <c r="D1261" s="12">
        <v>1073219</v>
      </c>
      <c r="E1261" s="12" t="s">
        <v>13</v>
      </c>
      <c r="F1261" s="12" t="s">
        <v>14</v>
      </c>
      <c r="G1261" s="25">
        <v>1073219</v>
      </c>
      <c r="H1261" s="12">
        <f t="shared" si="54"/>
        <v>0</v>
      </c>
      <c r="I1261" s="14">
        <v>45330</v>
      </c>
      <c r="J1261" s="12" t="s">
        <v>18</v>
      </c>
      <c r="K1261" s="12" t="s">
        <v>19</v>
      </c>
      <c r="L1261" s="12" t="s">
        <v>57</v>
      </c>
      <c r="M1261" s="12">
        <v>235.03299999999999</v>
      </c>
      <c r="N1261" s="12">
        <v>208.881</v>
      </c>
      <c r="O1261" s="12">
        <v>3.8</v>
      </c>
      <c r="P1261" s="12">
        <v>11.8</v>
      </c>
      <c r="Q1261" s="13">
        <f t="shared" si="55"/>
        <v>0.87645101443355122</v>
      </c>
    </row>
    <row r="1262" spans="1:17" x14ac:dyDescent="0.25">
      <c r="A1262" s="12">
        <f t="shared" si="53"/>
        <v>2</v>
      </c>
      <c r="B1262" s="12">
        <v>2024</v>
      </c>
      <c r="C1262" s="12">
        <v>7541</v>
      </c>
      <c r="D1262" s="12">
        <v>1073438</v>
      </c>
      <c r="E1262" s="12" t="s">
        <v>13</v>
      </c>
      <c r="F1262" s="12" t="s">
        <v>14</v>
      </c>
      <c r="G1262" s="25">
        <v>1073438</v>
      </c>
      <c r="H1262" s="12">
        <f t="shared" si="54"/>
        <v>0</v>
      </c>
      <c r="I1262" s="14">
        <v>45331</v>
      </c>
      <c r="J1262" s="12" t="s">
        <v>18</v>
      </c>
      <c r="K1262" s="12" t="s">
        <v>19</v>
      </c>
      <c r="L1262" s="12" t="s">
        <v>57</v>
      </c>
      <c r="M1262" s="12">
        <v>235.00700000000001</v>
      </c>
      <c r="N1262" s="12">
        <v>205.92500000000001</v>
      </c>
      <c r="O1262" s="12">
        <v>4.5999999999999996</v>
      </c>
      <c r="P1262" s="12">
        <v>11.8</v>
      </c>
      <c r="Q1262" s="13">
        <f t="shared" si="55"/>
        <v>0.87261276595744675</v>
      </c>
    </row>
    <row r="1263" spans="1:17" x14ac:dyDescent="0.25">
      <c r="A1263" s="12">
        <f t="shared" si="53"/>
        <v>2</v>
      </c>
      <c r="B1263" s="12">
        <v>2024</v>
      </c>
      <c r="C1263" s="12">
        <v>7542</v>
      </c>
      <c r="D1263" s="12">
        <v>1073743</v>
      </c>
      <c r="E1263" s="12" t="s">
        <v>13</v>
      </c>
      <c r="F1263" s="12" t="s">
        <v>14</v>
      </c>
      <c r="G1263" s="25">
        <v>1073743</v>
      </c>
      <c r="H1263" s="12">
        <f t="shared" si="54"/>
        <v>0</v>
      </c>
      <c r="I1263" s="14">
        <v>45332</v>
      </c>
      <c r="J1263" s="12" t="s">
        <v>18</v>
      </c>
      <c r="K1263" s="12" t="s">
        <v>19</v>
      </c>
      <c r="L1263" s="12" t="s">
        <v>57</v>
      </c>
      <c r="M1263" s="12">
        <v>235.02799999999999</v>
      </c>
      <c r="N1263" s="12">
        <v>208.57599999999999</v>
      </c>
      <c r="O1263" s="12">
        <v>3.3</v>
      </c>
      <c r="P1263" s="12">
        <v>12.1</v>
      </c>
      <c r="Q1263" s="13">
        <f t="shared" si="55"/>
        <v>0.8887305186931197</v>
      </c>
    </row>
    <row r="1264" spans="1:17" x14ac:dyDescent="0.25">
      <c r="A1264" s="12">
        <f t="shared" si="53"/>
        <v>2</v>
      </c>
      <c r="B1264" s="12">
        <v>2024</v>
      </c>
      <c r="C1264" s="12">
        <v>7543</v>
      </c>
      <c r="D1264" s="12">
        <v>1073835</v>
      </c>
      <c r="E1264" s="12" t="s">
        <v>13</v>
      </c>
      <c r="F1264" s="12" t="s">
        <v>14</v>
      </c>
      <c r="G1264" s="25">
        <v>1073835</v>
      </c>
      <c r="H1264" s="12">
        <f t="shared" si="54"/>
        <v>0</v>
      </c>
      <c r="I1264" s="14">
        <v>45333</v>
      </c>
      <c r="J1264" s="12" t="s">
        <v>18</v>
      </c>
      <c r="K1264" s="12" t="s">
        <v>19</v>
      </c>
      <c r="L1264" s="12" t="s">
        <v>67</v>
      </c>
      <c r="M1264" s="12">
        <v>235.01</v>
      </c>
      <c r="N1264" s="12">
        <v>198.49100000000001</v>
      </c>
      <c r="O1264" s="12">
        <v>4.4000000000000004</v>
      </c>
      <c r="P1264" s="12">
        <v>11.6</v>
      </c>
      <c r="Q1264" s="13">
        <f t="shared" si="55"/>
        <v>0.87625049466611638</v>
      </c>
    </row>
    <row r="1265" spans="1:17" x14ac:dyDescent="0.25">
      <c r="A1265" s="12">
        <f t="shared" si="53"/>
        <v>2</v>
      </c>
      <c r="B1265" s="12">
        <v>2024</v>
      </c>
      <c r="C1265" s="12">
        <v>7544</v>
      </c>
      <c r="D1265" s="12">
        <v>1073909</v>
      </c>
      <c r="E1265" s="12" t="s">
        <v>13</v>
      </c>
      <c r="F1265" s="12" t="s">
        <v>14</v>
      </c>
      <c r="G1265" s="25">
        <v>1073909</v>
      </c>
      <c r="H1265" s="12">
        <f t="shared" si="54"/>
        <v>0</v>
      </c>
      <c r="I1265" s="14">
        <v>45334</v>
      </c>
      <c r="J1265" s="12" t="s">
        <v>18</v>
      </c>
      <c r="K1265" s="12" t="s">
        <v>19</v>
      </c>
      <c r="L1265" s="12" t="s">
        <v>67</v>
      </c>
      <c r="M1265" s="12">
        <v>235.00299999999999</v>
      </c>
      <c r="N1265" s="12">
        <v>200.94200000000001</v>
      </c>
      <c r="O1265" s="12">
        <v>4.0999999999999996</v>
      </c>
      <c r="P1265" s="12">
        <v>11.5</v>
      </c>
      <c r="Q1265" s="13">
        <f t="shared" si="55"/>
        <v>0.88745170788161409</v>
      </c>
    </row>
    <row r="1266" spans="1:17" x14ac:dyDescent="0.25">
      <c r="A1266" s="12">
        <f t="shared" si="53"/>
        <v>2</v>
      </c>
      <c r="B1266" s="12">
        <v>2024</v>
      </c>
      <c r="C1266" s="12">
        <v>7545</v>
      </c>
      <c r="D1266" s="12">
        <v>1073910</v>
      </c>
      <c r="E1266" s="12" t="s">
        <v>13</v>
      </c>
      <c r="F1266" s="12" t="s">
        <v>14</v>
      </c>
      <c r="G1266" s="25">
        <v>1073910</v>
      </c>
      <c r="H1266" s="12">
        <f t="shared" si="54"/>
        <v>0</v>
      </c>
      <c r="I1266" s="14">
        <v>45335</v>
      </c>
      <c r="J1266" s="12" t="s">
        <v>64</v>
      </c>
      <c r="K1266" s="12" t="s">
        <v>20</v>
      </c>
      <c r="L1266" s="12" t="s">
        <v>62</v>
      </c>
      <c r="M1266" s="12">
        <v>232.06800000000001</v>
      </c>
      <c r="N1266" s="12">
        <v>203.255</v>
      </c>
      <c r="O1266" s="12">
        <v>4.7</v>
      </c>
      <c r="P1266" s="12">
        <v>12</v>
      </c>
      <c r="Q1266" s="13">
        <f t="shared" si="55"/>
        <v>0.84460661248457525</v>
      </c>
    </row>
    <row r="1267" spans="1:17" x14ac:dyDescent="0.25">
      <c r="A1267" s="12">
        <f t="shared" si="53"/>
        <v>2</v>
      </c>
      <c r="B1267" s="12">
        <v>2024</v>
      </c>
      <c r="C1267" s="12">
        <v>7546</v>
      </c>
      <c r="D1267" s="12">
        <v>1073961</v>
      </c>
      <c r="E1267" s="12" t="s">
        <v>13</v>
      </c>
      <c r="F1267" s="12" t="s">
        <v>14</v>
      </c>
      <c r="G1267" s="25">
        <v>1073961</v>
      </c>
      <c r="H1267" s="12">
        <f t="shared" si="54"/>
        <v>0</v>
      </c>
      <c r="I1267" s="14">
        <v>45336</v>
      </c>
      <c r="J1267" s="12" t="s">
        <v>64</v>
      </c>
      <c r="K1267" s="12" t="s">
        <v>20</v>
      </c>
      <c r="L1267" s="12" t="s">
        <v>62</v>
      </c>
      <c r="M1267" s="12">
        <v>232.00299999999999</v>
      </c>
      <c r="N1267" s="12">
        <v>204.774</v>
      </c>
      <c r="O1267" s="12">
        <v>4.7</v>
      </c>
      <c r="P1267" s="12">
        <v>11.9</v>
      </c>
      <c r="Q1267" s="13">
        <f t="shared" si="55"/>
        <v>0.85506142474776925</v>
      </c>
    </row>
    <row r="1268" spans="1:17" x14ac:dyDescent="0.25">
      <c r="A1268" s="12">
        <f t="shared" si="53"/>
        <v>2</v>
      </c>
      <c r="B1268" s="12">
        <v>2024</v>
      </c>
      <c r="C1268" s="12">
        <v>7547</v>
      </c>
      <c r="D1268" s="12">
        <v>1074172</v>
      </c>
      <c r="E1268" s="12" t="s">
        <v>13</v>
      </c>
      <c r="F1268" s="12" t="s">
        <v>14</v>
      </c>
      <c r="G1268" s="25">
        <v>1074172</v>
      </c>
      <c r="H1268" s="12">
        <f t="shared" si="54"/>
        <v>0</v>
      </c>
      <c r="I1268" s="14">
        <v>45337</v>
      </c>
      <c r="J1268" s="12" t="s">
        <v>64</v>
      </c>
      <c r="K1268" s="12" t="s">
        <v>20</v>
      </c>
      <c r="L1268" s="12" t="s">
        <v>62</v>
      </c>
      <c r="M1268" s="12">
        <v>232.066</v>
      </c>
      <c r="N1268" s="12">
        <v>202.91800000000001</v>
      </c>
      <c r="O1268" s="12">
        <v>3.9</v>
      </c>
      <c r="P1268" s="12">
        <v>12.1</v>
      </c>
      <c r="Q1268" s="13">
        <f t="shared" si="55"/>
        <v>0.87584242549597524</v>
      </c>
    </row>
    <row r="1269" spans="1:17" x14ac:dyDescent="0.25">
      <c r="A1269" s="12">
        <f t="shared" si="53"/>
        <v>2</v>
      </c>
      <c r="B1269" s="12">
        <v>2024</v>
      </c>
      <c r="C1269" s="12">
        <v>7548</v>
      </c>
      <c r="D1269" s="12">
        <v>1074359</v>
      </c>
      <c r="E1269" s="12" t="s">
        <v>13</v>
      </c>
      <c r="F1269" s="12" t="s">
        <v>14</v>
      </c>
      <c r="G1269" s="25">
        <v>1074359</v>
      </c>
      <c r="H1269" s="12">
        <f t="shared" si="54"/>
        <v>0</v>
      </c>
      <c r="I1269" s="14">
        <v>45338</v>
      </c>
      <c r="J1269" s="12" t="s">
        <v>64</v>
      </c>
      <c r="K1269" s="12" t="s">
        <v>20</v>
      </c>
      <c r="L1269" s="12" t="s">
        <v>62</v>
      </c>
      <c r="M1269" s="12">
        <v>232.02099999999999</v>
      </c>
      <c r="N1269" s="12">
        <v>205.41499999999999</v>
      </c>
      <c r="O1269" s="12">
        <v>4.7</v>
      </c>
      <c r="P1269" s="12">
        <v>12</v>
      </c>
      <c r="Q1269" s="13">
        <f t="shared" si="55"/>
        <v>0.88263513833872842</v>
      </c>
    </row>
    <row r="1270" spans="1:17" x14ac:dyDescent="0.25">
      <c r="A1270" s="12">
        <f t="shared" si="53"/>
        <v>2</v>
      </c>
      <c r="B1270" s="12">
        <v>2024</v>
      </c>
      <c r="C1270" s="12">
        <v>7549</v>
      </c>
      <c r="D1270" s="12">
        <v>1074523</v>
      </c>
      <c r="E1270" s="12" t="s">
        <v>13</v>
      </c>
      <c r="F1270" s="12" t="s">
        <v>14</v>
      </c>
      <c r="G1270" s="25">
        <v>1074523</v>
      </c>
      <c r="H1270" s="12">
        <f t="shared" si="54"/>
        <v>0</v>
      </c>
      <c r="I1270" s="14">
        <v>45339</v>
      </c>
      <c r="J1270" s="12" t="s">
        <v>64</v>
      </c>
      <c r="K1270" s="12" t="s">
        <v>20</v>
      </c>
      <c r="L1270" s="12" t="s">
        <v>62</v>
      </c>
      <c r="M1270" s="12">
        <v>232.00200000000001</v>
      </c>
      <c r="N1270" s="12">
        <v>197.648</v>
      </c>
      <c r="O1270" s="12">
        <v>3.9</v>
      </c>
      <c r="P1270" s="12">
        <v>12.4</v>
      </c>
      <c r="Q1270" s="13">
        <f t="shared" si="55"/>
        <v>0.87439780062568406</v>
      </c>
    </row>
    <row r="1271" spans="1:17" x14ac:dyDescent="0.25">
      <c r="A1271" s="12">
        <f t="shared" si="53"/>
        <v>2</v>
      </c>
      <c r="B1271" s="12">
        <v>2024</v>
      </c>
      <c r="C1271" s="12">
        <v>7550</v>
      </c>
      <c r="D1271" s="12">
        <v>1074692</v>
      </c>
      <c r="E1271" s="12" t="s">
        <v>13</v>
      </c>
      <c r="F1271" s="12" t="s">
        <v>14</v>
      </c>
      <c r="G1271" s="25">
        <v>1074692</v>
      </c>
      <c r="H1271" s="12">
        <f t="shared" si="54"/>
        <v>0</v>
      </c>
      <c r="I1271" s="14">
        <v>45340</v>
      </c>
      <c r="J1271" s="12" t="s">
        <v>37</v>
      </c>
      <c r="K1271" s="12" t="s">
        <v>19</v>
      </c>
      <c r="L1271" s="12" t="s">
        <v>57</v>
      </c>
      <c r="M1271" s="12">
        <v>235.06100000000001</v>
      </c>
      <c r="N1271" s="12">
        <v>203.87299999999999</v>
      </c>
      <c r="O1271" s="12">
        <v>4</v>
      </c>
      <c r="P1271" s="12">
        <v>12</v>
      </c>
      <c r="Q1271" s="13">
        <f t="shared" si="55"/>
        <v>0.88532934518858208</v>
      </c>
    </row>
    <row r="1272" spans="1:17" x14ac:dyDescent="0.25">
      <c r="A1272" s="12">
        <f t="shared" si="53"/>
        <v>2</v>
      </c>
      <c r="B1272" s="12">
        <v>2024</v>
      </c>
      <c r="C1272" s="12">
        <v>7551</v>
      </c>
      <c r="D1272" s="12">
        <v>1074821</v>
      </c>
      <c r="E1272" s="12" t="s">
        <v>13</v>
      </c>
      <c r="F1272" s="12" t="s">
        <v>14</v>
      </c>
      <c r="G1272" s="25">
        <v>1074821</v>
      </c>
      <c r="H1272" s="12">
        <f t="shared" si="54"/>
        <v>0</v>
      </c>
      <c r="I1272" s="14">
        <v>45341</v>
      </c>
      <c r="J1272" s="12" t="s">
        <v>37</v>
      </c>
      <c r="K1272" s="12" t="s">
        <v>19</v>
      </c>
      <c r="L1272" s="12" t="s">
        <v>57</v>
      </c>
      <c r="M1272" s="12">
        <v>235.07</v>
      </c>
      <c r="N1272" s="12">
        <v>203.25800000000001</v>
      </c>
      <c r="O1272" s="12">
        <v>3.8</v>
      </c>
      <c r="P1272" s="33"/>
      <c r="Q1272" s="13">
        <f t="shared" si="55"/>
        <v>0.85192369031301451</v>
      </c>
    </row>
    <row r="1273" spans="1:17" x14ac:dyDescent="0.25">
      <c r="A1273" s="12">
        <f t="shared" si="53"/>
        <v>2</v>
      </c>
      <c r="B1273" s="12">
        <v>2024</v>
      </c>
      <c r="C1273" s="12">
        <v>7552</v>
      </c>
      <c r="D1273" s="12">
        <v>1074822</v>
      </c>
      <c r="E1273" s="12" t="s">
        <v>13</v>
      </c>
      <c r="F1273" s="12" t="s">
        <v>14</v>
      </c>
      <c r="G1273" s="25">
        <v>1074822</v>
      </c>
      <c r="H1273" s="12">
        <f t="shared" si="54"/>
        <v>0</v>
      </c>
      <c r="I1273" s="14">
        <v>45342</v>
      </c>
      <c r="J1273" s="12" t="s">
        <v>37</v>
      </c>
      <c r="K1273" s="12" t="s">
        <v>19</v>
      </c>
      <c r="L1273" s="12" t="s">
        <v>57</v>
      </c>
      <c r="M1273" s="12">
        <v>234.988</v>
      </c>
      <c r="N1273" s="12">
        <v>205.09800000000001</v>
      </c>
      <c r="O1273" s="12">
        <v>4.2</v>
      </c>
      <c r="P1273" s="12">
        <v>11.5</v>
      </c>
      <c r="Q1273" s="13">
        <f t="shared" si="55"/>
        <v>0.86731954684103274</v>
      </c>
    </row>
    <row r="1274" spans="1:17" x14ac:dyDescent="0.25">
      <c r="A1274" s="12">
        <f t="shared" si="53"/>
        <v>2</v>
      </c>
      <c r="B1274" s="12">
        <v>2024</v>
      </c>
      <c r="C1274" s="12">
        <v>7553</v>
      </c>
      <c r="D1274" s="12">
        <v>1074823</v>
      </c>
      <c r="E1274" s="12" t="s">
        <v>13</v>
      </c>
      <c r="F1274" s="12" t="s">
        <v>14</v>
      </c>
      <c r="G1274" s="25">
        <v>1074823</v>
      </c>
      <c r="H1274" s="12">
        <f t="shared" si="54"/>
        <v>0</v>
      </c>
      <c r="I1274" s="14">
        <v>45343</v>
      </c>
      <c r="J1274" s="12" t="s">
        <v>37</v>
      </c>
      <c r="K1274" s="12" t="s">
        <v>19</v>
      </c>
      <c r="L1274" s="12" t="s">
        <v>57</v>
      </c>
      <c r="M1274" s="12">
        <v>235.005</v>
      </c>
      <c r="N1274" s="12">
        <v>202.53200000000001</v>
      </c>
      <c r="O1274" s="12">
        <v>3.5</v>
      </c>
      <c r="P1274" s="12">
        <v>12</v>
      </c>
      <c r="Q1274" s="13">
        <f t="shared" si="55"/>
        <v>0.86467009826860086</v>
      </c>
    </row>
    <row r="1275" spans="1:17" x14ac:dyDescent="0.25">
      <c r="A1275" s="12">
        <f t="shared" si="53"/>
        <v>2</v>
      </c>
      <c r="B1275" s="12">
        <v>2024</v>
      </c>
      <c r="C1275" s="12">
        <v>7554</v>
      </c>
      <c r="D1275" s="12">
        <v>1075108</v>
      </c>
      <c r="E1275" s="12" t="s">
        <v>13</v>
      </c>
      <c r="F1275" s="12" t="s">
        <v>14</v>
      </c>
      <c r="G1275" s="25">
        <v>1075108</v>
      </c>
      <c r="H1275" s="12">
        <f t="shared" si="54"/>
        <v>0</v>
      </c>
      <c r="I1275" s="14">
        <v>45344</v>
      </c>
      <c r="J1275" s="12" t="s">
        <v>37</v>
      </c>
      <c r="K1275" s="12" t="s">
        <v>19</v>
      </c>
      <c r="L1275" s="12" t="s">
        <v>57</v>
      </c>
      <c r="M1275" s="12">
        <v>235.00700000000001</v>
      </c>
      <c r="N1275" s="12">
        <v>202.73500000000001</v>
      </c>
      <c r="O1275" s="12">
        <v>4</v>
      </c>
      <c r="P1275" s="12">
        <v>11.7</v>
      </c>
      <c r="Q1275" s="13">
        <f t="shared" si="55"/>
        <v>0.87280201542206415</v>
      </c>
    </row>
    <row r="1276" spans="1:17" x14ac:dyDescent="0.25">
      <c r="A1276" s="12">
        <f t="shared" si="53"/>
        <v>2</v>
      </c>
      <c r="B1276" s="12">
        <v>2024</v>
      </c>
      <c r="C1276" s="12">
        <v>7555</v>
      </c>
      <c r="D1276" s="12">
        <v>1075111</v>
      </c>
      <c r="E1276" s="12" t="s">
        <v>13</v>
      </c>
      <c r="F1276" s="12" t="s">
        <v>14</v>
      </c>
      <c r="G1276" s="25">
        <v>1075111</v>
      </c>
      <c r="H1276" s="12">
        <f t="shared" si="54"/>
        <v>0</v>
      </c>
      <c r="I1276" s="14">
        <v>45345</v>
      </c>
      <c r="J1276" s="12" t="s">
        <v>64</v>
      </c>
      <c r="K1276" s="12" t="s">
        <v>20</v>
      </c>
      <c r="L1276" s="12" t="s">
        <v>62</v>
      </c>
      <c r="M1276" s="12">
        <v>231.97900000000001</v>
      </c>
      <c r="N1276" s="12">
        <v>199.68199999999999</v>
      </c>
      <c r="O1276" s="12">
        <v>3.9</v>
      </c>
      <c r="P1276" s="12">
        <v>12.1</v>
      </c>
      <c r="Q1276" s="13">
        <f t="shared" si="55"/>
        <v>0.86181996127741967</v>
      </c>
    </row>
    <row r="1277" spans="1:17" x14ac:dyDescent="0.25">
      <c r="A1277" s="12">
        <f t="shared" si="53"/>
        <v>2</v>
      </c>
      <c r="B1277" s="12">
        <v>2024</v>
      </c>
      <c r="C1277" s="12">
        <v>7556</v>
      </c>
      <c r="D1277" s="12">
        <v>1075399</v>
      </c>
      <c r="E1277" s="12" t="s">
        <v>13</v>
      </c>
      <c r="F1277" s="12" t="s">
        <v>14</v>
      </c>
      <c r="G1277" s="25">
        <v>1075399</v>
      </c>
      <c r="H1277" s="12">
        <f t="shared" si="54"/>
        <v>0</v>
      </c>
      <c r="I1277" s="14">
        <v>45346</v>
      </c>
      <c r="J1277" s="12" t="s">
        <v>64</v>
      </c>
      <c r="K1277" s="12" t="s">
        <v>20</v>
      </c>
      <c r="L1277" s="12" t="s">
        <v>62</v>
      </c>
      <c r="M1277" s="12">
        <v>232.02</v>
      </c>
      <c r="N1277" s="12">
        <v>201.232</v>
      </c>
      <c r="O1277" s="12">
        <v>5.3</v>
      </c>
      <c r="P1277" s="12">
        <v>12.1</v>
      </c>
      <c r="Q1277" s="13">
        <f t="shared" si="55"/>
        <v>0.86267643091482382</v>
      </c>
    </row>
    <row r="1278" spans="1:17" x14ac:dyDescent="0.25">
      <c r="A1278" s="12">
        <f t="shared" si="53"/>
        <v>2</v>
      </c>
      <c r="B1278" s="12">
        <v>2024</v>
      </c>
      <c r="C1278" s="12">
        <v>7557</v>
      </c>
      <c r="D1278" s="12">
        <v>1075427</v>
      </c>
      <c r="E1278" s="12" t="s">
        <v>13</v>
      </c>
      <c r="F1278" s="12" t="s">
        <v>14</v>
      </c>
      <c r="G1278" s="25">
        <v>1075427</v>
      </c>
      <c r="H1278" s="12">
        <f t="shared" si="54"/>
        <v>0</v>
      </c>
      <c r="I1278" s="14">
        <v>45346</v>
      </c>
      <c r="J1278" s="12" t="s">
        <v>64</v>
      </c>
      <c r="K1278" s="12" t="s">
        <v>20</v>
      </c>
      <c r="L1278" s="12" t="s">
        <v>61</v>
      </c>
      <c r="M1278" s="12">
        <v>235.01599999999999</v>
      </c>
      <c r="N1278" s="12">
        <v>202.57400000000001</v>
      </c>
      <c r="O1278" s="12">
        <v>3.9</v>
      </c>
      <c r="P1278" s="33"/>
      <c r="Q1278" s="13">
        <f t="shared" si="55"/>
        <v>0.86077619094831848</v>
      </c>
    </row>
    <row r="1279" spans="1:17" x14ac:dyDescent="0.25">
      <c r="A1279" s="12">
        <f t="shared" si="53"/>
        <v>2</v>
      </c>
      <c r="B1279" s="12">
        <v>2024</v>
      </c>
      <c r="C1279" s="12">
        <v>7558</v>
      </c>
      <c r="D1279" s="12">
        <v>1075429</v>
      </c>
      <c r="E1279" s="12" t="s">
        <v>13</v>
      </c>
      <c r="F1279" s="12" t="s">
        <v>14</v>
      </c>
      <c r="G1279" s="25">
        <v>1075429</v>
      </c>
      <c r="H1279" s="12">
        <f t="shared" si="54"/>
        <v>0</v>
      </c>
      <c r="I1279" s="14">
        <v>45347</v>
      </c>
      <c r="J1279" s="12" t="s">
        <v>64</v>
      </c>
      <c r="K1279" s="12" t="s">
        <v>20</v>
      </c>
      <c r="L1279" s="12" t="s">
        <v>61</v>
      </c>
      <c r="M1279" s="12">
        <v>232.053</v>
      </c>
      <c r="N1279" s="12">
        <v>203.93899999999999</v>
      </c>
      <c r="O1279" s="12">
        <v>4.0999999999999996</v>
      </c>
      <c r="P1279" s="33"/>
      <c r="Q1279" s="13">
        <f t="shared" si="55"/>
        <v>0.8673045427118351</v>
      </c>
    </row>
    <row r="1280" spans="1:17" x14ac:dyDescent="0.25">
      <c r="A1280" s="12">
        <f t="shared" si="53"/>
        <v>2</v>
      </c>
      <c r="B1280" s="12">
        <v>2024</v>
      </c>
      <c r="C1280" s="12">
        <v>7559</v>
      </c>
      <c r="D1280" s="12">
        <v>1075666</v>
      </c>
      <c r="E1280" s="12" t="s">
        <v>13</v>
      </c>
      <c r="F1280" s="12" t="s">
        <v>14</v>
      </c>
      <c r="G1280" s="25">
        <v>1075666</v>
      </c>
      <c r="H1280" s="12">
        <f t="shared" si="54"/>
        <v>0</v>
      </c>
      <c r="I1280" s="14">
        <v>45348</v>
      </c>
      <c r="J1280" s="12" t="s">
        <v>64</v>
      </c>
      <c r="K1280" s="12" t="s">
        <v>20</v>
      </c>
      <c r="L1280" s="12" t="s">
        <v>61</v>
      </c>
      <c r="M1280" s="12">
        <v>232.01900000000001</v>
      </c>
      <c r="N1280" s="12">
        <v>195.09800000000001</v>
      </c>
      <c r="O1280" s="12">
        <v>4</v>
      </c>
      <c r="P1280" s="33"/>
      <c r="Q1280" s="13">
        <f t="shared" si="55"/>
        <v>0.8619583347516766</v>
      </c>
    </row>
    <row r="1281" spans="1:17" x14ac:dyDescent="0.25">
      <c r="A1281" s="12">
        <f t="shared" si="53"/>
        <v>2</v>
      </c>
      <c r="B1281" s="12">
        <v>2024</v>
      </c>
      <c r="C1281" s="12">
        <v>7560</v>
      </c>
      <c r="D1281" s="12">
        <v>1075669</v>
      </c>
      <c r="E1281" s="12" t="s">
        <v>13</v>
      </c>
      <c r="F1281" s="12" t="s">
        <v>14</v>
      </c>
      <c r="G1281" s="25">
        <v>1075669</v>
      </c>
      <c r="H1281" s="12">
        <f t="shared" si="54"/>
        <v>0</v>
      </c>
      <c r="I1281" s="14">
        <v>45349</v>
      </c>
      <c r="J1281" s="12" t="s">
        <v>64</v>
      </c>
      <c r="K1281" s="12" t="s">
        <v>20</v>
      </c>
      <c r="L1281" s="12" t="s">
        <v>61</v>
      </c>
      <c r="M1281" s="12">
        <v>232.035</v>
      </c>
      <c r="N1281" s="12">
        <v>201.88900000000001</v>
      </c>
      <c r="O1281" s="12">
        <v>4</v>
      </c>
      <c r="P1281" s="12">
        <v>12.3</v>
      </c>
      <c r="Q1281" s="13">
        <f t="shared" si="55"/>
        <v>0.87884664279281022</v>
      </c>
    </row>
    <row r="1282" spans="1:17" x14ac:dyDescent="0.25">
      <c r="A1282" s="12">
        <f t="shared" si="53"/>
        <v>2</v>
      </c>
      <c r="B1282" s="12">
        <v>2024</v>
      </c>
      <c r="C1282" s="12">
        <v>7561</v>
      </c>
      <c r="D1282" s="12">
        <v>1075965</v>
      </c>
      <c r="E1282" s="12" t="s">
        <v>13</v>
      </c>
      <c r="F1282" s="12" t="s">
        <v>14</v>
      </c>
      <c r="G1282" s="25">
        <v>1075965</v>
      </c>
      <c r="H1282" s="12">
        <f t="shared" si="54"/>
        <v>0</v>
      </c>
      <c r="I1282" s="14">
        <v>45350</v>
      </c>
      <c r="J1282" s="12" t="s">
        <v>64</v>
      </c>
      <c r="K1282" s="12" t="s">
        <v>20</v>
      </c>
      <c r="L1282" s="12" t="s">
        <v>61</v>
      </c>
      <c r="M1282" s="12">
        <v>232.005</v>
      </c>
      <c r="N1282" s="12">
        <v>203.53700000000001</v>
      </c>
      <c r="O1282" s="12">
        <v>4</v>
      </c>
      <c r="P1282" s="12">
        <v>11.5</v>
      </c>
      <c r="Q1282" s="13">
        <f t="shared" si="55"/>
        <v>0.84087079075420557</v>
      </c>
    </row>
    <row r="1283" spans="1:17" x14ac:dyDescent="0.25">
      <c r="A1283" s="12">
        <f t="shared" ref="A1283:A1346" si="56">MONTH(I1283)</f>
        <v>2</v>
      </c>
      <c r="B1283" s="12">
        <v>2024</v>
      </c>
      <c r="C1283" s="12">
        <v>7562</v>
      </c>
      <c r="D1283" s="12">
        <v>1075966</v>
      </c>
      <c r="E1283" s="12" t="s">
        <v>13</v>
      </c>
      <c r="F1283" s="12" t="s">
        <v>14</v>
      </c>
      <c r="G1283" s="25">
        <v>1075966</v>
      </c>
      <c r="H1283" s="12">
        <f t="shared" si="54"/>
        <v>0</v>
      </c>
      <c r="I1283" s="14">
        <v>45351</v>
      </c>
      <c r="J1283" s="12" t="s">
        <v>17</v>
      </c>
      <c r="K1283" s="12" t="s">
        <v>20</v>
      </c>
      <c r="L1283" s="12" t="s">
        <v>61</v>
      </c>
      <c r="M1283" s="12">
        <v>231.99600000000001</v>
      </c>
      <c r="N1283" s="12">
        <v>200.63200000000001</v>
      </c>
      <c r="O1283" s="12">
        <v>3.9</v>
      </c>
      <c r="P1283" s="12">
        <v>12.1</v>
      </c>
      <c r="Q1283" s="13">
        <f t="shared" si="55"/>
        <v>0.87007994483590845</v>
      </c>
    </row>
    <row r="1284" spans="1:17" x14ac:dyDescent="0.25">
      <c r="A1284" s="12">
        <f t="shared" si="56"/>
        <v>3</v>
      </c>
      <c r="B1284" s="12">
        <v>2024</v>
      </c>
      <c r="C1284" s="12">
        <v>7563</v>
      </c>
      <c r="D1284" s="12">
        <v>1076303</v>
      </c>
      <c r="E1284" s="12" t="s">
        <v>13</v>
      </c>
      <c r="F1284" s="12" t="s">
        <v>14</v>
      </c>
      <c r="G1284" s="25">
        <v>1076303</v>
      </c>
      <c r="H1284" s="12">
        <f t="shared" si="54"/>
        <v>0</v>
      </c>
      <c r="I1284" s="14">
        <v>45352</v>
      </c>
      <c r="J1284" s="12" t="s">
        <v>17</v>
      </c>
      <c r="K1284" s="12" t="s">
        <v>20</v>
      </c>
      <c r="L1284" s="12" t="s">
        <v>61</v>
      </c>
      <c r="M1284" s="12">
        <v>232.011</v>
      </c>
      <c r="N1284" s="12">
        <v>199.92099999999999</v>
      </c>
      <c r="O1284" s="12">
        <v>3.8</v>
      </c>
      <c r="P1284" s="33"/>
      <c r="Q1284" s="13">
        <f t="shared" si="55"/>
        <v>0.87729574793646692</v>
      </c>
    </row>
    <row r="1285" spans="1:17" x14ac:dyDescent="0.25">
      <c r="A1285" s="12">
        <f t="shared" si="56"/>
        <v>3</v>
      </c>
      <c r="B1285" s="12">
        <v>2024</v>
      </c>
      <c r="C1285" s="12">
        <v>7564</v>
      </c>
      <c r="D1285" s="12">
        <v>1076330</v>
      </c>
      <c r="E1285" s="12" t="s">
        <v>13</v>
      </c>
      <c r="F1285" s="12" t="s">
        <v>14</v>
      </c>
      <c r="G1285" s="25">
        <v>1076330</v>
      </c>
      <c r="H1285" s="12">
        <f t="shared" si="54"/>
        <v>0</v>
      </c>
      <c r="I1285" s="14">
        <v>45353</v>
      </c>
      <c r="J1285" s="12" t="s">
        <v>17</v>
      </c>
      <c r="K1285" s="12" t="s">
        <v>20</v>
      </c>
      <c r="L1285" s="12" t="s">
        <v>61</v>
      </c>
      <c r="M1285" s="12">
        <v>232.011</v>
      </c>
      <c r="N1285" s="12">
        <v>203.19399999999999</v>
      </c>
      <c r="O1285" s="12">
        <v>4.4000000000000004</v>
      </c>
      <c r="P1285" s="33"/>
      <c r="Q1285" s="13">
        <f t="shared" si="55"/>
        <v>0.86480801393127471</v>
      </c>
    </row>
    <row r="1286" spans="1:17" x14ac:dyDescent="0.25">
      <c r="A1286" s="12">
        <f t="shared" si="56"/>
        <v>3</v>
      </c>
      <c r="B1286" s="12">
        <v>2024</v>
      </c>
      <c r="C1286" s="12">
        <v>7565</v>
      </c>
      <c r="D1286" s="12">
        <v>1076335</v>
      </c>
      <c r="E1286" s="12" t="s">
        <v>13</v>
      </c>
      <c r="F1286" s="12" t="s">
        <v>14</v>
      </c>
      <c r="G1286" s="25">
        <v>1076335</v>
      </c>
      <c r="H1286" s="12">
        <f t="shared" si="54"/>
        <v>0</v>
      </c>
      <c r="I1286" s="14">
        <v>45354</v>
      </c>
      <c r="J1286" s="12" t="s">
        <v>17</v>
      </c>
      <c r="K1286" s="12" t="s">
        <v>20</v>
      </c>
      <c r="L1286" s="12" t="s">
        <v>61</v>
      </c>
      <c r="M1286" s="12">
        <v>232.012</v>
      </c>
      <c r="N1286" s="12">
        <v>202.398</v>
      </c>
      <c r="O1286" s="12">
        <v>3.9</v>
      </c>
      <c r="P1286" s="12">
        <v>11.5</v>
      </c>
      <c r="Q1286" s="13">
        <f t="shared" si="55"/>
        <v>0.86168759239863624</v>
      </c>
    </row>
    <row r="1287" spans="1:17" x14ac:dyDescent="0.25">
      <c r="A1287" s="12">
        <f t="shared" si="56"/>
        <v>3</v>
      </c>
      <c r="B1287" s="12">
        <v>2024</v>
      </c>
      <c r="C1287" s="12">
        <v>7566</v>
      </c>
      <c r="D1287" s="12">
        <v>1076342</v>
      </c>
      <c r="E1287" s="12" t="s">
        <v>13</v>
      </c>
      <c r="F1287" s="12" t="s">
        <v>14</v>
      </c>
      <c r="G1287" s="25">
        <v>1076342</v>
      </c>
      <c r="H1287" s="12">
        <f t="shared" si="54"/>
        <v>0</v>
      </c>
      <c r="I1287" s="14">
        <v>45355</v>
      </c>
      <c r="J1287" s="12" t="s">
        <v>17</v>
      </c>
      <c r="K1287" s="12" t="s">
        <v>20</v>
      </c>
      <c r="L1287" s="12" t="s">
        <v>61</v>
      </c>
      <c r="M1287" s="12">
        <v>232.02</v>
      </c>
      <c r="N1287" s="12">
        <v>202.935</v>
      </c>
      <c r="O1287" s="12">
        <v>4.7</v>
      </c>
      <c r="P1287" s="12">
        <v>12.1</v>
      </c>
      <c r="Q1287" s="13">
        <f t="shared" si="55"/>
        <v>0.87579468214869116</v>
      </c>
    </row>
    <row r="1288" spans="1:17" x14ac:dyDescent="0.25">
      <c r="A1288" s="12">
        <f t="shared" si="56"/>
        <v>3</v>
      </c>
      <c r="B1288" s="12">
        <v>2024</v>
      </c>
      <c r="C1288" s="12">
        <v>7567</v>
      </c>
      <c r="D1288" s="12">
        <v>1076720</v>
      </c>
      <c r="E1288" s="12" t="s">
        <v>13</v>
      </c>
      <c r="F1288" s="12" t="s">
        <v>14</v>
      </c>
      <c r="G1288" s="25">
        <v>1076720</v>
      </c>
      <c r="H1288" s="12">
        <f t="shared" si="54"/>
        <v>0</v>
      </c>
      <c r="I1288" s="14">
        <v>45356</v>
      </c>
      <c r="J1288" s="12" t="s">
        <v>18</v>
      </c>
      <c r="K1288" s="12" t="s">
        <v>19</v>
      </c>
      <c r="L1288" s="12" t="s">
        <v>57</v>
      </c>
      <c r="M1288" s="12">
        <v>235.01</v>
      </c>
      <c r="N1288" s="12">
        <v>200.018</v>
      </c>
      <c r="O1288" s="12">
        <v>3.4</v>
      </c>
      <c r="P1288" s="12">
        <v>11.7</v>
      </c>
      <c r="Q1288" s="13">
        <f t="shared" si="55"/>
        <v>0.87236005034222364</v>
      </c>
    </row>
    <row r="1289" spans="1:17" x14ac:dyDescent="0.25">
      <c r="A1289" s="12">
        <f t="shared" si="56"/>
        <v>3</v>
      </c>
      <c r="B1289" s="12">
        <v>2024</v>
      </c>
      <c r="C1289" s="12">
        <v>7568</v>
      </c>
      <c r="D1289" s="12">
        <v>1076728</v>
      </c>
      <c r="E1289" s="12" t="s">
        <v>13</v>
      </c>
      <c r="F1289" s="12" t="s">
        <v>14</v>
      </c>
      <c r="G1289" s="25">
        <v>1076728</v>
      </c>
      <c r="H1289" s="12">
        <f t="shared" si="54"/>
        <v>0</v>
      </c>
      <c r="I1289" s="14">
        <v>45357</v>
      </c>
      <c r="J1289" s="12" t="s">
        <v>18</v>
      </c>
      <c r="K1289" s="12" t="s">
        <v>19</v>
      </c>
      <c r="L1289" s="12" t="s">
        <v>57</v>
      </c>
      <c r="M1289" s="12">
        <v>234.95400000000001</v>
      </c>
      <c r="N1289" s="12">
        <v>200.91800000000001</v>
      </c>
      <c r="O1289" s="12">
        <v>4</v>
      </c>
      <c r="P1289" s="12">
        <v>11.7</v>
      </c>
      <c r="Q1289" s="13">
        <f t="shared" si="55"/>
        <v>0.87464442720455127</v>
      </c>
    </row>
    <row r="1290" spans="1:17" x14ac:dyDescent="0.25">
      <c r="A1290" s="12">
        <f t="shared" si="56"/>
        <v>3</v>
      </c>
      <c r="B1290" s="12">
        <v>2024</v>
      </c>
      <c r="C1290" s="12">
        <v>7569</v>
      </c>
      <c r="D1290" s="12">
        <v>1076917</v>
      </c>
      <c r="E1290" s="12" t="s">
        <v>13</v>
      </c>
      <c r="F1290" s="12" t="s">
        <v>14</v>
      </c>
      <c r="G1290" s="25">
        <v>1076917</v>
      </c>
      <c r="H1290" s="12">
        <f t="shared" si="54"/>
        <v>0</v>
      </c>
      <c r="I1290" s="14">
        <v>45358</v>
      </c>
      <c r="J1290" s="12" t="s">
        <v>18</v>
      </c>
      <c r="K1290" s="12" t="s">
        <v>19</v>
      </c>
      <c r="L1290" s="12" t="s">
        <v>57</v>
      </c>
      <c r="M1290" s="12">
        <v>235.012</v>
      </c>
      <c r="N1290" s="12">
        <v>200.42</v>
      </c>
      <c r="O1290" s="12">
        <v>3.6</v>
      </c>
      <c r="P1290" s="12">
        <v>11.8</v>
      </c>
      <c r="Q1290" s="13">
        <f t="shared" si="55"/>
        <v>0.85110420833156042</v>
      </c>
    </row>
    <row r="1291" spans="1:17" x14ac:dyDescent="0.25">
      <c r="A1291" s="12">
        <f t="shared" si="56"/>
        <v>3</v>
      </c>
      <c r="B1291" s="12">
        <v>2024</v>
      </c>
      <c r="C1291" s="12">
        <v>7570</v>
      </c>
      <c r="D1291" s="12">
        <v>1077106</v>
      </c>
      <c r="E1291" s="12" t="s">
        <v>13</v>
      </c>
      <c r="F1291" s="12" t="s">
        <v>14</v>
      </c>
      <c r="G1291" s="25">
        <v>1077106</v>
      </c>
      <c r="H1291" s="12">
        <f t="shared" si="54"/>
        <v>0</v>
      </c>
      <c r="I1291" s="14">
        <v>45359</v>
      </c>
      <c r="J1291" s="12" t="s">
        <v>18</v>
      </c>
      <c r="K1291" s="12" t="s">
        <v>19</v>
      </c>
      <c r="L1291" s="12" t="s">
        <v>57</v>
      </c>
      <c r="M1291" s="12">
        <v>234.946</v>
      </c>
      <c r="N1291" s="12">
        <v>203.499</v>
      </c>
      <c r="O1291" s="12">
        <v>3.8</v>
      </c>
      <c r="P1291" s="12">
        <v>11.8</v>
      </c>
      <c r="Q1291" s="13">
        <f t="shared" si="55"/>
        <v>0.8551376014028278</v>
      </c>
    </row>
    <row r="1292" spans="1:17" x14ac:dyDescent="0.25">
      <c r="A1292" s="12">
        <f t="shared" si="56"/>
        <v>3</v>
      </c>
      <c r="B1292" s="12">
        <v>2024</v>
      </c>
      <c r="C1292" s="12">
        <v>7571</v>
      </c>
      <c r="D1292" s="12">
        <v>1077229</v>
      </c>
      <c r="E1292" s="12" t="s">
        <v>13</v>
      </c>
      <c r="F1292" s="12" t="s">
        <v>14</v>
      </c>
      <c r="G1292" s="25">
        <v>1077229</v>
      </c>
      <c r="H1292" s="12">
        <f t="shared" si="54"/>
        <v>0</v>
      </c>
      <c r="I1292" s="14">
        <v>45360</v>
      </c>
      <c r="J1292" s="12" t="s">
        <v>18</v>
      </c>
      <c r="K1292" s="12" t="s">
        <v>19</v>
      </c>
      <c r="L1292" s="12" t="s">
        <v>57</v>
      </c>
      <c r="M1292" s="12">
        <v>235.012</v>
      </c>
      <c r="N1292" s="12">
        <v>200.36199999999999</v>
      </c>
      <c r="O1292" s="12">
        <v>3.7</v>
      </c>
      <c r="P1292" s="12">
        <v>11.8</v>
      </c>
      <c r="Q1292" s="13">
        <f t="shared" si="55"/>
        <v>0.85280751621193807</v>
      </c>
    </row>
    <row r="1293" spans="1:17" x14ac:dyDescent="0.25">
      <c r="A1293" s="12">
        <f t="shared" si="56"/>
        <v>3</v>
      </c>
      <c r="B1293" s="12">
        <v>2024</v>
      </c>
      <c r="C1293" s="12">
        <v>7572</v>
      </c>
      <c r="D1293" s="12">
        <v>1077476</v>
      </c>
      <c r="E1293" s="12" t="s">
        <v>13</v>
      </c>
      <c r="F1293" s="12" t="s">
        <v>14</v>
      </c>
      <c r="G1293" s="25">
        <v>1077476</v>
      </c>
      <c r="H1293" s="12">
        <f t="shared" si="54"/>
        <v>0</v>
      </c>
      <c r="I1293" s="14">
        <v>45360</v>
      </c>
      <c r="J1293" s="12" t="s">
        <v>18</v>
      </c>
      <c r="K1293" s="12" t="s">
        <v>19</v>
      </c>
      <c r="L1293" s="12" t="s">
        <v>67</v>
      </c>
      <c r="M1293" s="12">
        <v>235.00700000000001</v>
      </c>
      <c r="N1293" s="12">
        <v>205.459</v>
      </c>
      <c r="O1293" s="12">
        <v>3.7</v>
      </c>
      <c r="P1293" s="12">
        <v>11.7</v>
      </c>
      <c r="Q1293" s="13">
        <f t="shared" si="55"/>
        <v>0.86615222221276378</v>
      </c>
    </row>
    <row r="1294" spans="1:17" x14ac:dyDescent="0.25">
      <c r="A1294" s="12">
        <f t="shared" si="56"/>
        <v>3</v>
      </c>
      <c r="B1294" s="12">
        <v>2024</v>
      </c>
      <c r="C1294" s="12">
        <v>7573</v>
      </c>
      <c r="D1294" s="12">
        <v>1077563</v>
      </c>
      <c r="E1294" s="12" t="s">
        <v>13</v>
      </c>
      <c r="F1294" s="12" t="s">
        <v>14</v>
      </c>
      <c r="G1294" s="25">
        <v>1077563</v>
      </c>
      <c r="H1294" s="12">
        <f t="shared" si="54"/>
        <v>0</v>
      </c>
      <c r="I1294" s="14">
        <v>45361</v>
      </c>
      <c r="J1294" s="12" t="s">
        <v>18</v>
      </c>
      <c r="K1294" s="12" t="s">
        <v>19</v>
      </c>
      <c r="L1294" s="12" t="s">
        <v>67</v>
      </c>
      <c r="M1294" s="12">
        <v>235.00200000000001</v>
      </c>
      <c r="N1294" s="12">
        <v>203.602</v>
      </c>
      <c r="O1294" s="12">
        <v>3.6</v>
      </c>
      <c r="P1294" s="12">
        <v>11.5</v>
      </c>
      <c r="Q1294" s="13">
        <f t="shared" si="55"/>
        <v>0.85256072030364405</v>
      </c>
    </row>
    <row r="1295" spans="1:17" x14ac:dyDescent="0.25">
      <c r="A1295" s="12">
        <f t="shared" si="56"/>
        <v>3</v>
      </c>
      <c r="B1295" s="12">
        <v>2024</v>
      </c>
      <c r="C1295" s="12">
        <v>7574</v>
      </c>
      <c r="D1295" s="12">
        <v>1077564</v>
      </c>
      <c r="E1295" s="12" t="s">
        <v>13</v>
      </c>
      <c r="F1295" s="12" t="s">
        <v>14</v>
      </c>
      <c r="G1295" s="25">
        <v>1077564</v>
      </c>
      <c r="H1295" s="12">
        <f t="shared" si="54"/>
        <v>0</v>
      </c>
      <c r="I1295" s="14">
        <v>45362</v>
      </c>
      <c r="J1295" s="12" t="s">
        <v>51</v>
      </c>
      <c r="K1295" s="12" t="s">
        <v>19</v>
      </c>
      <c r="L1295" s="12" t="s">
        <v>57</v>
      </c>
      <c r="M1295" s="12">
        <v>235.01</v>
      </c>
      <c r="N1295" s="12">
        <v>203.02199999999999</v>
      </c>
      <c r="O1295" s="12">
        <v>3.9</v>
      </c>
      <c r="P1295" s="12">
        <v>11.8</v>
      </c>
      <c r="Q1295" s="13">
        <f t="shared" si="55"/>
        <v>0.87426757500840402</v>
      </c>
    </row>
    <row r="1296" spans="1:17" x14ac:dyDescent="0.25">
      <c r="A1296" s="12">
        <f t="shared" si="56"/>
        <v>3</v>
      </c>
      <c r="B1296" s="12">
        <v>2024</v>
      </c>
      <c r="C1296" s="12">
        <v>7575</v>
      </c>
      <c r="D1296" s="12">
        <v>1077648</v>
      </c>
      <c r="E1296" s="12" t="s">
        <v>13</v>
      </c>
      <c r="F1296" s="12" t="s">
        <v>14</v>
      </c>
      <c r="G1296" s="25">
        <v>1077648</v>
      </c>
      <c r="H1296" s="12">
        <f t="shared" si="54"/>
        <v>0</v>
      </c>
      <c r="I1296" s="14">
        <v>45363</v>
      </c>
      <c r="J1296" s="12" t="s">
        <v>51</v>
      </c>
      <c r="K1296" s="12" t="s">
        <v>19</v>
      </c>
      <c r="L1296" s="12" t="s">
        <v>57</v>
      </c>
      <c r="M1296" s="12">
        <v>235.005</v>
      </c>
      <c r="N1296" s="12">
        <v>205.69499999999999</v>
      </c>
      <c r="O1296" s="12">
        <v>3.8</v>
      </c>
      <c r="P1296" s="12">
        <v>11.6</v>
      </c>
      <c r="Q1296" s="13">
        <f t="shared" si="55"/>
        <v>0.86638411587986486</v>
      </c>
    </row>
    <row r="1297" spans="1:17" x14ac:dyDescent="0.25">
      <c r="A1297" s="12">
        <f t="shared" si="56"/>
        <v>3</v>
      </c>
      <c r="B1297" s="12">
        <v>2024</v>
      </c>
      <c r="C1297" s="12">
        <v>7576</v>
      </c>
      <c r="D1297" s="12">
        <v>1077650</v>
      </c>
      <c r="E1297" s="12" t="s">
        <v>13</v>
      </c>
      <c r="F1297" s="12" t="s">
        <v>14</v>
      </c>
      <c r="G1297" s="25">
        <v>1077650</v>
      </c>
      <c r="H1297" s="12">
        <f t="shared" si="54"/>
        <v>0</v>
      </c>
      <c r="I1297" s="14">
        <v>45364</v>
      </c>
      <c r="J1297" s="12" t="s">
        <v>51</v>
      </c>
      <c r="K1297" s="12" t="s">
        <v>19</v>
      </c>
      <c r="L1297" s="12" t="s">
        <v>57</v>
      </c>
      <c r="M1297" s="12">
        <v>234.989</v>
      </c>
      <c r="N1297" s="12">
        <v>207.94399999999999</v>
      </c>
      <c r="O1297" s="12">
        <v>4.5999999999999996</v>
      </c>
      <c r="P1297" s="12">
        <v>11.5</v>
      </c>
      <c r="Q1297" s="13">
        <f t="shared" si="55"/>
        <v>0.86388664312156926</v>
      </c>
    </row>
    <row r="1298" spans="1:17" x14ac:dyDescent="0.25">
      <c r="A1298" s="12">
        <f t="shared" si="56"/>
        <v>3</v>
      </c>
      <c r="B1298" s="12">
        <v>2024</v>
      </c>
      <c r="C1298" s="12">
        <v>7577</v>
      </c>
      <c r="D1298" s="12">
        <v>1077814</v>
      </c>
      <c r="E1298" s="12" t="s">
        <v>13</v>
      </c>
      <c r="F1298" s="12" t="s">
        <v>14</v>
      </c>
      <c r="G1298" s="25">
        <v>1077814</v>
      </c>
      <c r="H1298" s="12">
        <f t="shared" si="54"/>
        <v>0</v>
      </c>
      <c r="I1298" s="14">
        <v>45365</v>
      </c>
      <c r="J1298" s="12" t="s">
        <v>51</v>
      </c>
      <c r="K1298" s="12" t="s">
        <v>19</v>
      </c>
      <c r="L1298" s="12" t="s">
        <v>57</v>
      </c>
      <c r="M1298" s="12">
        <v>235.011</v>
      </c>
      <c r="N1298" s="12">
        <v>201.88399999999999</v>
      </c>
      <c r="O1298" s="12">
        <v>3.6</v>
      </c>
      <c r="P1298" s="12">
        <v>11.7</v>
      </c>
      <c r="Q1298" s="13">
        <f t="shared" si="55"/>
        <v>0.87527924937767276</v>
      </c>
    </row>
    <row r="1299" spans="1:17" x14ac:dyDescent="0.25">
      <c r="A1299" s="12">
        <f t="shared" si="56"/>
        <v>3</v>
      </c>
      <c r="B1299" s="12">
        <v>2024</v>
      </c>
      <c r="C1299" s="12">
        <v>7578</v>
      </c>
      <c r="D1299" s="12">
        <v>1078099</v>
      </c>
      <c r="E1299" s="12" t="s">
        <v>13</v>
      </c>
      <c r="F1299" s="12" t="s">
        <v>14</v>
      </c>
      <c r="G1299" s="25">
        <v>1078099</v>
      </c>
      <c r="H1299" s="12">
        <f t="shared" si="54"/>
        <v>0</v>
      </c>
      <c r="I1299" s="14">
        <v>45366</v>
      </c>
      <c r="J1299" s="12" t="s">
        <v>51</v>
      </c>
      <c r="K1299" s="12" t="s">
        <v>19</v>
      </c>
      <c r="L1299" s="12" t="s">
        <v>57</v>
      </c>
      <c r="M1299" s="12">
        <v>235.041</v>
      </c>
      <c r="N1299" s="12">
        <v>206.65100000000001</v>
      </c>
      <c r="O1299" s="12">
        <v>4</v>
      </c>
      <c r="P1299" s="12">
        <v>11.4</v>
      </c>
      <c r="Q1299" s="13">
        <f t="shared" si="55"/>
        <v>0.88490950640242727</v>
      </c>
    </row>
    <row r="1300" spans="1:17" x14ac:dyDescent="0.25">
      <c r="A1300" s="12">
        <f t="shared" si="56"/>
        <v>3</v>
      </c>
      <c r="B1300" s="12">
        <v>2024</v>
      </c>
      <c r="C1300" s="12">
        <v>7579</v>
      </c>
      <c r="D1300" s="12">
        <v>1078204</v>
      </c>
      <c r="E1300" s="12" t="s">
        <v>13</v>
      </c>
      <c r="F1300" s="12" t="s">
        <v>14</v>
      </c>
      <c r="G1300" s="25">
        <v>1078204</v>
      </c>
      <c r="H1300" s="12">
        <f t="shared" si="54"/>
        <v>0</v>
      </c>
      <c r="I1300" s="14">
        <v>45367</v>
      </c>
      <c r="J1300" s="12" t="s">
        <v>18</v>
      </c>
      <c r="K1300" s="12" t="s">
        <v>20</v>
      </c>
      <c r="L1300" s="12" t="s">
        <v>62</v>
      </c>
      <c r="M1300" s="12">
        <v>231.98599999999999</v>
      </c>
      <c r="N1300" s="12">
        <v>196.45599999999999</v>
      </c>
      <c r="O1300" s="12">
        <v>4</v>
      </c>
      <c r="P1300" s="12">
        <v>12</v>
      </c>
      <c r="Q1300" s="13">
        <f t="shared" si="55"/>
        <v>0.85904064065086316</v>
      </c>
    </row>
    <row r="1301" spans="1:17" x14ac:dyDescent="0.25">
      <c r="A1301" s="12">
        <f t="shared" si="56"/>
        <v>3</v>
      </c>
      <c r="B1301" s="12">
        <v>2024</v>
      </c>
      <c r="C1301" s="12">
        <v>7580</v>
      </c>
      <c r="D1301" s="12">
        <v>1078300</v>
      </c>
      <c r="E1301" s="12" t="s">
        <v>13</v>
      </c>
      <c r="F1301" s="12" t="s">
        <v>14</v>
      </c>
      <c r="G1301" s="25">
        <v>1078300</v>
      </c>
      <c r="H1301" s="12">
        <f t="shared" si="54"/>
        <v>0</v>
      </c>
      <c r="I1301" s="14">
        <v>45368</v>
      </c>
      <c r="J1301" s="12" t="s">
        <v>18</v>
      </c>
      <c r="K1301" s="12" t="s">
        <v>20</v>
      </c>
      <c r="L1301" s="12" t="s">
        <v>62</v>
      </c>
      <c r="M1301" s="12">
        <v>231.99700000000001</v>
      </c>
      <c r="N1301" s="12">
        <v>200.30500000000001</v>
      </c>
      <c r="O1301" s="12">
        <v>4.0999999999999996</v>
      </c>
      <c r="P1301" s="12">
        <v>12</v>
      </c>
      <c r="Q1301" s="13">
        <f t="shared" si="55"/>
        <v>0.87921256291455541</v>
      </c>
    </row>
    <row r="1302" spans="1:17" x14ac:dyDescent="0.25">
      <c r="A1302" s="12">
        <f t="shared" si="56"/>
        <v>3</v>
      </c>
      <c r="B1302" s="12">
        <v>2024</v>
      </c>
      <c r="C1302" s="12">
        <v>7581</v>
      </c>
      <c r="D1302" s="12">
        <v>1078310</v>
      </c>
      <c r="E1302" s="12" t="s">
        <v>13</v>
      </c>
      <c r="F1302" s="12" t="s">
        <v>14</v>
      </c>
      <c r="G1302" s="25">
        <v>1078310</v>
      </c>
      <c r="H1302" s="12">
        <f t="shared" si="54"/>
        <v>0</v>
      </c>
      <c r="I1302" s="14">
        <v>45369</v>
      </c>
      <c r="J1302" s="12" t="s">
        <v>18</v>
      </c>
      <c r="K1302" s="12" t="s">
        <v>20</v>
      </c>
      <c r="L1302" s="12" t="s">
        <v>63</v>
      </c>
      <c r="M1302" s="12">
        <v>232.006</v>
      </c>
      <c r="N1302" s="12">
        <v>198.87799999999999</v>
      </c>
      <c r="O1302" s="12">
        <v>3.9</v>
      </c>
      <c r="P1302" s="12">
        <v>11.7</v>
      </c>
      <c r="Q1302" s="13">
        <f t="shared" si="55"/>
        <v>0.84684420611588629</v>
      </c>
    </row>
    <row r="1303" spans="1:17" x14ac:dyDescent="0.25">
      <c r="A1303" s="12">
        <f t="shared" si="56"/>
        <v>3</v>
      </c>
      <c r="B1303" s="12">
        <v>2024</v>
      </c>
      <c r="C1303" s="12">
        <v>7582</v>
      </c>
      <c r="D1303" s="12">
        <v>1078548</v>
      </c>
      <c r="E1303" s="12" t="s">
        <v>13</v>
      </c>
      <c r="F1303" s="12" t="s">
        <v>14</v>
      </c>
      <c r="G1303" s="25">
        <v>1078548</v>
      </c>
      <c r="H1303" s="12">
        <f t="shared" si="54"/>
        <v>0</v>
      </c>
      <c r="I1303" s="14">
        <v>45370</v>
      </c>
      <c r="J1303" s="12" t="s">
        <v>18</v>
      </c>
      <c r="K1303" s="12" t="s">
        <v>20</v>
      </c>
      <c r="L1303" s="12" t="s">
        <v>63</v>
      </c>
      <c r="M1303" s="12">
        <v>232.13</v>
      </c>
      <c r="N1303" s="12">
        <v>201.02</v>
      </c>
      <c r="O1303" s="12">
        <v>6</v>
      </c>
      <c r="P1303" s="12">
        <v>12.1</v>
      </c>
      <c r="Q1303" s="13">
        <f t="shared" si="55"/>
        <v>0.86339478527739577</v>
      </c>
    </row>
    <row r="1304" spans="1:17" x14ac:dyDescent="0.25">
      <c r="A1304" s="12">
        <f t="shared" si="56"/>
        <v>3</v>
      </c>
      <c r="B1304" s="12">
        <v>2024</v>
      </c>
      <c r="C1304" s="12">
        <v>7583</v>
      </c>
      <c r="D1304" s="12">
        <v>1078577</v>
      </c>
      <c r="E1304" s="12" t="s">
        <v>13</v>
      </c>
      <c r="F1304" s="12" t="s">
        <v>14</v>
      </c>
      <c r="G1304" s="25">
        <v>1078577</v>
      </c>
      <c r="H1304" s="12">
        <f t="shared" si="54"/>
        <v>0</v>
      </c>
      <c r="I1304" s="14">
        <v>45371</v>
      </c>
      <c r="J1304" s="12" t="s">
        <v>18</v>
      </c>
      <c r="K1304" s="12" t="s">
        <v>19</v>
      </c>
      <c r="L1304" s="12" t="s">
        <v>57</v>
      </c>
      <c r="M1304" s="12">
        <v>235.01599999999999</v>
      </c>
      <c r="N1304" s="12">
        <v>200.82400000000001</v>
      </c>
      <c r="O1304" s="12">
        <v>3.5</v>
      </c>
      <c r="P1304" s="12">
        <v>11.6</v>
      </c>
      <c r="Q1304" s="13">
        <f t="shared" si="55"/>
        <v>0.85721058938130901</v>
      </c>
    </row>
    <row r="1305" spans="1:17" x14ac:dyDescent="0.25">
      <c r="A1305" s="12">
        <f t="shared" si="56"/>
        <v>3</v>
      </c>
      <c r="B1305" s="12">
        <v>2024</v>
      </c>
      <c r="C1305" s="12">
        <v>7584</v>
      </c>
      <c r="D1305" s="12">
        <v>1078578</v>
      </c>
      <c r="E1305" s="12" t="s">
        <v>13</v>
      </c>
      <c r="F1305" s="12" t="s">
        <v>14</v>
      </c>
      <c r="G1305" s="25">
        <v>1078578</v>
      </c>
      <c r="H1305" s="12">
        <f t="shared" si="54"/>
        <v>0</v>
      </c>
      <c r="I1305" s="14">
        <v>45372</v>
      </c>
      <c r="J1305" s="12" t="s">
        <v>18</v>
      </c>
      <c r="K1305" s="12" t="s">
        <v>19</v>
      </c>
      <c r="L1305" s="12" t="s">
        <v>57</v>
      </c>
      <c r="M1305" s="12">
        <v>235.006</v>
      </c>
      <c r="N1305" s="12">
        <v>203.53700000000001</v>
      </c>
      <c r="O1305" s="12">
        <v>3.9</v>
      </c>
      <c r="P1305" s="12">
        <v>11.6</v>
      </c>
      <c r="Q1305" s="13">
        <f t="shared" si="55"/>
        <v>0.86598026967647446</v>
      </c>
    </row>
    <row r="1306" spans="1:17" x14ac:dyDescent="0.25">
      <c r="A1306" s="12">
        <f t="shared" si="56"/>
        <v>3</v>
      </c>
      <c r="B1306" s="12">
        <v>2024</v>
      </c>
      <c r="C1306" s="12">
        <v>7585</v>
      </c>
      <c r="D1306" s="12">
        <v>1078579</v>
      </c>
      <c r="E1306" s="12" t="s">
        <v>13</v>
      </c>
      <c r="F1306" s="12" t="s">
        <v>14</v>
      </c>
      <c r="G1306" s="25">
        <v>1078579</v>
      </c>
      <c r="H1306" s="12">
        <f t="shared" si="54"/>
        <v>0</v>
      </c>
      <c r="I1306" s="14">
        <v>45373</v>
      </c>
      <c r="J1306" s="12" t="s">
        <v>18</v>
      </c>
      <c r="K1306" s="12" t="s">
        <v>19</v>
      </c>
      <c r="L1306" s="12" t="s">
        <v>57</v>
      </c>
      <c r="M1306" s="12">
        <v>234.92699999999999</v>
      </c>
      <c r="N1306" s="12">
        <v>198.69800000000001</v>
      </c>
      <c r="O1306" s="12">
        <v>3.8</v>
      </c>
      <c r="P1306" s="12">
        <v>11.7</v>
      </c>
      <c r="Q1306" s="13">
        <f t="shared" si="55"/>
        <v>0.85451203322326996</v>
      </c>
    </row>
    <row r="1307" spans="1:17" x14ac:dyDescent="0.25">
      <c r="A1307" s="12">
        <f t="shared" si="56"/>
        <v>3</v>
      </c>
      <c r="B1307" s="12">
        <v>2024</v>
      </c>
      <c r="C1307" s="12">
        <v>7586</v>
      </c>
      <c r="D1307" s="12">
        <v>1078946</v>
      </c>
      <c r="E1307" s="12" t="s">
        <v>13</v>
      </c>
      <c r="F1307" s="12" t="s">
        <v>14</v>
      </c>
      <c r="G1307" s="25">
        <v>1078946</v>
      </c>
      <c r="H1307" s="12">
        <f t="shared" si="54"/>
        <v>0</v>
      </c>
      <c r="I1307" s="14">
        <v>45374</v>
      </c>
      <c r="J1307" s="12" t="s">
        <v>18</v>
      </c>
      <c r="K1307" s="12" t="s">
        <v>19</v>
      </c>
      <c r="L1307" s="12" t="s">
        <v>57</v>
      </c>
      <c r="M1307" s="12">
        <v>235.005</v>
      </c>
      <c r="N1307" s="12">
        <v>202.01300000000001</v>
      </c>
      <c r="O1307" s="12">
        <v>4.2</v>
      </c>
      <c r="P1307" s="12">
        <v>11.8</v>
      </c>
      <c r="Q1307" s="13">
        <f t="shared" si="55"/>
        <v>0.86609278060985684</v>
      </c>
    </row>
    <row r="1308" spans="1:17" x14ac:dyDescent="0.25">
      <c r="A1308" s="12">
        <f t="shared" si="56"/>
        <v>3</v>
      </c>
      <c r="B1308" s="12">
        <v>2024</v>
      </c>
      <c r="C1308" s="12">
        <v>7587</v>
      </c>
      <c r="D1308" s="12">
        <v>1079219</v>
      </c>
      <c r="E1308" s="12" t="s">
        <v>13</v>
      </c>
      <c r="F1308" s="12" t="s">
        <v>14</v>
      </c>
      <c r="G1308" s="25">
        <v>1079219</v>
      </c>
      <c r="H1308" s="12">
        <f t="shared" si="54"/>
        <v>0</v>
      </c>
      <c r="I1308" s="14">
        <v>45374</v>
      </c>
      <c r="J1308" s="12" t="s">
        <v>18</v>
      </c>
      <c r="K1308" s="12" t="s">
        <v>19</v>
      </c>
      <c r="L1308" s="12" t="s">
        <v>57</v>
      </c>
      <c r="M1308" s="12">
        <v>234.93899999999999</v>
      </c>
      <c r="N1308" s="12">
        <v>201.184</v>
      </c>
      <c r="O1308" s="12">
        <v>3.8</v>
      </c>
      <c r="P1308" s="12">
        <v>11.9</v>
      </c>
      <c r="Q1308" s="13">
        <f t="shared" si="55"/>
        <v>0.84578613782153611</v>
      </c>
    </row>
    <row r="1309" spans="1:17" x14ac:dyDescent="0.25">
      <c r="A1309" s="12">
        <f t="shared" si="56"/>
        <v>3</v>
      </c>
      <c r="B1309" s="12">
        <v>2024</v>
      </c>
      <c r="C1309" s="12">
        <v>7588</v>
      </c>
      <c r="D1309" s="12">
        <v>1079221</v>
      </c>
      <c r="E1309" s="12" t="s">
        <v>13</v>
      </c>
      <c r="F1309" s="12" t="s">
        <v>14</v>
      </c>
      <c r="G1309" s="25">
        <v>1079221</v>
      </c>
      <c r="H1309" s="12">
        <f t="shared" si="54"/>
        <v>0</v>
      </c>
      <c r="I1309" s="14">
        <v>45375</v>
      </c>
      <c r="J1309" s="12" t="s">
        <v>18</v>
      </c>
      <c r="K1309" s="12" t="s">
        <v>19</v>
      </c>
      <c r="L1309" s="12" t="s">
        <v>67</v>
      </c>
      <c r="M1309" s="12">
        <v>235.00800000000001</v>
      </c>
      <c r="N1309" s="12">
        <v>201.601</v>
      </c>
      <c r="O1309" s="12">
        <v>4</v>
      </c>
      <c r="P1309" s="12">
        <v>11.9</v>
      </c>
      <c r="Q1309" s="13">
        <f t="shared" si="55"/>
        <v>0.85961149762771005</v>
      </c>
    </row>
    <row r="1310" spans="1:17" x14ac:dyDescent="0.25">
      <c r="A1310" s="12">
        <f t="shared" si="56"/>
        <v>3</v>
      </c>
      <c r="B1310" s="12">
        <v>2024</v>
      </c>
      <c r="C1310" s="12">
        <v>7589</v>
      </c>
      <c r="D1310" s="12">
        <v>1079545</v>
      </c>
      <c r="E1310" s="12" t="s">
        <v>13</v>
      </c>
      <c r="F1310" s="12" t="s">
        <v>14</v>
      </c>
      <c r="G1310" s="25">
        <v>1079545</v>
      </c>
      <c r="H1310" s="12">
        <f t="shared" si="54"/>
        <v>0</v>
      </c>
      <c r="I1310" s="14">
        <v>45376</v>
      </c>
      <c r="J1310" s="12" t="s">
        <v>18</v>
      </c>
      <c r="K1310" s="12" t="s">
        <v>19</v>
      </c>
      <c r="L1310" s="12" t="s">
        <v>67</v>
      </c>
      <c r="M1310" s="12">
        <v>235.00899999999999</v>
      </c>
      <c r="N1310" s="12">
        <v>200.11</v>
      </c>
      <c r="O1310" s="12">
        <v>3.9</v>
      </c>
      <c r="P1310" s="12">
        <v>11.6</v>
      </c>
      <c r="Q1310" s="13">
        <f t="shared" si="55"/>
        <v>0.85632440761218875</v>
      </c>
    </row>
    <row r="1311" spans="1:17" x14ac:dyDescent="0.25">
      <c r="A1311" s="12">
        <f t="shared" si="56"/>
        <v>3</v>
      </c>
      <c r="B1311" s="12">
        <v>2024</v>
      </c>
      <c r="C1311" s="12">
        <v>7590</v>
      </c>
      <c r="D1311" s="12">
        <v>1079550</v>
      </c>
      <c r="E1311" s="12" t="s">
        <v>13</v>
      </c>
      <c r="F1311" s="12" t="s">
        <v>14</v>
      </c>
      <c r="G1311" s="25">
        <v>1079550</v>
      </c>
      <c r="H1311" s="12">
        <f t="shared" si="54"/>
        <v>0</v>
      </c>
      <c r="I1311" s="14">
        <v>45377</v>
      </c>
      <c r="J1311" s="12" t="s">
        <v>18</v>
      </c>
      <c r="K1311" s="12" t="s">
        <v>20</v>
      </c>
      <c r="L1311" s="12" t="s">
        <v>61</v>
      </c>
      <c r="M1311" s="12">
        <v>232.00800000000001</v>
      </c>
      <c r="N1311" s="12">
        <v>201.876</v>
      </c>
      <c r="O1311" s="12">
        <v>4.5</v>
      </c>
      <c r="P1311" s="12">
        <v>11.6</v>
      </c>
      <c r="Q1311" s="13">
        <f t="shared" si="55"/>
        <v>0.85784739242919383</v>
      </c>
    </row>
    <row r="1312" spans="1:17" x14ac:dyDescent="0.25">
      <c r="A1312" s="12">
        <f t="shared" si="56"/>
        <v>3</v>
      </c>
      <c r="B1312" s="12">
        <v>2024</v>
      </c>
      <c r="C1312" s="12">
        <v>7591</v>
      </c>
      <c r="D1312" s="12">
        <v>1079870</v>
      </c>
      <c r="E1312" s="12" t="s">
        <v>13</v>
      </c>
      <c r="F1312" s="12" t="s">
        <v>14</v>
      </c>
      <c r="G1312" s="25">
        <v>1079870</v>
      </c>
      <c r="H1312" s="12">
        <f t="shared" si="54"/>
        <v>0</v>
      </c>
      <c r="I1312" s="14">
        <v>45378</v>
      </c>
      <c r="J1312" s="12" t="s">
        <v>18</v>
      </c>
      <c r="K1312" s="12" t="s">
        <v>20</v>
      </c>
      <c r="L1312" s="12" t="s">
        <v>61</v>
      </c>
      <c r="M1312" s="12">
        <v>232.011</v>
      </c>
      <c r="N1312" s="12">
        <v>199.02500000000001</v>
      </c>
      <c r="O1312" s="12">
        <v>4</v>
      </c>
      <c r="P1312" s="12">
        <v>11.6</v>
      </c>
      <c r="Q1312" s="13">
        <f t="shared" si="55"/>
        <v>0.85149930428196374</v>
      </c>
    </row>
    <row r="1313" spans="1:17" x14ac:dyDescent="0.25">
      <c r="A1313" s="12">
        <f t="shared" si="56"/>
        <v>3</v>
      </c>
      <c r="B1313" s="12">
        <v>2024</v>
      </c>
      <c r="C1313" s="12">
        <v>7592</v>
      </c>
      <c r="D1313" s="12">
        <v>1080077</v>
      </c>
      <c r="E1313" s="12" t="s">
        <v>13</v>
      </c>
      <c r="F1313" s="12" t="s">
        <v>14</v>
      </c>
      <c r="G1313" s="25">
        <v>1080077</v>
      </c>
      <c r="H1313" s="12">
        <f t="shared" si="54"/>
        <v>0</v>
      </c>
      <c r="I1313" s="14">
        <v>45379</v>
      </c>
      <c r="J1313" s="12" t="s">
        <v>18</v>
      </c>
      <c r="K1313" s="12" t="s">
        <v>20</v>
      </c>
      <c r="L1313" s="12" t="s">
        <v>61</v>
      </c>
      <c r="M1313" s="12">
        <v>231.929</v>
      </c>
      <c r="N1313" s="12">
        <v>199.203</v>
      </c>
      <c r="O1313" s="12">
        <v>4.0999999999999996</v>
      </c>
      <c r="P1313" s="12">
        <v>11.7</v>
      </c>
      <c r="Q1313" s="13">
        <f t="shared" si="55"/>
        <v>0.87012516809765184</v>
      </c>
    </row>
    <row r="1314" spans="1:17" x14ac:dyDescent="0.25">
      <c r="A1314" s="12">
        <f t="shared" si="56"/>
        <v>3</v>
      </c>
      <c r="B1314" s="12">
        <v>2024</v>
      </c>
      <c r="C1314" s="12">
        <v>7593</v>
      </c>
      <c r="D1314" s="12">
        <v>1080312</v>
      </c>
      <c r="E1314" s="12" t="s">
        <v>13</v>
      </c>
      <c r="F1314" s="12" t="s">
        <v>14</v>
      </c>
      <c r="G1314" s="25">
        <v>1080312</v>
      </c>
      <c r="H1314" s="12">
        <f t="shared" ref="H1314:H1377" si="57">D1314-G1314</f>
        <v>0</v>
      </c>
      <c r="I1314" s="14">
        <v>45380</v>
      </c>
      <c r="J1314" s="12" t="s">
        <v>18</v>
      </c>
      <c r="K1314" s="12" t="s">
        <v>20</v>
      </c>
      <c r="L1314" s="12" t="s">
        <v>61</v>
      </c>
      <c r="M1314" s="12">
        <v>231.905</v>
      </c>
      <c r="N1314" s="12">
        <v>200.85</v>
      </c>
      <c r="O1314" s="12">
        <v>3.8</v>
      </c>
      <c r="P1314" s="12">
        <v>11.7</v>
      </c>
      <c r="Q1314" s="13">
        <f t="shared" si="55"/>
        <v>0.85782570653977619</v>
      </c>
    </row>
    <row r="1315" spans="1:17" x14ac:dyDescent="0.25">
      <c r="A1315" s="12">
        <f t="shared" si="56"/>
        <v>3</v>
      </c>
      <c r="B1315" s="12">
        <v>2024</v>
      </c>
      <c r="C1315" s="12">
        <v>7594</v>
      </c>
      <c r="D1315" s="12">
        <v>1080364</v>
      </c>
      <c r="E1315" s="12" t="s">
        <v>13</v>
      </c>
      <c r="F1315" s="12" t="s">
        <v>14</v>
      </c>
      <c r="G1315" s="25">
        <v>1080657</v>
      </c>
      <c r="H1315" s="12">
        <f t="shared" si="57"/>
        <v>-293</v>
      </c>
      <c r="I1315" s="14">
        <v>45381</v>
      </c>
      <c r="J1315" s="12" t="s">
        <v>17</v>
      </c>
      <c r="K1315" s="12" t="s">
        <v>19</v>
      </c>
      <c r="L1315" s="12" t="s">
        <v>72</v>
      </c>
      <c r="M1315" s="12">
        <v>231.97200000000001</v>
      </c>
      <c r="N1315" s="12">
        <v>202.40700000000001</v>
      </c>
      <c r="O1315" s="12">
        <v>5</v>
      </c>
      <c r="P1315" s="12">
        <v>11.6</v>
      </c>
      <c r="Q1315" s="13">
        <f t="shared" si="55"/>
        <v>0.85889647262739888</v>
      </c>
    </row>
    <row r="1316" spans="1:17" x14ac:dyDescent="0.25">
      <c r="A1316" s="12">
        <f t="shared" si="56"/>
        <v>3</v>
      </c>
      <c r="B1316" s="12">
        <v>2024</v>
      </c>
      <c r="C1316" s="12">
        <v>7595</v>
      </c>
      <c r="D1316" s="20">
        <v>1080499</v>
      </c>
      <c r="E1316" s="12" t="s">
        <v>13</v>
      </c>
      <c r="F1316" s="12" t="s">
        <v>14</v>
      </c>
      <c r="G1316" s="25"/>
      <c r="H1316" s="12">
        <f t="shared" si="57"/>
        <v>1080499</v>
      </c>
      <c r="I1316" s="14">
        <v>45382</v>
      </c>
      <c r="J1316" s="12" t="s">
        <v>17</v>
      </c>
      <c r="K1316" s="12" t="s">
        <v>19</v>
      </c>
      <c r="L1316" s="12" t="s">
        <v>72</v>
      </c>
      <c r="M1316" s="12">
        <v>232.00700000000001</v>
      </c>
      <c r="N1316" s="12">
        <v>199.52600000000001</v>
      </c>
      <c r="P1316" s="12">
        <v>11.8</v>
      </c>
      <c r="Q1316" s="13">
        <f t="shared" si="55"/>
        <v>0.86608740648110216</v>
      </c>
    </row>
    <row r="1317" spans="1:17" x14ac:dyDescent="0.25">
      <c r="A1317" s="12">
        <f t="shared" si="56"/>
        <v>4</v>
      </c>
      <c r="B1317" s="12">
        <v>2024</v>
      </c>
      <c r="C1317" s="12">
        <v>7596</v>
      </c>
      <c r="D1317" s="12">
        <v>1080657</v>
      </c>
      <c r="E1317" s="12" t="s">
        <v>13</v>
      </c>
      <c r="F1317" s="12" t="s">
        <v>14</v>
      </c>
      <c r="G1317" s="25"/>
      <c r="H1317" s="12">
        <f t="shared" si="57"/>
        <v>1080657</v>
      </c>
      <c r="I1317" s="14">
        <v>45383</v>
      </c>
      <c r="J1317" s="12" t="s">
        <v>17</v>
      </c>
      <c r="K1317" s="12" t="s">
        <v>19</v>
      </c>
      <c r="L1317" s="12" t="s">
        <v>59</v>
      </c>
      <c r="M1317" s="12">
        <v>229.63800000000001</v>
      </c>
      <c r="N1317" s="12">
        <v>202.43799999999999</v>
      </c>
      <c r="O1317" s="12">
        <v>5</v>
      </c>
      <c r="P1317" s="12">
        <v>11.1</v>
      </c>
      <c r="Q1317" s="13">
        <f t="shared" si="55"/>
        <v>0.87254927318814346</v>
      </c>
    </row>
    <row r="1318" spans="1:17" x14ac:dyDescent="0.25">
      <c r="A1318" s="12">
        <f t="shared" si="56"/>
        <v>4</v>
      </c>
      <c r="B1318" s="12">
        <v>2024</v>
      </c>
      <c r="C1318" s="12">
        <v>7597</v>
      </c>
      <c r="D1318" s="12">
        <v>1080660</v>
      </c>
      <c r="E1318" s="12" t="s">
        <v>13</v>
      </c>
      <c r="F1318" s="12" t="s">
        <v>14</v>
      </c>
      <c r="G1318" s="25">
        <v>1080660</v>
      </c>
      <c r="H1318" s="12">
        <f t="shared" si="57"/>
        <v>0</v>
      </c>
      <c r="I1318" s="14">
        <v>45384</v>
      </c>
      <c r="J1318" s="12" t="s">
        <v>37</v>
      </c>
      <c r="K1318" s="12" t="s">
        <v>19</v>
      </c>
      <c r="L1318" s="12" t="s">
        <v>57</v>
      </c>
      <c r="M1318" s="12">
        <v>231.95500000000001</v>
      </c>
      <c r="N1318" s="12">
        <v>197.392</v>
      </c>
      <c r="O1318" s="12">
        <v>3.7</v>
      </c>
      <c r="P1318" s="12">
        <v>12.1</v>
      </c>
      <c r="Q1318" s="13">
        <f t="shared" si="55"/>
        <v>0.85999991379570451</v>
      </c>
    </row>
    <row r="1319" spans="1:17" x14ac:dyDescent="0.25">
      <c r="A1319" s="12">
        <f t="shared" si="56"/>
        <v>4</v>
      </c>
      <c r="B1319" s="12">
        <v>2024</v>
      </c>
      <c r="C1319" s="12">
        <v>7598</v>
      </c>
      <c r="D1319" s="12">
        <v>1080662</v>
      </c>
      <c r="E1319" s="12" t="s">
        <v>13</v>
      </c>
      <c r="F1319" s="12" t="s">
        <v>14</v>
      </c>
      <c r="G1319" s="25">
        <v>1080662</v>
      </c>
      <c r="H1319" s="12">
        <f t="shared" si="57"/>
        <v>0</v>
      </c>
      <c r="I1319" s="14">
        <v>45385</v>
      </c>
      <c r="J1319" s="12" t="s">
        <v>37</v>
      </c>
      <c r="K1319" s="12" t="s">
        <v>19</v>
      </c>
      <c r="L1319" s="12" t="s">
        <v>57</v>
      </c>
      <c r="M1319" s="12">
        <v>232.01400000000001</v>
      </c>
      <c r="N1319" s="12">
        <v>198.48099999999999</v>
      </c>
      <c r="O1319" s="12">
        <v>4.2</v>
      </c>
      <c r="P1319" s="12">
        <v>12</v>
      </c>
      <c r="Q1319" s="13">
        <f t="shared" si="55"/>
        <v>0.88155270469173208</v>
      </c>
    </row>
    <row r="1320" spans="1:17" x14ac:dyDescent="0.25">
      <c r="A1320" s="12">
        <f t="shared" si="56"/>
        <v>4</v>
      </c>
      <c r="B1320" s="12">
        <v>2024</v>
      </c>
      <c r="C1320" s="12">
        <v>7599</v>
      </c>
      <c r="D1320" s="12">
        <v>1080957</v>
      </c>
      <c r="E1320" s="12" t="s">
        <v>13</v>
      </c>
      <c r="F1320" s="12" t="s">
        <v>14</v>
      </c>
      <c r="G1320" s="25">
        <v>1080957</v>
      </c>
      <c r="H1320" s="12">
        <f t="shared" si="57"/>
        <v>0</v>
      </c>
      <c r="I1320" s="14">
        <v>45386</v>
      </c>
      <c r="J1320" s="12" t="s">
        <v>37</v>
      </c>
      <c r="K1320" s="12" t="s">
        <v>19</v>
      </c>
      <c r="L1320" s="12" t="s">
        <v>57</v>
      </c>
      <c r="M1320" s="12">
        <v>231.941</v>
      </c>
      <c r="N1320" s="12">
        <v>196.59399999999999</v>
      </c>
      <c r="O1320" s="12">
        <v>3.4</v>
      </c>
      <c r="P1320" s="12">
        <v>12.1</v>
      </c>
      <c r="Q1320" s="13">
        <f t="shared" si="55"/>
        <v>0.85099264943631303</v>
      </c>
    </row>
    <row r="1321" spans="1:17" x14ac:dyDescent="0.25">
      <c r="A1321" s="12">
        <f t="shared" si="56"/>
        <v>4</v>
      </c>
      <c r="B1321" s="12">
        <v>2024</v>
      </c>
      <c r="C1321" s="12">
        <v>7600</v>
      </c>
      <c r="D1321" s="12">
        <v>1080958</v>
      </c>
      <c r="E1321" s="12" t="s">
        <v>13</v>
      </c>
      <c r="F1321" s="12" t="s">
        <v>14</v>
      </c>
      <c r="G1321" s="25">
        <v>1080958</v>
      </c>
      <c r="H1321" s="12">
        <f t="shared" si="57"/>
        <v>0</v>
      </c>
      <c r="I1321" s="14">
        <v>45387</v>
      </c>
      <c r="J1321" s="12" t="s">
        <v>37</v>
      </c>
      <c r="K1321" s="12" t="s">
        <v>19</v>
      </c>
      <c r="L1321" s="12" t="s">
        <v>57</v>
      </c>
      <c r="M1321" s="12">
        <v>231.90600000000001</v>
      </c>
      <c r="N1321" s="12">
        <v>200.459</v>
      </c>
      <c r="O1321" s="12">
        <v>4.0999999999999996</v>
      </c>
      <c r="P1321" s="12">
        <v>12.1</v>
      </c>
      <c r="Q1321" s="13">
        <f t="shared" si="55"/>
        <v>0.855469928538795</v>
      </c>
    </row>
    <row r="1322" spans="1:17" x14ac:dyDescent="0.25">
      <c r="A1322" s="12">
        <f t="shared" si="56"/>
        <v>4</v>
      </c>
      <c r="B1322" s="12">
        <v>2024</v>
      </c>
      <c r="C1322" s="12">
        <v>7601</v>
      </c>
      <c r="D1322" s="12">
        <v>1081406</v>
      </c>
      <c r="E1322" s="12" t="s">
        <v>13</v>
      </c>
      <c r="F1322" s="12" t="s">
        <v>14</v>
      </c>
      <c r="G1322" s="25">
        <v>1081406</v>
      </c>
      <c r="H1322" s="12">
        <f t="shared" si="57"/>
        <v>0</v>
      </c>
      <c r="I1322" s="14">
        <v>45388</v>
      </c>
      <c r="J1322" s="12" t="s">
        <v>37</v>
      </c>
      <c r="K1322" s="12" t="s">
        <v>19</v>
      </c>
      <c r="L1322" s="12" t="s">
        <v>57</v>
      </c>
      <c r="M1322" s="12">
        <v>232.01</v>
      </c>
      <c r="N1322" s="12">
        <v>199.304</v>
      </c>
      <c r="O1322" s="12">
        <v>4.8</v>
      </c>
      <c r="P1322" s="12">
        <v>12.1</v>
      </c>
      <c r="Q1322" s="13">
        <f t="shared" si="55"/>
        <v>0.847603485369124</v>
      </c>
    </row>
    <row r="1323" spans="1:17" x14ac:dyDescent="0.25">
      <c r="A1323" s="12">
        <f t="shared" si="56"/>
        <v>4</v>
      </c>
      <c r="B1323" s="12">
        <v>2024</v>
      </c>
      <c r="C1323" s="12">
        <v>7602</v>
      </c>
      <c r="D1323" s="12">
        <v>1081467</v>
      </c>
      <c r="E1323" s="12" t="s">
        <v>13</v>
      </c>
      <c r="F1323" s="12" t="s">
        <v>14</v>
      </c>
      <c r="G1323" s="25">
        <v>1081467</v>
      </c>
      <c r="H1323" s="12">
        <f t="shared" si="57"/>
        <v>0</v>
      </c>
      <c r="I1323" s="14">
        <v>45389</v>
      </c>
      <c r="J1323" s="12" t="s">
        <v>17</v>
      </c>
      <c r="K1323" s="12" t="s">
        <v>19</v>
      </c>
      <c r="L1323" s="12" t="s">
        <v>57</v>
      </c>
      <c r="M1323" s="12">
        <v>231.976</v>
      </c>
      <c r="N1323" s="12">
        <v>199.68899999999999</v>
      </c>
      <c r="O1323" s="12">
        <v>4.0999999999999996</v>
      </c>
      <c r="P1323" s="12">
        <v>12</v>
      </c>
      <c r="Q1323" s="13">
        <f t="shared" ref="Q1323:Q1386" si="58">N1321/M1321</f>
        <v>0.86439764387294848</v>
      </c>
    </row>
    <row r="1324" spans="1:17" x14ac:dyDescent="0.25">
      <c r="A1324" s="12">
        <f t="shared" si="56"/>
        <v>4</v>
      </c>
      <c r="B1324" s="12">
        <v>2024</v>
      </c>
      <c r="C1324" s="12">
        <v>7603</v>
      </c>
      <c r="D1324" s="12">
        <v>1081469</v>
      </c>
      <c r="E1324" s="12" t="s">
        <v>13</v>
      </c>
      <c r="F1324" s="12" t="s">
        <v>14</v>
      </c>
      <c r="G1324" s="25">
        <v>1081469</v>
      </c>
      <c r="H1324" s="12">
        <f t="shared" si="57"/>
        <v>0</v>
      </c>
      <c r="I1324" s="14">
        <v>45389</v>
      </c>
      <c r="J1324" s="12" t="s">
        <v>17</v>
      </c>
      <c r="K1324" s="12" t="s">
        <v>19</v>
      </c>
      <c r="L1324" s="12" t="s">
        <v>57</v>
      </c>
      <c r="M1324" s="12">
        <v>231.83</v>
      </c>
      <c r="N1324" s="12">
        <v>198.18700000000001</v>
      </c>
      <c r="O1324" s="12">
        <v>3.9</v>
      </c>
      <c r="P1324" s="12">
        <v>12.1</v>
      </c>
      <c r="Q1324" s="13">
        <f t="shared" si="58"/>
        <v>0.85903193827852253</v>
      </c>
    </row>
    <row r="1325" spans="1:17" x14ac:dyDescent="0.25">
      <c r="A1325" s="12">
        <f t="shared" si="56"/>
        <v>4</v>
      </c>
      <c r="B1325" s="12">
        <v>2024</v>
      </c>
      <c r="C1325" s="12">
        <v>7604</v>
      </c>
      <c r="D1325" s="12">
        <v>1081472</v>
      </c>
      <c r="E1325" s="12" t="s">
        <v>13</v>
      </c>
      <c r="F1325" s="12" t="s">
        <v>14</v>
      </c>
      <c r="G1325" s="25">
        <v>1081472</v>
      </c>
      <c r="H1325" s="12">
        <f t="shared" si="57"/>
        <v>0</v>
      </c>
      <c r="I1325" s="14">
        <v>45390</v>
      </c>
      <c r="J1325" s="12" t="s">
        <v>17</v>
      </c>
      <c r="K1325" s="12" t="s">
        <v>19</v>
      </c>
      <c r="L1325" s="12" t="s">
        <v>57</v>
      </c>
      <c r="M1325" s="12">
        <v>232.02</v>
      </c>
      <c r="N1325" s="12">
        <v>197.00899999999999</v>
      </c>
      <c r="O1325" s="12">
        <v>4.5</v>
      </c>
      <c r="P1325" s="12">
        <v>12</v>
      </c>
      <c r="Q1325" s="13">
        <f t="shared" si="58"/>
        <v>0.86081749836189947</v>
      </c>
    </row>
    <row r="1326" spans="1:17" x14ac:dyDescent="0.25">
      <c r="A1326" s="12">
        <f t="shared" si="56"/>
        <v>4</v>
      </c>
      <c r="B1326" s="12">
        <v>2024</v>
      </c>
      <c r="C1326" s="12">
        <v>7605</v>
      </c>
      <c r="D1326" s="12">
        <v>1081839</v>
      </c>
      <c r="E1326" s="12" t="s">
        <v>13</v>
      </c>
      <c r="F1326" s="12" t="s">
        <v>14</v>
      </c>
      <c r="G1326" s="25">
        <v>1081839</v>
      </c>
      <c r="H1326" s="12">
        <f t="shared" si="57"/>
        <v>0</v>
      </c>
      <c r="I1326" s="14">
        <v>45391</v>
      </c>
      <c r="J1326" s="12" t="s">
        <v>17</v>
      </c>
      <c r="K1326" s="12" t="s">
        <v>19</v>
      </c>
      <c r="L1326" s="12" t="s">
        <v>57</v>
      </c>
      <c r="M1326" s="12">
        <v>231.99600000000001</v>
      </c>
      <c r="N1326" s="12">
        <v>197.21799999999999</v>
      </c>
      <c r="O1326" s="12">
        <v>3.5</v>
      </c>
      <c r="P1326" s="12">
        <v>11.9</v>
      </c>
      <c r="Q1326" s="13">
        <f t="shared" si="58"/>
        <v>0.85488073157054734</v>
      </c>
    </row>
    <row r="1327" spans="1:17" x14ac:dyDescent="0.25">
      <c r="A1327" s="12">
        <f t="shared" si="56"/>
        <v>4</v>
      </c>
      <c r="B1327" s="12">
        <v>2024</v>
      </c>
      <c r="C1327" s="12">
        <v>7606</v>
      </c>
      <c r="D1327" s="12">
        <v>1081840</v>
      </c>
      <c r="E1327" s="12" t="s">
        <v>13</v>
      </c>
      <c r="F1327" s="12" t="s">
        <v>14</v>
      </c>
      <c r="G1327" s="25">
        <v>1081840</v>
      </c>
      <c r="H1327" s="12">
        <f t="shared" si="57"/>
        <v>0</v>
      </c>
      <c r="I1327" s="14">
        <v>45392</v>
      </c>
      <c r="J1327" s="12" t="s">
        <v>17</v>
      </c>
      <c r="K1327" s="12" t="s">
        <v>19</v>
      </c>
      <c r="L1327" s="12" t="s">
        <v>57</v>
      </c>
      <c r="M1327" s="12">
        <v>232.00899999999999</v>
      </c>
      <c r="N1327" s="12">
        <v>198.55600000000001</v>
      </c>
      <c r="O1327" s="12">
        <v>4</v>
      </c>
      <c r="P1327" s="12">
        <v>11.7</v>
      </c>
      <c r="Q1327" s="13">
        <f t="shared" si="58"/>
        <v>0.84910352555814139</v>
      </c>
    </row>
    <row r="1328" spans="1:17" x14ac:dyDescent="0.25">
      <c r="A1328" s="12">
        <f t="shared" si="56"/>
        <v>4</v>
      </c>
      <c r="B1328" s="12">
        <v>2024</v>
      </c>
      <c r="C1328" s="12">
        <v>7607</v>
      </c>
      <c r="D1328" s="12">
        <v>1082077</v>
      </c>
      <c r="E1328" s="12" t="s">
        <v>13</v>
      </c>
      <c r="F1328" s="12" t="s">
        <v>14</v>
      </c>
      <c r="G1328" s="25">
        <v>1082077</v>
      </c>
      <c r="H1328" s="12">
        <f t="shared" si="57"/>
        <v>0</v>
      </c>
      <c r="I1328" s="14">
        <v>45393</v>
      </c>
      <c r="J1328" s="12" t="s">
        <v>64</v>
      </c>
      <c r="K1328" s="12" t="s">
        <v>20</v>
      </c>
      <c r="L1328" s="12" t="s">
        <v>61</v>
      </c>
      <c r="M1328" s="12">
        <v>230.00399999999999</v>
      </c>
      <c r="N1328" s="12">
        <v>200.958</v>
      </c>
      <c r="O1328" s="12">
        <v>3.7</v>
      </c>
      <c r="P1328" s="12">
        <v>11.5</v>
      </c>
      <c r="Q1328" s="13">
        <f t="shared" si="58"/>
        <v>0.85009224296970631</v>
      </c>
    </row>
    <row r="1329" spans="1:17" x14ac:dyDescent="0.25">
      <c r="A1329" s="12">
        <f t="shared" si="56"/>
        <v>4</v>
      </c>
      <c r="B1329" s="12">
        <v>2024</v>
      </c>
      <c r="C1329" s="12">
        <v>7608</v>
      </c>
      <c r="D1329" s="12">
        <v>1082257</v>
      </c>
      <c r="E1329" s="12" t="s">
        <v>13</v>
      </c>
      <c r="F1329" s="12" t="s">
        <v>14</v>
      </c>
      <c r="G1329" s="25">
        <v>1082257</v>
      </c>
      <c r="H1329" s="12">
        <f t="shared" si="57"/>
        <v>0</v>
      </c>
      <c r="I1329" s="14">
        <v>45394</v>
      </c>
      <c r="J1329" s="12" t="s">
        <v>64</v>
      </c>
      <c r="K1329" s="12" t="s">
        <v>20</v>
      </c>
      <c r="L1329" s="12" t="s">
        <v>61</v>
      </c>
      <c r="M1329" s="12">
        <v>230.02099999999999</v>
      </c>
      <c r="N1329" s="12">
        <v>199.042</v>
      </c>
      <c r="O1329" s="12">
        <v>4.5</v>
      </c>
      <c r="P1329" s="12">
        <v>11.5</v>
      </c>
      <c r="Q1329" s="13">
        <f t="shared" si="58"/>
        <v>0.85581162799718991</v>
      </c>
    </row>
    <row r="1330" spans="1:17" x14ac:dyDescent="0.25">
      <c r="A1330" s="12">
        <f t="shared" si="56"/>
        <v>4</v>
      </c>
      <c r="B1330" s="12">
        <v>2024</v>
      </c>
      <c r="C1330" s="12">
        <v>7609</v>
      </c>
      <c r="D1330" s="12">
        <v>1082567</v>
      </c>
      <c r="E1330" s="12" t="s">
        <v>13</v>
      </c>
      <c r="F1330" s="12" t="s">
        <v>14</v>
      </c>
      <c r="G1330" s="25">
        <v>1082567</v>
      </c>
      <c r="H1330" s="12">
        <f t="shared" si="57"/>
        <v>0</v>
      </c>
      <c r="I1330" s="14">
        <v>45395</v>
      </c>
      <c r="J1330" s="12" t="s">
        <v>64</v>
      </c>
      <c r="K1330" s="12" t="s">
        <v>20</v>
      </c>
      <c r="L1330" s="12" t="s">
        <v>61</v>
      </c>
      <c r="M1330" s="12">
        <v>230.02699999999999</v>
      </c>
      <c r="N1330" s="12">
        <v>196.999</v>
      </c>
      <c r="O1330" s="12">
        <v>3.9</v>
      </c>
      <c r="P1330" s="12">
        <v>11.5</v>
      </c>
      <c r="Q1330" s="13">
        <f t="shared" si="58"/>
        <v>0.87371523973496112</v>
      </c>
    </row>
    <row r="1331" spans="1:17" x14ac:dyDescent="0.25">
      <c r="A1331" s="12">
        <f t="shared" si="56"/>
        <v>4</v>
      </c>
      <c r="B1331" s="12">
        <v>2024</v>
      </c>
      <c r="C1331" s="12">
        <v>7610</v>
      </c>
      <c r="D1331" s="12">
        <v>1082570</v>
      </c>
      <c r="E1331" s="12" t="s">
        <v>13</v>
      </c>
      <c r="F1331" s="12" t="s">
        <v>14</v>
      </c>
      <c r="G1331" s="25">
        <v>1082570</v>
      </c>
      <c r="H1331" s="12">
        <f t="shared" si="57"/>
        <v>0</v>
      </c>
      <c r="I1331" s="14">
        <v>45396</v>
      </c>
      <c r="J1331" s="12" t="s">
        <v>64</v>
      </c>
      <c r="K1331" s="12" t="s">
        <v>20</v>
      </c>
      <c r="L1331" s="12" t="s">
        <v>61</v>
      </c>
      <c r="M1331" s="12">
        <v>230.01300000000001</v>
      </c>
      <c r="N1331" s="12">
        <v>195.81299999999999</v>
      </c>
      <c r="O1331" s="12">
        <v>4.7</v>
      </c>
      <c r="P1331" s="12">
        <v>11.5</v>
      </c>
      <c r="Q1331" s="13">
        <f t="shared" si="58"/>
        <v>0.86532099243112592</v>
      </c>
    </row>
    <row r="1332" spans="1:17" x14ac:dyDescent="0.25">
      <c r="A1332" s="12">
        <f t="shared" si="56"/>
        <v>4</v>
      </c>
      <c r="B1332" s="12">
        <v>2024</v>
      </c>
      <c r="C1332" s="12">
        <v>7611</v>
      </c>
      <c r="D1332" s="12">
        <v>1082675</v>
      </c>
      <c r="E1332" s="12" t="s">
        <v>13</v>
      </c>
      <c r="F1332" s="12" t="s">
        <v>14</v>
      </c>
      <c r="G1332" s="25">
        <v>1082675</v>
      </c>
      <c r="H1332" s="12">
        <f t="shared" si="57"/>
        <v>0</v>
      </c>
      <c r="I1332" s="14">
        <v>45397</v>
      </c>
      <c r="J1332" s="12" t="s">
        <v>64</v>
      </c>
      <c r="K1332" s="12" t="s">
        <v>20</v>
      </c>
      <c r="L1332" s="12" t="s">
        <v>61</v>
      </c>
      <c r="M1332" s="12">
        <v>229.959</v>
      </c>
      <c r="N1332" s="12">
        <v>197.78</v>
      </c>
      <c r="O1332" s="12">
        <v>3.6</v>
      </c>
      <c r="P1332" s="12">
        <v>11.6</v>
      </c>
      <c r="Q1332" s="13">
        <f t="shared" si="58"/>
        <v>0.85641685541262547</v>
      </c>
    </row>
    <row r="1333" spans="1:17" x14ac:dyDescent="0.25">
      <c r="A1333" s="12">
        <f t="shared" si="56"/>
        <v>4</v>
      </c>
      <c r="B1333" s="12">
        <v>2024</v>
      </c>
      <c r="C1333" s="12">
        <v>7612</v>
      </c>
      <c r="D1333" s="20">
        <v>1082677</v>
      </c>
      <c r="E1333" s="12" t="s">
        <v>13</v>
      </c>
      <c r="F1333" s="12" t="s">
        <v>14</v>
      </c>
      <c r="G1333" s="25"/>
      <c r="H1333" s="12">
        <f t="shared" si="57"/>
        <v>1082677</v>
      </c>
      <c r="I1333" s="14">
        <v>45398</v>
      </c>
      <c r="J1333" s="12" t="s">
        <v>17</v>
      </c>
      <c r="K1333" s="12" t="s">
        <v>19</v>
      </c>
      <c r="L1333" s="12" t="s">
        <v>72</v>
      </c>
      <c r="M1333" s="12">
        <v>232.01400000000001</v>
      </c>
      <c r="N1333" s="12">
        <v>202.209</v>
      </c>
      <c r="P1333" s="12">
        <v>11.9</v>
      </c>
      <c r="Q1333" s="13">
        <f t="shared" si="58"/>
        <v>0.85131275188793665</v>
      </c>
    </row>
    <row r="1334" spans="1:17" x14ac:dyDescent="0.25">
      <c r="A1334" s="12">
        <f t="shared" si="56"/>
        <v>4</v>
      </c>
      <c r="B1334" s="12">
        <v>2024</v>
      </c>
      <c r="C1334" s="12">
        <v>7613</v>
      </c>
      <c r="D1334" s="20">
        <v>1082678</v>
      </c>
      <c r="E1334" s="12" t="s">
        <v>13</v>
      </c>
      <c r="F1334" s="12" t="s">
        <v>14</v>
      </c>
      <c r="G1334" s="25"/>
      <c r="H1334" s="12">
        <f t="shared" si="57"/>
        <v>1082678</v>
      </c>
      <c r="I1334" s="14">
        <v>45399</v>
      </c>
      <c r="J1334" s="12" t="s">
        <v>17</v>
      </c>
      <c r="K1334" s="12" t="s">
        <v>19</v>
      </c>
      <c r="L1334" s="12" t="s">
        <v>72</v>
      </c>
      <c r="M1334" s="12">
        <v>232.006</v>
      </c>
      <c r="N1334" s="12">
        <v>199.072</v>
      </c>
      <c r="P1334" s="12">
        <v>12</v>
      </c>
      <c r="Q1334" s="13">
        <f t="shared" si="58"/>
        <v>0.86006635965541678</v>
      </c>
    </row>
    <row r="1335" spans="1:17" x14ac:dyDescent="0.25">
      <c r="A1335" s="12">
        <f t="shared" si="56"/>
        <v>4</v>
      </c>
      <c r="B1335" s="12">
        <v>2024</v>
      </c>
      <c r="C1335" s="12">
        <v>7614</v>
      </c>
      <c r="D1335" s="12">
        <v>1082973</v>
      </c>
      <c r="E1335" s="12" t="s">
        <v>13</v>
      </c>
      <c r="F1335" s="12" t="s">
        <v>14</v>
      </c>
      <c r="G1335" s="25">
        <v>1082973</v>
      </c>
      <c r="H1335" s="12">
        <f t="shared" si="57"/>
        <v>0</v>
      </c>
      <c r="I1335" s="14">
        <v>45400</v>
      </c>
      <c r="J1335" s="12" t="s">
        <v>18</v>
      </c>
      <c r="K1335" s="12" t="s">
        <v>19</v>
      </c>
      <c r="L1335" s="12" t="s">
        <v>57</v>
      </c>
      <c r="M1335" s="12">
        <v>232.02199999999999</v>
      </c>
      <c r="N1335" s="12">
        <v>203.88499999999999</v>
      </c>
      <c r="O1335" s="12">
        <v>3.9</v>
      </c>
      <c r="P1335" s="12">
        <v>11.9</v>
      </c>
      <c r="Q1335" s="13">
        <f t="shared" si="58"/>
        <v>0.87153792443559441</v>
      </c>
    </row>
    <row r="1336" spans="1:17" x14ac:dyDescent="0.25">
      <c r="A1336" s="12">
        <f t="shared" si="56"/>
        <v>4</v>
      </c>
      <c r="B1336" s="12">
        <v>2024</v>
      </c>
      <c r="C1336" s="12">
        <v>7615</v>
      </c>
      <c r="D1336" s="12">
        <v>1083159</v>
      </c>
      <c r="E1336" s="12" t="s">
        <v>13</v>
      </c>
      <c r="F1336" s="12" t="s">
        <v>14</v>
      </c>
      <c r="G1336" s="25">
        <v>1083159</v>
      </c>
      <c r="H1336" s="12">
        <f t="shared" si="57"/>
        <v>0</v>
      </c>
      <c r="I1336" s="14">
        <v>45401</v>
      </c>
      <c r="J1336" s="12" t="s">
        <v>18</v>
      </c>
      <c r="K1336" s="12" t="s">
        <v>19</v>
      </c>
      <c r="L1336" s="12" t="s">
        <v>57</v>
      </c>
      <c r="M1336" s="12">
        <v>232.018</v>
      </c>
      <c r="N1336" s="12">
        <v>198.10599999999999</v>
      </c>
      <c r="O1336" s="12">
        <v>3.8</v>
      </c>
      <c r="P1336" s="12">
        <v>11.9</v>
      </c>
      <c r="Q1336" s="13">
        <f t="shared" si="58"/>
        <v>0.85804677465237966</v>
      </c>
    </row>
    <row r="1337" spans="1:17" x14ac:dyDescent="0.25">
      <c r="A1337" s="12">
        <f t="shared" si="56"/>
        <v>4</v>
      </c>
      <c r="B1337" s="12">
        <v>2024</v>
      </c>
      <c r="C1337" s="12">
        <v>7616</v>
      </c>
      <c r="D1337" s="12">
        <v>1083364</v>
      </c>
      <c r="E1337" s="12" t="s">
        <v>13</v>
      </c>
      <c r="F1337" s="12" t="s">
        <v>14</v>
      </c>
      <c r="G1337" s="25">
        <v>1083364</v>
      </c>
      <c r="H1337" s="12">
        <f t="shared" si="57"/>
        <v>0</v>
      </c>
      <c r="I1337" s="14">
        <v>45402</v>
      </c>
      <c r="J1337" s="12" t="s">
        <v>64</v>
      </c>
      <c r="K1337" s="12" t="s">
        <v>20</v>
      </c>
      <c r="L1337" s="12" t="s">
        <v>63</v>
      </c>
      <c r="M1337" s="12">
        <v>230.00399999999999</v>
      </c>
      <c r="N1337" s="12">
        <v>194.13900000000001</v>
      </c>
      <c r="P1337" s="12">
        <v>12.3</v>
      </c>
      <c r="Q1337" s="13">
        <f t="shared" si="58"/>
        <v>0.87873132720173086</v>
      </c>
    </row>
    <row r="1338" spans="1:17" x14ac:dyDescent="0.25">
      <c r="A1338" s="12">
        <f t="shared" si="56"/>
        <v>4</v>
      </c>
      <c r="B1338" s="12">
        <v>2024</v>
      </c>
      <c r="C1338" s="12">
        <v>7617</v>
      </c>
      <c r="D1338" s="12">
        <v>1083541</v>
      </c>
      <c r="E1338" s="12" t="s">
        <v>13</v>
      </c>
      <c r="F1338" s="12" t="s">
        <v>14</v>
      </c>
      <c r="G1338" s="25">
        <v>1083541</v>
      </c>
      <c r="H1338" s="12">
        <f t="shared" si="57"/>
        <v>0</v>
      </c>
      <c r="I1338" s="14">
        <v>45402</v>
      </c>
      <c r="J1338" s="12" t="s">
        <v>64</v>
      </c>
      <c r="K1338" s="12" t="s">
        <v>20</v>
      </c>
      <c r="L1338" s="12" t="s">
        <v>61</v>
      </c>
      <c r="M1338" s="12">
        <v>232.00399999999999</v>
      </c>
      <c r="N1338" s="12">
        <v>196.56100000000001</v>
      </c>
      <c r="O1338" s="12">
        <v>3.5</v>
      </c>
      <c r="P1338" s="12">
        <v>12.8</v>
      </c>
      <c r="Q1338" s="13">
        <f t="shared" si="58"/>
        <v>0.85383892629020164</v>
      </c>
    </row>
    <row r="1339" spans="1:17" x14ac:dyDescent="0.25">
      <c r="A1339" s="12">
        <f t="shared" si="56"/>
        <v>4</v>
      </c>
      <c r="B1339" s="12">
        <v>2024</v>
      </c>
      <c r="C1339" s="12">
        <v>7618</v>
      </c>
      <c r="D1339" s="12">
        <v>1083543</v>
      </c>
      <c r="E1339" s="12" t="s">
        <v>13</v>
      </c>
      <c r="F1339" s="12" t="s">
        <v>14</v>
      </c>
      <c r="G1339" s="25">
        <v>1083543</v>
      </c>
      <c r="H1339" s="12">
        <f t="shared" si="57"/>
        <v>0</v>
      </c>
      <c r="I1339" s="14">
        <v>45403</v>
      </c>
      <c r="J1339" s="12" t="s">
        <v>64</v>
      </c>
      <c r="K1339" s="12" t="s">
        <v>20</v>
      </c>
      <c r="L1339" s="12" t="s">
        <v>61</v>
      </c>
      <c r="M1339" s="12">
        <v>232.00399999999999</v>
      </c>
      <c r="N1339" s="12">
        <v>200.84399999999999</v>
      </c>
      <c r="P1339" s="12">
        <v>12.4</v>
      </c>
      <c r="Q1339" s="13">
        <f t="shared" si="58"/>
        <v>0.84406792925340435</v>
      </c>
    </row>
    <row r="1340" spans="1:17" x14ac:dyDescent="0.25">
      <c r="A1340" s="12">
        <f t="shared" si="56"/>
        <v>4</v>
      </c>
      <c r="B1340" s="12">
        <v>2024</v>
      </c>
      <c r="C1340" s="12">
        <v>7619</v>
      </c>
      <c r="D1340" s="12">
        <v>1083547</v>
      </c>
      <c r="E1340" s="12" t="s">
        <v>13</v>
      </c>
      <c r="F1340" s="12" t="s">
        <v>14</v>
      </c>
      <c r="G1340" s="25">
        <v>1083547</v>
      </c>
      <c r="H1340" s="12">
        <f t="shared" si="57"/>
        <v>0</v>
      </c>
      <c r="I1340" s="14">
        <v>45404</v>
      </c>
      <c r="J1340" s="12" t="s">
        <v>64</v>
      </c>
      <c r="K1340" s="12" t="s">
        <v>20</v>
      </c>
      <c r="L1340" s="12" t="s">
        <v>61</v>
      </c>
      <c r="M1340" s="12">
        <v>232.01400000000001</v>
      </c>
      <c r="N1340" s="12">
        <v>198.191</v>
      </c>
      <c r="O1340" s="12">
        <v>3.6</v>
      </c>
      <c r="P1340" s="12">
        <v>11.6</v>
      </c>
      <c r="Q1340" s="13">
        <f t="shared" si="58"/>
        <v>0.84723108222272037</v>
      </c>
    </row>
    <row r="1341" spans="1:17" x14ac:dyDescent="0.25">
      <c r="A1341" s="12">
        <f t="shared" si="56"/>
        <v>4</v>
      </c>
      <c r="B1341" s="12">
        <v>2024</v>
      </c>
      <c r="C1341" s="12">
        <v>7620</v>
      </c>
      <c r="D1341" s="12">
        <v>1083755</v>
      </c>
      <c r="E1341" s="12" t="s">
        <v>13</v>
      </c>
      <c r="F1341" s="12" t="s">
        <v>14</v>
      </c>
      <c r="G1341" s="25">
        <v>1083755</v>
      </c>
      <c r="H1341" s="12">
        <f t="shared" si="57"/>
        <v>0</v>
      </c>
      <c r="I1341" s="14">
        <v>45405</v>
      </c>
      <c r="J1341" s="12" t="s">
        <v>64</v>
      </c>
      <c r="K1341" s="12" t="s">
        <v>20</v>
      </c>
      <c r="L1341" s="12" t="s">
        <v>61</v>
      </c>
      <c r="M1341" s="12">
        <v>232.01900000000001</v>
      </c>
      <c r="N1341" s="12">
        <v>200.88</v>
      </c>
      <c r="O1341" s="12">
        <v>4.7</v>
      </c>
      <c r="P1341" s="12">
        <v>11.7</v>
      </c>
      <c r="Q1341" s="13">
        <f t="shared" si="58"/>
        <v>0.86569197082808913</v>
      </c>
    </row>
    <row r="1342" spans="1:17" x14ac:dyDescent="0.25">
      <c r="A1342" s="12">
        <f t="shared" si="56"/>
        <v>4</v>
      </c>
      <c r="B1342" s="12">
        <v>2024</v>
      </c>
      <c r="C1342" s="12">
        <v>7621</v>
      </c>
      <c r="D1342" s="12">
        <v>1083840</v>
      </c>
      <c r="E1342" s="12" t="s">
        <v>13</v>
      </c>
      <c r="F1342" s="12" t="s">
        <v>14</v>
      </c>
      <c r="G1342" s="25">
        <v>1083840</v>
      </c>
      <c r="H1342" s="12">
        <f t="shared" si="57"/>
        <v>0</v>
      </c>
      <c r="I1342" s="14">
        <v>45406</v>
      </c>
      <c r="J1342" s="12" t="s">
        <v>64</v>
      </c>
      <c r="K1342" s="12" t="s">
        <v>20</v>
      </c>
      <c r="L1342" s="12" t="s">
        <v>61</v>
      </c>
      <c r="M1342" s="12">
        <v>232.01400000000001</v>
      </c>
      <c r="N1342" s="12">
        <v>195.59200000000001</v>
      </c>
      <c r="O1342" s="12">
        <v>4.0999999999999996</v>
      </c>
      <c r="P1342" s="12">
        <v>11.7</v>
      </c>
      <c r="Q1342" s="13">
        <f t="shared" si="58"/>
        <v>0.85422000396527797</v>
      </c>
    </row>
    <row r="1343" spans="1:17" x14ac:dyDescent="0.25">
      <c r="A1343" s="12">
        <f t="shared" si="56"/>
        <v>4</v>
      </c>
      <c r="B1343" s="12">
        <v>2024</v>
      </c>
      <c r="C1343" s="12">
        <v>7622</v>
      </c>
      <c r="D1343" s="12">
        <v>1084306</v>
      </c>
      <c r="E1343" s="12" t="s">
        <v>13</v>
      </c>
      <c r="F1343" s="12" t="s">
        <v>14</v>
      </c>
      <c r="G1343" s="25">
        <v>1084306</v>
      </c>
      <c r="H1343" s="12">
        <f t="shared" si="57"/>
        <v>0</v>
      </c>
      <c r="I1343" s="14">
        <v>45407</v>
      </c>
      <c r="J1343" s="12" t="s">
        <v>18</v>
      </c>
      <c r="K1343" s="12" t="s">
        <v>20</v>
      </c>
      <c r="L1343" s="12" t="s">
        <v>63</v>
      </c>
      <c r="M1343" s="12">
        <v>232.017</v>
      </c>
      <c r="N1343" s="12">
        <v>197.91800000000001</v>
      </c>
      <c r="P1343" s="12">
        <v>12.2</v>
      </c>
      <c r="Q1343" s="13">
        <f t="shared" si="58"/>
        <v>0.86579116365470066</v>
      </c>
    </row>
    <row r="1344" spans="1:17" x14ac:dyDescent="0.25">
      <c r="A1344" s="12">
        <f t="shared" si="56"/>
        <v>4</v>
      </c>
      <c r="B1344" s="12">
        <v>2024</v>
      </c>
      <c r="C1344" s="12">
        <v>7623</v>
      </c>
      <c r="D1344" s="12">
        <v>1084486</v>
      </c>
      <c r="E1344" s="12" t="s">
        <v>13</v>
      </c>
      <c r="F1344" s="12" t="s">
        <v>14</v>
      </c>
      <c r="G1344" s="25">
        <v>1084486</v>
      </c>
      <c r="H1344" s="12">
        <f t="shared" si="57"/>
        <v>0</v>
      </c>
      <c r="I1344" s="14">
        <v>45408</v>
      </c>
      <c r="J1344" s="12" t="s">
        <v>18</v>
      </c>
      <c r="K1344" s="12" t="s">
        <v>20</v>
      </c>
      <c r="L1344" s="12" t="s">
        <v>63</v>
      </c>
      <c r="M1344" s="12">
        <v>232.01900000000001</v>
      </c>
      <c r="N1344" s="12">
        <v>198.91200000000001</v>
      </c>
      <c r="O1344" s="12">
        <v>3.4</v>
      </c>
      <c r="P1344" s="12">
        <v>12.2</v>
      </c>
      <c r="Q1344" s="13">
        <f t="shared" si="58"/>
        <v>0.8430180937357229</v>
      </c>
    </row>
    <row r="1345" spans="1:17" x14ac:dyDescent="0.25">
      <c r="A1345" s="12">
        <f t="shared" si="56"/>
        <v>4</v>
      </c>
      <c r="B1345" s="12">
        <v>2024</v>
      </c>
      <c r="C1345" s="12">
        <v>7624</v>
      </c>
      <c r="D1345" s="12">
        <v>1084661</v>
      </c>
      <c r="E1345" s="12" t="s">
        <v>13</v>
      </c>
      <c r="F1345" s="12" t="s">
        <v>14</v>
      </c>
      <c r="G1345" s="25">
        <v>1084661</v>
      </c>
      <c r="H1345" s="12">
        <f t="shared" si="57"/>
        <v>0</v>
      </c>
      <c r="I1345" s="14">
        <v>45409</v>
      </c>
      <c r="J1345" s="12" t="s">
        <v>17</v>
      </c>
      <c r="K1345" s="12" t="s">
        <v>20</v>
      </c>
      <c r="L1345" s="12" t="s">
        <v>57</v>
      </c>
      <c r="M1345" s="12">
        <v>236.36699999999999</v>
      </c>
      <c r="N1345" s="12">
        <v>207.447</v>
      </c>
      <c r="O1345" s="12">
        <v>3.9</v>
      </c>
      <c r="P1345" s="12">
        <v>11.8</v>
      </c>
      <c r="Q1345" s="13">
        <f t="shared" si="58"/>
        <v>0.85303232090751979</v>
      </c>
    </row>
    <row r="1346" spans="1:17" x14ac:dyDescent="0.25">
      <c r="A1346" s="12">
        <f t="shared" si="56"/>
        <v>4</v>
      </c>
      <c r="B1346" s="12">
        <v>2024</v>
      </c>
      <c r="C1346" s="12">
        <v>7625</v>
      </c>
      <c r="D1346" s="12">
        <v>1084662</v>
      </c>
      <c r="E1346" s="12" t="s">
        <v>13</v>
      </c>
      <c r="F1346" s="12" t="s">
        <v>14</v>
      </c>
      <c r="G1346" s="25">
        <v>1084662</v>
      </c>
      <c r="H1346" s="12">
        <f t="shared" si="57"/>
        <v>0</v>
      </c>
      <c r="I1346" s="14">
        <v>45410</v>
      </c>
      <c r="J1346" s="12" t="s">
        <v>17</v>
      </c>
      <c r="K1346" s="12" t="s">
        <v>20</v>
      </c>
      <c r="L1346" s="12" t="s">
        <v>57</v>
      </c>
      <c r="M1346" s="12">
        <v>232.017</v>
      </c>
      <c r="N1346" s="12">
        <v>199.04400000000001</v>
      </c>
      <c r="O1346" s="12">
        <v>3.5</v>
      </c>
      <c r="P1346" s="12">
        <v>12</v>
      </c>
      <c r="Q1346" s="13">
        <f t="shared" si="58"/>
        <v>0.8573090996858016</v>
      </c>
    </row>
    <row r="1347" spans="1:17" x14ac:dyDescent="0.25">
      <c r="A1347" s="12">
        <f t="shared" ref="A1347:A1410" si="59">MONTH(I1347)</f>
        <v>4</v>
      </c>
      <c r="B1347" s="12">
        <v>2024</v>
      </c>
      <c r="C1347" s="12">
        <v>7626</v>
      </c>
      <c r="D1347" s="12">
        <v>1084848</v>
      </c>
      <c r="E1347" s="12" t="s">
        <v>13</v>
      </c>
      <c r="F1347" s="12" t="s">
        <v>14</v>
      </c>
      <c r="G1347" s="25">
        <v>1084848</v>
      </c>
      <c r="H1347" s="12">
        <f t="shared" si="57"/>
        <v>0</v>
      </c>
      <c r="I1347" s="14">
        <v>45411</v>
      </c>
      <c r="J1347" s="12" t="s">
        <v>17</v>
      </c>
      <c r="K1347" s="12" t="s">
        <v>20</v>
      </c>
      <c r="L1347" s="12" t="s">
        <v>57</v>
      </c>
      <c r="M1347" s="12">
        <v>231.94300000000001</v>
      </c>
      <c r="N1347" s="12">
        <v>201.316</v>
      </c>
      <c r="P1347" s="12">
        <v>12.2</v>
      </c>
      <c r="Q1347" s="13">
        <f t="shared" si="58"/>
        <v>0.87764789501072493</v>
      </c>
    </row>
    <row r="1348" spans="1:17" x14ac:dyDescent="0.25">
      <c r="A1348" s="12">
        <f t="shared" si="59"/>
        <v>4</v>
      </c>
      <c r="B1348" s="12">
        <v>2024</v>
      </c>
      <c r="C1348" s="12">
        <v>7627</v>
      </c>
      <c r="D1348" s="12">
        <v>1084849</v>
      </c>
      <c r="E1348" s="12" t="s">
        <v>13</v>
      </c>
      <c r="F1348" s="12" t="s">
        <v>14</v>
      </c>
      <c r="G1348" s="25">
        <v>1084849</v>
      </c>
      <c r="H1348" s="12">
        <f t="shared" si="57"/>
        <v>0</v>
      </c>
      <c r="I1348" s="14">
        <v>45412</v>
      </c>
      <c r="J1348" s="12" t="s">
        <v>18</v>
      </c>
      <c r="K1348" s="12" t="s">
        <v>20</v>
      </c>
      <c r="L1348" s="12" t="s">
        <v>61</v>
      </c>
      <c r="M1348" s="12">
        <v>232.04300000000001</v>
      </c>
      <c r="N1348" s="12">
        <v>198.613</v>
      </c>
      <c r="O1348" s="12">
        <v>3.4</v>
      </c>
      <c r="P1348" s="12">
        <v>12.1</v>
      </c>
      <c r="Q1348" s="13">
        <f t="shared" si="58"/>
        <v>0.85788541356883341</v>
      </c>
    </row>
    <row r="1349" spans="1:17" x14ac:dyDescent="0.25">
      <c r="A1349" s="12">
        <f t="shared" si="59"/>
        <v>5</v>
      </c>
      <c r="B1349" s="12">
        <v>2024</v>
      </c>
      <c r="C1349" s="12">
        <v>7628</v>
      </c>
      <c r="D1349" s="12">
        <v>1084944</v>
      </c>
      <c r="E1349" s="12" t="s">
        <v>13</v>
      </c>
      <c r="F1349" s="12" t="s">
        <v>14</v>
      </c>
      <c r="G1349" s="25">
        <v>1084944</v>
      </c>
      <c r="H1349" s="12">
        <f t="shared" si="57"/>
        <v>0</v>
      </c>
      <c r="I1349" s="14">
        <v>45413</v>
      </c>
      <c r="J1349" s="12" t="s">
        <v>18</v>
      </c>
      <c r="K1349" s="12" t="s">
        <v>20</v>
      </c>
      <c r="L1349" s="12" t="s">
        <v>61</v>
      </c>
      <c r="M1349" s="12">
        <v>230.042</v>
      </c>
      <c r="N1349" s="12">
        <v>198.84200000000001</v>
      </c>
      <c r="O1349" s="12">
        <v>4.0999999999999996</v>
      </c>
      <c r="P1349" s="12">
        <v>12</v>
      </c>
      <c r="Q1349" s="13">
        <f t="shared" si="58"/>
        <v>0.86795462678330448</v>
      </c>
    </row>
    <row r="1350" spans="1:17" x14ac:dyDescent="0.25">
      <c r="A1350" s="12">
        <f t="shared" si="59"/>
        <v>5</v>
      </c>
      <c r="B1350" s="12">
        <v>2024</v>
      </c>
      <c r="C1350" s="12">
        <v>7629</v>
      </c>
      <c r="D1350" s="12">
        <v>1085190</v>
      </c>
      <c r="E1350" s="12" t="s">
        <v>13</v>
      </c>
      <c r="F1350" s="12" t="s">
        <v>14</v>
      </c>
      <c r="G1350" s="25">
        <v>1085190</v>
      </c>
      <c r="H1350" s="12">
        <f t="shared" si="57"/>
        <v>0</v>
      </c>
      <c r="I1350" s="14">
        <v>45413</v>
      </c>
      <c r="J1350" s="12" t="s">
        <v>18</v>
      </c>
      <c r="K1350" s="12" t="s">
        <v>19</v>
      </c>
      <c r="L1350" s="12" t="s">
        <v>67</v>
      </c>
      <c r="M1350" s="12">
        <v>230.01400000000001</v>
      </c>
      <c r="N1350" s="12">
        <v>194.96600000000001</v>
      </c>
      <c r="O1350" s="12">
        <v>3.9</v>
      </c>
      <c r="P1350" s="12">
        <v>11.8</v>
      </c>
      <c r="Q1350" s="13">
        <f t="shared" si="58"/>
        <v>0.85593187469563825</v>
      </c>
    </row>
    <row r="1351" spans="1:17" x14ac:dyDescent="0.25">
      <c r="A1351" s="12">
        <f t="shared" si="59"/>
        <v>5</v>
      </c>
      <c r="B1351" s="12">
        <v>2024</v>
      </c>
      <c r="C1351" s="12">
        <v>7630</v>
      </c>
      <c r="D1351" s="12">
        <v>1085364</v>
      </c>
      <c r="E1351" s="12" t="s">
        <v>13</v>
      </c>
      <c r="F1351" s="12" t="s">
        <v>14</v>
      </c>
      <c r="G1351" s="25">
        <v>1085364</v>
      </c>
      <c r="H1351" s="12">
        <f t="shared" si="57"/>
        <v>0</v>
      </c>
      <c r="I1351" s="14">
        <v>45414</v>
      </c>
      <c r="J1351" s="12" t="s">
        <v>18</v>
      </c>
      <c r="K1351" s="12" t="s">
        <v>19</v>
      </c>
      <c r="L1351" s="12" t="s">
        <v>67</v>
      </c>
      <c r="M1351" s="12">
        <v>229.99600000000001</v>
      </c>
      <c r="N1351" s="12">
        <v>196.642</v>
      </c>
      <c r="O1351" s="12">
        <v>4.5999999999999996</v>
      </c>
      <c r="P1351" s="12">
        <v>11.7</v>
      </c>
      <c r="Q1351" s="13">
        <f t="shared" si="58"/>
        <v>0.86437259283087442</v>
      </c>
    </row>
    <row r="1352" spans="1:17" x14ac:dyDescent="0.25">
      <c r="A1352" s="12">
        <f t="shared" si="59"/>
        <v>5</v>
      </c>
      <c r="B1352" s="12">
        <v>2024</v>
      </c>
      <c r="C1352" s="12">
        <v>7631</v>
      </c>
      <c r="D1352" s="12">
        <v>1085565</v>
      </c>
      <c r="E1352" s="12" t="s">
        <v>13</v>
      </c>
      <c r="F1352" s="12" t="s">
        <v>14</v>
      </c>
      <c r="G1352" s="25">
        <v>1085565</v>
      </c>
      <c r="H1352" s="12">
        <f t="shared" si="57"/>
        <v>0</v>
      </c>
      <c r="I1352" s="14">
        <v>45415</v>
      </c>
      <c r="J1352" s="12" t="s">
        <v>18</v>
      </c>
      <c r="K1352" s="12" t="s">
        <v>19</v>
      </c>
      <c r="L1352" s="12" t="s">
        <v>57</v>
      </c>
      <c r="M1352" s="12">
        <v>230</v>
      </c>
      <c r="N1352" s="12">
        <v>197.803</v>
      </c>
      <c r="P1352" s="12">
        <v>11.9</v>
      </c>
      <c r="Q1352" s="13">
        <f t="shared" si="58"/>
        <v>0.84762666620292682</v>
      </c>
    </row>
    <row r="1353" spans="1:17" x14ac:dyDescent="0.25">
      <c r="A1353" s="12">
        <f t="shared" si="59"/>
        <v>5</v>
      </c>
      <c r="B1353" s="12">
        <v>2024</v>
      </c>
      <c r="C1353" s="12">
        <v>7632</v>
      </c>
      <c r="D1353" s="12">
        <v>1085767</v>
      </c>
      <c r="E1353" s="12" t="s">
        <v>13</v>
      </c>
      <c r="F1353" s="12" t="s">
        <v>14</v>
      </c>
      <c r="G1353" s="25">
        <v>1085767</v>
      </c>
      <c r="H1353" s="12">
        <f t="shared" si="57"/>
        <v>0</v>
      </c>
      <c r="I1353" s="14">
        <v>45416</v>
      </c>
      <c r="J1353" s="12" t="s">
        <v>18</v>
      </c>
      <c r="K1353" s="12" t="s">
        <v>19</v>
      </c>
      <c r="L1353" s="12" t="s">
        <v>57</v>
      </c>
      <c r="M1353" s="12">
        <v>230.05500000000001</v>
      </c>
      <c r="N1353" s="12">
        <v>201.333</v>
      </c>
      <c r="O1353" s="12">
        <v>4</v>
      </c>
      <c r="P1353" s="12">
        <v>11.9</v>
      </c>
      <c r="Q1353" s="13">
        <f t="shared" si="58"/>
        <v>0.85498008661020186</v>
      </c>
    </row>
    <row r="1354" spans="1:17" x14ac:dyDescent="0.25">
      <c r="A1354" s="12">
        <f t="shared" si="59"/>
        <v>5</v>
      </c>
      <c r="B1354" s="12">
        <v>2024</v>
      </c>
      <c r="C1354" s="12">
        <v>7633</v>
      </c>
      <c r="D1354" s="12">
        <v>1085925</v>
      </c>
      <c r="E1354" s="12" t="s">
        <v>13</v>
      </c>
      <c r="F1354" s="12" t="s">
        <v>14</v>
      </c>
      <c r="G1354" s="25">
        <v>1085925</v>
      </c>
      <c r="H1354" s="12">
        <f t="shared" si="57"/>
        <v>0</v>
      </c>
      <c r="I1354" s="14">
        <v>45417</v>
      </c>
      <c r="J1354" s="12" t="s">
        <v>18</v>
      </c>
      <c r="K1354" s="12" t="s">
        <v>19</v>
      </c>
      <c r="L1354" s="12" t="s">
        <v>57</v>
      </c>
      <c r="M1354" s="12">
        <v>230</v>
      </c>
      <c r="N1354" s="12">
        <v>194.94399999999999</v>
      </c>
      <c r="O1354" s="12">
        <v>3.6</v>
      </c>
      <c r="P1354" s="12">
        <v>11.8</v>
      </c>
      <c r="Q1354" s="13">
        <f t="shared" si="58"/>
        <v>0.86001304347826091</v>
      </c>
    </row>
    <row r="1355" spans="1:17" x14ac:dyDescent="0.25">
      <c r="A1355" s="12">
        <f t="shared" si="59"/>
        <v>5</v>
      </c>
      <c r="B1355" s="12">
        <v>2024</v>
      </c>
      <c r="C1355" s="12">
        <v>7634</v>
      </c>
      <c r="D1355" s="12">
        <v>1085926</v>
      </c>
      <c r="E1355" s="12" t="s">
        <v>13</v>
      </c>
      <c r="F1355" s="12" t="s">
        <v>14</v>
      </c>
      <c r="G1355" s="25">
        <v>1085926</v>
      </c>
      <c r="H1355" s="12">
        <f t="shared" si="57"/>
        <v>0</v>
      </c>
      <c r="I1355" s="14">
        <v>45418</v>
      </c>
      <c r="J1355" s="12" t="s">
        <v>18</v>
      </c>
      <c r="K1355" s="12" t="s">
        <v>19</v>
      </c>
      <c r="L1355" s="12" t="s">
        <v>57</v>
      </c>
      <c r="M1355" s="12">
        <v>229.97200000000001</v>
      </c>
      <c r="N1355" s="12">
        <v>195.72</v>
      </c>
      <c r="O1355" s="12">
        <v>3.8</v>
      </c>
      <c r="P1355" s="12">
        <v>11.7</v>
      </c>
      <c r="Q1355" s="13">
        <f t="shared" si="58"/>
        <v>0.87515159418399946</v>
      </c>
    </row>
    <row r="1356" spans="1:17" x14ac:dyDescent="0.25">
      <c r="A1356" s="12">
        <f t="shared" si="59"/>
        <v>5</v>
      </c>
      <c r="B1356" s="12">
        <v>2024</v>
      </c>
      <c r="C1356" s="12">
        <v>7635</v>
      </c>
      <c r="D1356" s="12">
        <v>1085927</v>
      </c>
      <c r="E1356" s="12" t="s">
        <v>13</v>
      </c>
      <c r="F1356" s="12" t="s">
        <v>14</v>
      </c>
      <c r="G1356" s="25">
        <v>1085927</v>
      </c>
      <c r="H1356" s="12">
        <f t="shared" si="57"/>
        <v>0</v>
      </c>
      <c r="I1356" s="14">
        <v>45419</v>
      </c>
      <c r="J1356" s="12" t="s">
        <v>18</v>
      </c>
      <c r="K1356" s="12" t="s">
        <v>19</v>
      </c>
      <c r="L1356" s="12" t="s">
        <v>57</v>
      </c>
      <c r="M1356" s="12">
        <v>230.00800000000001</v>
      </c>
      <c r="N1356" s="12">
        <v>195.39099999999999</v>
      </c>
      <c r="O1356" s="12">
        <v>3.5</v>
      </c>
      <c r="P1356" s="12">
        <v>11.5</v>
      </c>
      <c r="Q1356" s="13">
        <f t="shared" si="58"/>
        <v>0.84758260869565216</v>
      </c>
    </row>
    <row r="1357" spans="1:17" x14ac:dyDescent="0.25">
      <c r="A1357" s="12">
        <f t="shared" si="59"/>
        <v>5</v>
      </c>
      <c r="B1357" s="12">
        <v>2024</v>
      </c>
      <c r="C1357" s="12">
        <v>7636</v>
      </c>
      <c r="D1357" s="12">
        <v>1086203</v>
      </c>
      <c r="E1357" s="12" t="s">
        <v>13</v>
      </c>
      <c r="F1357" s="12" t="s">
        <v>14</v>
      </c>
      <c r="G1357" s="25">
        <v>1086203</v>
      </c>
      <c r="H1357" s="12">
        <f t="shared" si="57"/>
        <v>0</v>
      </c>
      <c r="I1357" s="14">
        <v>45420</v>
      </c>
      <c r="J1357" s="12" t="s">
        <v>18</v>
      </c>
      <c r="K1357" s="12" t="s">
        <v>20</v>
      </c>
      <c r="L1357" s="12" t="s">
        <v>61</v>
      </c>
      <c r="M1357" s="12">
        <v>230.012</v>
      </c>
      <c r="N1357" s="12">
        <v>194.21899999999999</v>
      </c>
      <c r="O1357" s="12">
        <v>4.3</v>
      </c>
      <c r="P1357" s="12">
        <v>11.9</v>
      </c>
      <c r="Q1357" s="13">
        <f t="shared" si="58"/>
        <v>0.85106012905918982</v>
      </c>
    </row>
    <row r="1358" spans="1:17" x14ac:dyDescent="0.25">
      <c r="A1358" s="12">
        <f t="shared" si="59"/>
        <v>5</v>
      </c>
      <c r="B1358" s="12">
        <v>2024</v>
      </c>
      <c r="C1358" s="12">
        <v>7637</v>
      </c>
      <c r="D1358" s="12">
        <v>1086225</v>
      </c>
      <c r="E1358" s="12" t="s">
        <v>13</v>
      </c>
      <c r="F1358" s="12" t="s">
        <v>14</v>
      </c>
      <c r="G1358" s="25">
        <v>1086225</v>
      </c>
      <c r="H1358" s="12">
        <f t="shared" si="57"/>
        <v>0</v>
      </c>
      <c r="I1358" s="14">
        <v>45421</v>
      </c>
      <c r="J1358" s="12" t="s">
        <v>18</v>
      </c>
      <c r="K1358" s="12" t="s">
        <v>20</v>
      </c>
      <c r="L1358" s="12" t="s">
        <v>61</v>
      </c>
      <c r="M1358" s="12">
        <v>230.001</v>
      </c>
      <c r="N1358" s="12">
        <v>196.36500000000001</v>
      </c>
      <c r="O1358" s="12">
        <v>3.5</v>
      </c>
      <c r="P1358" s="12">
        <v>12.1</v>
      </c>
      <c r="Q1358" s="13">
        <f t="shared" si="58"/>
        <v>0.84949653925080859</v>
      </c>
    </row>
    <row r="1359" spans="1:17" x14ac:dyDescent="0.25">
      <c r="A1359" s="12">
        <f t="shared" si="59"/>
        <v>5</v>
      </c>
      <c r="B1359" s="12">
        <v>2024</v>
      </c>
      <c r="C1359" s="12">
        <v>7638</v>
      </c>
      <c r="D1359" s="12">
        <v>1086491</v>
      </c>
      <c r="E1359" s="12" t="s">
        <v>13</v>
      </c>
      <c r="F1359" s="12" t="s">
        <v>14</v>
      </c>
      <c r="G1359" s="25">
        <v>1086491</v>
      </c>
      <c r="H1359" s="12">
        <f t="shared" si="57"/>
        <v>0</v>
      </c>
      <c r="I1359" s="14">
        <v>45422</v>
      </c>
      <c r="J1359" s="12" t="s">
        <v>18</v>
      </c>
      <c r="K1359" s="12" t="s">
        <v>20</v>
      </c>
      <c r="L1359" s="12" t="s">
        <v>61</v>
      </c>
      <c r="M1359" s="12">
        <v>230.011</v>
      </c>
      <c r="N1359" s="12">
        <v>195.482</v>
      </c>
      <c r="O1359" s="12">
        <v>3.8</v>
      </c>
      <c r="P1359" s="12">
        <v>12.1</v>
      </c>
      <c r="Q1359" s="13">
        <f t="shared" si="58"/>
        <v>0.84438637984105169</v>
      </c>
    </row>
    <row r="1360" spans="1:17" x14ac:dyDescent="0.25">
      <c r="A1360" s="12">
        <f t="shared" si="59"/>
        <v>5</v>
      </c>
      <c r="B1360" s="12">
        <v>2024</v>
      </c>
      <c r="C1360" s="12">
        <v>7639</v>
      </c>
      <c r="D1360" s="12">
        <v>1086689</v>
      </c>
      <c r="E1360" s="12" t="s">
        <v>13</v>
      </c>
      <c r="F1360" s="12" t="s">
        <v>14</v>
      </c>
      <c r="G1360" s="25">
        <v>1086689</v>
      </c>
      <c r="H1360" s="12">
        <f t="shared" si="57"/>
        <v>0</v>
      </c>
      <c r="I1360" s="14">
        <v>45423</v>
      </c>
      <c r="J1360" s="12" t="s">
        <v>18</v>
      </c>
      <c r="K1360" s="12" t="s">
        <v>20</v>
      </c>
      <c r="L1360" s="12" t="s">
        <v>61</v>
      </c>
      <c r="M1360" s="12">
        <v>230.01599999999999</v>
      </c>
      <c r="N1360" s="12">
        <v>193.40199999999999</v>
      </c>
      <c r="O1360" s="12">
        <v>3.9</v>
      </c>
      <c r="P1360" s="12">
        <v>12.3</v>
      </c>
      <c r="Q1360" s="13">
        <f t="shared" si="58"/>
        <v>0.85375715757757575</v>
      </c>
    </row>
    <row r="1361" spans="1:17" x14ac:dyDescent="0.25">
      <c r="A1361" s="12">
        <f t="shared" si="59"/>
        <v>5</v>
      </c>
      <c r="B1361" s="12">
        <v>2024</v>
      </c>
      <c r="C1361" s="12">
        <v>7640</v>
      </c>
      <c r="D1361" s="12">
        <v>1086843</v>
      </c>
      <c r="E1361" s="12" t="s">
        <v>13</v>
      </c>
      <c r="F1361" s="12" t="s">
        <v>14</v>
      </c>
      <c r="G1361" s="25">
        <v>1086843</v>
      </c>
      <c r="H1361" s="12">
        <f t="shared" si="57"/>
        <v>0</v>
      </c>
      <c r="I1361" s="14">
        <v>45424</v>
      </c>
      <c r="J1361" s="12" t="s">
        <v>18</v>
      </c>
      <c r="K1361" s="12" t="s">
        <v>20</v>
      </c>
      <c r="L1361" s="12" t="s">
        <v>61</v>
      </c>
      <c r="M1361" s="12">
        <v>230.01400000000001</v>
      </c>
      <c r="N1361" s="12">
        <v>193.85</v>
      </c>
      <c r="P1361" s="12">
        <v>12.6</v>
      </c>
      <c r="Q1361" s="13">
        <f t="shared" si="58"/>
        <v>0.84988109264339529</v>
      </c>
    </row>
    <row r="1362" spans="1:17" x14ac:dyDescent="0.25">
      <c r="A1362" s="12">
        <f t="shared" si="59"/>
        <v>5</v>
      </c>
      <c r="B1362" s="12">
        <v>2024</v>
      </c>
      <c r="C1362" s="12">
        <v>7641</v>
      </c>
      <c r="D1362" s="12">
        <v>1086845</v>
      </c>
      <c r="E1362" s="12" t="s">
        <v>13</v>
      </c>
      <c r="F1362" s="12" t="s">
        <v>14</v>
      </c>
      <c r="G1362" s="25">
        <v>1086845</v>
      </c>
      <c r="H1362" s="12">
        <f t="shared" si="57"/>
        <v>0</v>
      </c>
      <c r="I1362" s="14">
        <v>45425</v>
      </c>
      <c r="J1362" s="12" t="s">
        <v>18</v>
      </c>
      <c r="K1362" s="12" t="s">
        <v>20</v>
      </c>
      <c r="L1362" s="12" t="s">
        <v>61</v>
      </c>
      <c r="M1362" s="12">
        <v>229.946</v>
      </c>
      <c r="N1362" s="12">
        <v>194.57599999999999</v>
      </c>
      <c r="P1362" s="12">
        <v>12.4</v>
      </c>
      <c r="Q1362" s="13">
        <f t="shared" si="58"/>
        <v>0.8408197690595437</v>
      </c>
    </row>
    <row r="1363" spans="1:17" x14ac:dyDescent="0.25">
      <c r="A1363" s="12">
        <f t="shared" si="59"/>
        <v>5</v>
      </c>
      <c r="B1363" s="12">
        <v>2024</v>
      </c>
      <c r="C1363" s="12">
        <v>7642</v>
      </c>
      <c r="D1363" s="12">
        <v>1086846</v>
      </c>
      <c r="E1363" s="12" t="s">
        <v>13</v>
      </c>
      <c r="F1363" s="12" t="s">
        <v>14</v>
      </c>
      <c r="G1363" s="25">
        <v>1086846</v>
      </c>
      <c r="H1363" s="12">
        <f t="shared" si="57"/>
        <v>0</v>
      </c>
      <c r="I1363" s="14">
        <v>45426</v>
      </c>
      <c r="J1363" s="12" t="s">
        <v>18</v>
      </c>
      <c r="K1363" s="12" t="s">
        <v>20</v>
      </c>
      <c r="L1363" s="12" t="s">
        <v>61</v>
      </c>
      <c r="M1363" s="12">
        <v>229.94</v>
      </c>
      <c r="N1363" s="12">
        <v>191.76900000000001</v>
      </c>
      <c r="O1363" s="12">
        <v>4</v>
      </c>
      <c r="P1363" s="12">
        <v>12.2</v>
      </c>
      <c r="Q1363" s="13">
        <f t="shared" si="58"/>
        <v>0.84277478762162295</v>
      </c>
    </row>
    <row r="1364" spans="1:17" x14ac:dyDescent="0.25">
      <c r="A1364" s="12">
        <f t="shared" si="59"/>
        <v>5</v>
      </c>
      <c r="B1364" s="12">
        <v>2024</v>
      </c>
      <c r="C1364" s="12">
        <v>7643</v>
      </c>
      <c r="D1364" s="12">
        <v>1086873</v>
      </c>
      <c r="E1364" s="12" t="s">
        <v>13</v>
      </c>
      <c r="F1364" s="12" t="s">
        <v>14</v>
      </c>
      <c r="G1364" s="25">
        <v>1086873</v>
      </c>
      <c r="H1364" s="12">
        <f t="shared" si="57"/>
        <v>0</v>
      </c>
      <c r="I1364" s="14">
        <v>45427</v>
      </c>
      <c r="J1364" s="12" t="s">
        <v>18</v>
      </c>
      <c r="K1364" s="12" t="s">
        <v>20</v>
      </c>
      <c r="L1364" s="12" t="s">
        <v>61</v>
      </c>
      <c r="M1364" s="12">
        <v>229.99799999999999</v>
      </c>
      <c r="N1364" s="12">
        <v>191.84800000000001</v>
      </c>
      <c r="P1364" s="12">
        <v>12</v>
      </c>
      <c r="Q1364" s="13">
        <f t="shared" si="58"/>
        <v>0.84618127734337623</v>
      </c>
    </row>
    <row r="1365" spans="1:17" x14ac:dyDescent="0.25">
      <c r="A1365" s="12">
        <f t="shared" si="59"/>
        <v>5</v>
      </c>
      <c r="B1365" s="12">
        <v>2024</v>
      </c>
      <c r="C1365" s="12">
        <v>7644</v>
      </c>
      <c r="D1365" s="12">
        <v>1087138</v>
      </c>
      <c r="E1365" s="12" t="s">
        <v>13</v>
      </c>
      <c r="F1365" s="12" t="s">
        <v>14</v>
      </c>
      <c r="G1365" s="25">
        <v>1087138</v>
      </c>
      <c r="H1365" s="12">
        <f t="shared" si="57"/>
        <v>0</v>
      </c>
      <c r="I1365" s="14">
        <v>45428</v>
      </c>
      <c r="J1365" s="12" t="s">
        <v>18</v>
      </c>
      <c r="K1365" s="12" t="s">
        <v>20</v>
      </c>
      <c r="L1365" s="12" t="s">
        <v>61</v>
      </c>
      <c r="M1365" s="12">
        <v>230.011</v>
      </c>
      <c r="N1365" s="12">
        <v>196.07400000000001</v>
      </c>
      <c r="O1365" s="12">
        <v>5</v>
      </c>
      <c r="P1365" s="12">
        <v>12.5</v>
      </c>
      <c r="Q1365" s="13">
        <f t="shared" si="58"/>
        <v>0.83399582499782554</v>
      </c>
    </row>
    <row r="1366" spans="1:17" x14ac:dyDescent="0.25">
      <c r="A1366" s="12">
        <f t="shared" si="59"/>
        <v>5</v>
      </c>
      <c r="B1366" s="12">
        <v>2024</v>
      </c>
      <c r="C1366" s="12">
        <v>7645</v>
      </c>
      <c r="D1366" s="12">
        <v>1087389</v>
      </c>
      <c r="E1366" s="12" t="s">
        <v>13</v>
      </c>
      <c r="F1366" s="12" t="s">
        <v>14</v>
      </c>
      <c r="G1366" s="25">
        <v>1087389</v>
      </c>
      <c r="H1366" s="12">
        <f t="shared" si="57"/>
        <v>0</v>
      </c>
      <c r="I1366" s="14">
        <v>45429</v>
      </c>
      <c r="J1366" s="12" t="s">
        <v>18</v>
      </c>
      <c r="K1366" s="12" t="s">
        <v>20</v>
      </c>
      <c r="L1366" s="12" t="s">
        <v>61</v>
      </c>
      <c r="M1366" s="12">
        <v>230.00800000000001</v>
      </c>
      <c r="N1366" s="12">
        <v>193.202</v>
      </c>
      <c r="O1366" s="12">
        <v>3.6</v>
      </c>
      <c r="P1366" s="12">
        <v>12.3</v>
      </c>
      <c r="Q1366" s="13">
        <f t="shared" si="58"/>
        <v>0.83412899242602123</v>
      </c>
    </row>
    <row r="1367" spans="1:17" x14ac:dyDescent="0.25">
      <c r="A1367" s="12">
        <f t="shared" si="59"/>
        <v>5</v>
      </c>
      <c r="B1367" s="12">
        <v>2024</v>
      </c>
      <c r="C1367" s="12">
        <v>7646</v>
      </c>
      <c r="D1367" s="12">
        <v>1087394</v>
      </c>
      <c r="E1367" s="12" t="s">
        <v>13</v>
      </c>
      <c r="F1367" s="12" t="s">
        <v>14</v>
      </c>
      <c r="G1367" s="25">
        <v>1087394</v>
      </c>
      <c r="H1367" s="12">
        <f t="shared" si="57"/>
        <v>0</v>
      </c>
      <c r="I1367" s="14">
        <v>45430</v>
      </c>
      <c r="J1367" s="12" t="s">
        <v>18</v>
      </c>
      <c r="K1367" s="12" t="s">
        <v>19</v>
      </c>
      <c r="L1367" s="12" t="s">
        <v>57</v>
      </c>
      <c r="M1367" s="12">
        <v>229.995</v>
      </c>
      <c r="N1367" s="12">
        <v>195.29400000000001</v>
      </c>
      <c r="P1367" s="12">
        <v>11.8</v>
      </c>
      <c r="Q1367" s="13">
        <f t="shared" si="58"/>
        <v>0.85245488259257174</v>
      </c>
    </row>
    <row r="1368" spans="1:17" x14ac:dyDescent="0.25">
      <c r="A1368" s="12">
        <f t="shared" si="59"/>
        <v>5</v>
      </c>
      <c r="B1368" s="12">
        <v>2024</v>
      </c>
      <c r="C1368" s="12">
        <v>7647</v>
      </c>
      <c r="D1368" s="12">
        <v>1087549</v>
      </c>
      <c r="E1368" s="12" t="s">
        <v>13</v>
      </c>
      <c r="F1368" s="12" t="s">
        <v>14</v>
      </c>
      <c r="G1368" s="25">
        <v>1087549</v>
      </c>
      <c r="H1368" s="12">
        <f t="shared" si="57"/>
        <v>0</v>
      </c>
      <c r="I1368" s="14">
        <v>45431</v>
      </c>
      <c r="J1368" s="12" t="s">
        <v>18</v>
      </c>
      <c r="K1368" s="12" t="s">
        <v>19</v>
      </c>
      <c r="L1368" s="12" t="s">
        <v>57</v>
      </c>
      <c r="M1368" s="12">
        <v>229.98599999999999</v>
      </c>
      <c r="N1368" s="12">
        <v>193.99799999999999</v>
      </c>
      <c r="P1368" s="12">
        <v>11.8</v>
      </c>
      <c r="Q1368" s="13">
        <f t="shared" si="58"/>
        <v>0.83997947897464431</v>
      </c>
    </row>
    <row r="1369" spans="1:17" x14ac:dyDescent="0.25">
      <c r="A1369" s="12">
        <f t="shared" si="59"/>
        <v>5</v>
      </c>
      <c r="B1369" s="12">
        <v>2024</v>
      </c>
      <c r="C1369" s="12">
        <v>7648</v>
      </c>
      <c r="D1369" s="12">
        <v>1087551</v>
      </c>
      <c r="E1369" s="12" t="s">
        <v>13</v>
      </c>
      <c r="F1369" s="12" t="s">
        <v>14</v>
      </c>
      <c r="G1369" s="25">
        <v>1087551</v>
      </c>
      <c r="H1369" s="12">
        <f t="shared" si="57"/>
        <v>0</v>
      </c>
      <c r="I1369" s="14">
        <v>45432</v>
      </c>
      <c r="J1369" s="12" t="s">
        <v>18</v>
      </c>
      <c r="K1369" s="12" t="s">
        <v>19</v>
      </c>
      <c r="L1369" s="12" t="s">
        <v>57</v>
      </c>
      <c r="M1369" s="12">
        <v>229.94300000000001</v>
      </c>
      <c r="N1369" s="12">
        <v>196.40299999999999</v>
      </c>
      <c r="P1369" s="12">
        <v>12.2</v>
      </c>
      <c r="Q1369" s="13">
        <f t="shared" si="58"/>
        <v>0.84912280701754395</v>
      </c>
    </row>
    <row r="1370" spans="1:17" x14ac:dyDescent="0.25">
      <c r="A1370" s="12">
        <f t="shared" si="59"/>
        <v>5</v>
      </c>
      <c r="B1370" s="12">
        <v>2024</v>
      </c>
      <c r="C1370" s="12">
        <v>7649</v>
      </c>
      <c r="D1370" s="12">
        <v>1087555</v>
      </c>
      <c r="E1370" s="12" t="s">
        <v>13</v>
      </c>
      <c r="F1370" s="12" t="s">
        <v>14</v>
      </c>
      <c r="G1370" s="25">
        <v>1087555</v>
      </c>
      <c r="H1370" s="12">
        <f t="shared" si="57"/>
        <v>0</v>
      </c>
      <c r="I1370" s="14">
        <v>45432</v>
      </c>
      <c r="J1370" s="12" t="s">
        <v>18</v>
      </c>
      <c r="K1370" s="12" t="s">
        <v>19</v>
      </c>
      <c r="L1370" s="12" t="s">
        <v>57</v>
      </c>
      <c r="M1370" s="12">
        <v>229.881</v>
      </c>
      <c r="N1370" s="12">
        <v>194.88200000000001</v>
      </c>
      <c r="P1370" s="12">
        <v>12.1</v>
      </c>
      <c r="Q1370" s="13">
        <f t="shared" si="58"/>
        <v>0.84352090996843287</v>
      </c>
    </row>
    <row r="1371" spans="1:17" x14ac:dyDescent="0.25">
      <c r="A1371" s="12">
        <f t="shared" si="59"/>
        <v>5</v>
      </c>
      <c r="B1371" s="12">
        <v>2024</v>
      </c>
      <c r="C1371" s="12">
        <v>7650</v>
      </c>
      <c r="D1371" s="12">
        <v>1088180</v>
      </c>
      <c r="E1371" s="12" t="s">
        <v>13</v>
      </c>
      <c r="F1371" s="12" t="s">
        <v>14</v>
      </c>
      <c r="G1371" s="25">
        <v>1088180</v>
      </c>
      <c r="H1371" s="12">
        <f t="shared" si="57"/>
        <v>0</v>
      </c>
      <c r="I1371" s="14">
        <v>45438</v>
      </c>
      <c r="J1371" s="12" t="s">
        <v>18</v>
      </c>
      <c r="K1371" s="12" t="s">
        <v>19</v>
      </c>
      <c r="L1371" s="12" t="s">
        <v>57</v>
      </c>
      <c r="M1371" s="12">
        <v>229.97</v>
      </c>
      <c r="N1371" s="12">
        <v>194.38800000000001</v>
      </c>
      <c r="P1371" s="12">
        <v>12.1</v>
      </c>
      <c r="Q1371" s="13">
        <f t="shared" si="58"/>
        <v>0.85413776457643842</v>
      </c>
    </row>
    <row r="1372" spans="1:17" x14ac:dyDescent="0.25">
      <c r="A1372" s="12">
        <f t="shared" si="59"/>
        <v>5</v>
      </c>
      <c r="B1372" s="12">
        <v>2024</v>
      </c>
      <c r="C1372" s="12">
        <v>7651</v>
      </c>
      <c r="D1372" s="12">
        <v>1088915</v>
      </c>
      <c r="E1372" s="12" t="s">
        <v>13</v>
      </c>
      <c r="F1372" s="12" t="s">
        <v>14</v>
      </c>
      <c r="G1372" s="25">
        <v>1088915</v>
      </c>
      <c r="H1372" s="12">
        <f t="shared" si="57"/>
        <v>0</v>
      </c>
      <c r="I1372" s="14">
        <v>45439</v>
      </c>
      <c r="J1372" s="12" t="s">
        <v>36</v>
      </c>
      <c r="K1372" s="12" t="s">
        <v>20</v>
      </c>
      <c r="L1372" s="12" t="s">
        <v>61</v>
      </c>
      <c r="M1372" s="12">
        <v>229.999</v>
      </c>
      <c r="N1372" s="12">
        <v>194.62100000000001</v>
      </c>
      <c r="O1372" s="12">
        <v>4</v>
      </c>
      <c r="P1372" s="12">
        <v>12.3</v>
      </c>
      <c r="Q1372" s="13">
        <f t="shared" si="58"/>
        <v>0.84775166281684877</v>
      </c>
    </row>
    <row r="1373" spans="1:17" x14ac:dyDescent="0.25">
      <c r="A1373" s="12">
        <f t="shared" si="59"/>
        <v>5</v>
      </c>
      <c r="B1373" s="12">
        <v>2024</v>
      </c>
      <c r="C1373" s="12">
        <v>7652</v>
      </c>
      <c r="D1373" s="12">
        <v>1088930</v>
      </c>
      <c r="E1373" s="12" t="s">
        <v>13</v>
      </c>
      <c r="F1373" s="12" t="s">
        <v>14</v>
      </c>
      <c r="G1373" s="25">
        <v>1088930</v>
      </c>
      <c r="H1373" s="12">
        <f t="shared" si="57"/>
        <v>0</v>
      </c>
      <c r="I1373" s="14">
        <v>45440</v>
      </c>
      <c r="J1373" s="12" t="s">
        <v>36</v>
      </c>
      <c r="K1373" s="12" t="s">
        <v>20</v>
      </c>
      <c r="L1373" s="12" t="s">
        <v>61</v>
      </c>
      <c r="M1373" s="12">
        <v>229.92699999999999</v>
      </c>
      <c r="N1373" s="12">
        <v>189.90299999999999</v>
      </c>
      <c r="O1373" s="12">
        <v>3.6</v>
      </c>
      <c r="P1373" s="12">
        <v>12.1</v>
      </c>
      <c r="Q1373" s="13">
        <f t="shared" si="58"/>
        <v>0.84527547071357134</v>
      </c>
    </row>
    <row r="1374" spans="1:17" x14ac:dyDescent="0.25">
      <c r="A1374" s="12">
        <f t="shared" si="59"/>
        <v>5</v>
      </c>
      <c r="B1374" s="12">
        <v>2024</v>
      </c>
      <c r="C1374" s="12">
        <v>7653</v>
      </c>
      <c r="D1374" s="12">
        <v>1089206</v>
      </c>
      <c r="E1374" s="12" t="s">
        <v>13</v>
      </c>
      <c r="F1374" s="12" t="s">
        <v>14</v>
      </c>
      <c r="G1374" s="25">
        <v>1089206</v>
      </c>
      <c r="H1374" s="12">
        <f t="shared" si="57"/>
        <v>0</v>
      </c>
      <c r="I1374" s="14">
        <v>45441</v>
      </c>
      <c r="J1374" s="12" t="s">
        <v>17</v>
      </c>
      <c r="K1374" s="12" t="s">
        <v>19</v>
      </c>
      <c r="L1374" s="12" t="s">
        <v>57</v>
      </c>
      <c r="M1374" s="12">
        <v>230.01300000000001</v>
      </c>
      <c r="N1374" s="12">
        <v>197.80600000000001</v>
      </c>
      <c r="P1374" s="12">
        <v>12</v>
      </c>
      <c r="Q1374" s="13">
        <f t="shared" si="58"/>
        <v>0.84618193992147794</v>
      </c>
    </row>
    <row r="1375" spans="1:17" x14ac:dyDescent="0.25">
      <c r="A1375" s="12">
        <f t="shared" si="59"/>
        <v>5</v>
      </c>
      <c r="B1375" s="12">
        <v>2024</v>
      </c>
      <c r="C1375" s="12">
        <v>7654</v>
      </c>
      <c r="D1375" s="12">
        <v>1089348</v>
      </c>
      <c r="E1375" s="12" t="s">
        <v>13</v>
      </c>
      <c r="F1375" s="12" t="s">
        <v>14</v>
      </c>
      <c r="G1375" s="25">
        <v>1089348</v>
      </c>
      <c r="H1375" s="12">
        <f t="shared" si="57"/>
        <v>0</v>
      </c>
      <c r="I1375" s="14">
        <v>45442</v>
      </c>
      <c r="J1375" s="12" t="s">
        <v>17</v>
      </c>
      <c r="K1375" s="12" t="s">
        <v>19</v>
      </c>
      <c r="L1375" s="12" t="s">
        <v>57</v>
      </c>
      <c r="M1375" s="12">
        <v>229.99199999999999</v>
      </c>
      <c r="N1375" s="12">
        <v>194.11799999999999</v>
      </c>
      <c r="O1375" s="12">
        <v>3.6</v>
      </c>
      <c r="P1375" s="12">
        <v>11.8</v>
      </c>
      <c r="Q1375" s="13">
        <f t="shared" si="58"/>
        <v>0.82592735955324947</v>
      </c>
    </row>
    <row r="1376" spans="1:17" x14ac:dyDescent="0.25">
      <c r="A1376" s="12">
        <f t="shared" si="59"/>
        <v>5</v>
      </c>
      <c r="B1376" s="12">
        <v>2024</v>
      </c>
      <c r="C1376" s="12">
        <v>7655</v>
      </c>
      <c r="D1376" s="12">
        <v>1089565</v>
      </c>
      <c r="E1376" s="12" t="s">
        <v>13</v>
      </c>
      <c r="F1376" s="12" t="s">
        <v>14</v>
      </c>
      <c r="G1376" s="25">
        <v>1089565</v>
      </c>
      <c r="H1376" s="12">
        <f t="shared" si="57"/>
        <v>0</v>
      </c>
      <c r="I1376" s="14">
        <v>45443</v>
      </c>
      <c r="J1376" s="12" t="s">
        <v>17</v>
      </c>
      <c r="K1376" s="12" t="s">
        <v>19</v>
      </c>
      <c r="L1376" s="12" t="s">
        <v>57</v>
      </c>
      <c r="M1376" s="12">
        <v>230.01400000000001</v>
      </c>
      <c r="N1376" s="12">
        <v>194.21700000000001</v>
      </c>
      <c r="P1376" s="12">
        <v>11.9</v>
      </c>
      <c r="Q1376" s="13">
        <f t="shared" si="58"/>
        <v>0.85997747953376547</v>
      </c>
    </row>
    <row r="1377" spans="1:17" x14ac:dyDescent="0.25">
      <c r="A1377" s="12">
        <f t="shared" si="59"/>
        <v>6</v>
      </c>
      <c r="B1377" s="12">
        <v>2024</v>
      </c>
      <c r="C1377" s="12">
        <v>7656</v>
      </c>
      <c r="D1377" s="12">
        <v>1089826</v>
      </c>
      <c r="E1377" s="12" t="s">
        <v>13</v>
      </c>
      <c r="F1377" s="12" t="s">
        <v>14</v>
      </c>
      <c r="H1377" s="12">
        <f t="shared" si="57"/>
        <v>1089826</v>
      </c>
      <c r="I1377" s="14">
        <v>45444</v>
      </c>
      <c r="J1377" s="12" t="s">
        <v>17</v>
      </c>
      <c r="K1377" s="12" t="s">
        <v>19</v>
      </c>
      <c r="L1377" s="12" t="s">
        <v>57</v>
      </c>
      <c r="M1377" s="12">
        <v>230.02199999999999</v>
      </c>
      <c r="N1377" s="12">
        <v>194.858</v>
      </c>
      <c r="P1377" s="12">
        <v>11.9</v>
      </c>
      <c r="Q1377" s="13">
        <f t="shared" si="58"/>
        <v>0.84402066158822919</v>
      </c>
    </row>
    <row r="1378" spans="1:17" x14ac:dyDescent="0.25">
      <c r="A1378" s="12">
        <f t="shared" si="59"/>
        <v>6</v>
      </c>
      <c r="B1378" s="12">
        <v>2024</v>
      </c>
      <c r="C1378" s="12">
        <v>7657</v>
      </c>
      <c r="D1378" s="12">
        <v>1089978</v>
      </c>
      <c r="E1378" s="12" t="s">
        <v>13</v>
      </c>
      <c r="F1378" s="12" t="s">
        <v>14</v>
      </c>
      <c r="H1378" s="12">
        <f t="shared" ref="H1378:H1441" si="60">D1378-G1378</f>
        <v>1089978</v>
      </c>
      <c r="I1378" s="14">
        <v>45445</v>
      </c>
      <c r="J1378" s="12" t="s">
        <v>17</v>
      </c>
      <c r="K1378" s="12" t="s">
        <v>19</v>
      </c>
      <c r="L1378" s="12" t="s">
        <v>57</v>
      </c>
      <c r="M1378" s="12">
        <v>230.011</v>
      </c>
      <c r="N1378" s="12">
        <v>195.05500000000001</v>
      </c>
      <c r="P1378" s="12">
        <v>12</v>
      </c>
      <c r="Q1378" s="13">
        <f t="shared" si="58"/>
        <v>0.84437034267479372</v>
      </c>
    </row>
    <row r="1379" spans="1:17" x14ac:dyDescent="0.25">
      <c r="A1379" s="12">
        <f t="shared" si="59"/>
        <v>6</v>
      </c>
      <c r="B1379" s="12">
        <v>2024</v>
      </c>
      <c r="C1379" s="12">
        <v>7658</v>
      </c>
      <c r="D1379" s="12">
        <v>1089979</v>
      </c>
      <c r="E1379" s="12" t="s">
        <v>13</v>
      </c>
      <c r="F1379" s="12" t="s">
        <v>14</v>
      </c>
      <c r="H1379" s="12">
        <f t="shared" si="60"/>
        <v>1089979</v>
      </c>
      <c r="I1379" s="14">
        <v>45446</v>
      </c>
      <c r="J1379" s="12" t="s">
        <v>18</v>
      </c>
      <c r="K1379" s="12" t="s">
        <v>20</v>
      </c>
      <c r="L1379" s="12" t="s">
        <v>62</v>
      </c>
      <c r="M1379" s="12">
        <v>230.005</v>
      </c>
      <c r="N1379" s="12">
        <v>194.904</v>
      </c>
      <c r="P1379" s="12">
        <v>11.9</v>
      </c>
      <c r="Q1379" s="13">
        <f t="shared" si="58"/>
        <v>0.84712766604933443</v>
      </c>
    </row>
    <row r="1380" spans="1:17" x14ac:dyDescent="0.25">
      <c r="A1380" s="12">
        <f t="shared" si="59"/>
        <v>6</v>
      </c>
      <c r="B1380" s="12">
        <v>2024</v>
      </c>
      <c r="C1380" s="12">
        <v>7659</v>
      </c>
      <c r="D1380" s="12">
        <v>1090071</v>
      </c>
      <c r="E1380" s="12" t="s">
        <v>13</v>
      </c>
      <c r="F1380" s="12" t="s">
        <v>14</v>
      </c>
      <c r="H1380" s="12">
        <f t="shared" si="60"/>
        <v>1090071</v>
      </c>
      <c r="I1380" s="14">
        <v>45447</v>
      </c>
      <c r="J1380" s="12" t="s">
        <v>18</v>
      </c>
      <c r="K1380" s="12" t="s">
        <v>20</v>
      </c>
      <c r="L1380" s="12" t="s">
        <v>62</v>
      </c>
      <c r="M1380" s="12">
        <v>229.96199999999999</v>
      </c>
      <c r="N1380" s="12">
        <v>194.953</v>
      </c>
      <c r="P1380" s="12">
        <v>12.1</v>
      </c>
      <c r="Q1380" s="13">
        <f t="shared" si="58"/>
        <v>0.84802465969018881</v>
      </c>
    </row>
    <row r="1381" spans="1:17" x14ac:dyDescent="0.25">
      <c r="A1381" s="12">
        <f t="shared" si="59"/>
        <v>6</v>
      </c>
      <c r="B1381" s="12">
        <v>2024</v>
      </c>
      <c r="C1381" s="12">
        <v>7660</v>
      </c>
      <c r="D1381" s="12">
        <v>1090297</v>
      </c>
      <c r="E1381" s="12" t="s">
        <v>13</v>
      </c>
      <c r="F1381" s="12" t="s">
        <v>14</v>
      </c>
      <c r="H1381" s="12">
        <f t="shared" si="60"/>
        <v>1090297</v>
      </c>
      <c r="I1381" s="14">
        <v>45448</v>
      </c>
      <c r="J1381" s="12" t="s">
        <v>51</v>
      </c>
      <c r="K1381" s="12" t="s">
        <v>19</v>
      </c>
      <c r="L1381" s="12" t="s">
        <v>57</v>
      </c>
      <c r="M1381" s="12">
        <v>230.01499999999999</v>
      </c>
      <c r="N1381" s="12">
        <v>194.77600000000001</v>
      </c>
      <c r="P1381" s="12">
        <v>11.8</v>
      </c>
      <c r="Q1381" s="13">
        <f t="shared" si="58"/>
        <v>0.84739027412447554</v>
      </c>
    </row>
    <row r="1382" spans="1:17" x14ac:dyDescent="0.25">
      <c r="A1382" s="12">
        <f t="shared" si="59"/>
        <v>6</v>
      </c>
      <c r="B1382" s="12">
        <v>2024</v>
      </c>
      <c r="C1382" s="12">
        <v>7661</v>
      </c>
      <c r="D1382" s="12">
        <v>1090474</v>
      </c>
      <c r="E1382" s="12" t="s">
        <v>13</v>
      </c>
      <c r="F1382" s="12" t="s">
        <v>14</v>
      </c>
      <c r="H1382" s="12">
        <f t="shared" si="60"/>
        <v>1090474</v>
      </c>
      <c r="I1382" s="14">
        <v>45449</v>
      </c>
      <c r="J1382" s="12" t="s">
        <v>51</v>
      </c>
      <c r="K1382" s="12" t="s">
        <v>19</v>
      </c>
      <c r="L1382" s="12" t="s">
        <v>57</v>
      </c>
      <c r="M1382" s="12">
        <v>229.958</v>
      </c>
      <c r="N1382" s="12">
        <v>195.98699999999999</v>
      </c>
      <c r="P1382" s="12">
        <v>11.9</v>
      </c>
      <c r="Q1382" s="13">
        <f t="shared" si="58"/>
        <v>0.84776180412415969</v>
      </c>
    </row>
    <row r="1383" spans="1:17" x14ac:dyDescent="0.25">
      <c r="A1383" s="12">
        <f t="shared" si="59"/>
        <v>6</v>
      </c>
      <c r="B1383" s="12">
        <v>2024</v>
      </c>
      <c r="C1383" s="12">
        <v>7662</v>
      </c>
      <c r="D1383" s="12">
        <v>1090643</v>
      </c>
      <c r="E1383" s="12" t="s">
        <v>13</v>
      </c>
      <c r="F1383" s="12" t="s">
        <v>14</v>
      </c>
      <c r="H1383" s="12">
        <f t="shared" si="60"/>
        <v>1090643</v>
      </c>
      <c r="I1383" s="14">
        <v>45450</v>
      </c>
      <c r="J1383" s="12" t="s">
        <v>51</v>
      </c>
      <c r="K1383" s="12" t="s">
        <v>19</v>
      </c>
      <c r="L1383" s="12" t="s">
        <v>57</v>
      </c>
      <c r="M1383" s="12">
        <v>230.005</v>
      </c>
      <c r="N1383" s="12">
        <v>195.93899999999999</v>
      </c>
      <c r="P1383" s="12">
        <v>11.8</v>
      </c>
      <c r="Q1383" s="13">
        <f t="shared" si="58"/>
        <v>0.84679694802512884</v>
      </c>
    </row>
    <row r="1384" spans="1:17" x14ac:dyDescent="0.25">
      <c r="A1384" s="12">
        <f t="shared" si="59"/>
        <v>6</v>
      </c>
      <c r="B1384" s="12">
        <v>2024</v>
      </c>
      <c r="C1384" s="12">
        <v>7663</v>
      </c>
      <c r="D1384" s="12">
        <v>1090644</v>
      </c>
      <c r="E1384" s="12" t="s">
        <v>13</v>
      </c>
      <c r="F1384" s="12" t="s">
        <v>14</v>
      </c>
      <c r="H1384" s="12">
        <f t="shared" si="60"/>
        <v>1090644</v>
      </c>
      <c r="I1384" s="14">
        <v>45451</v>
      </c>
      <c r="J1384" s="12" t="s">
        <v>51</v>
      </c>
      <c r="K1384" s="12" t="s">
        <v>19</v>
      </c>
      <c r="L1384" s="12" t="s">
        <v>57</v>
      </c>
      <c r="M1384" s="12">
        <v>229.982</v>
      </c>
      <c r="N1384" s="12">
        <v>196.89099999999999</v>
      </c>
      <c r="P1384" s="12">
        <v>11.7</v>
      </c>
      <c r="Q1384" s="13">
        <f t="shared" si="58"/>
        <v>0.85227302376955794</v>
      </c>
    </row>
    <row r="1385" spans="1:17" x14ac:dyDescent="0.25">
      <c r="A1385" s="12">
        <f t="shared" si="59"/>
        <v>6</v>
      </c>
      <c r="B1385" s="12">
        <v>2024</v>
      </c>
      <c r="C1385" s="12">
        <v>7664</v>
      </c>
      <c r="D1385" s="12">
        <v>1091036</v>
      </c>
      <c r="E1385" s="12" t="s">
        <v>13</v>
      </c>
      <c r="F1385" s="12" t="s">
        <v>14</v>
      </c>
      <c r="H1385" s="12">
        <f t="shared" si="60"/>
        <v>1091036</v>
      </c>
      <c r="I1385" s="14">
        <v>45452</v>
      </c>
      <c r="J1385" s="12" t="s">
        <v>51</v>
      </c>
      <c r="K1385" s="12" t="s">
        <v>19</v>
      </c>
      <c r="L1385" s="12" t="s">
        <v>57</v>
      </c>
      <c r="M1385" s="12">
        <v>229.92699999999999</v>
      </c>
      <c r="N1385" s="12">
        <v>195.178</v>
      </c>
      <c r="P1385" s="12">
        <v>12.1</v>
      </c>
      <c r="Q1385" s="13">
        <f t="shared" si="58"/>
        <v>0.85189017630051522</v>
      </c>
    </row>
    <row r="1386" spans="1:17" x14ac:dyDescent="0.25">
      <c r="A1386" s="12">
        <f t="shared" si="59"/>
        <v>6</v>
      </c>
      <c r="B1386" s="12">
        <v>2024</v>
      </c>
      <c r="C1386" s="12">
        <v>7665</v>
      </c>
      <c r="D1386" s="12">
        <v>1091037</v>
      </c>
      <c r="E1386" s="12" t="s">
        <v>13</v>
      </c>
      <c r="F1386" s="12" t="s">
        <v>14</v>
      </c>
      <c r="H1386" s="12">
        <f t="shared" si="60"/>
        <v>1091037</v>
      </c>
      <c r="I1386" s="14">
        <v>45452</v>
      </c>
      <c r="J1386" s="12" t="s">
        <v>18</v>
      </c>
      <c r="K1386" s="12" t="s">
        <v>20</v>
      </c>
      <c r="L1386" s="12" t="s">
        <v>61</v>
      </c>
      <c r="M1386" s="12">
        <v>229.935</v>
      </c>
      <c r="N1386" s="12">
        <v>194.90199999999999</v>
      </c>
      <c r="P1386" s="12">
        <v>12.2</v>
      </c>
      <c r="Q1386" s="13">
        <f t="shared" si="58"/>
        <v>0.85611482637771652</v>
      </c>
    </row>
    <row r="1387" spans="1:17" x14ac:dyDescent="0.25">
      <c r="A1387" s="12">
        <f t="shared" si="59"/>
        <v>6</v>
      </c>
      <c r="B1387" s="12">
        <v>2024</v>
      </c>
      <c r="C1387" s="12">
        <v>7666</v>
      </c>
      <c r="D1387" s="12">
        <v>1091038</v>
      </c>
      <c r="E1387" s="12" t="s">
        <v>13</v>
      </c>
      <c r="F1387" s="12" t="s">
        <v>14</v>
      </c>
      <c r="H1387" s="12">
        <f t="shared" si="60"/>
        <v>1091038</v>
      </c>
      <c r="I1387" s="14">
        <v>45453</v>
      </c>
      <c r="J1387" s="12" t="s">
        <v>18</v>
      </c>
      <c r="K1387" s="12" t="s">
        <v>20</v>
      </c>
      <c r="L1387" s="12" t="s">
        <v>61</v>
      </c>
      <c r="M1387" s="12">
        <v>230.006</v>
      </c>
      <c r="N1387" s="12">
        <v>192.209</v>
      </c>
      <c r="P1387" s="12">
        <v>12.5</v>
      </c>
      <c r="Q1387" s="13">
        <f t="shared" ref="Q1387:Q1450" si="61">N1385/M1385</f>
        <v>0.8488694237736325</v>
      </c>
    </row>
    <row r="1388" spans="1:17" x14ac:dyDescent="0.25">
      <c r="A1388" s="12">
        <f t="shared" si="59"/>
        <v>6</v>
      </c>
      <c r="B1388" s="12">
        <v>2024</v>
      </c>
      <c r="C1388" s="12">
        <v>7667</v>
      </c>
      <c r="D1388" s="12">
        <v>1091361</v>
      </c>
      <c r="E1388" s="12" t="s">
        <v>13</v>
      </c>
      <c r="F1388" s="12" t="s">
        <v>14</v>
      </c>
      <c r="H1388" s="12">
        <f t="shared" si="60"/>
        <v>1091361</v>
      </c>
      <c r="I1388" s="14">
        <v>45454</v>
      </c>
      <c r="J1388" s="12" t="s">
        <v>18</v>
      </c>
      <c r="K1388" s="12" t="s">
        <v>19</v>
      </c>
      <c r="L1388" s="12" t="s">
        <v>67</v>
      </c>
      <c r="M1388" s="12">
        <v>230.95400000000001</v>
      </c>
      <c r="N1388" s="12">
        <v>199.786</v>
      </c>
      <c r="P1388" s="12">
        <v>11.9</v>
      </c>
      <c r="Q1388" s="13">
        <f t="shared" si="61"/>
        <v>0.84763955030769556</v>
      </c>
    </row>
    <row r="1389" spans="1:17" x14ac:dyDescent="0.25">
      <c r="A1389" s="12">
        <f t="shared" si="59"/>
        <v>6</v>
      </c>
      <c r="B1389" s="12">
        <v>2024</v>
      </c>
      <c r="C1389" s="12">
        <v>7668</v>
      </c>
      <c r="D1389" s="12">
        <v>1091562</v>
      </c>
      <c r="E1389" s="12" t="s">
        <v>13</v>
      </c>
      <c r="F1389" s="12" t="s">
        <v>14</v>
      </c>
      <c r="H1389" s="12">
        <f t="shared" si="60"/>
        <v>1091562</v>
      </c>
      <c r="I1389" s="14">
        <v>45455</v>
      </c>
      <c r="J1389" s="12" t="s">
        <v>18</v>
      </c>
      <c r="K1389" s="12" t="s">
        <v>19</v>
      </c>
      <c r="L1389" s="12" t="s">
        <v>67</v>
      </c>
      <c r="M1389" s="12">
        <v>230.017</v>
      </c>
      <c r="N1389" s="12">
        <v>198.35300000000001</v>
      </c>
      <c r="P1389" s="12">
        <v>11.7</v>
      </c>
      <c r="Q1389" s="13">
        <f t="shared" si="61"/>
        <v>0.8356695042738016</v>
      </c>
    </row>
    <row r="1390" spans="1:17" x14ac:dyDescent="0.25">
      <c r="A1390" s="12">
        <f t="shared" si="59"/>
        <v>6</v>
      </c>
      <c r="B1390" s="12">
        <v>2024</v>
      </c>
      <c r="C1390" s="12">
        <v>7669</v>
      </c>
      <c r="D1390" s="12">
        <v>1091804</v>
      </c>
      <c r="E1390" s="12" t="s">
        <v>13</v>
      </c>
      <c r="F1390" s="12" t="s">
        <v>14</v>
      </c>
      <c r="H1390" s="12">
        <f t="shared" si="60"/>
        <v>1091804</v>
      </c>
      <c r="I1390" s="14">
        <v>45456</v>
      </c>
      <c r="J1390" s="12" t="s">
        <v>17</v>
      </c>
      <c r="K1390" s="12" t="s">
        <v>19</v>
      </c>
      <c r="L1390" s="12" t="s">
        <v>57</v>
      </c>
      <c r="M1390" s="12">
        <v>229.99799999999999</v>
      </c>
      <c r="N1390" s="12">
        <v>199.76900000000001</v>
      </c>
      <c r="P1390" s="12">
        <v>11.6</v>
      </c>
      <c r="Q1390" s="13">
        <f t="shared" si="61"/>
        <v>0.86504671926011234</v>
      </c>
    </row>
    <row r="1391" spans="1:17" x14ac:dyDescent="0.25">
      <c r="A1391" s="12">
        <f t="shared" si="59"/>
        <v>6</v>
      </c>
      <c r="B1391" s="12">
        <v>2024</v>
      </c>
      <c r="C1391" s="12">
        <v>7670</v>
      </c>
      <c r="D1391" s="12">
        <v>1091995</v>
      </c>
      <c r="E1391" s="12" t="s">
        <v>13</v>
      </c>
      <c r="F1391" s="12" t="s">
        <v>14</v>
      </c>
      <c r="H1391" s="12">
        <f t="shared" si="60"/>
        <v>1091995</v>
      </c>
      <c r="I1391" s="14">
        <v>45457</v>
      </c>
      <c r="J1391" s="12" t="s">
        <v>17</v>
      </c>
      <c r="K1391" s="12" t="s">
        <v>19</v>
      </c>
      <c r="L1391" s="12" t="s">
        <v>57</v>
      </c>
      <c r="M1391" s="12">
        <v>230.01</v>
      </c>
      <c r="N1391" s="12">
        <v>197.06700000000001</v>
      </c>
      <c r="P1391" s="12">
        <v>11.8</v>
      </c>
      <c r="Q1391" s="13">
        <f t="shared" si="61"/>
        <v>0.862340609607116</v>
      </c>
    </row>
    <row r="1392" spans="1:17" x14ac:dyDescent="0.25">
      <c r="A1392" s="12">
        <f t="shared" si="59"/>
        <v>6</v>
      </c>
      <c r="B1392" s="12">
        <v>2024</v>
      </c>
      <c r="C1392" s="12">
        <v>7671</v>
      </c>
      <c r="D1392" s="12">
        <v>1092049</v>
      </c>
      <c r="E1392" s="12" t="s">
        <v>13</v>
      </c>
      <c r="F1392" s="12" t="s">
        <v>14</v>
      </c>
      <c r="H1392" s="12">
        <f t="shared" si="60"/>
        <v>1092049</v>
      </c>
      <c r="I1392" s="14">
        <v>45458</v>
      </c>
      <c r="J1392" s="12" t="s">
        <v>17</v>
      </c>
      <c r="K1392" s="12" t="s">
        <v>19</v>
      </c>
      <c r="L1392" s="12" t="s">
        <v>57</v>
      </c>
      <c r="M1392" s="12">
        <v>230.00399999999999</v>
      </c>
      <c r="N1392" s="12">
        <v>196.81</v>
      </c>
      <c r="P1392" s="12">
        <v>12.4</v>
      </c>
      <c r="Q1392" s="13">
        <f t="shared" si="61"/>
        <v>0.86856842233410736</v>
      </c>
    </row>
    <row r="1393" spans="1:17" x14ac:dyDescent="0.25">
      <c r="A1393" s="12">
        <f t="shared" si="59"/>
        <v>6</v>
      </c>
      <c r="B1393" s="12">
        <v>2024</v>
      </c>
      <c r="C1393" s="12">
        <v>7672</v>
      </c>
      <c r="D1393" s="12">
        <v>1092137</v>
      </c>
      <c r="E1393" s="12" t="s">
        <v>13</v>
      </c>
      <c r="F1393" s="12" t="s">
        <v>14</v>
      </c>
      <c r="H1393" s="12">
        <f t="shared" si="60"/>
        <v>1092137</v>
      </c>
      <c r="I1393" s="14">
        <v>45459</v>
      </c>
      <c r="J1393" s="12" t="s">
        <v>17</v>
      </c>
      <c r="K1393" s="12" t="s">
        <v>19</v>
      </c>
      <c r="L1393" s="12" t="s">
        <v>57</v>
      </c>
      <c r="M1393" s="12">
        <v>230.10300000000001</v>
      </c>
      <c r="N1393" s="12">
        <v>198.34700000000001</v>
      </c>
      <c r="P1393" s="12">
        <v>12.3</v>
      </c>
      <c r="Q1393" s="13">
        <f t="shared" si="61"/>
        <v>0.85677579235685408</v>
      </c>
    </row>
    <row r="1394" spans="1:17" x14ac:dyDescent="0.25">
      <c r="A1394" s="12">
        <f t="shared" si="59"/>
        <v>6</v>
      </c>
      <c r="B1394" s="12">
        <v>2024</v>
      </c>
      <c r="C1394" s="12">
        <v>7673</v>
      </c>
      <c r="D1394" s="12">
        <v>1092138</v>
      </c>
      <c r="E1394" s="12" t="s">
        <v>13</v>
      </c>
      <c r="F1394" s="12" t="s">
        <v>14</v>
      </c>
      <c r="H1394" s="12">
        <f t="shared" si="60"/>
        <v>1092138</v>
      </c>
      <c r="I1394" s="14">
        <v>45460</v>
      </c>
      <c r="J1394" s="12" t="s">
        <v>17</v>
      </c>
      <c r="K1394" s="12" t="s">
        <v>19</v>
      </c>
      <c r="L1394" s="12" t="s">
        <v>57</v>
      </c>
      <c r="M1394" s="12">
        <v>230.083</v>
      </c>
      <c r="N1394" s="12">
        <v>199.71700000000001</v>
      </c>
      <c r="P1394" s="12">
        <v>12.4</v>
      </c>
      <c r="Q1394" s="13">
        <f t="shared" si="61"/>
        <v>0.85568077076920401</v>
      </c>
    </row>
    <row r="1395" spans="1:17" x14ac:dyDescent="0.25">
      <c r="A1395" s="12">
        <f t="shared" si="59"/>
        <v>6</v>
      </c>
      <c r="B1395" s="12">
        <v>2024</v>
      </c>
      <c r="C1395" s="12">
        <v>7674</v>
      </c>
      <c r="D1395" s="12">
        <v>1092189</v>
      </c>
      <c r="E1395" s="12" t="s">
        <v>13</v>
      </c>
      <c r="F1395" s="12" t="s">
        <v>14</v>
      </c>
      <c r="H1395" s="12">
        <f t="shared" si="60"/>
        <v>1092189</v>
      </c>
      <c r="I1395" s="14">
        <v>45461</v>
      </c>
      <c r="J1395" s="12" t="s">
        <v>18</v>
      </c>
      <c r="K1395" s="12" t="s">
        <v>19</v>
      </c>
      <c r="L1395" s="12" t="s">
        <v>57</v>
      </c>
      <c r="M1395" s="12">
        <v>230.011</v>
      </c>
      <c r="N1395" s="12">
        <v>195.64099999999999</v>
      </c>
      <c r="P1395" s="33"/>
      <c r="Q1395" s="13">
        <f t="shared" si="61"/>
        <v>0.86199223825851901</v>
      </c>
    </row>
    <row r="1396" spans="1:17" x14ac:dyDescent="0.25">
      <c r="A1396" s="12">
        <f t="shared" si="59"/>
        <v>6</v>
      </c>
      <c r="B1396" s="12">
        <v>2024</v>
      </c>
      <c r="C1396" s="12">
        <v>7675</v>
      </c>
      <c r="D1396" s="12">
        <v>1092488</v>
      </c>
      <c r="E1396" s="12" t="s">
        <v>13</v>
      </c>
      <c r="F1396" s="12" t="s">
        <v>14</v>
      </c>
      <c r="H1396" s="12">
        <f t="shared" si="60"/>
        <v>1092488</v>
      </c>
      <c r="I1396" s="14">
        <v>45462</v>
      </c>
      <c r="J1396" s="12" t="s">
        <v>18</v>
      </c>
      <c r="K1396" s="12" t="s">
        <v>19</v>
      </c>
      <c r="L1396" s="12" t="s">
        <v>57</v>
      </c>
      <c r="M1396" s="12">
        <v>229.93199999999999</v>
      </c>
      <c r="N1396" s="12">
        <v>193.613</v>
      </c>
      <c r="P1396" s="12">
        <v>11.6</v>
      </c>
      <c r="Q1396" s="13">
        <f t="shared" si="61"/>
        <v>0.86802154005293752</v>
      </c>
    </row>
    <row r="1397" spans="1:17" x14ac:dyDescent="0.25">
      <c r="A1397" s="12">
        <f t="shared" si="59"/>
        <v>6</v>
      </c>
      <c r="B1397" s="12">
        <v>2024</v>
      </c>
      <c r="C1397" s="12">
        <v>7676</v>
      </c>
      <c r="D1397" s="12">
        <v>1092659</v>
      </c>
      <c r="E1397" s="12" t="s">
        <v>13</v>
      </c>
      <c r="F1397" s="12" t="s">
        <v>14</v>
      </c>
      <c r="H1397" s="12">
        <f t="shared" si="60"/>
        <v>1092659</v>
      </c>
      <c r="I1397" s="14">
        <v>45463</v>
      </c>
      <c r="J1397" s="12" t="s">
        <v>18</v>
      </c>
      <c r="K1397" s="12" t="s">
        <v>19</v>
      </c>
      <c r="L1397" s="12" t="s">
        <v>67</v>
      </c>
      <c r="M1397" s="12">
        <v>230.00899999999999</v>
      </c>
      <c r="N1397" s="12">
        <v>193.45699999999999</v>
      </c>
      <c r="P1397" s="12">
        <v>12.2</v>
      </c>
      <c r="Q1397" s="13">
        <f t="shared" si="61"/>
        <v>0.85057236393042068</v>
      </c>
    </row>
    <row r="1398" spans="1:17" x14ac:dyDescent="0.25">
      <c r="A1398" s="12">
        <f t="shared" si="59"/>
        <v>6</v>
      </c>
      <c r="B1398" s="12">
        <v>2024</v>
      </c>
      <c r="C1398" s="12">
        <v>7677</v>
      </c>
      <c r="D1398" s="12">
        <v>1092873</v>
      </c>
      <c r="E1398" s="12" t="s">
        <v>13</v>
      </c>
      <c r="F1398" s="12" t="s">
        <v>14</v>
      </c>
      <c r="H1398" s="12">
        <f t="shared" si="60"/>
        <v>1092873</v>
      </c>
      <c r="I1398" s="14">
        <v>45464</v>
      </c>
      <c r="J1398" s="12" t="s">
        <v>18</v>
      </c>
      <c r="K1398" s="12" t="s">
        <v>19</v>
      </c>
      <c r="L1398" s="12" t="s">
        <v>67</v>
      </c>
      <c r="M1398" s="12">
        <v>230.01900000000001</v>
      </c>
      <c r="N1398" s="12">
        <v>192.613</v>
      </c>
      <c r="P1398" s="12">
        <v>11.7</v>
      </c>
      <c r="Q1398" s="13">
        <f t="shared" si="61"/>
        <v>0.84204460449176277</v>
      </c>
    </row>
    <row r="1399" spans="1:17" x14ac:dyDescent="0.25">
      <c r="A1399" s="12">
        <f t="shared" si="59"/>
        <v>6</v>
      </c>
      <c r="B1399" s="12">
        <v>2024</v>
      </c>
      <c r="C1399" s="12">
        <v>7678</v>
      </c>
      <c r="D1399" s="12">
        <v>1093016</v>
      </c>
      <c r="E1399" s="12" t="s">
        <v>13</v>
      </c>
      <c r="F1399" s="12" t="s">
        <v>14</v>
      </c>
      <c r="H1399" s="12">
        <f t="shared" si="60"/>
        <v>1093016</v>
      </c>
      <c r="I1399" s="14">
        <v>45466</v>
      </c>
      <c r="J1399" s="12" t="s">
        <v>18</v>
      </c>
      <c r="K1399" s="12" t="s">
        <v>19</v>
      </c>
      <c r="L1399" s="12" t="s">
        <v>67</v>
      </c>
      <c r="M1399" s="12">
        <v>229.952</v>
      </c>
      <c r="N1399" s="12">
        <v>192.76</v>
      </c>
      <c r="P1399" s="12">
        <v>11.5</v>
      </c>
      <c r="Q1399" s="13">
        <f t="shared" si="61"/>
        <v>0.8410844793029838</v>
      </c>
    </row>
    <row r="1400" spans="1:17" x14ac:dyDescent="0.25">
      <c r="A1400" s="12">
        <f t="shared" si="59"/>
        <v>6</v>
      </c>
      <c r="B1400" s="12">
        <v>2024</v>
      </c>
      <c r="C1400" s="12">
        <v>7679</v>
      </c>
      <c r="D1400" s="12">
        <v>1093231</v>
      </c>
      <c r="E1400" s="12" t="s">
        <v>13</v>
      </c>
      <c r="F1400" s="12" t="s">
        <v>14</v>
      </c>
      <c r="H1400" s="12">
        <f t="shared" si="60"/>
        <v>1093231</v>
      </c>
      <c r="I1400" s="14">
        <v>45466</v>
      </c>
      <c r="J1400" s="12" t="s">
        <v>18</v>
      </c>
      <c r="K1400" s="12" t="s">
        <v>19</v>
      </c>
      <c r="L1400" s="12" t="s">
        <v>67</v>
      </c>
      <c r="M1400" s="12">
        <v>229.97200000000001</v>
      </c>
      <c r="N1400" s="12">
        <v>192.309</v>
      </c>
      <c r="P1400" s="12">
        <v>12.3</v>
      </c>
      <c r="Q1400" s="13">
        <f t="shared" si="61"/>
        <v>0.83737865132880329</v>
      </c>
    </row>
    <row r="1401" spans="1:17" x14ac:dyDescent="0.25">
      <c r="A1401" s="12">
        <f t="shared" si="59"/>
        <v>6</v>
      </c>
      <c r="B1401" s="12">
        <v>2024</v>
      </c>
      <c r="C1401" s="12">
        <v>7680</v>
      </c>
      <c r="D1401" s="12">
        <v>1093232</v>
      </c>
      <c r="E1401" s="12" t="s">
        <v>13</v>
      </c>
      <c r="F1401" s="12" t="s">
        <v>14</v>
      </c>
      <c r="H1401" s="12">
        <f t="shared" si="60"/>
        <v>1093232</v>
      </c>
      <c r="I1401" s="14">
        <v>45468</v>
      </c>
      <c r="J1401" s="12" t="s">
        <v>18</v>
      </c>
      <c r="K1401" s="12" t="s">
        <v>19</v>
      </c>
      <c r="L1401" s="12" t="s">
        <v>67</v>
      </c>
      <c r="M1401" s="12">
        <v>230.01499999999999</v>
      </c>
      <c r="N1401" s="12">
        <v>191.86799999999999</v>
      </c>
      <c r="P1401" s="12">
        <v>11.7</v>
      </c>
      <c r="Q1401" s="13">
        <f t="shared" si="61"/>
        <v>0.83826189813526297</v>
      </c>
    </row>
    <row r="1402" spans="1:17" x14ac:dyDescent="0.25">
      <c r="A1402" s="12">
        <f t="shared" si="59"/>
        <v>6</v>
      </c>
      <c r="B1402" s="12">
        <v>2024</v>
      </c>
      <c r="C1402" s="12">
        <v>7681</v>
      </c>
      <c r="D1402" s="12">
        <v>1093293</v>
      </c>
      <c r="E1402" s="12" t="s">
        <v>13</v>
      </c>
      <c r="F1402" s="12" t="s">
        <v>14</v>
      </c>
      <c r="H1402" s="12">
        <f t="shared" si="60"/>
        <v>1093293</v>
      </c>
      <c r="I1402" s="14">
        <v>45469</v>
      </c>
      <c r="J1402" s="12" t="s">
        <v>18</v>
      </c>
      <c r="K1402" s="12" t="s">
        <v>20</v>
      </c>
      <c r="L1402" s="12" t="s">
        <v>61</v>
      </c>
      <c r="M1402" s="12">
        <v>230.01400000000001</v>
      </c>
      <c r="N1402" s="12">
        <v>191.423</v>
      </c>
      <c r="P1402" s="12">
        <v>12.5</v>
      </c>
      <c r="Q1402" s="13">
        <f t="shared" si="61"/>
        <v>0.83622788861252673</v>
      </c>
    </row>
    <row r="1403" spans="1:17" x14ac:dyDescent="0.25">
      <c r="A1403" s="12">
        <f t="shared" si="59"/>
        <v>6</v>
      </c>
      <c r="B1403" s="12">
        <v>2024</v>
      </c>
      <c r="C1403" s="12">
        <v>7682</v>
      </c>
      <c r="D1403" s="12">
        <v>1093584</v>
      </c>
      <c r="E1403" s="12" t="s">
        <v>13</v>
      </c>
      <c r="F1403" s="12" t="s">
        <v>14</v>
      </c>
      <c r="H1403" s="12">
        <f t="shared" si="60"/>
        <v>1093584</v>
      </c>
      <c r="I1403" s="14">
        <v>45470</v>
      </c>
      <c r="J1403" s="12" t="s">
        <v>17</v>
      </c>
      <c r="K1403" s="12" t="s">
        <v>19</v>
      </c>
      <c r="L1403" s="12" t="s">
        <v>57</v>
      </c>
      <c r="M1403" s="12">
        <v>229.99799999999999</v>
      </c>
      <c r="N1403" s="12">
        <v>199.07499999999999</v>
      </c>
      <c r="P1403" s="12">
        <v>12.4</v>
      </c>
      <c r="Q1403" s="13">
        <f t="shared" si="61"/>
        <v>0.83415429428515531</v>
      </c>
    </row>
    <row r="1404" spans="1:17" x14ac:dyDescent="0.25">
      <c r="A1404" s="12">
        <f t="shared" si="59"/>
        <v>6</v>
      </c>
      <c r="B1404" s="12">
        <v>2024</v>
      </c>
      <c r="C1404" s="12">
        <v>7683</v>
      </c>
      <c r="D1404" s="12">
        <v>1093725</v>
      </c>
      <c r="E1404" s="12" t="s">
        <v>13</v>
      </c>
      <c r="F1404" s="12" t="s">
        <v>14</v>
      </c>
      <c r="H1404" s="12">
        <f t="shared" si="60"/>
        <v>1093725</v>
      </c>
      <c r="I1404" s="14">
        <v>45471</v>
      </c>
      <c r="J1404" s="12" t="s">
        <v>18</v>
      </c>
      <c r="K1404" s="12" t="s">
        <v>20</v>
      </c>
      <c r="L1404" s="12" t="s">
        <v>61</v>
      </c>
      <c r="M1404" s="12">
        <v>230.03399999999999</v>
      </c>
      <c r="N1404" s="12">
        <v>187.21100000000001</v>
      </c>
      <c r="P1404" s="12">
        <v>12.1</v>
      </c>
      <c r="Q1404" s="13">
        <f t="shared" si="61"/>
        <v>0.83222325597572322</v>
      </c>
    </row>
    <row r="1405" spans="1:17" x14ac:dyDescent="0.25">
      <c r="A1405" s="12">
        <f t="shared" si="59"/>
        <v>6</v>
      </c>
      <c r="B1405" s="12">
        <v>2024</v>
      </c>
      <c r="C1405" s="12">
        <v>7684</v>
      </c>
      <c r="D1405" s="12">
        <v>1093918</v>
      </c>
      <c r="E1405" s="12" t="s">
        <v>13</v>
      </c>
      <c r="F1405" s="12" t="s">
        <v>14</v>
      </c>
      <c r="H1405" s="12">
        <f t="shared" si="60"/>
        <v>1093918</v>
      </c>
      <c r="I1405" s="14">
        <v>45472</v>
      </c>
      <c r="J1405" s="12" t="s">
        <v>17</v>
      </c>
      <c r="K1405" s="12" t="s">
        <v>19</v>
      </c>
      <c r="L1405" s="12" t="s">
        <v>57</v>
      </c>
      <c r="M1405" s="12">
        <v>230.006</v>
      </c>
      <c r="N1405" s="12">
        <v>191.01599999999999</v>
      </c>
      <c r="P1405" s="12">
        <v>12.9</v>
      </c>
      <c r="Q1405" s="13">
        <f t="shared" si="61"/>
        <v>0.86555100479134595</v>
      </c>
    </row>
    <row r="1406" spans="1:17" x14ac:dyDescent="0.25">
      <c r="A1406" s="12">
        <f t="shared" si="59"/>
        <v>6</v>
      </c>
      <c r="B1406" s="12">
        <v>2024</v>
      </c>
      <c r="C1406" s="12">
        <v>7685</v>
      </c>
      <c r="D1406" s="12">
        <v>1094179</v>
      </c>
      <c r="E1406" s="12" t="s">
        <v>13</v>
      </c>
      <c r="F1406" s="12" t="s">
        <v>14</v>
      </c>
      <c r="H1406" s="12">
        <f t="shared" si="60"/>
        <v>1094179</v>
      </c>
      <c r="I1406" s="14">
        <v>45473</v>
      </c>
      <c r="J1406" s="12" t="s">
        <v>17</v>
      </c>
      <c r="K1406" s="12" t="s">
        <v>19</v>
      </c>
      <c r="L1406" s="12" t="s">
        <v>57</v>
      </c>
      <c r="M1406" s="12">
        <v>230.02600000000001</v>
      </c>
      <c r="N1406" s="12">
        <v>191.58099999999999</v>
      </c>
      <c r="P1406" s="12">
        <v>12.7</v>
      </c>
      <c r="Q1406" s="13">
        <f t="shared" si="61"/>
        <v>0.81384056269942717</v>
      </c>
    </row>
    <row r="1407" spans="1:17" x14ac:dyDescent="0.25">
      <c r="A1407" s="12">
        <f t="shared" si="59"/>
        <v>7</v>
      </c>
      <c r="B1407" s="12">
        <v>2024</v>
      </c>
      <c r="C1407" s="12">
        <v>7686</v>
      </c>
      <c r="D1407" s="12">
        <v>1093887</v>
      </c>
      <c r="E1407" s="12" t="s">
        <v>13</v>
      </c>
      <c r="F1407" s="12" t="s">
        <v>14</v>
      </c>
      <c r="H1407" s="12">
        <f t="shared" si="60"/>
        <v>1093887</v>
      </c>
      <c r="I1407" s="14">
        <v>45474</v>
      </c>
      <c r="J1407" s="12" t="s">
        <v>17</v>
      </c>
      <c r="K1407" s="12" t="s">
        <v>19</v>
      </c>
      <c r="L1407" s="12" t="s">
        <v>57</v>
      </c>
      <c r="M1407" s="29">
        <v>230.02199999999999</v>
      </c>
      <c r="N1407" s="12">
        <v>195.34299999999999</v>
      </c>
      <c r="P1407" s="12">
        <v>12.1</v>
      </c>
      <c r="Q1407" s="13">
        <f t="shared" si="61"/>
        <v>0.83048268306044182</v>
      </c>
    </row>
    <row r="1408" spans="1:17" x14ac:dyDescent="0.25">
      <c r="A1408" s="12">
        <f t="shared" si="59"/>
        <v>7</v>
      </c>
      <c r="B1408" s="12">
        <v>2024</v>
      </c>
      <c r="C1408" s="12">
        <v>7687</v>
      </c>
      <c r="D1408" s="12">
        <v>1094287</v>
      </c>
      <c r="E1408" s="12" t="s">
        <v>13</v>
      </c>
      <c r="F1408" s="12" t="s">
        <v>14</v>
      </c>
      <c r="H1408" s="12">
        <f t="shared" si="60"/>
        <v>1094287</v>
      </c>
      <c r="I1408" s="14">
        <v>45475</v>
      </c>
      <c r="J1408" s="12" t="s">
        <v>17</v>
      </c>
      <c r="K1408" s="12" t="s">
        <v>19</v>
      </c>
      <c r="L1408" s="12" t="s">
        <v>57</v>
      </c>
      <c r="M1408" s="29">
        <v>229.983</v>
      </c>
      <c r="N1408" s="12">
        <v>194.67400000000001</v>
      </c>
      <c r="P1408" s="12">
        <v>11.8</v>
      </c>
      <c r="Q1408" s="13">
        <f t="shared" si="61"/>
        <v>0.83286671941432699</v>
      </c>
    </row>
    <row r="1409" spans="1:17" x14ac:dyDescent="0.25">
      <c r="A1409" s="12">
        <f t="shared" si="59"/>
        <v>7</v>
      </c>
      <c r="B1409" s="12">
        <v>2024</v>
      </c>
      <c r="C1409" s="12">
        <v>7688</v>
      </c>
      <c r="D1409" s="12">
        <v>1094303</v>
      </c>
      <c r="E1409" s="12" t="s">
        <v>13</v>
      </c>
      <c r="F1409" s="12" t="s">
        <v>14</v>
      </c>
      <c r="H1409" s="12">
        <f t="shared" si="60"/>
        <v>1094303</v>
      </c>
      <c r="I1409" s="14">
        <v>45476</v>
      </c>
      <c r="J1409" s="12" t="s">
        <v>37</v>
      </c>
      <c r="K1409" s="12" t="s">
        <v>70</v>
      </c>
      <c r="L1409" s="12" t="s">
        <v>71</v>
      </c>
      <c r="M1409" s="29">
        <v>229.934</v>
      </c>
      <c r="N1409" s="12">
        <v>194.53800000000001</v>
      </c>
      <c r="P1409" s="12">
        <v>11.9</v>
      </c>
      <c r="Q1409" s="13">
        <f t="shared" si="61"/>
        <v>0.84923616001947644</v>
      </c>
    </row>
    <row r="1410" spans="1:17" x14ac:dyDescent="0.25">
      <c r="A1410" s="12">
        <f t="shared" si="59"/>
        <v>7</v>
      </c>
      <c r="B1410" s="12">
        <v>2024</v>
      </c>
      <c r="C1410" s="12">
        <v>7689</v>
      </c>
      <c r="D1410" s="12">
        <v>1094556</v>
      </c>
      <c r="E1410" s="12" t="s">
        <v>13</v>
      </c>
      <c r="F1410" s="12" t="s">
        <v>14</v>
      </c>
      <c r="H1410" s="12">
        <f t="shared" si="60"/>
        <v>1094556</v>
      </c>
      <c r="I1410" s="14">
        <v>45477</v>
      </c>
      <c r="J1410" s="12" t="s">
        <v>18</v>
      </c>
      <c r="K1410" s="12" t="s">
        <v>19</v>
      </c>
      <c r="L1410" s="12" t="s">
        <v>67</v>
      </c>
      <c r="M1410" s="29">
        <v>230.09200000000001</v>
      </c>
      <c r="N1410" s="12">
        <v>195.41200000000001</v>
      </c>
      <c r="P1410" s="12">
        <v>12</v>
      </c>
      <c r="Q1410" s="13">
        <f t="shared" si="61"/>
        <v>0.84647126091928537</v>
      </c>
    </row>
    <row r="1411" spans="1:17" x14ac:dyDescent="0.25">
      <c r="A1411" s="12">
        <f t="shared" ref="A1411:A1474" si="62">MONTH(I1411)</f>
        <v>7</v>
      </c>
      <c r="B1411" s="12">
        <v>2024</v>
      </c>
      <c r="C1411" s="12">
        <v>7690</v>
      </c>
      <c r="D1411" s="12">
        <v>1094887</v>
      </c>
      <c r="E1411" s="12" t="s">
        <v>13</v>
      </c>
      <c r="F1411" s="12" t="s">
        <v>14</v>
      </c>
      <c r="H1411" s="12">
        <f t="shared" si="60"/>
        <v>1094887</v>
      </c>
      <c r="I1411" s="14">
        <v>45478</v>
      </c>
      <c r="J1411" s="12" t="s">
        <v>18</v>
      </c>
      <c r="K1411" s="12" t="s">
        <v>19</v>
      </c>
      <c r="L1411" s="12" t="s">
        <v>67</v>
      </c>
      <c r="M1411" s="29">
        <v>230.08099999999999</v>
      </c>
      <c r="N1411" s="12">
        <v>198.352</v>
      </c>
      <c r="P1411" s="12">
        <v>11.6</v>
      </c>
      <c r="Q1411" s="13">
        <f t="shared" si="61"/>
        <v>0.84606017378900034</v>
      </c>
    </row>
    <row r="1412" spans="1:17" x14ac:dyDescent="0.25">
      <c r="A1412" s="12">
        <f t="shared" si="62"/>
        <v>7</v>
      </c>
      <c r="B1412" s="12">
        <v>2024</v>
      </c>
      <c r="C1412" s="12">
        <v>7691</v>
      </c>
      <c r="D1412" s="12">
        <v>1095177</v>
      </c>
      <c r="E1412" s="12" t="s">
        <v>13</v>
      </c>
      <c r="F1412" s="12" t="s">
        <v>14</v>
      </c>
      <c r="H1412" s="12">
        <f t="shared" si="60"/>
        <v>1095177</v>
      </c>
      <c r="I1412" s="14">
        <v>45479</v>
      </c>
      <c r="J1412" s="12" t="s">
        <v>18</v>
      </c>
      <c r="K1412" s="12" t="s">
        <v>19</v>
      </c>
      <c r="L1412" s="12" t="s">
        <v>67</v>
      </c>
      <c r="M1412" s="29">
        <v>230</v>
      </c>
      <c r="N1412" s="12">
        <v>197.624</v>
      </c>
      <c r="P1412" s="12">
        <v>11.4</v>
      </c>
      <c r="Q1412" s="13">
        <f t="shared" si="61"/>
        <v>0.84927768023225492</v>
      </c>
    </row>
    <row r="1413" spans="1:17" x14ac:dyDescent="0.25">
      <c r="A1413" s="12">
        <f t="shared" si="62"/>
        <v>7</v>
      </c>
      <c r="B1413" s="12">
        <v>2024</v>
      </c>
      <c r="C1413" s="12">
        <v>7692</v>
      </c>
      <c r="D1413" s="12">
        <v>1095431</v>
      </c>
      <c r="E1413" s="12" t="s">
        <v>13</v>
      </c>
      <c r="F1413" s="12" t="s">
        <v>14</v>
      </c>
      <c r="H1413" s="12">
        <f t="shared" si="60"/>
        <v>1095431</v>
      </c>
      <c r="I1413" s="14">
        <v>45480</v>
      </c>
      <c r="J1413" s="12" t="s">
        <v>18</v>
      </c>
      <c r="K1413" s="12" t="s">
        <v>19</v>
      </c>
      <c r="L1413" s="12" t="s">
        <v>67</v>
      </c>
      <c r="M1413" s="29">
        <v>229.88</v>
      </c>
      <c r="N1413" s="12">
        <v>191.93899999999999</v>
      </c>
      <c r="P1413" s="12">
        <v>12.1</v>
      </c>
      <c r="Q1413" s="13">
        <f t="shared" si="61"/>
        <v>0.86209639214015943</v>
      </c>
    </row>
    <row r="1414" spans="1:17" x14ac:dyDescent="0.25">
      <c r="A1414" s="12">
        <f t="shared" si="62"/>
        <v>7</v>
      </c>
      <c r="B1414" s="12">
        <v>2024</v>
      </c>
      <c r="C1414" s="12">
        <v>7693</v>
      </c>
      <c r="D1414" s="12">
        <v>1095436</v>
      </c>
      <c r="E1414" s="12" t="s">
        <v>13</v>
      </c>
      <c r="F1414" s="12" t="s">
        <v>14</v>
      </c>
      <c r="H1414" s="12">
        <f t="shared" si="60"/>
        <v>1095436</v>
      </c>
      <c r="I1414" s="14">
        <v>45481</v>
      </c>
      <c r="J1414" s="12" t="s">
        <v>18</v>
      </c>
      <c r="K1414" s="12" t="s">
        <v>70</v>
      </c>
      <c r="L1414" s="12" t="s">
        <v>67</v>
      </c>
      <c r="M1414" s="29">
        <v>229.959</v>
      </c>
      <c r="N1414" s="12">
        <v>195.28</v>
      </c>
      <c r="P1414" s="12">
        <v>12.1</v>
      </c>
      <c r="Q1414" s="13">
        <f t="shared" si="61"/>
        <v>0.85923478260869568</v>
      </c>
    </row>
    <row r="1415" spans="1:17" x14ac:dyDescent="0.25">
      <c r="A1415" s="12">
        <f t="shared" si="62"/>
        <v>7</v>
      </c>
      <c r="B1415" s="12">
        <v>2024</v>
      </c>
      <c r="C1415" s="12">
        <v>7694</v>
      </c>
      <c r="D1415" s="12">
        <v>1095439</v>
      </c>
      <c r="E1415" s="12" t="s">
        <v>13</v>
      </c>
      <c r="F1415" s="12" t="s">
        <v>14</v>
      </c>
      <c r="H1415" s="12">
        <f t="shared" si="60"/>
        <v>1095439</v>
      </c>
      <c r="I1415" s="14">
        <v>45482</v>
      </c>
      <c r="J1415" s="12" t="s">
        <v>18</v>
      </c>
      <c r="K1415" s="12" t="s">
        <v>19</v>
      </c>
      <c r="L1415" s="12" t="s">
        <v>57</v>
      </c>
      <c r="M1415" s="29">
        <v>229.99799999999999</v>
      </c>
      <c r="N1415" s="12">
        <v>197.03899999999999</v>
      </c>
      <c r="P1415" s="12">
        <v>12.1</v>
      </c>
      <c r="Q1415" s="13">
        <f t="shared" si="61"/>
        <v>0.83495301896641727</v>
      </c>
    </row>
    <row r="1416" spans="1:17" x14ac:dyDescent="0.25">
      <c r="A1416" s="12">
        <f t="shared" si="62"/>
        <v>7</v>
      </c>
      <c r="B1416" s="12">
        <v>2024</v>
      </c>
      <c r="C1416" s="12">
        <v>7695</v>
      </c>
      <c r="D1416" s="12">
        <v>1095697</v>
      </c>
      <c r="E1416" s="12" t="s">
        <v>13</v>
      </c>
      <c r="F1416" s="12" t="s">
        <v>14</v>
      </c>
      <c r="H1416" s="12">
        <f t="shared" si="60"/>
        <v>1095697</v>
      </c>
      <c r="I1416" s="14">
        <v>45483</v>
      </c>
      <c r="J1416" s="12" t="s">
        <v>18</v>
      </c>
      <c r="K1416" s="12" t="s">
        <v>19</v>
      </c>
      <c r="L1416" s="12" t="s">
        <v>57</v>
      </c>
      <c r="M1416" s="29">
        <v>230.005</v>
      </c>
      <c r="N1416" s="12">
        <v>197.066</v>
      </c>
      <c r="P1416" s="12">
        <v>12.4</v>
      </c>
      <c r="Q1416" s="13">
        <f t="shared" si="61"/>
        <v>0.84919485647441495</v>
      </c>
    </row>
    <row r="1417" spans="1:17" x14ac:dyDescent="0.25">
      <c r="A1417" s="12">
        <f t="shared" si="62"/>
        <v>7</v>
      </c>
      <c r="B1417" s="12">
        <v>2024</v>
      </c>
      <c r="C1417" s="12">
        <v>7696</v>
      </c>
      <c r="D1417" s="12">
        <v>1096000</v>
      </c>
      <c r="E1417" s="12" t="s">
        <v>13</v>
      </c>
      <c r="F1417" s="12" t="s">
        <v>14</v>
      </c>
      <c r="H1417" s="12">
        <f t="shared" si="60"/>
        <v>1096000</v>
      </c>
      <c r="I1417" s="14">
        <v>45483</v>
      </c>
      <c r="J1417" s="12" t="s">
        <v>18</v>
      </c>
      <c r="K1417" s="12" t="s">
        <v>19</v>
      </c>
      <c r="L1417" s="12" t="s">
        <v>57</v>
      </c>
      <c r="M1417" s="29">
        <v>230.01300000000001</v>
      </c>
      <c r="N1417" s="12">
        <v>194.56100000000001</v>
      </c>
      <c r="P1417" s="12">
        <v>12</v>
      </c>
      <c r="Q1417" s="13">
        <f t="shared" si="61"/>
        <v>0.85669875390220784</v>
      </c>
    </row>
    <row r="1418" spans="1:17" x14ac:dyDescent="0.25">
      <c r="A1418" s="12">
        <f t="shared" si="62"/>
        <v>7</v>
      </c>
      <c r="B1418" s="12">
        <v>2024</v>
      </c>
      <c r="C1418" s="12">
        <v>7697</v>
      </c>
      <c r="D1418" s="12">
        <v>1096190</v>
      </c>
      <c r="E1418" s="12" t="s">
        <v>13</v>
      </c>
      <c r="F1418" s="12" t="s">
        <v>14</v>
      </c>
      <c r="H1418" s="12">
        <f t="shared" si="60"/>
        <v>1096190</v>
      </c>
      <c r="I1418" s="14">
        <v>45484</v>
      </c>
      <c r="J1418" s="12" t="s">
        <v>18</v>
      </c>
      <c r="K1418" s="12" t="s">
        <v>19</v>
      </c>
      <c r="L1418" s="12" t="s">
        <v>57</v>
      </c>
      <c r="M1418" s="29">
        <v>229.999</v>
      </c>
      <c r="N1418" s="12">
        <v>197.21299999999999</v>
      </c>
      <c r="P1418" s="12">
        <v>12</v>
      </c>
      <c r="Q1418" s="13">
        <f t="shared" si="61"/>
        <v>0.85679006978109173</v>
      </c>
    </row>
    <row r="1419" spans="1:17" x14ac:dyDescent="0.25">
      <c r="A1419" s="12">
        <f t="shared" si="62"/>
        <v>7</v>
      </c>
      <c r="B1419" s="12">
        <v>2024</v>
      </c>
      <c r="C1419" s="12">
        <v>7698</v>
      </c>
      <c r="D1419" s="12">
        <v>1096336</v>
      </c>
      <c r="E1419" s="12" t="s">
        <v>13</v>
      </c>
      <c r="F1419" s="12" t="s">
        <v>14</v>
      </c>
      <c r="H1419" s="12">
        <f t="shared" si="60"/>
        <v>1096336</v>
      </c>
      <c r="I1419" s="14">
        <v>45485</v>
      </c>
      <c r="J1419" s="12" t="s">
        <v>18</v>
      </c>
      <c r="K1419" s="12" t="s">
        <v>19</v>
      </c>
      <c r="L1419" s="12" t="s">
        <v>57</v>
      </c>
      <c r="M1419" s="29">
        <v>230.00299999999999</v>
      </c>
      <c r="N1419" s="12">
        <v>194.78700000000001</v>
      </c>
      <c r="P1419" s="12">
        <v>11.7</v>
      </c>
      <c r="Q1419" s="13">
        <f t="shared" si="61"/>
        <v>0.84586958128453615</v>
      </c>
    </row>
    <row r="1420" spans="1:17" x14ac:dyDescent="0.25">
      <c r="A1420" s="12">
        <f t="shared" si="62"/>
        <v>7</v>
      </c>
      <c r="B1420" s="12">
        <v>2024</v>
      </c>
      <c r="C1420" s="12">
        <v>7699</v>
      </c>
      <c r="D1420" s="12">
        <v>1096552</v>
      </c>
      <c r="E1420" s="12" t="s">
        <v>13</v>
      </c>
      <c r="F1420" s="12" t="s">
        <v>14</v>
      </c>
      <c r="H1420" s="12">
        <f t="shared" si="60"/>
        <v>1096552</v>
      </c>
      <c r="I1420" s="14">
        <v>45486</v>
      </c>
      <c r="J1420" s="12" t="s">
        <v>17</v>
      </c>
      <c r="K1420" s="12" t="s">
        <v>19</v>
      </c>
      <c r="L1420" s="12" t="s">
        <v>57</v>
      </c>
      <c r="M1420" s="29">
        <v>229.96899999999999</v>
      </c>
      <c r="N1420" s="12">
        <v>194.005</v>
      </c>
      <c r="P1420" s="12">
        <v>11.7</v>
      </c>
      <c r="Q1420" s="13">
        <f t="shared" si="61"/>
        <v>0.85745155413719187</v>
      </c>
    </row>
    <row r="1421" spans="1:17" x14ac:dyDescent="0.25">
      <c r="A1421" s="12">
        <f t="shared" si="62"/>
        <v>7</v>
      </c>
      <c r="B1421" s="12">
        <v>2024</v>
      </c>
      <c r="C1421" s="12">
        <v>7700</v>
      </c>
      <c r="D1421" s="12">
        <v>1096721</v>
      </c>
      <c r="E1421" s="12" t="s">
        <v>13</v>
      </c>
      <c r="F1421" s="12" t="s">
        <v>14</v>
      </c>
      <c r="H1421" s="12">
        <f t="shared" si="60"/>
        <v>1096721</v>
      </c>
      <c r="I1421" s="14">
        <v>45487</v>
      </c>
      <c r="J1421" s="12" t="s">
        <v>17</v>
      </c>
      <c r="K1421" s="12" t="s">
        <v>19</v>
      </c>
      <c r="L1421" s="12" t="s">
        <v>57</v>
      </c>
      <c r="M1421" s="29">
        <v>229.982</v>
      </c>
      <c r="N1421" s="12">
        <v>194.863</v>
      </c>
      <c r="P1421" s="12">
        <v>12</v>
      </c>
      <c r="Q1421" s="13">
        <f t="shared" si="61"/>
        <v>0.84688895362234418</v>
      </c>
    </row>
    <row r="1422" spans="1:17" x14ac:dyDescent="0.25">
      <c r="A1422" s="12">
        <f t="shared" si="62"/>
        <v>7</v>
      </c>
      <c r="B1422" s="12">
        <v>2024</v>
      </c>
      <c r="C1422" s="12">
        <v>7701</v>
      </c>
      <c r="D1422" s="12">
        <v>1096722</v>
      </c>
      <c r="E1422" s="12" t="s">
        <v>13</v>
      </c>
      <c r="F1422" s="12" t="s">
        <v>14</v>
      </c>
      <c r="H1422" s="12">
        <f t="shared" si="60"/>
        <v>1096722</v>
      </c>
      <c r="I1422" s="14">
        <v>45488</v>
      </c>
      <c r="J1422" s="12" t="s">
        <v>17</v>
      </c>
      <c r="K1422" s="12" t="s">
        <v>19</v>
      </c>
      <c r="L1422" s="12" t="s">
        <v>57</v>
      </c>
      <c r="M1422" s="29">
        <v>230.011</v>
      </c>
      <c r="N1422" s="12">
        <v>195.43600000000001</v>
      </c>
      <c r="P1422" s="12">
        <v>11.9</v>
      </c>
      <c r="Q1422" s="13">
        <f t="shared" si="61"/>
        <v>0.84361370445581796</v>
      </c>
    </row>
    <row r="1423" spans="1:17" x14ac:dyDescent="0.25">
      <c r="A1423" s="12">
        <f t="shared" si="62"/>
        <v>7</v>
      </c>
      <c r="B1423" s="12">
        <v>2024</v>
      </c>
      <c r="C1423" s="12">
        <v>7702</v>
      </c>
      <c r="D1423" s="12">
        <v>1096791</v>
      </c>
      <c r="E1423" s="12" t="s">
        <v>13</v>
      </c>
      <c r="F1423" s="12" t="s">
        <v>14</v>
      </c>
      <c r="H1423" s="12">
        <f t="shared" si="60"/>
        <v>1096791</v>
      </c>
      <c r="I1423" s="14">
        <v>45489</v>
      </c>
      <c r="J1423" s="12" t="s">
        <v>17</v>
      </c>
      <c r="K1423" s="12" t="s">
        <v>19</v>
      </c>
      <c r="L1423" s="12" t="s">
        <v>57</v>
      </c>
      <c r="M1423" s="29">
        <v>229.988</v>
      </c>
      <c r="N1423" s="12">
        <v>194.25399999999999</v>
      </c>
      <c r="P1423" s="12">
        <v>11.7</v>
      </c>
      <c r="Q1423" s="13">
        <f t="shared" si="61"/>
        <v>0.84729674496264928</v>
      </c>
    </row>
    <row r="1424" spans="1:17" x14ac:dyDescent="0.25">
      <c r="A1424" s="12">
        <f t="shared" si="62"/>
        <v>7</v>
      </c>
      <c r="B1424" s="12">
        <v>2024</v>
      </c>
      <c r="C1424" s="12">
        <v>7703</v>
      </c>
      <c r="D1424" s="12">
        <v>1097093</v>
      </c>
      <c r="E1424" s="12" t="s">
        <v>13</v>
      </c>
      <c r="F1424" s="12" t="s">
        <v>14</v>
      </c>
      <c r="H1424" s="12">
        <f t="shared" si="60"/>
        <v>1097093</v>
      </c>
      <c r="I1424" s="14">
        <v>45490</v>
      </c>
      <c r="J1424" s="12" t="s">
        <v>17</v>
      </c>
      <c r="K1424" s="12" t="s">
        <v>19</v>
      </c>
      <c r="L1424" s="12" t="s">
        <v>57</v>
      </c>
      <c r="M1424" s="29">
        <v>229.916</v>
      </c>
      <c r="N1424" s="12">
        <v>198.24700000000001</v>
      </c>
      <c r="P1424" s="12">
        <v>11.5</v>
      </c>
      <c r="Q1424" s="13">
        <f t="shared" si="61"/>
        <v>0.84968110220815529</v>
      </c>
    </row>
    <row r="1425" spans="1:17" x14ac:dyDescent="0.25">
      <c r="A1425" s="12">
        <f t="shared" si="62"/>
        <v>7</v>
      </c>
      <c r="B1425" s="12">
        <v>2024</v>
      </c>
      <c r="C1425" s="12">
        <v>7704</v>
      </c>
      <c r="D1425" s="12">
        <v>1097133</v>
      </c>
      <c r="E1425" s="12" t="s">
        <v>13</v>
      </c>
      <c r="F1425" s="12" t="s">
        <v>14</v>
      </c>
      <c r="H1425" s="12">
        <f t="shared" si="60"/>
        <v>1097133</v>
      </c>
      <c r="I1425" s="14">
        <v>45491</v>
      </c>
      <c r="J1425" s="12" t="s">
        <v>18</v>
      </c>
      <c r="K1425" s="12" t="s">
        <v>20</v>
      </c>
      <c r="L1425" s="12" t="s">
        <v>61</v>
      </c>
      <c r="M1425" s="29">
        <v>229.93700000000001</v>
      </c>
      <c r="N1425" s="12">
        <v>193.678</v>
      </c>
      <c r="P1425" s="12">
        <v>11.9</v>
      </c>
      <c r="Q1425" s="13">
        <f t="shared" si="61"/>
        <v>0.84462667617440901</v>
      </c>
    </row>
    <row r="1426" spans="1:17" x14ac:dyDescent="0.25">
      <c r="A1426" s="12">
        <f t="shared" si="62"/>
        <v>7</v>
      </c>
      <c r="B1426" s="12">
        <v>2024</v>
      </c>
      <c r="C1426" s="12">
        <v>7705</v>
      </c>
      <c r="D1426" s="12">
        <v>1097391</v>
      </c>
      <c r="E1426" s="12" t="s">
        <v>13</v>
      </c>
      <c r="F1426" s="12" t="s">
        <v>14</v>
      </c>
      <c r="H1426" s="12">
        <f t="shared" si="60"/>
        <v>1097391</v>
      </c>
      <c r="I1426" s="14">
        <v>45492</v>
      </c>
      <c r="J1426" s="12" t="s">
        <v>18</v>
      </c>
      <c r="K1426" s="12" t="s">
        <v>20</v>
      </c>
      <c r="L1426" s="12" t="s">
        <v>61</v>
      </c>
      <c r="M1426" s="29">
        <v>229.92500000000001</v>
      </c>
      <c r="N1426" s="12">
        <v>192.34899999999999</v>
      </c>
      <c r="P1426" s="12">
        <v>11.8</v>
      </c>
      <c r="Q1426" s="13">
        <f t="shared" si="61"/>
        <v>0.86225839002070326</v>
      </c>
    </row>
    <row r="1427" spans="1:17" x14ac:dyDescent="0.25">
      <c r="A1427" s="12">
        <f t="shared" si="62"/>
        <v>7</v>
      </c>
      <c r="B1427" s="12">
        <v>2024</v>
      </c>
      <c r="C1427" s="12">
        <v>7706</v>
      </c>
      <c r="D1427" s="12">
        <v>1097652</v>
      </c>
      <c r="E1427" s="12" t="s">
        <v>13</v>
      </c>
      <c r="F1427" s="12" t="s">
        <v>14</v>
      </c>
      <c r="H1427" s="12">
        <f t="shared" si="60"/>
        <v>1097652</v>
      </c>
      <c r="I1427" s="14">
        <v>45493</v>
      </c>
      <c r="J1427" s="12" t="s">
        <v>18</v>
      </c>
      <c r="K1427" s="12" t="s">
        <v>19</v>
      </c>
      <c r="L1427" s="12" t="s">
        <v>57</v>
      </c>
      <c r="M1427" s="29">
        <v>230.01300000000001</v>
      </c>
      <c r="N1427" s="12">
        <v>196.63300000000001</v>
      </c>
      <c r="P1427" s="12">
        <v>11.8</v>
      </c>
      <c r="Q1427" s="13">
        <f t="shared" si="61"/>
        <v>0.8423089802859044</v>
      </c>
    </row>
    <row r="1428" spans="1:17" x14ac:dyDescent="0.25">
      <c r="A1428" s="12">
        <f t="shared" si="62"/>
        <v>7</v>
      </c>
      <c r="B1428" s="12">
        <v>2024</v>
      </c>
      <c r="C1428" s="12">
        <v>7707</v>
      </c>
      <c r="D1428" s="12">
        <v>1097880</v>
      </c>
      <c r="E1428" s="12" t="s">
        <v>13</v>
      </c>
      <c r="F1428" s="12" t="s">
        <v>14</v>
      </c>
      <c r="H1428" s="12">
        <f t="shared" si="60"/>
        <v>1097880</v>
      </c>
      <c r="I1428" s="14">
        <v>45494</v>
      </c>
      <c r="J1428" s="12" t="s">
        <v>18</v>
      </c>
      <c r="K1428" s="12" t="s">
        <v>19</v>
      </c>
      <c r="L1428" s="12" t="s">
        <v>57</v>
      </c>
      <c r="M1428" s="29">
        <v>229.989</v>
      </c>
      <c r="N1428" s="12">
        <v>196.143</v>
      </c>
      <c r="P1428" s="12">
        <v>12</v>
      </c>
      <c r="Q1428" s="13">
        <f t="shared" si="61"/>
        <v>0.83657279547678587</v>
      </c>
    </row>
    <row r="1429" spans="1:17" x14ac:dyDescent="0.25">
      <c r="A1429" s="12">
        <f t="shared" si="62"/>
        <v>7</v>
      </c>
      <c r="B1429" s="12">
        <v>2024</v>
      </c>
      <c r="C1429" s="12">
        <v>7708</v>
      </c>
      <c r="D1429" s="12">
        <v>1098067</v>
      </c>
      <c r="E1429" s="12" t="s">
        <v>13</v>
      </c>
      <c r="F1429" s="12" t="s">
        <v>14</v>
      </c>
      <c r="H1429" s="12">
        <f t="shared" si="60"/>
        <v>1098067</v>
      </c>
      <c r="I1429" s="14">
        <v>45495</v>
      </c>
      <c r="J1429" s="12" t="s">
        <v>18</v>
      </c>
      <c r="K1429" s="12" t="s">
        <v>19</v>
      </c>
      <c r="L1429" s="12" t="s">
        <v>57</v>
      </c>
      <c r="M1429" s="29">
        <v>230</v>
      </c>
      <c r="N1429" s="12">
        <v>195.03800000000001</v>
      </c>
      <c r="P1429" s="12">
        <v>11.9</v>
      </c>
      <c r="Q1429" s="13">
        <f t="shared" si="61"/>
        <v>0.85487776777834301</v>
      </c>
    </row>
    <row r="1430" spans="1:17" x14ac:dyDescent="0.25">
      <c r="A1430" s="12">
        <f t="shared" si="62"/>
        <v>7</v>
      </c>
      <c r="B1430" s="12">
        <v>2024</v>
      </c>
      <c r="C1430" s="12">
        <v>7709</v>
      </c>
      <c r="D1430" s="12">
        <v>1098068</v>
      </c>
      <c r="E1430" s="12" t="s">
        <v>13</v>
      </c>
      <c r="F1430" s="12" t="s">
        <v>14</v>
      </c>
      <c r="H1430" s="12">
        <f t="shared" si="60"/>
        <v>1098068</v>
      </c>
      <c r="I1430" s="14">
        <v>45496</v>
      </c>
      <c r="J1430" s="12" t="s">
        <v>18</v>
      </c>
      <c r="K1430" s="12" t="s">
        <v>19</v>
      </c>
      <c r="L1430" s="12" t="s">
        <v>57</v>
      </c>
      <c r="M1430" s="29">
        <v>229.98699999999999</v>
      </c>
      <c r="N1430" s="12">
        <v>196.57400000000001</v>
      </c>
      <c r="P1430" s="12">
        <v>11.8</v>
      </c>
      <c r="Q1430" s="13">
        <f t="shared" si="61"/>
        <v>0.85283644000365233</v>
      </c>
    </row>
    <row r="1431" spans="1:17" x14ac:dyDescent="0.25">
      <c r="A1431" s="12">
        <f t="shared" si="62"/>
        <v>7</v>
      </c>
      <c r="B1431" s="12">
        <v>2024</v>
      </c>
      <c r="C1431" s="12">
        <v>7710</v>
      </c>
      <c r="D1431" s="12">
        <v>1098144</v>
      </c>
      <c r="E1431" s="12" t="s">
        <v>13</v>
      </c>
      <c r="F1431" s="12" t="s">
        <v>14</v>
      </c>
      <c r="H1431" s="12">
        <f t="shared" si="60"/>
        <v>1098144</v>
      </c>
      <c r="I1431" s="14">
        <v>45497</v>
      </c>
      <c r="J1431" s="12" t="s">
        <v>18</v>
      </c>
      <c r="K1431" s="12" t="s">
        <v>19</v>
      </c>
      <c r="L1431" s="12" t="s">
        <v>57</v>
      </c>
      <c r="M1431" s="29">
        <v>229.947</v>
      </c>
      <c r="N1431" s="12">
        <v>192.8</v>
      </c>
      <c r="P1431" s="12">
        <v>11.8</v>
      </c>
      <c r="Q1431" s="13">
        <f t="shared" si="61"/>
        <v>0.8479913043478261</v>
      </c>
    </row>
    <row r="1432" spans="1:17" x14ac:dyDescent="0.25">
      <c r="A1432" s="12">
        <f t="shared" si="62"/>
        <v>7</v>
      </c>
      <c r="B1432" s="12">
        <v>2024</v>
      </c>
      <c r="C1432" s="12">
        <v>7711</v>
      </c>
      <c r="D1432" s="12">
        <v>1098399</v>
      </c>
      <c r="E1432" s="12" t="s">
        <v>13</v>
      </c>
      <c r="F1432" s="12" t="s">
        <v>14</v>
      </c>
      <c r="H1432" s="12">
        <f t="shared" si="60"/>
        <v>1098399</v>
      </c>
      <c r="I1432" s="14">
        <v>45498</v>
      </c>
      <c r="J1432" s="12" t="s">
        <v>17</v>
      </c>
      <c r="K1432" s="12" t="s">
        <v>20</v>
      </c>
      <c r="L1432" s="12" t="s">
        <v>66</v>
      </c>
      <c r="M1432" s="29">
        <v>230.00299999999999</v>
      </c>
      <c r="N1432" s="12">
        <v>192.23699999999999</v>
      </c>
      <c r="P1432" s="12">
        <v>12.6</v>
      </c>
      <c r="Q1432" s="13">
        <f t="shared" si="61"/>
        <v>0.85471787535817245</v>
      </c>
    </row>
    <row r="1433" spans="1:17" x14ac:dyDescent="0.25">
      <c r="A1433" s="12">
        <f t="shared" si="62"/>
        <v>7</v>
      </c>
      <c r="B1433" s="12">
        <v>2024</v>
      </c>
      <c r="C1433" s="12">
        <v>7712</v>
      </c>
      <c r="D1433" s="12">
        <v>1098747</v>
      </c>
      <c r="E1433" s="12" t="s">
        <v>13</v>
      </c>
      <c r="F1433" s="12" t="s">
        <v>14</v>
      </c>
      <c r="H1433" s="12">
        <f t="shared" si="60"/>
        <v>1098747</v>
      </c>
      <c r="I1433" s="14">
        <v>45499</v>
      </c>
      <c r="J1433" s="12" t="s">
        <v>17</v>
      </c>
      <c r="K1433" s="12" t="s">
        <v>20</v>
      </c>
      <c r="L1433" s="12" t="s">
        <v>66</v>
      </c>
      <c r="M1433" s="29">
        <v>230.00899999999999</v>
      </c>
      <c r="N1433" s="12">
        <v>194.41499999999999</v>
      </c>
      <c r="P1433" s="12">
        <v>13</v>
      </c>
      <c r="Q1433" s="13">
        <f t="shared" si="61"/>
        <v>0.83845407854853515</v>
      </c>
    </row>
    <row r="1434" spans="1:17" x14ac:dyDescent="0.25">
      <c r="A1434" s="12">
        <f t="shared" si="62"/>
        <v>7</v>
      </c>
      <c r="B1434" s="12">
        <v>2024</v>
      </c>
      <c r="C1434" s="12">
        <v>7713</v>
      </c>
      <c r="D1434" s="12">
        <v>1099133</v>
      </c>
      <c r="E1434" s="12" t="s">
        <v>13</v>
      </c>
      <c r="F1434" s="12" t="s">
        <v>14</v>
      </c>
      <c r="H1434" s="12">
        <f t="shared" si="60"/>
        <v>1099133</v>
      </c>
      <c r="I1434" s="14">
        <v>45500</v>
      </c>
      <c r="J1434" s="12" t="s">
        <v>17</v>
      </c>
      <c r="K1434" s="12" t="s">
        <v>19</v>
      </c>
      <c r="L1434" s="12" t="s">
        <v>67</v>
      </c>
      <c r="M1434" s="29">
        <v>229.881</v>
      </c>
      <c r="N1434" s="12">
        <v>193.28</v>
      </c>
      <c r="P1434" s="12">
        <v>11.4</v>
      </c>
      <c r="Q1434" s="13">
        <f t="shared" si="61"/>
        <v>0.83580214171119505</v>
      </c>
    </row>
    <row r="1435" spans="1:17" x14ac:dyDescent="0.25">
      <c r="A1435" s="12">
        <f t="shared" si="62"/>
        <v>7</v>
      </c>
      <c r="B1435" s="12">
        <v>2024</v>
      </c>
      <c r="C1435" s="12">
        <v>7714</v>
      </c>
      <c r="D1435" s="12">
        <v>1099134</v>
      </c>
      <c r="E1435" s="12" t="s">
        <v>13</v>
      </c>
      <c r="F1435" s="12" t="s">
        <v>14</v>
      </c>
      <c r="H1435" s="12">
        <f t="shared" si="60"/>
        <v>1099134</v>
      </c>
      <c r="I1435" s="14">
        <v>45501</v>
      </c>
      <c r="J1435" s="12" t="s">
        <v>17</v>
      </c>
      <c r="K1435" s="12" t="s">
        <v>19</v>
      </c>
      <c r="L1435" s="12" t="s">
        <v>67</v>
      </c>
      <c r="M1435" s="29">
        <v>230.01900000000001</v>
      </c>
      <c r="N1435" s="12">
        <v>194.73</v>
      </c>
      <c r="P1435" s="12">
        <v>11.6</v>
      </c>
      <c r="Q1435" s="13">
        <f t="shared" si="61"/>
        <v>0.84524953371389822</v>
      </c>
    </row>
    <row r="1436" spans="1:17" x14ac:dyDescent="0.25">
      <c r="A1436" s="12">
        <f t="shared" si="62"/>
        <v>7</v>
      </c>
      <c r="B1436" s="12">
        <v>2024</v>
      </c>
      <c r="C1436" s="12">
        <v>7715</v>
      </c>
      <c r="D1436" s="12">
        <v>1099332</v>
      </c>
      <c r="E1436" s="12" t="s">
        <v>13</v>
      </c>
      <c r="F1436" s="12" t="s">
        <v>14</v>
      </c>
      <c r="H1436" s="12">
        <f t="shared" si="60"/>
        <v>1099332</v>
      </c>
      <c r="I1436" s="14">
        <v>45502</v>
      </c>
      <c r="J1436" s="12" t="s">
        <v>17</v>
      </c>
      <c r="K1436" s="12" t="s">
        <v>19</v>
      </c>
      <c r="L1436" s="12" t="s">
        <v>67</v>
      </c>
      <c r="M1436" s="29">
        <v>229.98500000000001</v>
      </c>
      <c r="N1436" s="12">
        <v>196.13499999999999</v>
      </c>
      <c r="P1436" s="12">
        <v>11.8</v>
      </c>
      <c r="Q1436" s="13">
        <f t="shared" si="61"/>
        <v>0.84078283981712276</v>
      </c>
    </row>
    <row r="1437" spans="1:17" x14ac:dyDescent="0.25">
      <c r="A1437" s="12">
        <f t="shared" si="62"/>
        <v>7</v>
      </c>
      <c r="B1437" s="12">
        <v>2024</v>
      </c>
      <c r="C1437" s="12">
        <v>7716</v>
      </c>
      <c r="D1437" s="12">
        <v>1099333</v>
      </c>
      <c r="E1437" s="12" t="s">
        <v>13</v>
      </c>
      <c r="F1437" s="12" t="s">
        <v>14</v>
      </c>
      <c r="H1437" s="12">
        <f t="shared" si="60"/>
        <v>1099333</v>
      </c>
      <c r="I1437" s="14">
        <v>45503</v>
      </c>
      <c r="J1437" s="12" t="s">
        <v>17</v>
      </c>
      <c r="K1437" s="12" t="s">
        <v>19</v>
      </c>
      <c r="L1437" s="12" t="s">
        <v>67</v>
      </c>
      <c r="M1437" s="29">
        <v>229.94</v>
      </c>
      <c r="N1437" s="12">
        <v>194.00700000000001</v>
      </c>
      <c r="P1437" s="12">
        <v>11.6</v>
      </c>
      <c r="Q1437" s="13">
        <f t="shared" si="61"/>
        <v>0.84658223885852901</v>
      </c>
    </row>
    <row r="1438" spans="1:17" x14ac:dyDescent="0.25">
      <c r="A1438" s="12">
        <f t="shared" si="62"/>
        <v>7</v>
      </c>
      <c r="B1438" s="12">
        <v>2024</v>
      </c>
      <c r="C1438" s="12">
        <v>7717</v>
      </c>
      <c r="D1438" s="12">
        <v>1099334</v>
      </c>
      <c r="E1438" s="12" t="s">
        <v>13</v>
      </c>
      <c r="F1438" s="12" t="s">
        <v>14</v>
      </c>
      <c r="H1438" s="12">
        <f t="shared" si="60"/>
        <v>1099334</v>
      </c>
      <c r="I1438" s="14">
        <v>45504</v>
      </c>
      <c r="J1438" s="12" t="s">
        <v>17</v>
      </c>
      <c r="K1438" s="12" t="s">
        <v>19</v>
      </c>
      <c r="L1438" s="12" t="s">
        <v>67</v>
      </c>
      <c r="M1438" s="29">
        <v>229.98099999999999</v>
      </c>
      <c r="N1438" s="12">
        <v>195.32</v>
      </c>
      <c r="P1438" s="12">
        <v>11.6</v>
      </c>
      <c r="Q1438" s="13">
        <f t="shared" si="61"/>
        <v>0.85281648803182808</v>
      </c>
    </row>
    <row r="1439" spans="1:17" x14ac:dyDescent="0.25">
      <c r="A1439" s="12">
        <f t="shared" si="62"/>
        <v>8</v>
      </c>
      <c r="B1439" s="12">
        <v>2024</v>
      </c>
      <c r="C1439" s="12">
        <v>7718</v>
      </c>
      <c r="D1439" s="23"/>
      <c r="E1439" s="12" t="s">
        <v>13</v>
      </c>
      <c r="F1439" s="12" t="s">
        <v>14</v>
      </c>
      <c r="H1439" s="12">
        <f t="shared" si="60"/>
        <v>0</v>
      </c>
      <c r="I1439" s="14">
        <v>45505</v>
      </c>
      <c r="J1439" s="12" t="s">
        <v>18</v>
      </c>
      <c r="K1439" s="12" t="s">
        <v>20</v>
      </c>
      <c r="L1439" s="12" t="s">
        <v>61</v>
      </c>
      <c r="M1439" s="29">
        <v>230.01599999999999</v>
      </c>
      <c r="N1439" s="12">
        <v>193.239</v>
      </c>
      <c r="O1439" s="12">
        <v>4.2</v>
      </c>
      <c r="P1439" s="12">
        <v>11.9</v>
      </c>
      <c r="Q1439" s="13">
        <f t="shared" si="61"/>
        <v>0.84372879881708274</v>
      </c>
    </row>
    <row r="1440" spans="1:17" x14ac:dyDescent="0.25">
      <c r="A1440" s="12">
        <f t="shared" si="62"/>
        <v>8</v>
      </c>
      <c r="B1440" s="12">
        <v>2024</v>
      </c>
      <c r="C1440" s="12">
        <v>7719</v>
      </c>
      <c r="D1440" s="23"/>
      <c r="E1440" s="12" t="s">
        <v>13</v>
      </c>
      <c r="F1440" s="12" t="s">
        <v>14</v>
      </c>
      <c r="H1440" s="12">
        <f t="shared" si="60"/>
        <v>0</v>
      </c>
      <c r="I1440" s="14">
        <v>45506</v>
      </c>
      <c r="J1440" s="12" t="s">
        <v>18</v>
      </c>
      <c r="K1440" s="12" t="s">
        <v>20</v>
      </c>
      <c r="L1440" s="12" t="s">
        <v>61</v>
      </c>
      <c r="M1440" s="29">
        <v>230.00399999999999</v>
      </c>
      <c r="N1440" s="12">
        <v>194.78</v>
      </c>
      <c r="P1440" s="12">
        <v>12.3</v>
      </c>
      <c r="Q1440" s="13">
        <f t="shared" si="61"/>
        <v>0.8492875498410738</v>
      </c>
    </row>
    <row r="1441" spans="1:17" x14ac:dyDescent="0.25">
      <c r="A1441" s="12">
        <f t="shared" si="62"/>
        <v>8</v>
      </c>
      <c r="B1441" s="12">
        <v>2024</v>
      </c>
      <c r="C1441" s="12">
        <v>7720</v>
      </c>
      <c r="D1441" s="23"/>
      <c r="E1441" s="12" t="s">
        <v>13</v>
      </c>
      <c r="F1441" s="12" t="s">
        <v>14</v>
      </c>
      <c r="H1441" s="12">
        <f t="shared" si="60"/>
        <v>0</v>
      </c>
      <c r="I1441" s="14">
        <v>45507</v>
      </c>
      <c r="J1441" s="12" t="s">
        <v>73</v>
      </c>
      <c r="K1441" s="12" t="s">
        <v>19</v>
      </c>
      <c r="L1441" s="12" t="s">
        <v>57</v>
      </c>
      <c r="M1441" s="29">
        <v>230.00200000000001</v>
      </c>
      <c r="N1441" s="12">
        <v>193.703</v>
      </c>
      <c r="O1441" s="12">
        <v>5.0999999999999996</v>
      </c>
      <c r="P1441" s="12">
        <v>11.8</v>
      </c>
      <c r="Q1441" s="13">
        <f t="shared" si="61"/>
        <v>0.84011112270450761</v>
      </c>
    </row>
    <row r="1442" spans="1:17" x14ac:dyDescent="0.25">
      <c r="A1442" s="12">
        <f t="shared" si="62"/>
        <v>8</v>
      </c>
      <c r="B1442" s="12">
        <v>2024</v>
      </c>
      <c r="C1442" s="12">
        <v>7721</v>
      </c>
      <c r="D1442" s="23"/>
      <c r="E1442" s="12" t="s">
        <v>13</v>
      </c>
      <c r="F1442" s="12" t="s">
        <v>14</v>
      </c>
      <c r="H1442" s="12">
        <f t="shared" ref="H1442:H1472" si="63">D1442-G1442</f>
        <v>0</v>
      </c>
      <c r="I1442" s="14">
        <v>45508</v>
      </c>
      <c r="J1442" s="12" t="s">
        <v>73</v>
      </c>
      <c r="K1442" s="12" t="s">
        <v>19</v>
      </c>
      <c r="L1442" s="12" t="s">
        <v>57</v>
      </c>
      <c r="M1442" s="29">
        <v>229.751</v>
      </c>
      <c r="N1442" s="12">
        <v>194.47399999999999</v>
      </c>
      <c r="P1442" s="12">
        <v>11.7</v>
      </c>
      <c r="Q1442" s="13">
        <f t="shared" si="61"/>
        <v>0.84685483730717726</v>
      </c>
    </row>
    <row r="1443" spans="1:17" x14ac:dyDescent="0.25">
      <c r="A1443" s="12">
        <f t="shared" si="62"/>
        <v>8</v>
      </c>
      <c r="B1443" s="12">
        <v>2024</v>
      </c>
      <c r="C1443" s="12">
        <v>7722</v>
      </c>
      <c r="D1443" s="23"/>
      <c r="E1443" s="12" t="s">
        <v>13</v>
      </c>
      <c r="F1443" s="12" t="s">
        <v>14</v>
      </c>
      <c r="H1443" s="12">
        <f t="shared" si="63"/>
        <v>0</v>
      </c>
      <c r="I1443" s="14">
        <v>45509</v>
      </c>
      <c r="J1443" s="12" t="s">
        <v>73</v>
      </c>
      <c r="K1443" s="12" t="s">
        <v>19</v>
      </c>
      <c r="L1443" s="12" t="s">
        <v>57</v>
      </c>
      <c r="M1443" s="29">
        <v>229.91900000000001</v>
      </c>
      <c r="N1443" s="12">
        <v>196.88300000000001</v>
      </c>
      <c r="P1443" s="12">
        <v>11.9</v>
      </c>
      <c r="Q1443" s="13">
        <f t="shared" si="61"/>
        <v>0.84217963322058065</v>
      </c>
    </row>
    <row r="1444" spans="1:17" x14ac:dyDescent="0.25">
      <c r="A1444" s="12">
        <f t="shared" si="62"/>
        <v>8</v>
      </c>
      <c r="B1444" s="12">
        <v>2024</v>
      </c>
      <c r="C1444" s="12">
        <v>7723</v>
      </c>
      <c r="D1444" s="23"/>
      <c r="E1444" s="12" t="s">
        <v>13</v>
      </c>
      <c r="F1444" s="12" t="s">
        <v>14</v>
      </c>
      <c r="H1444" s="12">
        <f t="shared" si="63"/>
        <v>0</v>
      </c>
      <c r="I1444" s="14">
        <v>45510</v>
      </c>
      <c r="J1444" s="12" t="s">
        <v>73</v>
      </c>
      <c r="K1444" s="12" t="s">
        <v>19</v>
      </c>
      <c r="L1444" s="12" t="s">
        <v>57</v>
      </c>
      <c r="M1444" s="29">
        <v>229.92400000000001</v>
      </c>
      <c r="N1444" s="12">
        <v>192.97300000000001</v>
      </c>
      <c r="P1444" s="12">
        <v>11.5</v>
      </c>
      <c r="Q1444" s="13">
        <f t="shared" si="61"/>
        <v>0.84645551053096602</v>
      </c>
    </row>
    <row r="1445" spans="1:17" x14ac:dyDescent="0.25">
      <c r="A1445" s="12">
        <f t="shared" si="62"/>
        <v>8</v>
      </c>
      <c r="B1445" s="12">
        <v>2024</v>
      </c>
      <c r="C1445" s="12">
        <v>7724</v>
      </c>
      <c r="D1445" s="23"/>
      <c r="E1445" s="12" t="s">
        <v>13</v>
      </c>
      <c r="F1445" s="12" t="s">
        <v>14</v>
      </c>
      <c r="H1445" s="12">
        <f t="shared" si="63"/>
        <v>0</v>
      </c>
      <c r="I1445" s="14">
        <v>45511</v>
      </c>
      <c r="J1445" s="12" t="s">
        <v>73</v>
      </c>
      <c r="K1445" s="12" t="s">
        <v>19</v>
      </c>
      <c r="L1445" s="12" t="s">
        <v>57</v>
      </c>
      <c r="M1445" s="29">
        <v>229.96700000000001</v>
      </c>
      <c r="N1445" s="12">
        <v>193.88399999999999</v>
      </c>
      <c r="P1445" s="12">
        <v>11.8</v>
      </c>
      <c r="Q1445" s="13">
        <f t="shared" si="61"/>
        <v>0.85631461514707352</v>
      </c>
    </row>
    <row r="1446" spans="1:17" x14ac:dyDescent="0.25">
      <c r="A1446" s="12">
        <f t="shared" si="62"/>
        <v>8</v>
      </c>
      <c r="B1446" s="12">
        <v>2024</v>
      </c>
      <c r="C1446" s="12">
        <v>7725</v>
      </c>
      <c r="D1446" s="23"/>
      <c r="E1446" s="12" t="s">
        <v>13</v>
      </c>
      <c r="F1446" s="12" t="s">
        <v>14</v>
      </c>
      <c r="H1446" s="12">
        <f t="shared" si="63"/>
        <v>0</v>
      </c>
      <c r="I1446" s="14">
        <v>45512</v>
      </c>
      <c r="J1446" s="12" t="s">
        <v>17</v>
      </c>
      <c r="K1446" s="12" t="s">
        <v>20</v>
      </c>
      <c r="L1446" s="12" t="s">
        <v>62</v>
      </c>
      <c r="M1446" s="29">
        <v>230.01</v>
      </c>
      <c r="N1446" s="33">
        <v>186.58699999999999</v>
      </c>
      <c r="P1446" s="12">
        <v>12.8</v>
      </c>
      <c r="Q1446" s="13">
        <f t="shared" si="61"/>
        <v>0.8392903742106087</v>
      </c>
    </row>
    <row r="1447" spans="1:17" x14ac:dyDescent="0.25">
      <c r="A1447" s="12">
        <f t="shared" si="62"/>
        <v>8</v>
      </c>
      <c r="B1447" s="12">
        <v>2024</v>
      </c>
      <c r="C1447" s="12">
        <v>7726</v>
      </c>
      <c r="D1447" s="23"/>
      <c r="E1447" s="12" t="s">
        <v>13</v>
      </c>
      <c r="F1447" s="12" t="s">
        <v>14</v>
      </c>
      <c r="H1447" s="12">
        <f t="shared" si="63"/>
        <v>0</v>
      </c>
      <c r="I1447" s="14">
        <v>45513</v>
      </c>
      <c r="J1447" s="12" t="s">
        <v>17</v>
      </c>
      <c r="K1447" s="12" t="s">
        <v>20</v>
      </c>
      <c r="L1447" s="12" t="s">
        <v>62</v>
      </c>
      <c r="M1447" s="29">
        <v>230.00800000000001</v>
      </c>
      <c r="N1447" s="33">
        <v>186.768</v>
      </c>
      <c r="P1447" s="12">
        <v>11.8</v>
      </c>
      <c r="Q1447" s="13">
        <f t="shared" si="61"/>
        <v>0.84309487883044076</v>
      </c>
    </row>
    <row r="1448" spans="1:17" x14ac:dyDescent="0.25">
      <c r="A1448" s="12">
        <f t="shared" si="62"/>
        <v>8</v>
      </c>
      <c r="B1448" s="12">
        <v>2024</v>
      </c>
      <c r="C1448" s="12">
        <v>7727</v>
      </c>
      <c r="D1448" s="23"/>
      <c r="E1448" s="12" t="s">
        <v>13</v>
      </c>
      <c r="F1448" s="12" t="s">
        <v>14</v>
      </c>
      <c r="H1448" s="12">
        <f t="shared" si="63"/>
        <v>0</v>
      </c>
      <c r="I1448" s="14">
        <v>45514</v>
      </c>
      <c r="J1448" s="12" t="s">
        <v>17</v>
      </c>
      <c r="K1448" s="12" t="s">
        <v>20</v>
      </c>
      <c r="L1448" s="12" t="s">
        <v>62</v>
      </c>
      <c r="M1448" s="29">
        <v>230.041</v>
      </c>
      <c r="N1448" s="33">
        <v>195</v>
      </c>
      <c r="P1448" s="12">
        <v>12.6</v>
      </c>
      <c r="Q1448" s="13">
        <f t="shared" si="61"/>
        <v>0.81121255597582709</v>
      </c>
    </row>
    <row r="1449" spans="1:17" x14ac:dyDescent="0.25">
      <c r="A1449" s="12">
        <f t="shared" si="62"/>
        <v>8</v>
      </c>
      <c r="B1449" s="12">
        <v>2024</v>
      </c>
      <c r="C1449" s="12">
        <v>7728</v>
      </c>
      <c r="D1449" s="23"/>
      <c r="E1449" s="12" t="s">
        <v>13</v>
      </c>
      <c r="F1449" s="12" t="s">
        <v>14</v>
      </c>
      <c r="H1449" s="12">
        <f t="shared" si="63"/>
        <v>0</v>
      </c>
      <c r="I1449" s="14">
        <v>45515</v>
      </c>
      <c r="J1449" s="12" t="s">
        <v>18</v>
      </c>
      <c r="K1449" s="12" t="s">
        <v>19</v>
      </c>
      <c r="L1449" s="12" t="s">
        <v>57</v>
      </c>
      <c r="M1449" s="29">
        <v>230.005</v>
      </c>
      <c r="N1449" s="33">
        <v>187.72800000000001</v>
      </c>
      <c r="P1449" s="12">
        <v>12.4</v>
      </c>
      <c r="Q1449" s="13">
        <f t="shared" si="61"/>
        <v>0.81200653890299468</v>
      </c>
    </row>
    <row r="1450" spans="1:17" x14ac:dyDescent="0.25">
      <c r="A1450" s="12">
        <f t="shared" si="62"/>
        <v>8</v>
      </c>
      <c r="B1450" s="12">
        <v>2024</v>
      </c>
      <c r="C1450" s="12">
        <v>7729</v>
      </c>
      <c r="D1450" s="23"/>
      <c r="E1450" s="12" t="s">
        <v>13</v>
      </c>
      <c r="F1450" s="12" t="s">
        <v>14</v>
      </c>
      <c r="H1450" s="12">
        <f t="shared" si="63"/>
        <v>0</v>
      </c>
      <c r="I1450" s="14">
        <v>45516</v>
      </c>
      <c r="J1450" s="12" t="s">
        <v>73</v>
      </c>
      <c r="K1450" s="12" t="s">
        <v>20</v>
      </c>
      <c r="L1450" s="12" t="s">
        <v>74</v>
      </c>
      <c r="M1450" s="29">
        <v>229.999</v>
      </c>
      <c r="N1450" s="33">
        <v>194.631</v>
      </c>
      <c r="P1450" s="12">
        <v>12.6</v>
      </c>
      <c r="Q1450" s="13">
        <f t="shared" si="61"/>
        <v>0.8476749796775358</v>
      </c>
    </row>
    <row r="1451" spans="1:17" x14ac:dyDescent="0.25">
      <c r="A1451" s="12">
        <f t="shared" si="62"/>
        <v>8</v>
      </c>
      <c r="B1451" s="12">
        <v>2024</v>
      </c>
      <c r="C1451" s="12">
        <v>7730</v>
      </c>
      <c r="D1451" s="23"/>
      <c r="E1451" s="12" t="s">
        <v>13</v>
      </c>
      <c r="F1451" s="12" t="s">
        <v>14</v>
      </c>
      <c r="H1451" s="12">
        <f t="shared" si="63"/>
        <v>0</v>
      </c>
      <c r="I1451" s="14">
        <v>45517</v>
      </c>
      <c r="J1451" s="12" t="s">
        <v>17</v>
      </c>
      <c r="K1451" s="12" t="s">
        <v>19</v>
      </c>
      <c r="L1451" s="12" t="s">
        <v>71</v>
      </c>
      <c r="M1451" s="29">
        <v>229.93199999999999</v>
      </c>
      <c r="N1451" s="33">
        <v>198</v>
      </c>
      <c r="P1451" s="12">
        <v>11.7</v>
      </c>
      <c r="Q1451" s="13">
        <f t="shared" ref="Q1451:Q1474" si="64">N1449/M1449</f>
        <v>0.81619095237060069</v>
      </c>
    </row>
    <row r="1452" spans="1:17" x14ac:dyDescent="0.25">
      <c r="A1452" s="12">
        <f t="shared" si="62"/>
        <v>8</v>
      </c>
      <c r="B1452" s="12">
        <v>2024</v>
      </c>
      <c r="C1452" s="12">
        <v>7731</v>
      </c>
      <c r="D1452" s="23"/>
      <c r="E1452" s="12" t="s">
        <v>13</v>
      </c>
      <c r="F1452" s="12" t="s">
        <v>14</v>
      </c>
      <c r="H1452" s="12">
        <f t="shared" si="63"/>
        <v>0</v>
      </c>
      <c r="I1452" s="14">
        <v>45518</v>
      </c>
      <c r="J1452" s="12" t="s">
        <v>18</v>
      </c>
      <c r="K1452" s="12" t="s">
        <v>19</v>
      </c>
      <c r="L1452" s="12" t="s">
        <v>57</v>
      </c>
      <c r="M1452" s="29">
        <v>229.95</v>
      </c>
      <c r="N1452" s="33">
        <v>195.678</v>
      </c>
      <c r="P1452" s="12">
        <v>11.8</v>
      </c>
      <c r="Q1452" s="13">
        <f t="shared" si="64"/>
        <v>0.84622541837138421</v>
      </c>
    </row>
    <row r="1453" spans="1:17" x14ac:dyDescent="0.25">
      <c r="A1453" s="12">
        <f t="shared" si="62"/>
        <v>8</v>
      </c>
      <c r="B1453" s="12">
        <v>2024</v>
      </c>
      <c r="C1453" s="12">
        <v>7732</v>
      </c>
      <c r="D1453" s="23"/>
      <c r="E1453" s="12" t="s">
        <v>13</v>
      </c>
      <c r="F1453" s="12" t="s">
        <v>14</v>
      </c>
      <c r="H1453" s="12">
        <f t="shared" si="63"/>
        <v>0</v>
      </c>
      <c r="I1453" s="14">
        <v>45519</v>
      </c>
      <c r="J1453" s="12" t="s">
        <v>18</v>
      </c>
      <c r="K1453" s="12" t="s">
        <v>19</v>
      </c>
      <c r="L1453" s="12" t="s">
        <v>57</v>
      </c>
      <c r="M1453" s="29">
        <v>230.00800000000001</v>
      </c>
      <c r="N1453" s="33">
        <v>191.78100000000001</v>
      </c>
      <c r="P1453" s="12">
        <v>12</v>
      </c>
      <c r="Q1453" s="13">
        <f t="shared" si="64"/>
        <v>0.8611241584468452</v>
      </c>
    </row>
    <row r="1454" spans="1:17" x14ac:dyDescent="0.25">
      <c r="A1454" s="12">
        <f t="shared" si="62"/>
        <v>8</v>
      </c>
      <c r="B1454" s="12">
        <v>2024</v>
      </c>
      <c r="C1454" s="12">
        <v>7733</v>
      </c>
      <c r="D1454" s="23"/>
      <c r="E1454" s="12" t="s">
        <v>13</v>
      </c>
      <c r="F1454" s="12" t="s">
        <v>14</v>
      </c>
      <c r="H1454" s="12">
        <f t="shared" si="63"/>
        <v>0</v>
      </c>
      <c r="I1454" s="14">
        <v>45520</v>
      </c>
      <c r="J1454" s="12" t="s">
        <v>18</v>
      </c>
      <c r="K1454" s="12" t="s">
        <v>19</v>
      </c>
      <c r="L1454" s="12" t="s">
        <v>57</v>
      </c>
      <c r="M1454" s="29">
        <v>230.02500000000001</v>
      </c>
      <c r="N1454" s="33">
        <v>194.07599999999999</v>
      </c>
      <c r="Q1454" s="13">
        <f t="shared" si="64"/>
        <v>0.85095890410958908</v>
      </c>
    </row>
    <row r="1455" spans="1:17" x14ac:dyDescent="0.25">
      <c r="A1455" s="12">
        <f t="shared" si="62"/>
        <v>8</v>
      </c>
      <c r="B1455" s="12">
        <v>2024</v>
      </c>
      <c r="C1455" s="12">
        <v>7734</v>
      </c>
      <c r="D1455" s="23"/>
      <c r="E1455" s="12" t="s">
        <v>13</v>
      </c>
      <c r="F1455" s="12" t="s">
        <v>14</v>
      </c>
      <c r="H1455" s="12">
        <f t="shared" si="63"/>
        <v>0</v>
      </c>
      <c r="I1455" s="14">
        <v>45521</v>
      </c>
      <c r="J1455" s="12" t="s">
        <v>18</v>
      </c>
      <c r="K1455" s="12" t="s">
        <v>19</v>
      </c>
      <c r="L1455" s="12" t="s">
        <v>57</v>
      </c>
      <c r="M1455" s="29">
        <v>230.01</v>
      </c>
      <c r="N1455" s="33">
        <v>191.995</v>
      </c>
      <c r="P1455" s="12">
        <v>11.7</v>
      </c>
      <c r="Q1455" s="13">
        <f t="shared" si="64"/>
        <v>0.83380143299363496</v>
      </c>
    </row>
    <row r="1456" spans="1:17" x14ac:dyDescent="0.25">
      <c r="A1456" s="12">
        <f t="shared" si="62"/>
        <v>8</v>
      </c>
      <c r="B1456" s="12">
        <v>2024</v>
      </c>
      <c r="C1456" s="12">
        <v>7735</v>
      </c>
      <c r="D1456" s="23"/>
      <c r="E1456" s="12" t="s">
        <v>13</v>
      </c>
      <c r="F1456" s="12" t="s">
        <v>14</v>
      </c>
      <c r="H1456" s="12">
        <f t="shared" si="63"/>
        <v>0</v>
      </c>
      <c r="I1456" s="14">
        <v>45522</v>
      </c>
      <c r="J1456" s="12" t="s">
        <v>18</v>
      </c>
      <c r="K1456" s="12" t="s">
        <v>19</v>
      </c>
      <c r="L1456" s="12" t="s">
        <v>57</v>
      </c>
      <c r="M1456" s="29">
        <v>230.011</v>
      </c>
      <c r="N1456" s="33">
        <v>194.92699999999999</v>
      </c>
      <c r="P1456" s="12">
        <v>11.7</v>
      </c>
      <c r="Q1456" s="13">
        <f t="shared" si="64"/>
        <v>0.8437169872839908</v>
      </c>
    </row>
    <row r="1457" spans="1:17" x14ac:dyDescent="0.25">
      <c r="A1457" s="12">
        <f t="shared" si="62"/>
        <v>8</v>
      </c>
      <c r="B1457" s="12">
        <v>2024</v>
      </c>
      <c r="C1457" s="12">
        <v>7736</v>
      </c>
      <c r="D1457" s="23"/>
      <c r="E1457" s="12" t="s">
        <v>13</v>
      </c>
      <c r="F1457" s="12" t="s">
        <v>14</v>
      </c>
      <c r="H1457" s="12">
        <f t="shared" si="63"/>
        <v>0</v>
      </c>
      <c r="I1457" s="14">
        <v>45523</v>
      </c>
      <c r="J1457" s="12" t="s">
        <v>18</v>
      </c>
      <c r="K1457" s="12" t="s">
        <v>19</v>
      </c>
      <c r="L1457" s="12" t="s">
        <v>67</v>
      </c>
      <c r="M1457" s="33">
        <v>229.858</v>
      </c>
      <c r="N1457" s="33">
        <v>192.06100000000001</v>
      </c>
      <c r="P1457" s="12">
        <v>11.8</v>
      </c>
      <c r="Q1457" s="13">
        <f t="shared" si="64"/>
        <v>0.83472457719229609</v>
      </c>
    </row>
    <row r="1458" spans="1:17" x14ac:dyDescent="0.25">
      <c r="A1458" s="12">
        <f t="shared" si="62"/>
        <v>8</v>
      </c>
      <c r="B1458" s="12">
        <v>2024</v>
      </c>
      <c r="C1458" s="12">
        <v>7737</v>
      </c>
      <c r="D1458" s="23"/>
      <c r="E1458" s="12" t="s">
        <v>13</v>
      </c>
      <c r="F1458" s="12" t="s">
        <v>14</v>
      </c>
      <c r="H1458" s="12">
        <f t="shared" si="63"/>
        <v>0</v>
      </c>
      <c r="I1458" s="14">
        <v>45524</v>
      </c>
      <c r="J1458" s="12" t="s">
        <v>18</v>
      </c>
      <c r="K1458" s="12" t="s">
        <v>19</v>
      </c>
      <c r="L1458" s="12" t="s">
        <v>67</v>
      </c>
      <c r="M1458" s="33">
        <v>229.977</v>
      </c>
      <c r="N1458" s="33">
        <v>191.25</v>
      </c>
      <c r="P1458" s="12">
        <v>12</v>
      </c>
      <c r="Q1458" s="13">
        <f t="shared" si="64"/>
        <v>0.84746816456604246</v>
      </c>
    </row>
    <row r="1459" spans="1:17" x14ac:dyDescent="0.25">
      <c r="A1459" s="12">
        <f t="shared" si="62"/>
        <v>8</v>
      </c>
      <c r="B1459" s="12">
        <v>2024</v>
      </c>
      <c r="C1459" s="12">
        <v>7738</v>
      </c>
      <c r="D1459" s="23"/>
      <c r="E1459" s="12" t="s">
        <v>13</v>
      </c>
      <c r="F1459" s="12" t="s">
        <v>14</v>
      </c>
      <c r="H1459" s="12">
        <f t="shared" si="63"/>
        <v>0</v>
      </c>
      <c r="I1459" s="14">
        <v>45525</v>
      </c>
      <c r="J1459" s="12" t="s">
        <v>18</v>
      </c>
      <c r="K1459" s="12" t="s">
        <v>19</v>
      </c>
      <c r="L1459" s="12" t="s">
        <v>67</v>
      </c>
      <c r="M1459" s="33">
        <v>229.98099999999999</v>
      </c>
      <c r="N1459" s="33">
        <v>191.86799999999999</v>
      </c>
      <c r="P1459" s="12">
        <v>12.1</v>
      </c>
      <c r="Q1459" s="13">
        <f t="shared" si="64"/>
        <v>0.83556369584700119</v>
      </c>
    </row>
    <row r="1460" spans="1:17" x14ac:dyDescent="0.25">
      <c r="A1460" s="12">
        <f t="shared" si="62"/>
        <v>8</v>
      </c>
      <c r="B1460" s="12">
        <v>2024</v>
      </c>
      <c r="C1460" s="12">
        <v>7739</v>
      </c>
      <c r="D1460" s="23"/>
      <c r="E1460" s="12" t="s">
        <v>13</v>
      </c>
      <c r="F1460" s="12" t="s">
        <v>14</v>
      </c>
      <c r="H1460" s="12">
        <f t="shared" si="63"/>
        <v>0</v>
      </c>
      <c r="I1460" s="14">
        <v>45526</v>
      </c>
      <c r="J1460" s="12" t="s">
        <v>73</v>
      </c>
      <c r="K1460" s="12" t="s">
        <v>20</v>
      </c>
      <c r="L1460" s="12" t="s">
        <v>74</v>
      </c>
      <c r="M1460" s="33">
        <v>230.01300000000001</v>
      </c>
      <c r="N1460" s="33">
        <v>189.429</v>
      </c>
      <c r="P1460" s="12">
        <v>13.3</v>
      </c>
      <c r="Q1460" s="13">
        <f t="shared" si="64"/>
        <v>0.83160489962039685</v>
      </c>
    </row>
    <row r="1461" spans="1:17" x14ac:dyDescent="0.25">
      <c r="A1461" s="12">
        <f t="shared" si="62"/>
        <v>8</v>
      </c>
      <c r="B1461" s="12">
        <v>2024</v>
      </c>
      <c r="C1461" s="12">
        <v>7740</v>
      </c>
      <c r="D1461" s="23"/>
      <c r="E1461" s="12" t="s">
        <v>13</v>
      </c>
      <c r="F1461" s="12" t="s">
        <v>14</v>
      </c>
      <c r="H1461" s="12">
        <f t="shared" si="63"/>
        <v>0</v>
      </c>
      <c r="I1461" s="14">
        <v>45527</v>
      </c>
      <c r="J1461" s="12" t="s">
        <v>73</v>
      </c>
      <c r="K1461" s="12" t="s">
        <v>20</v>
      </c>
      <c r="L1461" s="12" t="s">
        <v>74</v>
      </c>
      <c r="M1461" s="33">
        <v>230.01300000000001</v>
      </c>
      <c r="N1461" s="33">
        <v>188.18899999999999</v>
      </c>
      <c r="P1461" s="12">
        <v>13.3</v>
      </c>
      <c r="Q1461" s="13">
        <f t="shared" si="64"/>
        <v>0.83427761423769786</v>
      </c>
    </row>
    <row r="1462" spans="1:17" x14ac:dyDescent="0.25">
      <c r="A1462" s="12">
        <f t="shared" si="62"/>
        <v>8</v>
      </c>
      <c r="B1462" s="12">
        <v>2024</v>
      </c>
      <c r="C1462" s="12">
        <v>7741</v>
      </c>
      <c r="D1462" s="23"/>
      <c r="E1462" s="12" t="s">
        <v>13</v>
      </c>
      <c r="F1462" s="12" t="s">
        <v>14</v>
      </c>
      <c r="H1462" s="12">
        <f t="shared" si="63"/>
        <v>0</v>
      </c>
      <c r="I1462" s="14">
        <v>45528</v>
      </c>
      <c r="J1462" s="12" t="s">
        <v>73</v>
      </c>
      <c r="K1462" s="12" t="s">
        <v>20</v>
      </c>
      <c r="L1462" s="12" t="s">
        <v>74</v>
      </c>
      <c r="M1462" s="33">
        <v>230.00700000000001</v>
      </c>
      <c r="N1462" s="33">
        <v>193.21700000000001</v>
      </c>
      <c r="P1462" s="12">
        <v>13.2</v>
      </c>
      <c r="Q1462" s="13">
        <f t="shared" si="64"/>
        <v>0.8235577989070183</v>
      </c>
    </row>
    <row r="1463" spans="1:17" x14ac:dyDescent="0.25">
      <c r="A1463" s="12">
        <f t="shared" si="62"/>
        <v>8</v>
      </c>
      <c r="B1463" s="12">
        <v>2024</v>
      </c>
      <c r="C1463" s="12">
        <v>7742</v>
      </c>
      <c r="D1463" s="23"/>
      <c r="E1463" s="12" t="s">
        <v>13</v>
      </c>
      <c r="F1463" s="12" t="s">
        <v>14</v>
      </c>
      <c r="H1463" s="12">
        <f t="shared" si="63"/>
        <v>0</v>
      </c>
      <c r="I1463" s="14">
        <v>45529</v>
      </c>
      <c r="J1463" s="12" t="s">
        <v>73</v>
      </c>
      <c r="K1463" s="12" t="s">
        <v>20</v>
      </c>
      <c r="L1463" s="12" t="s">
        <v>74</v>
      </c>
      <c r="M1463" s="33">
        <v>230.01</v>
      </c>
      <c r="N1463" s="33">
        <v>190.876</v>
      </c>
      <c r="P1463" s="12">
        <v>13.4</v>
      </c>
      <c r="Q1463" s="13">
        <f t="shared" si="64"/>
        <v>0.8181667992678674</v>
      </c>
    </row>
    <row r="1464" spans="1:17" x14ac:dyDescent="0.25">
      <c r="A1464" s="12">
        <f t="shared" si="62"/>
        <v>8</v>
      </c>
      <c r="B1464" s="12">
        <v>2024</v>
      </c>
      <c r="C1464" s="12">
        <v>7743</v>
      </c>
      <c r="D1464" s="23"/>
      <c r="E1464" s="12" t="s">
        <v>13</v>
      </c>
      <c r="F1464" s="12" t="s">
        <v>14</v>
      </c>
      <c r="H1464" s="12">
        <f t="shared" si="63"/>
        <v>0</v>
      </c>
      <c r="I1464" s="14">
        <v>45530</v>
      </c>
      <c r="J1464" s="12" t="s">
        <v>73</v>
      </c>
      <c r="K1464" s="12" t="s">
        <v>20</v>
      </c>
      <c r="L1464" s="12" t="s">
        <v>74</v>
      </c>
      <c r="M1464" s="33">
        <v>230.00800000000001</v>
      </c>
      <c r="N1464" s="33">
        <v>190.261</v>
      </c>
      <c r="P1464" s="12">
        <v>13.5</v>
      </c>
      <c r="Q1464" s="13">
        <f t="shared" si="64"/>
        <v>0.84004834635467618</v>
      </c>
    </row>
    <row r="1465" spans="1:17" x14ac:dyDescent="0.25">
      <c r="A1465" s="12">
        <f t="shared" si="62"/>
        <v>8</v>
      </c>
      <c r="B1465" s="12">
        <v>2024</v>
      </c>
      <c r="C1465" s="12">
        <v>7744</v>
      </c>
      <c r="D1465" s="23"/>
      <c r="E1465" s="12" t="s">
        <v>13</v>
      </c>
      <c r="F1465" s="12" t="s">
        <v>14</v>
      </c>
      <c r="H1465" s="12">
        <f t="shared" si="63"/>
        <v>0</v>
      </c>
      <c r="I1465" s="14">
        <v>45531</v>
      </c>
      <c r="J1465" s="12" t="s">
        <v>18</v>
      </c>
      <c r="K1465" s="12" t="s">
        <v>19</v>
      </c>
      <c r="L1465" s="12" t="s">
        <v>75</v>
      </c>
      <c r="M1465" s="33">
        <v>230.012</v>
      </c>
      <c r="N1465" s="33">
        <v>188.40299999999999</v>
      </c>
      <c r="P1465" s="12">
        <v>13.7</v>
      </c>
      <c r="Q1465" s="13">
        <f t="shared" si="64"/>
        <v>0.82985957132298604</v>
      </c>
    </row>
    <row r="1466" spans="1:17" x14ac:dyDescent="0.25">
      <c r="A1466" s="12">
        <f t="shared" si="62"/>
        <v>8</v>
      </c>
      <c r="B1466" s="12">
        <v>2024</v>
      </c>
      <c r="C1466" s="12">
        <v>7745</v>
      </c>
      <c r="D1466" s="23"/>
      <c r="E1466" s="12" t="s">
        <v>13</v>
      </c>
      <c r="F1466" s="12" t="s">
        <v>14</v>
      </c>
      <c r="H1466" s="12">
        <f t="shared" si="63"/>
        <v>0</v>
      </c>
      <c r="I1466" s="14">
        <v>45532</v>
      </c>
      <c r="J1466" s="12" t="s">
        <v>17</v>
      </c>
      <c r="K1466" s="12" t="s">
        <v>19</v>
      </c>
      <c r="L1466" s="12" t="s">
        <v>57</v>
      </c>
      <c r="M1466" s="33">
        <v>230.012</v>
      </c>
      <c r="N1466" s="33">
        <v>198.114</v>
      </c>
      <c r="P1466" s="12">
        <v>11.8</v>
      </c>
      <c r="Q1466" s="13">
        <f t="shared" si="64"/>
        <v>0.82719296720114077</v>
      </c>
    </row>
    <row r="1467" spans="1:17" x14ac:dyDescent="0.25">
      <c r="A1467" s="12">
        <f t="shared" si="62"/>
        <v>8</v>
      </c>
      <c r="B1467" s="12">
        <v>2024</v>
      </c>
      <c r="C1467" s="12">
        <v>7746</v>
      </c>
      <c r="D1467" s="23"/>
      <c r="E1467" s="12" t="s">
        <v>13</v>
      </c>
      <c r="F1467" s="12" t="s">
        <v>14</v>
      </c>
      <c r="H1467" s="12">
        <f t="shared" si="63"/>
        <v>0</v>
      </c>
      <c r="I1467" s="14">
        <v>45533</v>
      </c>
      <c r="J1467" s="12" t="s">
        <v>17</v>
      </c>
      <c r="K1467" s="12" t="s">
        <v>19</v>
      </c>
      <c r="L1467" s="12" t="s">
        <v>57</v>
      </c>
      <c r="M1467" s="33">
        <v>230.00899999999999</v>
      </c>
      <c r="N1467" s="33">
        <v>194.57300000000001</v>
      </c>
      <c r="P1467" s="12">
        <v>11.8</v>
      </c>
      <c r="Q1467" s="13">
        <f t="shared" si="64"/>
        <v>0.8191007425699528</v>
      </c>
    </row>
    <row r="1468" spans="1:17" x14ac:dyDescent="0.25">
      <c r="A1468" s="12">
        <f t="shared" si="62"/>
        <v>8</v>
      </c>
      <c r="B1468" s="12">
        <v>2024</v>
      </c>
      <c r="C1468" s="12">
        <v>7747</v>
      </c>
      <c r="D1468" s="23"/>
      <c r="E1468" s="12" t="s">
        <v>13</v>
      </c>
      <c r="F1468" s="12" t="s">
        <v>14</v>
      </c>
      <c r="H1468" s="12">
        <f t="shared" si="63"/>
        <v>0</v>
      </c>
      <c r="I1468" s="14">
        <v>45534</v>
      </c>
      <c r="J1468" s="12" t="s">
        <v>17</v>
      </c>
      <c r="K1468" s="12" t="s">
        <v>19</v>
      </c>
      <c r="L1468" s="12" t="s">
        <v>57</v>
      </c>
      <c r="M1468" s="33">
        <v>230.02</v>
      </c>
      <c r="N1468" s="33">
        <v>196.09899999999999</v>
      </c>
      <c r="P1468" s="12">
        <v>11.8</v>
      </c>
      <c r="Q1468" s="13">
        <f t="shared" si="64"/>
        <v>0.86132027894196828</v>
      </c>
    </row>
    <row r="1469" spans="1:17" x14ac:dyDescent="0.25">
      <c r="A1469" s="12">
        <f t="shared" si="62"/>
        <v>8</v>
      </c>
      <c r="B1469" s="12">
        <v>2024</v>
      </c>
      <c r="C1469" s="12">
        <v>7748</v>
      </c>
      <c r="D1469" s="23"/>
      <c r="E1469" s="12" t="s">
        <v>13</v>
      </c>
      <c r="F1469" s="12" t="s">
        <v>14</v>
      </c>
      <c r="H1469" s="12">
        <f t="shared" si="63"/>
        <v>0</v>
      </c>
      <c r="I1469" s="14">
        <v>45535</v>
      </c>
      <c r="J1469" s="12" t="s">
        <v>17</v>
      </c>
      <c r="K1469" s="12" t="s">
        <v>19</v>
      </c>
      <c r="L1469" s="12" t="s">
        <v>57</v>
      </c>
      <c r="M1469" s="33">
        <v>231.24</v>
      </c>
      <c r="N1469" s="33">
        <v>197.476</v>
      </c>
      <c r="P1469" s="12">
        <v>11.9</v>
      </c>
      <c r="Q1469" s="13">
        <f t="shared" si="64"/>
        <v>0.84593646335578176</v>
      </c>
    </row>
    <row r="1470" spans="1:17" x14ac:dyDescent="0.25">
      <c r="A1470" s="12">
        <f t="shared" si="62"/>
        <v>9</v>
      </c>
      <c r="B1470" s="12">
        <v>2024</v>
      </c>
      <c r="C1470" s="12">
        <v>7749</v>
      </c>
      <c r="D1470" s="23"/>
      <c r="E1470" s="12" t="s">
        <v>13</v>
      </c>
      <c r="F1470" s="12" t="s">
        <v>14</v>
      </c>
      <c r="H1470" s="12">
        <f t="shared" si="63"/>
        <v>0</v>
      </c>
      <c r="I1470" s="14">
        <v>45536</v>
      </c>
      <c r="J1470" s="12" t="s">
        <v>17</v>
      </c>
      <c r="K1470" s="12" t="s">
        <v>19</v>
      </c>
      <c r="L1470" s="12" t="s">
        <v>57</v>
      </c>
      <c r="M1470" s="33">
        <v>229.99799999999999</v>
      </c>
      <c r="N1470" s="33">
        <v>194.77699999999999</v>
      </c>
      <c r="P1470" s="12">
        <v>11.9</v>
      </c>
      <c r="Q1470" s="13">
        <f t="shared" si="64"/>
        <v>0.85253021476393354</v>
      </c>
    </row>
    <row r="1471" spans="1:17" x14ac:dyDescent="0.25">
      <c r="A1471" s="12">
        <f t="shared" si="62"/>
        <v>9</v>
      </c>
      <c r="B1471" s="12">
        <v>2024</v>
      </c>
      <c r="C1471" s="12">
        <v>7750</v>
      </c>
      <c r="D1471" s="23"/>
      <c r="E1471" s="12" t="s">
        <v>13</v>
      </c>
      <c r="F1471" s="12" t="s">
        <v>14</v>
      </c>
      <c r="H1471" s="12">
        <f t="shared" si="63"/>
        <v>0</v>
      </c>
      <c r="I1471" s="14">
        <v>45537</v>
      </c>
      <c r="J1471" s="12" t="s">
        <v>18</v>
      </c>
      <c r="K1471" s="12" t="s">
        <v>20</v>
      </c>
      <c r="L1471" s="12" t="s">
        <v>76</v>
      </c>
      <c r="M1471" s="33">
        <v>229.96799999999999</v>
      </c>
      <c r="N1471" s="33">
        <v>193.83500000000001</v>
      </c>
      <c r="P1471" s="12">
        <v>12.5</v>
      </c>
      <c r="Q1471" s="13">
        <f t="shared" si="64"/>
        <v>0.85398719944646251</v>
      </c>
    </row>
    <row r="1472" spans="1:17" x14ac:dyDescent="0.25">
      <c r="A1472" s="12">
        <f t="shared" si="62"/>
        <v>9</v>
      </c>
      <c r="B1472" s="12">
        <v>2024</v>
      </c>
      <c r="C1472" s="12">
        <v>7751</v>
      </c>
      <c r="D1472" s="23"/>
      <c r="E1472" s="12" t="s">
        <v>13</v>
      </c>
      <c r="F1472" s="12" t="s">
        <v>14</v>
      </c>
      <c r="H1472" s="12">
        <f t="shared" si="63"/>
        <v>0</v>
      </c>
      <c r="I1472" s="14">
        <v>45538</v>
      </c>
      <c r="J1472" s="12" t="s">
        <v>18</v>
      </c>
      <c r="K1472" s="12" t="s">
        <v>19</v>
      </c>
      <c r="L1472" s="12" t="s">
        <v>67</v>
      </c>
      <c r="M1472" s="33">
        <v>229.928</v>
      </c>
      <c r="N1472" s="33">
        <v>193.47499999999999</v>
      </c>
      <c r="P1472" s="12">
        <v>12.9</v>
      </c>
      <c r="Q1472" s="13">
        <f t="shared" si="64"/>
        <v>0.84686388577291971</v>
      </c>
    </row>
    <row r="1473" spans="1:17" x14ac:dyDescent="0.25">
      <c r="A1473" s="12">
        <f t="shared" si="62"/>
        <v>9</v>
      </c>
      <c r="B1473" s="12">
        <v>2024</v>
      </c>
      <c r="C1473" s="12">
        <v>7752</v>
      </c>
      <c r="D1473" s="23"/>
      <c r="E1473" s="12" t="s">
        <v>13</v>
      </c>
      <c r="F1473" s="12" t="s">
        <v>14</v>
      </c>
      <c r="I1473" s="14">
        <v>45539</v>
      </c>
      <c r="J1473" s="12" t="s">
        <v>18</v>
      </c>
      <c r="K1473" s="12" t="s">
        <v>19</v>
      </c>
      <c r="L1473" s="12" t="s">
        <v>67</v>
      </c>
      <c r="M1473" s="33">
        <v>229.96</v>
      </c>
      <c r="N1473" s="33">
        <v>193.43799999999999</v>
      </c>
      <c r="P1473" s="12">
        <v>12.3</v>
      </c>
      <c r="Q1473" s="13">
        <f t="shared" si="64"/>
        <v>0.84287813956724422</v>
      </c>
    </row>
    <row r="1474" spans="1:17" x14ac:dyDescent="0.25">
      <c r="A1474" s="12">
        <f t="shared" si="62"/>
        <v>9</v>
      </c>
      <c r="B1474" s="12">
        <v>2024</v>
      </c>
      <c r="C1474" s="12">
        <v>7753</v>
      </c>
      <c r="D1474" s="23"/>
      <c r="E1474" s="12" t="s">
        <v>13</v>
      </c>
      <c r="F1474" s="12" t="s">
        <v>14</v>
      </c>
      <c r="I1474" s="14">
        <v>45540</v>
      </c>
      <c r="J1474" s="12" t="s">
        <v>17</v>
      </c>
      <c r="K1474" s="12" t="s">
        <v>19</v>
      </c>
      <c r="L1474" s="12" t="s">
        <v>75</v>
      </c>
      <c r="M1474" s="33">
        <v>229.99299999999999</v>
      </c>
      <c r="N1474" s="33">
        <v>193.23400000000001</v>
      </c>
      <c r="P1474" s="12">
        <v>12</v>
      </c>
      <c r="Q1474" s="13">
        <f t="shared" si="64"/>
        <v>0.84145906544657456</v>
      </c>
    </row>
  </sheetData>
  <autoFilter ref="A1:Q1476" xr:uid="{1E77CE36-3CB8-4864-8E54-11BC5244A69D}">
    <sortState xmlns:xlrd2="http://schemas.microsoft.com/office/spreadsheetml/2017/richdata2" ref="A2:Q1476">
      <sortCondition ref="C1:C1474"/>
    </sortState>
  </autoFilter>
  <conditionalFormatting sqref="A1:Q1 A2:N2 O2:Q1258 B3:N418 A3:A1474 B419:G451 H419:N930 B452:F1109 G452:G1474 I931:N1108 H931:H1472 B1110:B1474 E1110:F1474 S1142:S1144 O1259:O1438 P1259:Q1474">
    <cfRule type="containsBlanks" dxfId="13" priority="9">
      <formula>LEN(TRIM(A1))=0</formula>
    </cfRule>
  </conditionalFormatting>
  <conditionalFormatting sqref="C1:H1">
    <cfRule type="duplicateValues" dxfId="12" priority="11"/>
  </conditionalFormatting>
  <conditionalFormatting sqref="O1440">
    <cfRule type="containsBlanks" dxfId="11" priority="2">
      <formula>LEN(TRIM(O1440))=0</formula>
    </cfRule>
  </conditionalFormatting>
  <conditionalFormatting sqref="O1442:O1474">
    <cfRule type="containsBlanks" dxfId="10" priority="1">
      <formula>LEN(TRIM(O1442))=0</formula>
    </cfRule>
  </conditionalFormatting>
  <conditionalFormatting sqref="S1">
    <cfRule type="duplicateValues" dxfId="9" priority="10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0AB8-AF25-45CB-A2B4-B14FB2375281}">
  <sheetPr filterMode="1">
    <tabColor theme="6" tint="0.79998168889431442"/>
  </sheetPr>
  <dimension ref="A1:X1562"/>
  <sheetViews>
    <sheetView zoomScale="107" zoomScaleNormal="107" workbookViewId="0">
      <pane ySplit="1" topLeftCell="A663" activePane="bottomLeft" state="frozen"/>
      <selection activeCell="E1" sqref="E1"/>
      <selection pane="bottomLeft" activeCell="G1567" sqref="G1567"/>
    </sheetView>
  </sheetViews>
  <sheetFormatPr baseColWidth="10" defaultColWidth="11.5703125" defaultRowHeight="15" x14ac:dyDescent="0.25"/>
  <cols>
    <col min="1" max="1" width="13.85546875" style="12" bestFit="1" customWidth="1"/>
    <col min="2" max="3" width="10.85546875" style="12" customWidth="1"/>
    <col min="4" max="4" width="23.42578125" style="12" customWidth="1"/>
    <col min="5" max="5" width="28.7109375" style="14" customWidth="1"/>
    <col min="6" max="6" width="17.140625" style="12" customWidth="1"/>
    <col min="7" max="7" width="16" style="12" customWidth="1"/>
    <col min="8" max="8" width="12.7109375" style="12" customWidth="1"/>
    <col min="9" max="9" width="14.140625" style="12" customWidth="1"/>
    <col min="10" max="10" width="13.85546875" style="12" customWidth="1"/>
    <col min="11" max="11" width="18.85546875" style="12" customWidth="1"/>
    <col min="12" max="12" width="19" style="12" bestFit="1" customWidth="1"/>
    <col min="13" max="13" width="11.5703125" style="12"/>
    <col min="14" max="14" width="28.85546875" style="12" bestFit="1" customWidth="1"/>
    <col min="15" max="16384" width="11.5703125" style="12"/>
  </cols>
  <sheetData>
    <row r="1" spans="1:14" x14ac:dyDescent="0.25">
      <c r="A1" s="4" t="s">
        <v>6</v>
      </c>
      <c r="B1" s="4" t="s">
        <v>77</v>
      </c>
      <c r="C1" s="5" t="s">
        <v>11</v>
      </c>
      <c r="D1" s="5" t="s">
        <v>12</v>
      </c>
      <c r="E1" s="6" t="s">
        <v>2</v>
      </c>
      <c r="F1" s="5" t="s">
        <v>3</v>
      </c>
      <c r="G1" s="7" t="s">
        <v>7</v>
      </c>
      <c r="H1" s="7" t="s">
        <v>8</v>
      </c>
      <c r="I1" s="8" t="s">
        <v>0</v>
      </c>
      <c r="J1" s="9" t="s">
        <v>1</v>
      </c>
      <c r="K1" s="10" t="s">
        <v>82</v>
      </c>
      <c r="L1" s="5" t="s">
        <v>5</v>
      </c>
      <c r="N1" s="5" t="s">
        <v>9</v>
      </c>
    </row>
    <row r="2" spans="1:14" ht="13.9" hidden="1" x14ac:dyDescent="0.25">
      <c r="A2" s="24">
        <v>6281</v>
      </c>
      <c r="B2" s="24">
        <v>18850556</v>
      </c>
      <c r="C2" s="12" t="s">
        <v>13</v>
      </c>
      <c r="D2" s="12" t="s">
        <v>14</v>
      </c>
      <c r="E2" s="26">
        <v>44075</v>
      </c>
      <c r="F2" s="12" t="s">
        <v>17</v>
      </c>
      <c r="G2" s="12" t="s">
        <v>19</v>
      </c>
      <c r="H2" s="12" t="s">
        <v>21</v>
      </c>
      <c r="I2" s="12">
        <v>230.011</v>
      </c>
      <c r="J2" s="12">
        <v>199.86799999999999</v>
      </c>
      <c r="N2" s="7" t="s">
        <v>10</v>
      </c>
    </row>
    <row r="3" spans="1:14" ht="13.9" hidden="1" x14ac:dyDescent="0.25">
      <c r="A3" s="24">
        <v>6282</v>
      </c>
      <c r="B3" s="24">
        <v>18850572</v>
      </c>
      <c r="C3" s="12" t="s">
        <v>13</v>
      </c>
      <c r="D3" s="12" t="s">
        <v>14</v>
      </c>
      <c r="E3" s="26">
        <v>44076</v>
      </c>
      <c r="F3" s="12" t="s">
        <v>17</v>
      </c>
      <c r="G3" s="12" t="s">
        <v>19</v>
      </c>
      <c r="H3" s="12" t="s">
        <v>21</v>
      </c>
      <c r="I3" s="12">
        <v>230.023</v>
      </c>
      <c r="J3" s="12">
        <v>195.13800000000001</v>
      </c>
    </row>
    <row r="4" spans="1:14" ht="13.9" hidden="1" x14ac:dyDescent="0.25">
      <c r="A4" s="24">
        <v>6283</v>
      </c>
      <c r="B4" s="24">
        <v>18855357</v>
      </c>
      <c r="C4" s="12" t="s">
        <v>13</v>
      </c>
      <c r="D4" s="12" t="s">
        <v>14</v>
      </c>
      <c r="E4" s="26">
        <v>44077</v>
      </c>
      <c r="F4" s="12" t="s">
        <v>17</v>
      </c>
      <c r="G4" s="12" t="s">
        <v>19</v>
      </c>
      <c r="H4" s="12" t="s">
        <v>21</v>
      </c>
      <c r="I4" s="12">
        <v>230.00800000000001</v>
      </c>
      <c r="J4" s="12">
        <v>198.46700000000001</v>
      </c>
      <c r="N4" s="28" t="s">
        <v>85</v>
      </c>
    </row>
    <row r="5" spans="1:14" ht="13.9" hidden="1" x14ac:dyDescent="0.25">
      <c r="A5" s="24">
        <v>6284</v>
      </c>
      <c r="B5" s="24">
        <v>18857651</v>
      </c>
      <c r="C5" s="12" t="s">
        <v>13</v>
      </c>
      <c r="D5" s="12" t="s">
        <v>14</v>
      </c>
      <c r="E5" s="26">
        <v>44078</v>
      </c>
      <c r="F5" s="12" t="s">
        <v>17</v>
      </c>
      <c r="G5" s="12" t="s">
        <v>19</v>
      </c>
      <c r="H5" s="12" t="s">
        <v>21</v>
      </c>
      <c r="I5" s="12">
        <v>230.00899999999999</v>
      </c>
      <c r="J5" s="12">
        <v>195.02500000000001</v>
      </c>
      <c r="N5" s="27" t="s">
        <v>84</v>
      </c>
    </row>
    <row r="6" spans="1:14" ht="13.9" hidden="1" x14ac:dyDescent="0.25">
      <c r="A6" s="24">
        <v>6285</v>
      </c>
      <c r="B6" s="24">
        <v>18861212</v>
      </c>
      <c r="C6" s="12" t="s">
        <v>13</v>
      </c>
      <c r="D6" s="12" t="s">
        <v>14</v>
      </c>
      <c r="E6" s="26">
        <v>44079</v>
      </c>
      <c r="F6" s="12" t="s">
        <v>17</v>
      </c>
      <c r="G6" s="12" t="s">
        <v>19</v>
      </c>
      <c r="H6" s="12" t="s">
        <v>22</v>
      </c>
      <c r="I6" s="12">
        <v>230</v>
      </c>
      <c r="J6" s="12">
        <v>197.167</v>
      </c>
      <c r="N6" s="34"/>
    </row>
    <row r="7" spans="1:14" ht="13.9" hidden="1" x14ac:dyDescent="0.25">
      <c r="A7" s="24">
        <v>6286</v>
      </c>
      <c r="B7" s="24">
        <v>18865571</v>
      </c>
      <c r="C7" s="12" t="s">
        <v>13</v>
      </c>
      <c r="D7" s="12" t="s">
        <v>14</v>
      </c>
      <c r="E7" s="26">
        <v>44080</v>
      </c>
      <c r="F7" s="12" t="s">
        <v>17</v>
      </c>
      <c r="G7" s="12" t="s">
        <v>19</v>
      </c>
      <c r="H7" s="12" t="s">
        <v>22</v>
      </c>
      <c r="I7" s="12">
        <v>230</v>
      </c>
      <c r="J7" s="12">
        <v>192.66800000000001</v>
      </c>
    </row>
    <row r="8" spans="1:14" ht="13.9" hidden="1" x14ac:dyDescent="0.25">
      <c r="A8" s="24">
        <v>6287</v>
      </c>
      <c r="B8" s="24">
        <v>18865580</v>
      </c>
      <c r="C8" s="12" t="s">
        <v>13</v>
      </c>
      <c r="D8" s="12" t="s">
        <v>14</v>
      </c>
      <c r="E8" s="26">
        <v>44081</v>
      </c>
      <c r="F8" s="12" t="s">
        <v>18</v>
      </c>
      <c r="G8" s="12" t="s">
        <v>20</v>
      </c>
      <c r="H8" s="12" t="s">
        <v>23</v>
      </c>
      <c r="I8" s="12">
        <v>231.99700000000001</v>
      </c>
      <c r="J8" s="12">
        <v>194.036</v>
      </c>
    </row>
    <row r="9" spans="1:14" ht="13.9" hidden="1" x14ac:dyDescent="0.25">
      <c r="A9" s="24">
        <v>6288</v>
      </c>
      <c r="B9" s="24">
        <v>18869572</v>
      </c>
      <c r="C9" s="12" t="s">
        <v>13</v>
      </c>
      <c r="D9" s="12" t="s">
        <v>14</v>
      </c>
      <c r="E9" s="26">
        <v>44082</v>
      </c>
      <c r="F9" s="12" t="s">
        <v>18</v>
      </c>
      <c r="G9" s="12" t="s">
        <v>20</v>
      </c>
      <c r="H9" s="12" t="s">
        <v>23</v>
      </c>
      <c r="I9" s="12">
        <v>231.99799999999999</v>
      </c>
      <c r="J9" s="12">
        <v>197.00399999999999</v>
      </c>
    </row>
    <row r="10" spans="1:14" ht="13.9" hidden="1" x14ac:dyDescent="0.25">
      <c r="A10" s="24">
        <v>6289</v>
      </c>
      <c r="B10" s="24">
        <v>18869601</v>
      </c>
      <c r="C10" s="12" t="s">
        <v>13</v>
      </c>
      <c r="D10" s="12" t="s">
        <v>14</v>
      </c>
      <c r="E10" s="26">
        <v>44083</v>
      </c>
      <c r="F10" s="12" t="s">
        <v>18</v>
      </c>
      <c r="G10" s="12" t="s">
        <v>20</v>
      </c>
      <c r="H10" s="12" t="s">
        <v>24</v>
      </c>
      <c r="I10" s="12">
        <v>235.005</v>
      </c>
      <c r="J10" s="12">
        <v>200.32400000000001</v>
      </c>
    </row>
    <row r="11" spans="1:14" ht="13.9" hidden="1" x14ac:dyDescent="0.25">
      <c r="A11" s="24">
        <v>6290</v>
      </c>
      <c r="B11" s="24">
        <v>18874785</v>
      </c>
      <c r="C11" s="12" t="s">
        <v>13</v>
      </c>
      <c r="D11" s="12" t="s">
        <v>14</v>
      </c>
      <c r="E11" s="26">
        <v>44084</v>
      </c>
      <c r="F11" s="12" t="s">
        <v>18</v>
      </c>
      <c r="G11" s="12" t="s">
        <v>20</v>
      </c>
      <c r="H11" s="12" t="s">
        <v>24</v>
      </c>
      <c r="I11" s="12">
        <v>235.006</v>
      </c>
      <c r="J11" s="12">
        <v>203.63</v>
      </c>
    </row>
    <row r="12" spans="1:14" ht="13.9" hidden="1" x14ac:dyDescent="0.25">
      <c r="A12" s="24">
        <v>6291</v>
      </c>
      <c r="B12" s="24">
        <v>18878559</v>
      </c>
      <c r="C12" s="12" t="s">
        <v>13</v>
      </c>
      <c r="D12" s="12" t="s">
        <v>14</v>
      </c>
      <c r="E12" s="26">
        <v>44085</v>
      </c>
      <c r="F12" s="12" t="s">
        <v>17</v>
      </c>
      <c r="G12" s="12" t="s">
        <v>19</v>
      </c>
      <c r="H12" s="12" t="s">
        <v>21</v>
      </c>
      <c r="I12" s="12">
        <v>230.00700000000001</v>
      </c>
      <c r="J12" s="12">
        <v>198.50800000000001</v>
      </c>
    </row>
    <row r="13" spans="1:14" ht="13.9" hidden="1" x14ac:dyDescent="0.25">
      <c r="A13" s="24">
        <v>6292</v>
      </c>
      <c r="B13" s="24">
        <v>18881521</v>
      </c>
      <c r="C13" s="12" t="s">
        <v>13</v>
      </c>
      <c r="D13" s="12" t="s">
        <v>14</v>
      </c>
      <c r="E13" s="26">
        <v>44086</v>
      </c>
      <c r="F13" s="12" t="s">
        <v>17</v>
      </c>
      <c r="G13" s="12" t="s">
        <v>19</v>
      </c>
      <c r="H13" s="12" t="s">
        <v>21</v>
      </c>
      <c r="I13" s="12">
        <v>230.00200000000001</v>
      </c>
      <c r="J13" s="12">
        <v>200.893</v>
      </c>
    </row>
    <row r="14" spans="1:14" ht="13.9" hidden="1" x14ac:dyDescent="0.25">
      <c r="A14" s="24">
        <v>6293</v>
      </c>
      <c r="B14" s="24">
        <v>18887076</v>
      </c>
      <c r="C14" s="12" t="s">
        <v>13</v>
      </c>
      <c r="D14" s="12" t="s">
        <v>14</v>
      </c>
      <c r="E14" s="26">
        <v>44087</v>
      </c>
      <c r="F14" s="12" t="s">
        <v>17</v>
      </c>
      <c r="G14" s="12" t="s">
        <v>19</v>
      </c>
      <c r="H14" s="12" t="s">
        <v>21</v>
      </c>
      <c r="I14" s="12">
        <v>230.00200000000001</v>
      </c>
      <c r="J14" s="12">
        <v>192.64699999999999</v>
      </c>
    </row>
    <row r="15" spans="1:14" ht="13.9" hidden="1" x14ac:dyDescent="0.25">
      <c r="A15" s="24">
        <v>6294</v>
      </c>
      <c r="B15" s="24">
        <v>18887113</v>
      </c>
      <c r="C15" s="12" t="s">
        <v>13</v>
      </c>
      <c r="D15" s="12" t="s">
        <v>14</v>
      </c>
      <c r="E15" s="26">
        <v>44088</v>
      </c>
      <c r="F15" s="12" t="s">
        <v>17</v>
      </c>
      <c r="G15" s="12" t="s">
        <v>19</v>
      </c>
      <c r="H15" s="12" t="s">
        <v>21</v>
      </c>
      <c r="I15" s="12">
        <v>229.99799999999999</v>
      </c>
      <c r="J15" s="12">
        <v>199.358</v>
      </c>
    </row>
    <row r="16" spans="1:14" ht="13.9" hidden="1" x14ac:dyDescent="0.25">
      <c r="A16" s="24">
        <v>6295</v>
      </c>
      <c r="B16" s="24">
        <v>18887130</v>
      </c>
      <c r="C16" s="12" t="s">
        <v>13</v>
      </c>
      <c r="D16" s="12" t="s">
        <v>14</v>
      </c>
      <c r="E16" s="26">
        <v>44089</v>
      </c>
      <c r="F16" s="12" t="s">
        <v>17</v>
      </c>
      <c r="G16" s="12" t="s">
        <v>19</v>
      </c>
      <c r="H16" s="12" t="s">
        <v>21</v>
      </c>
      <c r="I16" s="12">
        <v>229.999</v>
      </c>
      <c r="J16" s="12">
        <v>189.666</v>
      </c>
    </row>
    <row r="17" spans="1:10" ht="13.9" hidden="1" x14ac:dyDescent="0.25">
      <c r="A17" s="24">
        <v>6296</v>
      </c>
      <c r="B17" s="24">
        <v>18890283</v>
      </c>
      <c r="C17" s="12" t="s">
        <v>13</v>
      </c>
      <c r="D17" s="12" t="s">
        <v>14</v>
      </c>
      <c r="E17" s="26">
        <v>44090</v>
      </c>
      <c r="F17" s="12" t="s">
        <v>17</v>
      </c>
      <c r="G17" s="12" t="s">
        <v>19</v>
      </c>
      <c r="H17" s="12" t="s">
        <v>22</v>
      </c>
      <c r="I17" s="12">
        <v>230.017</v>
      </c>
      <c r="J17" s="12">
        <v>195.25800000000001</v>
      </c>
    </row>
    <row r="18" spans="1:10" ht="13.9" hidden="1" x14ac:dyDescent="0.25">
      <c r="A18" s="24">
        <v>6297</v>
      </c>
      <c r="B18" s="24">
        <v>18894436</v>
      </c>
      <c r="C18" s="12" t="s">
        <v>13</v>
      </c>
      <c r="D18" s="12" t="s">
        <v>14</v>
      </c>
      <c r="E18" s="26">
        <v>44091</v>
      </c>
      <c r="F18" s="12" t="s">
        <v>17</v>
      </c>
      <c r="G18" s="12" t="s">
        <v>19</v>
      </c>
      <c r="H18" s="12" t="s">
        <v>22</v>
      </c>
      <c r="I18" s="12">
        <v>230.00800000000001</v>
      </c>
      <c r="J18" s="12">
        <v>199.65199999999999</v>
      </c>
    </row>
    <row r="19" spans="1:10" ht="13.9" hidden="1" x14ac:dyDescent="0.25">
      <c r="A19" s="24">
        <v>6298</v>
      </c>
      <c r="B19" s="24">
        <v>18897995</v>
      </c>
      <c r="C19" s="12" t="s">
        <v>13</v>
      </c>
      <c r="D19" s="12" t="s">
        <v>14</v>
      </c>
      <c r="E19" s="26">
        <v>44092</v>
      </c>
      <c r="F19" s="12" t="s">
        <v>17</v>
      </c>
      <c r="G19" s="12" t="s">
        <v>19</v>
      </c>
      <c r="H19" s="12" t="s">
        <v>22</v>
      </c>
      <c r="I19" s="12">
        <v>230.00800000000001</v>
      </c>
      <c r="J19" s="12">
        <v>188</v>
      </c>
    </row>
    <row r="20" spans="1:10" ht="13.9" hidden="1" x14ac:dyDescent="0.25">
      <c r="A20" s="24">
        <v>6299</v>
      </c>
      <c r="B20" s="24">
        <v>18902432</v>
      </c>
      <c r="C20" s="12" t="s">
        <v>13</v>
      </c>
      <c r="D20" s="12" t="s">
        <v>14</v>
      </c>
      <c r="E20" s="26">
        <v>44093</v>
      </c>
      <c r="F20" s="12" t="s">
        <v>17</v>
      </c>
      <c r="G20" s="12" t="s">
        <v>19</v>
      </c>
      <c r="H20" s="12" t="s">
        <v>25</v>
      </c>
      <c r="I20" s="12">
        <v>229.99299999999999</v>
      </c>
      <c r="J20" s="12">
        <v>200.83500000000001</v>
      </c>
    </row>
    <row r="21" spans="1:10" ht="13.9" hidden="1" x14ac:dyDescent="0.25">
      <c r="A21" s="24">
        <v>6300</v>
      </c>
      <c r="B21" s="24">
        <v>18907612</v>
      </c>
      <c r="C21" s="12" t="s">
        <v>13</v>
      </c>
      <c r="D21" s="12" t="s">
        <v>14</v>
      </c>
      <c r="E21" s="26">
        <v>44094</v>
      </c>
      <c r="F21" s="12" t="s">
        <v>17</v>
      </c>
      <c r="G21" s="12" t="s">
        <v>19</v>
      </c>
      <c r="H21" s="12" t="s">
        <v>25</v>
      </c>
      <c r="I21" s="12">
        <v>229.994</v>
      </c>
      <c r="J21" s="12">
        <v>189.56700000000001</v>
      </c>
    </row>
    <row r="22" spans="1:10" ht="13.9" hidden="1" x14ac:dyDescent="0.25">
      <c r="A22" s="24">
        <v>6301</v>
      </c>
      <c r="B22" s="24">
        <v>18915487</v>
      </c>
      <c r="C22" s="12" t="s">
        <v>13</v>
      </c>
      <c r="D22" s="12" t="s">
        <v>14</v>
      </c>
      <c r="E22" s="26">
        <v>44095</v>
      </c>
      <c r="F22" s="12" t="s">
        <v>17</v>
      </c>
      <c r="G22" s="12" t="s">
        <v>19</v>
      </c>
      <c r="H22" s="12" t="s">
        <v>26</v>
      </c>
      <c r="I22" s="12">
        <v>230.001</v>
      </c>
      <c r="J22" s="12">
        <v>191.02199999999999</v>
      </c>
    </row>
    <row r="23" spans="1:10" ht="13.9" hidden="1" x14ac:dyDescent="0.25">
      <c r="A23" s="24">
        <v>6302</v>
      </c>
      <c r="B23" s="24">
        <v>18930505</v>
      </c>
      <c r="C23" s="12" t="s">
        <v>13</v>
      </c>
      <c r="D23" s="12" t="s">
        <v>14</v>
      </c>
      <c r="E23" s="26">
        <v>44096</v>
      </c>
      <c r="F23" s="12" t="s">
        <v>18</v>
      </c>
      <c r="G23" s="12" t="s">
        <v>20</v>
      </c>
      <c r="H23" s="12" t="s">
        <v>23</v>
      </c>
      <c r="I23" s="12">
        <v>229.99299999999999</v>
      </c>
      <c r="J23" s="12">
        <v>195.96799999999999</v>
      </c>
    </row>
    <row r="24" spans="1:10" ht="13.9" hidden="1" x14ac:dyDescent="0.25">
      <c r="A24" s="24">
        <v>6303</v>
      </c>
      <c r="B24" s="24">
        <v>18930548</v>
      </c>
      <c r="C24" s="12" t="s">
        <v>13</v>
      </c>
      <c r="D24" s="12" t="s">
        <v>14</v>
      </c>
      <c r="E24" s="26">
        <v>44097</v>
      </c>
      <c r="F24" s="12" t="s">
        <v>18</v>
      </c>
      <c r="G24" s="12" t="s">
        <v>20</v>
      </c>
      <c r="H24" s="12" t="s">
        <v>23</v>
      </c>
      <c r="I24" s="12">
        <v>229.99299999999999</v>
      </c>
      <c r="J24" s="12">
        <v>191.64099999999999</v>
      </c>
    </row>
    <row r="25" spans="1:10" ht="13.9" hidden="1" x14ac:dyDescent="0.25">
      <c r="A25" s="24">
        <v>6304</v>
      </c>
      <c r="B25" s="24">
        <v>18930716</v>
      </c>
      <c r="C25" s="12" t="s">
        <v>13</v>
      </c>
      <c r="D25" s="12" t="s">
        <v>14</v>
      </c>
      <c r="E25" s="26">
        <v>44098</v>
      </c>
      <c r="F25" s="12" t="s">
        <v>18</v>
      </c>
      <c r="G25" s="12" t="s">
        <v>20</v>
      </c>
      <c r="H25" s="12" t="s">
        <v>23</v>
      </c>
      <c r="I25" s="12">
        <v>230.001</v>
      </c>
      <c r="J25" s="12">
        <v>198.292</v>
      </c>
    </row>
    <row r="26" spans="1:10" ht="13.9" hidden="1" x14ac:dyDescent="0.25">
      <c r="A26" s="24">
        <v>6305</v>
      </c>
      <c r="B26" s="24">
        <v>18930767</v>
      </c>
      <c r="C26" s="12" t="s">
        <v>13</v>
      </c>
      <c r="D26" s="12" t="s">
        <v>14</v>
      </c>
      <c r="E26" s="26">
        <v>44099</v>
      </c>
      <c r="F26" s="12" t="s">
        <v>18</v>
      </c>
      <c r="G26" s="12" t="s">
        <v>20</v>
      </c>
      <c r="H26" s="12" t="s">
        <v>23</v>
      </c>
      <c r="I26" s="12">
        <v>230.001</v>
      </c>
      <c r="J26" s="12">
        <v>191.44800000000001</v>
      </c>
    </row>
    <row r="27" spans="1:10" ht="13.9" hidden="1" x14ac:dyDescent="0.25">
      <c r="A27" s="24">
        <v>6306</v>
      </c>
      <c r="B27" s="24">
        <v>18930783</v>
      </c>
      <c r="C27" s="12" t="s">
        <v>13</v>
      </c>
      <c r="D27" s="12" t="s">
        <v>14</v>
      </c>
      <c r="E27" s="26">
        <v>44100</v>
      </c>
      <c r="F27" s="12" t="s">
        <v>17</v>
      </c>
      <c r="G27" s="12" t="s">
        <v>19</v>
      </c>
      <c r="H27" s="12" t="s">
        <v>25</v>
      </c>
      <c r="I27" s="12">
        <v>230.005</v>
      </c>
      <c r="J27" s="12">
        <v>201.358</v>
      </c>
    </row>
    <row r="28" spans="1:10" ht="13.9" hidden="1" x14ac:dyDescent="0.25">
      <c r="A28" s="24">
        <v>6307</v>
      </c>
      <c r="B28" s="24">
        <v>18930880</v>
      </c>
      <c r="C28" s="12" t="s">
        <v>13</v>
      </c>
      <c r="D28" s="12" t="s">
        <v>14</v>
      </c>
      <c r="E28" s="26">
        <v>44101</v>
      </c>
      <c r="F28" s="12" t="s">
        <v>17</v>
      </c>
      <c r="G28" s="12" t="s">
        <v>19</v>
      </c>
      <c r="H28" s="12" t="s">
        <v>25</v>
      </c>
      <c r="I28" s="12">
        <v>230.005</v>
      </c>
      <c r="J28" s="12">
        <v>191.732</v>
      </c>
    </row>
    <row r="29" spans="1:10" ht="13.9" hidden="1" x14ac:dyDescent="0.25">
      <c r="A29" s="24">
        <v>6308</v>
      </c>
      <c r="B29" s="24">
        <v>18930935</v>
      </c>
      <c r="C29" s="12" t="s">
        <v>13</v>
      </c>
      <c r="D29" s="12" t="s">
        <v>14</v>
      </c>
      <c r="E29" s="26">
        <v>44102</v>
      </c>
      <c r="F29" s="12" t="s">
        <v>17</v>
      </c>
      <c r="G29" s="12" t="s">
        <v>19</v>
      </c>
      <c r="H29" s="12" t="s">
        <v>27</v>
      </c>
      <c r="I29" s="12">
        <v>230.01499999999999</v>
      </c>
      <c r="J29" s="12">
        <v>198.458</v>
      </c>
    </row>
    <row r="30" spans="1:10" ht="13.9" hidden="1" x14ac:dyDescent="0.25">
      <c r="A30" s="24">
        <v>6309</v>
      </c>
      <c r="B30" s="24">
        <v>18930943</v>
      </c>
      <c r="C30" s="12" t="s">
        <v>13</v>
      </c>
      <c r="D30" s="12" t="s">
        <v>14</v>
      </c>
      <c r="E30" s="26">
        <v>44103</v>
      </c>
      <c r="F30" s="12" t="s">
        <v>17</v>
      </c>
      <c r="G30" s="12" t="s">
        <v>19</v>
      </c>
      <c r="H30" s="12" t="s">
        <v>27</v>
      </c>
      <c r="I30" s="12">
        <v>230.01599999999999</v>
      </c>
      <c r="J30" s="12">
        <v>189.62700000000001</v>
      </c>
    </row>
    <row r="31" spans="1:10" ht="13.9" hidden="1" x14ac:dyDescent="0.25">
      <c r="A31" s="24">
        <v>6310</v>
      </c>
      <c r="B31" s="24">
        <v>18930978</v>
      </c>
      <c r="C31" s="12" t="s">
        <v>13</v>
      </c>
      <c r="D31" s="12" t="s">
        <v>14</v>
      </c>
      <c r="E31" s="26">
        <v>44104</v>
      </c>
      <c r="F31" s="12" t="s">
        <v>18</v>
      </c>
      <c r="G31" s="12" t="s">
        <v>19</v>
      </c>
      <c r="H31" s="12" t="s">
        <v>22</v>
      </c>
      <c r="I31" s="12">
        <v>229.97800000000001</v>
      </c>
      <c r="J31" s="12">
        <v>195.09</v>
      </c>
    </row>
    <row r="32" spans="1:10" ht="13.9" hidden="1" x14ac:dyDescent="0.25">
      <c r="A32" s="12">
        <v>6311</v>
      </c>
      <c r="B32" s="12">
        <v>18935226</v>
      </c>
      <c r="C32" s="12" t="s">
        <v>13</v>
      </c>
      <c r="D32" s="12" t="s">
        <v>14</v>
      </c>
      <c r="E32" s="14">
        <v>44105</v>
      </c>
      <c r="F32" s="12" t="s">
        <v>18</v>
      </c>
      <c r="G32" s="12" t="s">
        <v>19</v>
      </c>
      <c r="H32" s="12" t="s">
        <v>22</v>
      </c>
      <c r="I32" s="12">
        <v>230.03100000000001</v>
      </c>
      <c r="J32" s="12">
        <v>194.16800000000001</v>
      </c>
    </row>
    <row r="33" spans="1:12" ht="13.9" hidden="1" x14ac:dyDescent="0.25">
      <c r="A33" s="12">
        <v>6312</v>
      </c>
      <c r="B33" s="12">
        <v>18942936</v>
      </c>
      <c r="C33" s="12" t="s">
        <v>13</v>
      </c>
      <c r="D33" s="12" t="s">
        <v>14</v>
      </c>
      <c r="E33" s="14">
        <v>44106</v>
      </c>
      <c r="F33" s="12" t="s">
        <v>17</v>
      </c>
      <c r="G33" s="12" t="s">
        <v>19</v>
      </c>
      <c r="H33" s="12" t="s">
        <v>25</v>
      </c>
      <c r="I33" s="12">
        <v>230.001</v>
      </c>
      <c r="J33" s="12">
        <v>194.17599999999999</v>
      </c>
    </row>
    <row r="34" spans="1:12" ht="13.9" hidden="1" x14ac:dyDescent="0.25">
      <c r="A34" s="12">
        <v>6313</v>
      </c>
      <c r="B34" s="12">
        <v>18942952</v>
      </c>
      <c r="C34" s="12" t="s">
        <v>13</v>
      </c>
      <c r="D34" s="12" t="s">
        <v>14</v>
      </c>
      <c r="E34" s="14">
        <v>44107</v>
      </c>
      <c r="F34" s="12" t="s">
        <v>17</v>
      </c>
      <c r="G34" s="12" t="s">
        <v>19</v>
      </c>
      <c r="H34" s="12" t="s">
        <v>25</v>
      </c>
      <c r="I34" s="12">
        <v>230.001</v>
      </c>
      <c r="J34" s="12">
        <v>187.744</v>
      </c>
    </row>
    <row r="35" spans="1:12" ht="13.9" hidden="1" x14ac:dyDescent="0.25">
      <c r="A35" s="12">
        <v>6314</v>
      </c>
      <c r="B35" s="12">
        <v>18948182</v>
      </c>
      <c r="C35" s="12" t="s">
        <v>13</v>
      </c>
      <c r="D35" s="12" t="s">
        <v>14</v>
      </c>
      <c r="E35" s="14">
        <v>44108</v>
      </c>
      <c r="F35" s="12" t="s">
        <v>17</v>
      </c>
      <c r="G35" s="12" t="s">
        <v>19</v>
      </c>
      <c r="H35" s="12" t="s">
        <v>22</v>
      </c>
      <c r="I35" s="12">
        <v>230.006</v>
      </c>
      <c r="J35" s="12">
        <v>199.83199999999999</v>
      </c>
    </row>
    <row r="36" spans="1:12" ht="13.9" hidden="1" x14ac:dyDescent="0.25">
      <c r="A36" s="12">
        <v>6315</v>
      </c>
      <c r="B36" s="12">
        <v>18948203</v>
      </c>
      <c r="C36" s="12" t="s">
        <v>13</v>
      </c>
      <c r="D36" s="12" t="s">
        <v>14</v>
      </c>
      <c r="E36" s="14">
        <v>44109</v>
      </c>
      <c r="F36" s="12" t="s">
        <v>17</v>
      </c>
      <c r="G36" s="12" t="s">
        <v>19</v>
      </c>
      <c r="H36" s="12" t="s">
        <v>22</v>
      </c>
      <c r="I36" s="12">
        <v>230.006</v>
      </c>
      <c r="J36" s="12">
        <v>186.90299999999999</v>
      </c>
    </row>
    <row r="37" spans="1:12" ht="13.9" hidden="1" x14ac:dyDescent="0.25">
      <c r="A37" s="12">
        <v>6316</v>
      </c>
      <c r="B37" s="12">
        <v>18951138</v>
      </c>
      <c r="C37" s="12" t="s">
        <v>13</v>
      </c>
      <c r="D37" s="12" t="s">
        <v>14</v>
      </c>
      <c r="E37" s="14">
        <v>44110</v>
      </c>
      <c r="F37" s="12" t="s">
        <v>17</v>
      </c>
      <c r="G37" s="12" t="s">
        <v>20</v>
      </c>
      <c r="H37" s="12" t="s">
        <v>29</v>
      </c>
      <c r="I37" s="12">
        <v>235.00399999999999</v>
      </c>
      <c r="J37" s="12">
        <v>199.809</v>
      </c>
      <c r="L37" s="12">
        <v>10.6</v>
      </c>
    </row>
    <row r="38" spans="1:12" ht="13.9" hidden="1" x14ac:dyDescent="0.25">
      <c r="A38" s="12">
        <v>6317</v>
      </c>
      <c r="B38" s="12">
        <v>18951189</v>
      </c>
      <c r="C38" s="12" t="s">
        <v>13</v>
      </c>
      <c r="D38" s="12" t="s">
        <v>14</v>
      </c>
      <c r="E38" s="14">
        <v>44111</v>
      </c>
      <c r="F38" s="12" t="s">
        <v>18</v>
      </c>
      <c r="G38" s="12" t="s">
        <v>20</v>
      </c>
      <c r="H38" s="12" t="s">
        <v>24</v>
      </c>
      <c r="I38" s="12">
        <v>235.00200000000001</v>
      </c>
      <c r="J38" s="12">
        <v>199.017</v>
      </c>
    </row>
    <row r="39" spans="1:12" ht="13.9" hidden="1" x14ac:dyDescent="0.25">
      <c r="A39" s="12">
        <v>6318</v>
      </c>
      <c r="B39" s="12">
        <v>18955323</v>
      </c>
      <c r="C39" s="12" t="s">
        <v>13</v>
      </c>
      <c r="D39" s="12" t="s">
        <v>14</v>
      </c>
      <c r="E39" s="14">
        <v>44112</v>
      </c>
      <c r="F39" s="12" t="s">
        <v>18</v>
      </c>
      <c r="G39" s="12" t="s">
        <v>20</v>
      </c>
      <c r="H39" s="12" t="s">
        <v>24</v>
      </c>
      <c r="I39" s="12">
        <v>235.00299999999999</v>
      </c>
      <c r="J39" s="12">
        <v>208.32599999999999</v>
      </c>
    </row>
    <row r="40" spans="1:12" ht="13.9" hidden="1" x14ac:dyDescent="0.25">
      <c r="A40" s="12">
        <v>6319</v>
      </c>
      <c r="B40" s="12">
        <v>18960704</v>
      </c>
      <c r="C40" s="12" t="s">
        <v>13</v>
      </c>
      <c r="D40" s="12" t="s">
        <v>14</v>
      </c>
      <c r="E40" s="14">
        <v>44113</v>
      </c>
      <c r="F40" s="12" t="s">
        <v>17</v>
      </c>
      <c r="G40" s="12" t="s">
        <v>19</v>
      </c>
      <c r="H40" s="12" t="s">
        <v>25</v>
      </c>
      <c r="I40" s="12">
        <v>230.01</v>
      </c>
      <c r="J40" s="12">
        <v>189.351</v>
      </c>
    </row>
    <row r="41" spans="1:12" ht="13.9" hidden="1" x14ac:dyDescent="0.25">
      <c r="A41" s="12">
        <v>6320</v>
      </c>
      <c r="B41" s="12">
        <v>18964385</v>
      </c>
      <c r="C41" s="12" t="s">
        <v>13</v>
      </c>
      <c r="D41" s="12" t="s">
        <v>14</v>
      </c>
      <c r="E41" s="14">
        <v>44114</v>
      </c>
      <c r="F41" s="12" t="s">
        <v>17</v>
      </c>
      <c r="G41" s="12" t="s">
        <v>19</v>
      </c>
      <c r="H41" s="12" t="s">
        <v>25</v>
      </c>
      <c r="I41" s="12">
        <v>230.01</v>
      </c>
      <c r="J41" s="12">
        <v>199.15799999999999</v>
      </c>
    </row>
    <row r="42" spans="1:12" ht="13.9" hidden="1" x14ac:dyDescent="0.25">
      <c r="A42" s="12">
        <v>6321</v>
      </c>
      <c r="B42" s="12">
        <v>18968108</v>
      </c>
      <c r="C42" s="12" t="s">
        <v>13</v>
      </c>
      <c r="D42" s="12" t="s">
        <v>14</v>
      </c>
      <c r="E42" s="14">
        <v>44115</v>
      </c>
      <c r="F42" s="12" t="s">
        <v>17</v>
      </c>
      <c r="G42" s="12" t="s">
        <v>19</v>
      </c>
      <c r="H42" s="12" t="s">
        <v>25</v>
      </c>
      <c r="I42" s="12">
        <v>229.99100000000001</v>
      </c>
      <c r="J42" s="12">
        <v>192.971</v>
      </c>
    </row>
    <row r="43" spans="1:12" ht="13.9" hidden="1" x14ac:dyDescent="0.25">
      <c r="A43" s="12">
        <v>6322</v>
      </c>
      <c r="B43" s="12">
        <v>18968124</v>
      </c>
      <c r="C43" s="12" t="s">
        <v>13</v>
      </c>
      <c r="D43" s="12" t="s">
        <v>14</v>
      </c>
      <c r="E43" s="14">
        <v>44116</v>
      </c>
      <c r="F43" s="12" t="s">
        <v>17</v>
      </c>
      <c r="G43" s="12" t="s">
        <v>19</v>
      </c>
      <c r="H43" s="12" t="s">
        <v>25</v>
      </c>
      <c r="I43" s="12">
        <v>230.00899999999999</v>
      </c>
      <c r="J43" s="12">
        <v>187.28299999999999</v>
      </c>
    </row>
    <row r="44" spans="1:12" ht="13.9" hidden="1" x14ac:dyDescent="0.25">
      <c r="A44" s="12">
        <v>6323</v>
      </c>
      <c r="B44" s="12">
        <v>18968159</v>
      </c>
      <c r="C44" s="12" t="s">
        <v>13</v>
      </c>
      <c r="D44" s="12" t="s">
        <v>14</v>
      </c>
      <c r="E44" s="14">
        <v>44117</v>
      </c>
      <c r="F44" s="12" t="s">
        <v>17</v>
      </c>
      <c r="G44" s="12" t="s">
        <v>19</v>
      </c>
      <c r="H44" s="12" t="s">
        <v>25</v>
      </c>
      <c r="I44" s="12">
        <v>230.00899999999999</v>
      </c>
      <c r="J44" s="12">
        <v>204.29300000000001</v>
      </c>
    </row>
    <row r="45" spans="1:12" ht="13.9" hidden="1" x14ac:dyDescent="0.25">
      <c r="A45" s="12">
        <v>6324</v>
      </c>
      <c r="B45" s="12">
        <v>18971921</v>
      </c>
      <c r="C45" s="12" t="s">
        <v>13</v>
      </c>
      <c r="D45" s="12" t="s">
        <v>14</v>
      </c>
      <c r="E45" s="14">
        <v>44118</v>
      </c>
      <c r="F45" s="12" t="s">
        <v>18</v>
      </c>
      <c r="G45" s="12" t="s">
        <v>19</v>
      </c>
      <c r="H45" s="12" t="s">
        <v>22</v>
      </c>
      <c r="I45" s="12">
        <v>230.00899999999999</v>
      </c>
      <c r="J45" s="12">
        <v>195.77099999999999</v>
      </c>
    </row>
    <row r="46" spans="1:12" ht="13.9" hidden="1" x14ac:dyDescent="0.25">
      <c r="A46" s="12">
        <v>6325</v>
      </c>
      <c r="B46" s="12">
        <v>18975869</v>
      </c>
      <c r="C46" s="12" t="s">
        <v>13</v>
      </c>
      <c r="D46" s="12" t="s">
        <v>14</v>
      </c>
      <c r="E46" s="14">
        <v>44119</v>
      </c>
      <c r="F46" s="12" t="s">
        <v>18</v>
      </c>
      <c r="G46" s="12" t="s">
        <v>19</v>
      </c>
      <c r="H46" s="12" t="s">
        <v>22</v>
      </c>
      <c r="I46" s="12">
        <v>230.01</v>
      </c>
      <c r="J46" s="12">
        <v>194.88</v>
      </c>
    </row>
    <row r="47" spans="1:12" ht="13.9" hidden="1" x14ac:dyDescent="0.25">
      <c r="A47" s="12">
        <v>6326</v>
      </c>
      <c r="B47" s="12">
        <v>18979579</v>
      </c>
      <c r="C47" s="12" t="s">
        <v>13</v>
      </c>
      <c r="D47" s="12" t="s">
        <v>14</v>
      </c>
      <c r="E47" s="14">
        <v>44120</v>
      </c>
      <c r="F47" s="12" t="s">
        <v>18</v>
      </c>
      <c r="G47" s="12" t="s">
        <v>20</v>
      </c>
      <c r="H47" s="12" t="s">
        <v>29</v>
      </c>
      <c r="I47" s="12">
        <v>234.999</v>
      </c>
      <c r="J47" s="12">
        <v>201.489</v>
      </c>
    </row>
    <row r="48" spans="1:12" ht="13.9" hidden="1" x14ac:dyDescent="0.25">
      <c r="A48" s="12">
        <v>6327</v>
      </c>
      <c r="B48" s="12">
        <v>18983113</v>
      </c>
      <c r="C48" s="12" t="s">
        <v>13</v>
      </c>
      <c r="D48" s="12" t="s">
        <v>14</v>
      </c>
      <c r="E48" s="14">
        <v>44121</v>
      </c>
      <c r="F48" s="12" t="s">
        <v>18</v>
      </c>
      <c r="G48" s="12" t="s">
        <v>20</v>
      </c>
      <c r="H48" s="12" t="s">
        <v>29</v>
      </c>
      <c r="I48" s="12">
        <v>235</v>
      </c>
      <c r="J48" s="12">
        <v>201.56</v>
      </c>
    </row>
    <row r="49" spans="1:10" ht="13.9" hidden="1" x14ac:dyDescent="0.25">
      <c r="A49" s="12">
        <v>6328</v>
      </c>
      <c r="B49" s="12">
        <v>18988213</v>
      </c>
      <c r="C49" s="12" t="s">
        <v>13</v>
      </c>
      <c r="D49" s="12" t="s">
        <v>14</v>
      </c>
      <c r="E49" s="14">
        <v>44122</v>
      </c>
      <c r="F49" s="12" t="s">
        <v>17</v>
      </c>
      <c r="G49" s="12" t="s">
        <v>20</v>
      </c>
      <c r="H49" s="12" t="s">
        <v>24</v>
      </c>
      <c r="I49" s="12">
        <v>235.00700000000001</v>
      </c>
      <c r="J49" s="12">
        <v>202.59100000000001</v>
      </c>
    </row>
    <row r="50" spans="1:10" ht="13.9" hidden="1" x14ac:dyDescent="0.25">
      <c r="A50" s="12">
        <v>6329</v>
      </c>
      <c r="B50" s="12">
        <v>18988820</v>
      </c>
      <c r="C50" s="12" t="s">
        <v>13</v>
      </c>
      <c r="D50" s="12" t="s">
        <v>14</v>
      </c>
      <c r="E50" s="14">
        <v>44123</v>
      </c>
      <c r="F50" s="12" t="s">
        <v>17</v>
      </c>
      <c r="G50" s="12" t="s">
        <v>20</v>
      </c>
      <c r="H50" s="12" t="s">
        <v>24</v>
      </c>
      <c r="I50" s="12">
        <v>235.00800000000001</v>
      </c>
      <c r="J50" s="12">
        <v>207.125</v>
      </c>
    </row>
    <row r="51" spans="1:10" ht="13.9" hidden="1" x14ac:dyDescent="0.25">
      <c r="A51" s="12">
        <v>6330</v>
      </c>
      <c r="B51" s="12">
        <v>18988977</v>
      </c>
      <c r="C51" s="12" t="s">
        <v>13</v>
      </c>
      <c r="D51" s="12" t="s">
        <v>14</v>
      </c>
      <c r="E51" s="14">
        <v>44124</v>
      </c>
      <c r="F51" s="12" t="s">
        <v>17</v>
      </c>
      <c r="G51" s="12" t="s">
        <v>19</v>
      </c>
      <c r="H51" s="12" t="s">
        <v>22</v>
      </c>
      <c r="I51" s="12">
        <v>229.98099999999999</v>
      </c>
      <c r="J51" s="12">
        <v>192.39099999999999</v>
      </c>
    </row>
    <row r="52" spans="1:10" ht="13.9" hidden="1" x14ac:dyDescent="0.25">
      <c r="A52" s="12">
        <v>6331</v>
      </c>
      <c r="B52" s="12">
        <v>18992298</v>
      </c>
      <c r="C52" s="12" t="s">
        <v>13</v>
      </c>
      <c r="D52" s="12" t="s">
        <v>14</v>
      </c>
      <c r="E52" s="14">
        <v>44125</v>
      </c>
      <c r="F52" s="12" t="s">
        <v>17</v>
      </c>
      <c r="G52" s="12" t="s">
        <v>19</v>
      </c>
      <c r="H52" s="12" t="s">
        <v>22</v>
      </c>
      <c r="I52" s="12">
        <v>230.005</v>
      </c>
      <c r="J52" s="12">
        <v>203.28</v>
      </c>
    </row>
    <row r="53" spans="1:10" ht="13.9" hidden="1" x14ac:dyDescent="0.25">
      <c r="A53" s="12">
        <v>6332</v>
      </c>
      <c r="B53" s="12">
        <v>18996310</v>
      </c>
      <c r="C53" s="12" t="s">
        <v>13</v>
      </c>
      <c r="D53" s="12" t="s">
        <v>14</v>
      </c>
      <c r="E53" s="14">
        <v>44126</v>
      </c>
      <c r="F53" s="12" t="s">
        <v>17</v>
      </c>
      <c r="G53" s="12" t="s">
        <v>19</v>
      </c>
      <c r="H53" s="12" t="s">
        <v>22</v>
      </c>
      <c r="I53" s="12">
        <v>230.006</v>
      </c>
      <c r="J53" s="12">
        <v>192.63900000000001</v>
      </c>
    </row>
    <row r="54" spans="1:10" ht="13.9" hidden="1" x14ac:dyDescent="0.25">
      <c r="A54" s="12">
        <v>6333</v>
      </c>
      <c r="B54" s="12">
        <v>19000166</v>
      </c>
      <c r="C54" s="12" t="s">
        <v>13</v>
      </c>
      <c r="D54" s="12" t="s">
        <v>14</v>
      </c>
      <c r="E54" s="14">
        <v>44127</v>
      </c>
      <c r="F54" s="12" t="s">
        <v>17</v>
      </c>
      <c r="G54" s="12" t="s">
        <v>19</v>
      </c>
      <c r="H54" s="12" t="s">
        <v>22</v>
      </c>
      <c r="I54" s="12">
        <v>229.99700000000001</v>
      </c>
      <c r="J54" s="12">
        <v>193.95400000000001</v>
      </c>
    </row>
    <row r="55" spans="1:10" ht="13.9" hidden="1" x14ac:dyDescent="0.25">
      <c r="A55" s="12">
        <v>6334</v>
      </c>
      <c r="B55" s="12">
        <v>19004141</v>
      </c>
      <c r="C55" s="12" t="s">
        <v>13</v>
      </c>
      <c r="D55" s="12" t="s">
        <v>14</v>
      </c>
      <c r="E55" s="14">
        <v>44128</v>
      </c>
      <c r="F55" s="12" t="s">
        <v>17</v>
      </c>
      <c r="G55" s="12" t="s">
        <v>19</v>
      </c>
      <c r="H55" s="12" t="s">
        <v>22</v>
      </c>
      <c r="I55" s="12">
        <v>229.99799999999999</v>
      </c>
      <c r="J55" s="12">
        <v>197.22</v>
      </c>
    </row>
    <row r="56" spans="1:10" ht="13.9" hidden="1" x14ac:dyDescent="0.25">
      <c r="A56" s="12">
        <v>6335</v>
      </c>
      <c r="B56" s="12">
        <v>19007940</v>
      </c>
      <c r="C56" s="12" t="s">
        <v>13</v>
      </c>
      <c r="D56" s="12" t="s">
        <v>14</v>
      </c>
      <c r="E56" s="14">
        <v>44129</v>
      </c>
      <c r="F56" s="12" t="s">
        <v>17</v>
      </c>
      <c r="G56" s="12" t="s">
        <v>20</v>
      </c>
      <c r="H56" s="12" t="s">
        <v>29</v>
      </c>
      <c r="I56" s="12">
        <v>234.994</v>
      </c>
      <c r="J56" s="12">
        <v>198.47200000000001</v>
      </c>
    </row>
    <row r="57" spans="1:10" ht="13.9" hidden="1" x14ac:dyDescent="0.25">
      <c r="A57" s="12">
        <v>6336</v>
      </c>
      <c r="B57" s="12">
        <v>19008002</v>
      </c>
      <c r="C57" s="12" t="s">
        <v>13</v>
      </c>
      <c r="D57" s="12" t="s">
        <v>14</v>
      </c>
      <c r="E57" s="14">
        <v>44130</v>
      </c>
      <c r="F57" s="12" t="s">
        <v>17</v>
      </c>
      <c r="G57" s="12" t="s">
        <v>20</v>
      </c>
      <c r="H57" s="12" t="s">
        <v>29</v>
      </c>
      <c r="I57" s="12">
        <v>234.99299999999999</v>
      </c>
      <c r="J57" s="12">
        <v>191.65</v>
      </c>
    </row>
    <row r="58" spans="1:10" ht="13.9" hidden="1" x14ac:dyDescent="0.25">
      <c r="A58" s="12">
        <v>6337</v>
      </c>
      <c r="B58" s="12">
        <v>19008061</v>
      </c>
      <c r="C58" s="12" t="s">
        <v>13</v>
      </c>
      <c r="D58" s="12" t="s">
        <v>14</v>
      </c>
      <c r="E58" s="14">
        <v>44131</v>
      </c>
      <c r="F58" s="12" t="s">
        <v>18</v>
      </c>
      <c r="G58" s="12" t="s">
        <v>19</v>
      </c>
      <c r="H58" s="12" t="s">
        <v>22</v>
      </c>
      <c r="I58" s="12">
        <v>229.99199999999999</v>
      </c>
      <c r="J58" s="12">
        <v>189.5</v>
      </c>
    </row>
    <row r="59" spans="1:10" ht="13.9" hidden="1" x14ac:dyDescent="0.25">
      <c r="A59" s="12">
        <v>6338</v>
      </c>
      <c r="B59" s="12">
        <v>19013371</v>
      </c>
      <c r="C59" s="12" t="s">
        <v>13</v>
      </c>
      <c r="D59" s="12" t="s">
        <v>14</v>
      </c>
      <c r="E59" s="14">
        <v>44132</v>
      </c>
      <c r="F59" s="12" t="s">
        <v>18</v>
      </c>
      <c r="G59" s="12" t="s">
        <v>19</v>
      </c>
      <c r="H59" s="12" t="s">
        <v>22</v>
      </c>
      <c r="I59" s="12">
        <v>230.00299999999999</v>
      </c>
      <c r="J59" s="12">
        <v>197.67699999999999</v>
      </c>
    </row>
    <row r="60" spans="1:10" ht="13.9" hidden="1" x14ac:dyDescent="0.25">
      <c r="A60" s="12">
        <v>6339</v>
      </c>
      <c r="B60" s="12">
        <v>19017179</v>
      </c>
      <c r="C60" s="12" t="s">
        <v>13</v>
      </c>
      <c r="D60" s="12" t="s">
        <v>14</v>
      </c>
      <c r="E60" s="14">
        <v>44133</v>
      </c>
      <c r="F60" s="12" t="s">
        <v>18</v>
      </c>
      <c r="G60" s="12" t="s">
        <v>19</v>
      </c>
      <c r="H60" s="12" t="s">
        <v>22</v>
      </c>
      <c r="I60" s="12">
        <v>230.00299999999999</v>
      </c>
      <c r="J60" s="12">
        <v>197.977</v>
      </c>
    </row>
    <row r="61" spans="1:10" ht="13.9" hidden="1" x14ac:dyDescent="0.25">
      <c r="A61" s="12">
        <v>6340</v>
      </c>
      <c r="B61" s="12">
        <v>19024985</v>
      </c>
      <c r="C61" s="12" t="s">
        <v>13</v>
      </c>
      <c r="D61" s="12" t="s">
        <v>14</v>
      </c>
      <c r="E61" s="14">
        <v>44134</v>
      </c>
      <c r="F61" s="12" t="s">
        <v>18</v>
      </c>
      <c r="G61" s="12" t="s">
        <v>19</v>
      </c>
      <c r="H61" s="12" t="s">
        <v>22</v>
      </c>
      <c r="I61" s="12">
        <v>230.00399999999999</v>
      </c>
      <c r="J61" s="12">
        <v>195</v>
      </c>
    </row>
    <row r="62" spans="1:10" ht="13.9" hidden="1" x14ac:dyDescent="0.25">
      <c r="A62" s="12">
        <v>6341</v>
      </c>
      <c r="B62" s="12">
        <v>19025005</v>
      </c>
      <c r="C62" s="12" t="s">
        <v>13</v>
      </c>
      <c r="D62" s="12" t="s">
        <v>14</v>
      </c>
      <c r="E62" s="14">
        <v>44135</v>
      </c>
      <c r="F62" s="12" t="s">
        <v>18</v>
      </c>
      <c r="G62" s="12" t="s">
        <v>20</v>
      </c>
      <c r="H62" s="12" t="s">
        <v>24</v>
      </c>
      <c r="I62" s="12">
        <v>235.00700000000001</v>
      </c>
      <c r="J62" s="12">
        <v>205</v>
      </c>
    </row>
    <row r="63" spans="1:10" ht="13.9" hidden="1" x14ac:dyDescent="0.25">
      <c r="A63" s="12">
        <v>6342</v>
      </c>
      <c r="B63" s="12">
        <v>19028581</v>
      </c>
      <c r="C63" s="12" t="s">
        <v>13</v>
      </c>
      <c r="D63" s="12" t="s">
        <v>14</v>
      </c>
      <c r="E63" s="14">
        <v>44136</v>
      </c>
      <c r="F63" s="12" t="s">
        <v>18</v>
      </c>
      <c r="G63" s="12" t="s">
        <v>20</v>
      </c>
      <c r="H63" s="12" t="s">
        <v>24</v>
      </c>
      <c r="I63" s="12">
        <v>235.00700000000001</v>
      </c>
      <c r="J63" s="12">
        <v>198.54</v>
      </c>
    </row>
    <row r="64" spans="1:10" ht="13.9" hidden="1" x14ac:dyDescent="0.25">
      <c r="A64" s="12">
        <v>6343</v>
      </c>
      <c r="B64" s="12">
        <v>19028599</v>
      </c>
      <c r="C64" s="12" t="s">
        <v>13</v>
      </c>
      <c r="D64" s="12" t="s">
        <v>14</v>
      </c>
      <c r="E64" s="14">
        <v>44137</v>
      </c>
      <c r="F64" s="12" t="s">
        <v>18</v>
      </c>
      <c r="G64" s="12" t="s">
        <v>20</v>
      </c>
      <c r="H64" s="12" t="s">
        <v>29</v>
      </c>
      <c r="I64" s="12">
        <v>235.00200000000001</v>
      </c>
      <c r="J64" s="12">
        <v>195.04599999999999</v>
      </c>
    </row>
    <row r="65" spans="1:10" ht="13.9" hidden="1" x14ac:dyDescent="0.25">
      <c r="A65" s="12">
        <v>6344</v>
      </c>
      <c r="B65" s="12">
        <v>19028628</v>
      </c>
      <c r="C65" s="12" t="s">
        <v>13</v>
      </c>
      <c r="D65" s="12" t="s">
        <v>14</v>
      </c>
      <c r="E65" s="14">
        <v>44138</v>
      </c>
      <c r="F65" s="12" t="s">
        <v>18</v>
      </c>
      <c r="G65" s="12" t="s">
        <v>20</v>
      </c>
      <c r="H65" s="12" t="s">
        <v>29</v>
      </c>
      <c r="I65" s="12">
        <v>235.00200000000001</v>
      </c>
      <c r="J65" s="12">
        <v>204.898</v>
      </c>
    </row>
    <row r="66" spans="1:10" ht="13.9" hidden="1" x14ac:dyDescent="0.25">
      <c r="A66" s="12">
        <v>6345</v>
      </c>
      <c r="B66" s="12">
        <v>19032424</v>
      </c>
      <c r="C66" s="12" t="s">
        <v>13</v>
      </c>
      <c r="D66" s="12" t="s">
        <v>14</v>
      </c>
      <c r="E66" s="14">
        <v>44139</v>
      </c>
      <c r="F66" s="12" t="s">
        <v>17</v>
      </c>
      <c r="G66" s="12" t="s">
        <v>19</v>
      </c>
      <c r="H66" s="12" t="s">
        <v>25</v>
      </c>
      <c r="I66" s="12">
        <v>230.001</v>
      </c>
      <c r="J66" s="12">
        <v>191.89599999999999</v>
      </c>
    </row>
    <row r="67" spans="1:10" ht="13.9" hidden="1" x14ac:dyDescent="0.25">
      <c r="A67" s="12">
        <v>6346</v>
      </c>
      <c r="B67" s="12">
        <v>19037313</v>
      </c>
      <c r="C67" s="12" t="s">
        <v>13</v>
      </c>
      <c r="D67" s="12" t="s">
        <v>14</v>
      </c>
      <c r="E67" s="14">
        <v>44140</v>
      </c>
      <c r="F67" s="12" t="s">
        <v>17</v>
      </c>
      <c r="G67" s="12" t="s">
        <v>19</v>
      </c>
      <c r="H67" s="12" t="s">
        <v>25</v>
      </c>
      <c r="I67" s="12">
        <v>230</v>
      </c>
      <c r="J67" s="12">
        <v>196.505</v>
      </c>
    </row>
    <row r="68" spans="1:10" ht="13.9" hidden="1" x14ac:dyDescent="0.25">
      <c r="A68" s="12">
        <v>6347</v>
      </c>
      <c r="B68" s="12">
        <v>19041099</v>
      </c>
      <c r="C68" s="12" t="s">
        <v>13</v>
      </c>
      <c r="D68" s="12" t="s">
        <v>14</v>
      </c>
      <c r="E68" s="14">
        <v>44141</v>
      </c>
      <c r="F68" s="12" t="s">
        <v>17</v>
      </c>
      <c r="G68" s="12" t="s">
        <v>19</v>
      </c>
      <c r="H68" s="12" t="s">
        <v>25</v>
      </c>
      <c r="I68" s="12">
        <v>230</v>
      </c>
      <c r="J68" s="12">
        <v>189.619</v>
      </c>
    </row>
    <row r="69" spans="1:10" ht="13.9" hidden="1" x14ac:dyDescent="0.25">
      <c r="A69" s="12">
        <v>6348</v>
      </c>
      <c r="B69" s="12">
        <v>19045778</v>
      </c>
      <c r="C69" s="12" t="s">
        <v>13</v>
      </c>
      <c r="D69" s="12" t="s">
        <v>14</v>
      </c>
      <c r="E69" s="14">
        <v>44142</v>
      </c>
      <c r="F69" s="12" t="s">
        <v>17</v>
      </c>
      <c r="G69" s="12" t="s">
        <v>19</v>
      </c>
      <c r="H69" s="12" t="s">
        <v>25</v>
      </c>
      <c r="I69" s="12">
        <v>230.00800000000001</v>
      </c>
      <c r="J69" s="12">
        <v>199.18600000000001</v>
      </c>
    </row>
    <row r="70" spans="1:10" ht="13.9" hidden="1" x14ac:dyDescent="0.25">
      <c r="A70" s="12">
        <v>6349</v>
      </c>
      <c r="B70" s="12">
        <v>19049331</v>
      </c>
      <c r="C70" s="12" t="s">
        <v>13</v>
      </c>
      <c r="D70" s="12" t="s">
        <v>14</v>
      </c>
      <c r="E70" s="14">
        <v>44143</v>
      </c>
      <c r="F70" s="12" t="s">
        <v>17</v>
      </c>
      <c r="G70" s="12" t="s">
        <v>19</v>
      </c>
      <c r="H70" s="12" t="s">
        <v>25</v>
      </c>
      <c r="I70" s="12">
        <v>230.00800000000001</v>
      </c>
      <c r="J70" s="12">
        <v>196.00899999999999</v>
      </c>
    </row>
    <row r="71" spans="1:10" ht="13.9" hidden="1" x14ac:dyDescent="0.25">
      <c r="A71" s="12">
        <v>6350</v>
      </c>
      <c r="B71" s="12">
        <v>19049365</v>
      </c>
      <c r="C71" s="12" t="s">
        <v>13</v>
      </c>
      <c r="D71" s="12" t="s">
        <v>14</v>
      </c>
      <c r="E71" s="14">
        <v>44144</v>
      </c>
      <c r="F71" s="12" t="s">
        <v>18</v>
      </c>
      <c r="G71" s="12" t="s">
        <v>20</v>
      </c>
      <c r="H71" s="12" t="s">
        <v>29</v>
      </c>
      <c r="I71" s="12">
        <v>235</v>
      </c>
      <c r="J71" s="12">
        <v>205.67599999999999</v>
      </c>
    </row>
    <row r="72" spans="1:10" ht="13.9" hidden="1" x14ac:dyDescent="0.25">
      <c r="A72" s="12">
        <v>6351</v>
      </c>
      <c r="B72" s="12">
        <v>19054631</v>
      </c>
      <c r="C72" s="12" t="s">
        <v>13</v>
      </c>
      <c r="D72" s="12" t="s">
        <v>14</v>
      </c>
      <c r="E72" s="14">
        <v>44145</v>
      </c>
      <c r="F72" s="12" t="s">
        <v>18</v>
      </c>
      <c r="G72" s="12" t="s">
        <v>20</v>
      </c>
      <c r="H72" s="12" t="s">
        <v>29</v>
      </c>
      <c r="I72" s="12">
        <v>235.001</v>
      </c>
      <c r="J72" s="12">
        <v>198.02699999999999</v>
      </c>
    </row>
    <row r="73" spans="1:10" ht="13.9" hidden="1" x14ac:dyDescent="0.25">
      <c r="A73" s="12">
        <v>6352</v>
      </c>
      <c r="B73" s="12">
        <v>19054818</v>
      </c>
      <c r="C73" s="12" t="s">
        <v>13</v>
      </c>
      <c r="D73" s="12" t="s">
        <v>14</v>
      </c>
      <c r="E73" s="14">
        <v>44146</v>
      </c>
      <c r="F73" s="12" t="s">
        <v>18</v>
      </c>
      <c r="G73" s="12" t="s">
        <v>20</v>
      </c>
      <c r="H73" s="12" t="s">
        <v>24</v>
      </c>
      <c r="I73" s="12">
        <v>234.92</v>
      </c>
      <c r="J73" s="12">
        <v>205.78399999999999</v>
      </c>
    </row>
    <row r="74" spans="1:10" ht="13.9" hidden="1" x14ac:dyDescent="0.25">
      <c r="A74" s="12">
        <v>6353</v>
      </c>
      <c r="B74" s="12">
        <v>19058261</v>
      </c>
      <c r="C74" s="12" t="s">
        <v>13</v>
      </c>
      <c r="D74" s="12" t="s">
        <v>14</v>
      </c>
      <c r="E74" s="14">
        <v>44147</v>
      </c>
      <c r="F74" s="12" t="s">
        <v>18</v>
      </c>
      <c r="G74" s="12" t="s">
        <v>20</v>
      </c>
      <c r="H74" s="12" t="s">
        <v>24</v>
      </c>
      <c r="I74" s="12">
        <v>234.92099999999999</v>
      </c>
      <c r="J74" s="12">
        <v>203.785</v>
      </c>
    </row>
    <row r="75" spans="1:10" ht="13.9" hidden="1" x14ac:dyDescent="0.25">
      <c r="A75" s="12">
        <v>6354</v>
      </c>
      <c r="B75" s="12">
        <v>19061882</v>
      </c>
      <c r="C75" s="12" t="s">
        <v>13</v>
      </c>
      <c r="D75" s="12" t="s">
        <v>14</v>
      </c>
      <c r="E75" s="14">
        <v>44148</v>
      </c>
      <c r="F75" s="12" t="s">
        <v>17</v>
      </c>
      <c r="G75" s="12" t="s">
        <v>19</v>
      </c>
      <c r="H75" s="12" t="s">
        <v>22</v>
      </c>
      <c r="I75" s="12">
        <v>230.029</v>
      </c>
      <c r="J75" s="12">
        <v>195.61699999999999</v>
      </c>
    </row>
    <row r="76" spans="1:10" ht="13.9" hidden="1" x14ac:dyDescent="0.25">
      <c r="A76" s="12">
        <v>6355</v>
      </c>
      <c r="B76" s="12">
        <v>19065955</v>
      </c>
      <c r="C76" s="12" t="s">
        <v>13</v>
      </c>
      <c r="D76" s="12" t="s">
        <v>14</v>
      </c>
      <c r="E76" s="14">
        <v>44149</v>
      </c>
      <c r="F76" s="12" t="s">
        <v>17</v>
      </c>
      <c r="G76" s="12" t="s">
        <v>19</v>
      </c>
      <c r="H76" s="12" t="s">
        <v>22</v>
      </c>
      <c r="I76" s="12">
        <v>230.001</v>
      </c>
      <c r="J76" s="12">
        <v>200.059</v>
      </c>
    </row>
    <row r="77" spans="1:10" ht="13.9" hidden="1" x14ac:dyDescent="0.25">
      <c r="A77" s="12">
        <v>6356</v>
      </c>
      <c r="B77" s="12">
        <v>19068996</v>
      </c>
      <c r="C77" s="12" t="s">
        <v>13</v>
      </c>
      <c r="D77" s="12" t="s">
        <v>14</v>
      </c>
      <c r="E77" s="14">
        <v>44150</v>
      </c>
      <c r="F77" s="12" t="s">
        <v>17</v>
      </c>
      <c r="G77" s="12" t="s">
        <v>19</v>
      </c>
      <c r="H77" s="12" t="s">
        <v>22</v>
      </c>
      <c r="I77" s="12">
        <v>230.00200000000001</v>
      </c>
      <c r="J77" s="12">
        <v>190.85400000000001</v>
      </c>
    </row>
    <row r="78" spans="1:10" ht="13.9" hidden="1" x14ac:dyDescent="0.25">
      <c r="A78" s="12">
        <v>6357</v>
      </c>
      <c r="B78" s="12">
        <v>19071634</v>
      </c>
      <c r="C78" s="12" t="s">
        <v>13</v>
      </c>
      <c r="D78" s="12" t="s">
        <v>14</v>
      </c>
      <c r="E78" s="14">
        <v>44151</v>
      </c>
      <c r="F78" s="12" t="s">
        <v>17</v>
      </c>
      <c r="G78" s="12" t="s">
        <v>19</v>
      </c>
      <c r="H78" s="12" t="s">
        <v>22</v>
      </c>
      <c r="I78" s="12">
        <v>230.001</v>
      </c>
      <c r="J78" s="12">
        <v>197.751</v>
      </c>
    </row>
    <row r="79" spans="1:10" ht="13.9" hidden="1" x14ac:dyDescent="0.25">
      <c r="A79" s="12">
        <v>6358</v>
      </c>
      <c r="B79" s="12">
        <v>19071781</v>
      </c>
      <c r="C79" s="12" t="s">
        <v>13</v>
      </c>
      <c r="D79" s="12" t="s">
        <v>14</v>
      </c>
      <c r="E79" s="14">
        <v>44152</v>
      </c>
      <c r="F79" s="12" t="s">
        <v>17</v>
      </c>
      <c r="G79" s="12" t="s">
        <v>19</v>
      </c>
      <c r="H79" s="12" t="s">
        <v>22</v>
      </c>
      <c r="I79" s="12">
        <v>230.001</v>
      </c>
      <c r="J79" s="12">
        <v>192.84399999999999</v>
      </c>
    </row>
    <row r="80" spans="1:10" ht="13.9" hidden="1" x14ac:dyDescent="0.25">
      <c r="A80" s="12">
        <v>6359</v>
      </c>
      <c r="B80" s="12">
        <v>19072354</v>
      </c>
      <c r="C80" s="12" t="s">
        <v>13</v>
      </c>
      <c r="D80" s="12" t="s">
        <v>14</v>
      </c>
      <c r="E80" s="14">
        <v>44153</v>
      </c>
      <c r="F80" s="12" t="s">
        <v>18</v>
      </c>
      <c r="G80" s="12" t="s">
        <v>20</v>
      </c>
      <c r="H80" s="12" t="s">
        <v>29</v>
      </c>
      <c r="I80" s="12">
        <v>235.048</v>
      </c>
      <c r="J80" s="12">
        <v>202.42400000000001</v>
      </c>
    </row>
    <row r="81" spans="1:12" ht="13.9" hidden="1" x14ac:dyDescent="0.25">
      <c r="A81" s="12">
        <v>6360</v>
      </c>
      <c r="B81" s="12">
        <v>19077964</v>
      </c>
      <c r="C81" s="12" t="s">
        <v>13</v>
      </c>
      <c r="D81" s="12" t="s">
        <v>14</v>
      </c>
      <c r="E81" s="14">
        <v>44154</v>
      </c>
      <c r="F81" s="12" t="s">
        <v>18</v>
      </c>
      <c r="G81" s="12" t="s">
        <v>20</v>
      </c>
      <c r="H81" s="12" t="s">
        <v>29</v>
      </c>
      <c r="I81" s="12">
        <v>235.048</v>
      </c>
      <c r="J81" s="12">
        <v>199.333</v>
      </c>
    </row>
    <row r="82" spans="1:12" ht="13.9" hidden="1" x14ac:dyDescent="0.25">
      <c r="A82" s="12">
        <v>6361</v>
      </c>
      <c r="B82" s="12">
        <v>19082763</v>
      </c>
      <c r="C82" s="12" t="s">
        <v>13</v>
      </c>
      <c r="D82" s="12" t="s">
        <v>14</v>
      </c>
      <c r="E82" s="14">
        <v>44155</v>
      </c>
      <c r="F82" s="12" t="s">
        <v>18</v>
      </c>
      <c r="G82" s="12" t="s">
        <v>20</v>
      </c>
      <c r="H82" s="12" t="s">
        <v>29</v>
      </c>
      <c r="I82" s="12">
        <v>235.02799999999999</v>
      </c>
      <c r="J82" s="12">
        <v>201.67400000000001</v>
      </c>
    </row>
    <row r="83" spans="1:12" ht="13.9" hidden="1" x14ac:dyDescent="0.25">
      <c r="A83" s="12">
        <v>6362</v>
      </c>
      <c r="B83" s="12">
        <v>19082798</v>
      </c>
      <c r="C83" s="12" t="s">
        <v>13</v>
      </c>
      <c r="D83" s="12" t="s">
        <v>14</v>
      </c>
      <c r="E83" s="14">
        <v>44156</v>
      </c>
      <c r="F83" s="12" t="s">
        <v>18</v>
      </c>
      <c r="G83" s="12" t="s">
        <v>20</v>
      </c>
      <c r="H83" s="12" t="s">
        <v>29</v>
      </c>
      <c r="I83" s="12">
        <v>235.02799999999999</v>
      </c>
      <c r="J83" s="12">
        <v>201.184</v>
      </c>
    </row>
    <row r="84" spans="1:12" ht="13.9" hidden="1" x14ac:dyDescent="0.25">
      <c r="A84" s="12">
        <v>6363</v>
      </c>
      <c r="B84" s="12">
        <v>19087492</v>
      </c>
      <c r="C84" s="12" t="s">
        <v>13</v>
      </c>
      <c r="D84" s="12" t="s">
        <v>14</v>
      </c>
      <c r="E84" s="14">
        <v>44157</v>
      </c>
      <c r="F84" s="12" t="s">
        <v>17</v>
      </c>
      <c r="G84" s="12" t="s">
        <v>19</v>
      </c>
      <c r="H84" s="12" t="s">
        <v>22</v>
      </c>
      <c r="I84" s="12">
        <v>230.012</v>
      </c>
      <c r="J84" s="12">
        <v>195.96100000000001</v>
      </c>
      <c r="L84" s="12">
        <v>12.3</v>
      </c>
    </row>
    <row r="85" spans="1:12" ht="13.9" hidden="1" x14ac:dyDescent="0.25">
      <c r="A85" s="12">
        <v>6364</v>
      </c>
      <c r="B85" s="12">
        <v>19091723</v>
      </c>
      <c r="C85" s="12" t="s">
        <v>13</v>
      </c>
      <c r="D85" s="12" t="s">
        <v>14</v>
      </c>
      <c r="E85" s="14">
        <v>44158</v>
      </c>
      <c r="F85" s="12" t="s">
        <v>17</v>
      </c>
      <c r="G85" s="12" t="s">
        <v>19</v>
      </c>
      <c r="H85" s="12" t="s">
        <v>22</v>
      </c>
      <c r="I85" s="12">
        <v>230.01</v>
      </c>
      <c r="J85" s="12">
        <v>193.29</v>
      </c>
    </row>
    <row r="86" spans="1:12" ht="13.9" hidden="1" x14ac:dyDescent="0.25">
      <c r="A86" s="12">
        <v>6365</v>
      </c>
      <c r="B86" s="12">
        <v>19091731</v>
      </c>
      <c r="C86" s="12" t="s">
        <v>13</v>
      </c>
      <c r="D86" s="12" t="s">
        <v>14</v>
      </c>
      <c r="E86" s="14">
        <v>44159</v>
      </c>
      <c r="F86" s="12" t="s">
        <v>17</v>
      </c>
      <c r="G86" s="12" t="s">
        <v>19</v>
      </c>
      <c r="H86" s="12" t="s">
        <v>22</v>
      </c>
      <c r="I86" s="12">
        <v>230.01</v>
      </c>
      <c r="J86" s="12">
        <v>194.548</v>
      </c>
    </row>
    <row r="87" spans="1:12" ht="13.9" hidden="1" x14ac:dyDescent="0.25">
      <c r="A87" s="12">
        <v>6366</v>
      </c>
      <c r="B87" s="12">
        <v>19091740</v>
      </c>
      <c r="C87" s="12" t="s">
        <v>13</v>
      </c>
      <c r="D87" s="12" t="s">
        <v>14</v>
      </c>
      <c r="E87" s="14">
        <v>44160</v>
      </c>
      <c r="F87" s="12" t="s">
        <v>17</v>
      </c>
      <c r="G87" s="12" t="s">
        <v>19</v>
      </c>
      <c r="H87" s="12" t="s">
        <v>22</v>
      </c>
      <c r="I87" s="12">
        <v>230.01</v>
      </c>
      <c r="J87" s="12">
        <v>200.31399999999999</v>
      </c>
    </row>
    <row r="88" spans="1:12" ht="13.9" hidden="1" x14ac:dyDescent="0.25">
      <c r="A88" s="12">
        <v>6367</v>
      </c>
      <c r="B88" s="12">
        <v>19096583</v>
      </c>
      <c r="C88" s="12" t="s">
        <v>13</v>
      </c>
      <c r="D88" s="12" t="s">
        <v>14</v>
      </c>
      <c r="E88" s="14">
        <v>44161</v>
      </c>
      <c r="F88" s="12" t="s">
        <v>17</v>
      </c>
      <c r="G88" s="12" t="s">
        <v>19</v>
      </c>
      <c r="H88" s="12" t="s">
        <v>22</v>
      </c>
      <c r="I88" s="12">
        <v>230.00899999999999</v>
      </c>
      <c r="J88" s="12">
        <v>193.126</v>
      </c>
    </row>
    <row r="89" spans="1:12" ht="13.9" hidden="1" x14ac:dyDescent="0.25">
      <c r="A89" s="12">
        <v>6368</v>
      </c>
      <c r="B89" s="12">
        <v>19100431</v>
      </c>
      <c r="C89" s="12" t="s">
        <v>13</v>
      </c>
      <c r="D89" s="12" t="s">
        <v>14</v>
      </c>
      <c r="E89" s="14">
        <v>44162</v>
      </c>
      <c r="F89" s="12" t="s">
        <v>18</v>
      </c>
      <c r="G89" s="12" t="s">
        <v>20</v>
      </c>
      <c r="H89" s="12" t="s">
        <v>30</v>
      </c>
      <c r="I89" s="12">
        <v>231.00700000000001</v>
      </c>
      <c r="J89" s="12">
        <v>194.726</v>
      </c>
      <c r="L89" s="12">
        <v>11.1</v>
      </c>
    </row>
    <row r="90" spans="1:12" ht="13.9" hidden="1" x14ac:dyDescent="0.25">
      <c r="A90" s="12">
        <v>6369</v>
      </c>
      <c r="B90" s="12">
        <v>19106454</v>
      </c>
      <c r="C90" s="12" t="s">
        <v>13</v>
      </c>
      <c r="D90" s="12" t="s">
        <v>14</v>
      </c>
      <c r="E90" s="14">
        <v>44163</v>
      </c>
      <c r="F90" s="12" t="s">
        <v>32</v>
      </c>
      <c r="G90" s="12" t="s">
        <v>20</v>
      </c>
      <c r="H90" s="12" t="s">
        <v>31</v>
      </c>
      <c r="I90" s="12">
        <v>230.00899999999999</v>
      </c>
      <c r="J90" s="12">
        <v>197.631</v>
      </c>
    </row>
    <row r="91" spans="1:12" ht="13.9" hidden="1" x14ac:dyDescent="0.25">
      <c r="A91" s="12">
        <v>6370</v>
      </c>
      <c r="B91" s="12">
        <v>19108441</v>
      </c>
      <c r="C91" s="12" t="s">
        <v>13</v>
      </c>
      <c r="D91" s="12" t="s">
        <v>14</v>
      </c>
      <c r="E91" s="14">
        <v>44164</v>
      </c>
      <c r="F91" s="12" t="s">
        <v>33</v>
      </c>
      <c r="G91" s="12" t="s">
        <v>19</v>
      </c>
      <c r="H91" s="12" t="s">
        <v>25</v>
      </c>
      <c r="I91" s="12">
        <v>230.00800000000001</v>
      </c>
      <c r="J91" s="12">
        <v>196.37700000000001</v>
      </c>
      <c r="L91" s="12">
        <v>11.1</v>
      </c>
    </row>
    <row r="92" spans="1:12" ht="13.9" hidden="1" x14ac:dyDescent="0.25">
      <c r="A92" s="12">
        <v>6371</v>
      </c>
      <c r="B92" s="12">
        <v>19112344</v>
      </c>
      <c r="C92" s="12" t="s">
        <v>13</v>
      </c>
      <c r="D92" s="12" t="s">
        <v>14</v>
      </c>
      <c r="E92" s="14">
        <v>44165</v>
      </c>
      <c r="F92" s="12" t="s">
        <v>18</v>
      </c>
      <c r="G92" s="12" t="s">
        <v>19</v>
      </c>
      <c r="H92" s="12" t="s">
        <v>22</v>
      </c>
      <c r="I92" s="12">
        <v>230.23599999999999</v>
      </c>
      <c r="J92" s="12">
        <v>194.952</v>
      </c>
      <c r="L92" s="12">
        <v>11.9</v>
      </c>
    </row>
    <row r="93" spans="1:12" ht="13.9" hidden="1" x14ac:dyDescent="0.25">
      <c r="A93" s="12">
        <v>6372</v>
      </c>
      <c r="B93" s="12">
        <v>19112862</v>
      </c>
      <c r="C93" s="12" t="s">
        <v>13</v>
      </c>
      <c r="D93" s="12" t="s">
        <v>14</v>
      </c>
      <c r="E93" s="14">
        <v>44166</v>
      </c>
      <c r="F93" s="12" t="s">
        <v>18</v>
      </c>
      <c r="G93" s="12" t="s">
        <v>19</v>
      </c>
      <c r="H93" s="12" t="s">
        <v>22</v>
      </c>
      <c r="I93" s="12">
        <v>230.00899999999999</v>
      </c>
      <c r="J93" s="12">
        <v>199.69399999999999</v>
      </c>
    </row>
    <row r="94" spans="1:12" ht="13.9" hidden="1" x14ac:dyDescent="0.25">
      <c r="A94" s="12">
        <v>6373</v>
      </c>
      <c r="B94" s="12">
        <v>19112871</v>
      </c>
      <c r="C94" s="12" t="s">
        <v>13</v>
      </c>
      <c r="D94" s="12" t="s">
        <v>14</v>
      </c>
      <c r="E94" s="14">
        <v>44167</v>
      </c>
      <c r="F94" s="12" t="s">
        <v>18</v>
      </c>
      <c r="G94" s="12" t="s">
        <v>19</v>
      </c>
      <c r="H94" s="12" t="s">
        <v>22</v>
      </c>
      <c r="I94" s="12">
        <v>230.00899999999999</v>
      </c>
      <c r="J94" s="12">
        <v>193.863</v>
      </c>
      <c r="L94" s="12">
        <v>11.6</v>
      </c>
    </row>
    <row r="95" spans="1:12" ht="13.9" hidden="1" x14ac:dyDescent="0.25">
      <c r="A95" s="12">
        <v>6374</v>
      </c>
      <c r="B95" s="12">
        <v>19117031</v>
      </c>
      <c r="C95" s="12" t="s">
        <v>13</v>
      </c>
      <c r="D95" s="12" t="s">
        <v>14</v>
      </c>
      <c r="E95" s="14">
        <v>44168</v>
      </c>
      <c r="F95" s="12" t="s">
        <v>18</v>
      </c>
      <c r="G95" s="12" t="s">
        <v>19</v>
      </c>
      <c r="H95" s="12" t="s">
        <v>22</v>
      </c>
      <c r="I95" s="12">
        <v>229.93199999999999</v>
      </c>
      <c r="J95" s="12">
        <v>199.07499999999999</v>
      </c>
    </row>
    <row r="96" spans="1:12" ht="13.9" hidden="1" x14ac:dyDescent="0.25">
      <c r="A96" s="12">
        <v>6375</v>
      </c>
      <c r="B96" s="12">
        <v>19121451</v>
      </c>
      <c r="C96" s="12" t="s">
        <v>13</v>
      </c>
      <c r="D96" s="12" t="s">
        <v>14</v>
      </c>
      <c r="E96" s="14">
        <v>44169</v>
      </c>
      <c r="F96" s="12" t="s">
        <v>18</v>
      </c>
      <c r="G96" s="12" t="s">
        <v>19</v>
      </c>
      <c r="H96" s="12" t="s">
        <v>22</v>
      </c>
      <c r="I96" s="12">
        <v>229.93299999999999</v>
      </c>
      <c r="J96" s="12">
        <v>199.07499999999999</v>
      </c>
    </row>
    <row r="97" spans="1:12" ht="13.9" hidden="1" x14ac:dyDescent="0.25">
      <c r="A97" s="12">
        <v>6376</v>
      </c>
      <c r="B97" s="12">
        <v>19124943</v>
      </c>
      <c r="C97" s="12" t="s">
        <v>13</v>
      </c>
      <c r="D97" s="12" t="s">
        <v>14</v>
      </c>
      <c r="E97" s="14">
        <v>44170</v>
      </c>
      <c r="F97" s="12" t="s">
        <v>17</v>
      </c>
      <c r="G97" s="12" t="s">
        <v>19</v>
      </c>
      <c r="H97" s="12" t="s">
        <v>25</v>
      </c>
      <c r="I97" s="12">
        <v>230.012</v>
      </c>
      <c r="J97" s="12">
        <v>197.21600000000001</v>
      </c>
      <c r="L97" s="12">
        <v>11.1</v>
      </c>
    </row>
    <row r="98" spans="1:12" ht="13.9" hidden="1" x14ac:dyDescent="0.25">
      <c r="A98" s="12">
        <v>6377</v>
      </c>
      <c r="B98" s="12">
        <v>19128741</v>
      </c>
      <c r="C98" s="12" t="s">
        <v>13</v>
      </c>
      <c r="D98" s="12" t="s">
        <v>14</v>
      </c>
      <c r="E98" s="14">
        <v>44171</v>
      </c>
      <c r="F98" s="12" t="s">
        <v>17</v>
      </c>
      <c r="G98" s="12" t="s">
        <v>19</v>
      </c>
      <c r="H98" s="12" t="s">
        <v>25</v>
      </c>
      <c r="I98" s="12">
        <v>230.005</v>
      </c>
      <c r="J98" s="12">
        <v>204.21700000000001</v>
      </c>
    </row>
    <row r="99" spans="1:12" ht="13.9" hidden="1" x14ac:dyDescent="0.25">
      <c r="A99" s="12">
        <v>6378</v>
      </c>
      <c r="B99" s="12">
        <v>19131422</v>
      </c>
      <c r="C99" s="12" t="s">
        <v>13</v>
      </c>
      <c r="D99" s="12" t="s">
        <v>14</v>
      </c>
      <c r="E99" s="14">
        <v>44172</v>
      </c>
      <c r="F99" s="12" t="s">
        <v>17</v>
      </c>
      <c r="G99" s="12" t="s">
        <v>19</v>
      </c>
      <c r="H99" s="12" t="s">
        <v>25</v>
      </c>
      <c r="I99" s="12">
        <v>230.005</v>
      </c>
      <c r="J99" s="12">
        <v>196.04900000000001</v>
      </c>
    </row>
    <row r="100" spans="1:12" ht="13.9" hidden="1" x14ac:dyDescent="0.25">
      <c r="A100" s="12">
        <v>6379</v>
      </c>
      <c r="B100" s="12">
        <v>19131730</v>
      </c>
      <c r="C100" s="12" t="s">
        <v>13</v>
      </c>
      <c r="D100" s="12" t="s">
        <v>14</v>
      </c>
      <c r="E100" s="14">
        <v>44173</v>
      </c>
      <c r="F100" s="12" t="s">
        <v>17</v>
      </c>
      <c r="G100" s="12" t="s">
        <v>19</v>
      </c>
      <c r="H100" s="12" t="s">
        <v>25</v>
      </c>
      <c r="I100" s="12">
        <v>230.00200000000001</v>
      </c>
      <c r="J100" s="12">
        <v>202.179</v>
      </c>
    </row>
    <row r="101" spans="1:12" ht="13.9" hidden="1" x14ac:dyDescent="0.25">
      <c r="A101" s="12">
        <v>6380</v>
      </c>
      <c r="B101" s="12">
        <v>19133372</v>
      </c>
      <c r="C101" s="12" t="s">
        <v>13</v>
      </c>
      <c r="D101" s="12" t="s">
        <v>14</v>
      </c>
      <c r="E101" s="14">
        <v>44174</v>
      </c>
      <c r="F101" s="12" t="s">
        <v>17</v>
      </c>
      <c r="G101" s="12" t="s">
        <v>19</v>
      </c>
      <c r="H101" s="12" t="s">
        <v>25</v>
      </c>
      <c r="I101" s="12">
        <v>230.00200000000001</v>
      </c>
      <c r="J101" s="12">
        <v>198.13800000000001</v>
      </c>
    </row>
    <row r="102" spans="1:12" ht="13.9" hidden="1" x14ac:dyDescent="0.25">
      <c r="A102" s="12">
        <v>6381</v>
      </c>
      <c r="B102" s="12">
        <v>19137226</v>
      </c>
      <c r="C102" s="12" t="s">
        <v>13</v>
      </c>
      <c r="D102" s="12" t="s">
        <v>14</v>
      </c>
      <c r="E102" s="14">
        <v>44175</v>
      </c>
      <c r="F102" s="12" t="s">
        <v>17</v>
      </c>
      <c r="G102" s="12" t="s">
        <v>19</v>
      </c>
      <c r="H102" s="12" t="s">
        <v>22</v>
      </c>
      <c r="I102" s="12">
        <v>230.006</v>
      </c>
      <c r="J102" s="12">
        <v>195.69200000000001</v>
      </c>
      <c r="L102" s="12">
        <v>11.4</v>
      </c>
    </row>
    <row r="103" spans="1:12" ht="13.9" hidden="1" x14ac:dyDescent="0.25">
      <c r="A103" s="12">
        <v>6382</v>
      </c>
      <c r="B103" s="12">
        <v>19140011</v>
      </c>
      <c r="C103" s="12" t="s">
        <v>13</v>
      </c>
      <c r="D103" s="12" t="s">
        <v>14</v>
      </c>
      <c r="E103" s="14">
        <v>44176</v>
      </c>
      <c r="F103" s="12" t="s">
        <v>17</v>
      </c>
      <c r="G103" s="12" t="s">
        <v>19</v>
      </c>
      <c r="H103" s="12" t="s">
        <v>22</v>
      </c>
      <c r="I103" s="12">
        <v>229.99799999999999</v>
      </c>
      <c r="J103" s="12">
        <v>196.78700000000001</v>
      </c>
    </row>
    <row r="104" spans="1:12" ht="13.9" hidden="1" x14ac:dyDescent="0.25">
      <c r="A104" s="12">
        <v>6383</v>
      </c>
      <c r="B104" s="12">
        <v>19143600</v>
      </c>
      <c r="C104" s="12" t="s">
        <v>13</v>
      </c>
      <c r="D104" s="12" t="s">
        <v>14</v>
      </c>
      <c r="E104" s="14">
        <v>44177</v>
      </c>
      <c r="F104" s="12" t="s">
        <v>17</v>
      </c>
      <c r="G104" s="12" t="s">
        <v>19</v>
      </c>
      <c r="H104" s="12" t="s">
        <v>22</v>
      </c>
      <c r="I104" s="12">
        <v>229.999</v>
      </c>
      <c r="J104" s="12">
        <v>194.21700000000001</v>
      </c>
    </row>
    <row r="105" spans="1:12" ht="13.9" hidden="1" x14ac:dyDescent="0.25">
      <c r="A105" s="12">
        <v>6384</v>
      </c>
      <c r="B105" s="12">
        <v>19148961</v>
      </c>
      <c r="C105" s="12" t="s">
        <v>13</v>
      </c>
      <c r="D105" s="12" t="s">
        <v>14</v>
      </c>
      <c r="E105" s="14">
        <v>44178</v>
      </c>
      <c r="F105" s="12" t="s">
        <v>33</v>
      </c>
      <c r="G105" s="12" t="s">
        <v>20</v>
      </c>
      <c r="H105" s="12" t="s">
        <v>31</v>
      </c>
      <c r="I105" s="12">
        <v>230.03200000000001</v>
      </c>
      <c r="J105" s="12">
        <v>200.64400000000001</v>
      </c>
    </row>
    <row r="106" spans="1:12" ht="13.9" hidden="1" x14ac:dyDescent="0.25">
      <c r="A106" s="12">
        <v>6385</v>
      </c>
      <c r="B106" s="12">
        <v>19150797</v>
      </c>
      <c r="C106" s="12" t="s">
        <v>13</v>
      </c>
      <c r="D106" s="12" t="s">
        <v>14</v>
      </c>
      <c r="E106" s="14">
        <v>44179</v>
      </c>
      <c r="F106" s="12" t="s">
        <v>17</v>
      </c>
      <c r="G106" s="12" t="s">
        <v>19</v>
      </c>
      <c r="H106" s="12" t="s">
        <v>22</v>
      </c>
      <c r="I106" s="12">
        <v>229.99299999999999</v>
      </c>
      <c r="J106" s="12">
        <v>200.084</v>
      </c>
    </row>
    <row r="107" spans="1:12" ht="13.9" hidden="1" x14ac:dyDescent="0.25">
      <c r="A107" s="12">
        <v>6386</v>
      </c>
      <c r="B107" s="12">
        <v>19150818</v>
      </c>
      <c r="C107" s="12" t="s">
        <v>13</v>
      </c>
      <c r="D107" s="12" t="s">
        <v>14</v>
      </c>
      <c r="E107" s="14">
        <v>44180</v>
      </c>
      <c r="F107" s="12" t="s">
        <v>17</v>
      </c>
      <c r="G107" s="12" t="s">
        <v>19</v>
      </c>
      <c r="H107" s="12" t="s">
        <v>22</v>
      </c>
      <c r="I107" s="12">
        <v>229.99199999999999</v>
      </c>
      <c r="J107" s="12">
        <v>199.999</v>
      </c>
    </row>
    <row r="108" spans="1:12" ht="13.9" hidden="1" x14ac:dyDescent="0.25">
      <c r="A108" s="12">
        <v>6387</v>
      </c>
      <c r="B108" s="12">
        <v>19150869</v>
      </c>
      <c r="C108" s="12" t="s">
        <v>13</v>
      </c>
      <c r="D108" s="12" t="s">
        <v>14</v>
      </c>
      <c r="E108" s="14">
        <v>44181</v>
      </c>
      <c r="F108" s="12" t="s">
        <v>17</v>
      </c>
      <c r="G108" s="12" t="s">
        <v>19</v>
      </c>
      <c r="H108" s="12" t="s">
        <v>22</v>
      </c>
      <c r="I108" s="12">
        <v>229.999</v>
      </c>
      <c r="J108" s="12">
        <v>199.26</v>
      </c>
      <c r="L108" s="12">
        <v>12.1</v>
      </c>
    </row>
    <row r="109" spans="1:12" ht="13.9" hidden="1" x14ac:dyDescent="0.25">
      <c r="A109" s="12">
        <v>6388</v>
      </c>
      <c r="B109" s="12">
        <v>19154974</v>
      </c>
      <c r="C109" s="12" t="s">
        <v>13</v>
      </c>
      <c r="D109" s="12" t="s">
        <v>14</v>
      </c>
      <c r="E109" s="14">
        <v>44182</v>
      </c>
      <c r="F109" s="12" t="s">
        <v>17</v>
      </c>
      <c r="G109" s="12" t="s">
        <v>19</v>
      </c>
      <c r="H109" s="12" t="s">
        <v>22</v>
      </c>
      <c r="I109" s="12">
        <v>230.005</v>
      </c>
      <c r="J109" s="12">
        <v>195.39599999999999</v>
      </c>
    </row>
    <row r="110" spans="1:12" ht="13.9" hidden="1" x14ac:dyDescent="0.25">
      <c r="A110" s="12">
        <v>6389</v>
      </c>
      <c r="B110" s="12">
        <v>19158879</v>
      </c>
      <c r="C110" s="12" t="s">
        <v>13</v>
      </c>
      <c r="D110" s="12" t="s">
        <v>14</v>
      </c>
      <c r="E110" s="14">
        <v>44183</v>
      </c>
      <c r="F110" s="12" t="s">
        <v>17</v>
      </c>
      <c r="G110" s="12" t="s">
        <v>19</v>
      </c>
      <c r="H110" s="12" t="s">
        <v>22</v>
      </c>
      <c r="I110" s="12">
        <v>230.005</v>
      </c>
      <c r="J110" s="12">
        <v>201.44800000000001</v>
      </c>
    </row>
    <row r="111" spans="1:12" ht="13.9" hidden="1" x14ac:dyDescent="0.25">
      <c r="A111" s="12">
        <v>6390</v>
      </c>
      <c r="B111" s="12">
        <v>19164208</v>
      </c>
      <c r="C111" s="12" t="s">
        <v>13</v>
      </c>
      <c r="D111" s="12" t="s">
        <v>14</v>
      </c>
      <c r="E111" s="14">
        <v>44184</v>
      </c>
      <c r="F111" s="12" t="s">
        <v>17</v>
      </c>
      <c r="G111" s="12" t="s">
        <v>19</v>
      </c>
      <c r="H111" s="12" t="s">
        <v>22</v>
      </c>
      <c r="I111" s="12">
        <v>229.999</v>
      </c>
      <c r="J111" s="12">
        <v>195.28700000000001</v>
      </c>
    </row>
    <row r="112" spans="1:12" ht="13.9" hidden="1" x14ac:dyDescent="0.25">
      <c r="A112" s="12">
        <v>6391</v>
      </c>
      <c r="B112" s="12">
        <v>19166810</v>
      </c>
      <c r="C112" s="12" t="s">
        <v>13</v>
      </c>
      <c r="D112" s="12" t="s">
        <v>14</v>
      </c>
      <c r="E112" s="14">
        <v>44185</v>
      </c>
      <c r="F112" s="12" t="s">
        <v>17</v>
      </c>
      <c r="G112" s="12" t="s">
        <v>19</v>
      </c>
      <c r="H112" s="12" t="s">
        <v>22</v>
      </c>
      <c r="I112" s="12">
        <v>230</v>
      </c>
      <c r="J112" s="12">
        <v>204.27</v>
      </c>
    </row>
    <row r="113" spans="1:12" ht="13.9" hidden="1" x14ac:dyDescent="0.25">
      <c r="A113" s="12">
        <v>6392</v>
      </c>
      <c r="B113" s="12">
        <v>19169957</v>
      </c>
      <c r="C113" s="12" t="s">
        <v>13</v>
      </c>
      <c r="D113" s="12" t="s">
        <v>14</v>
      </c>
      <c r="E113" s="14">
        <v>44186</v>
      </c>
      <c r="F113" s="12" t="s">
        <v>17</v>
      </c>
      <c r="G113" s="12" t="s">
        <v>19</v>
      </c>
      <c r="H113" s="12" t="s">
        <v>22</v>
      </c>
      <c r="I113" s="12">
        <v>230.012</v>
      </c>
      <c r="J113" s="12">
        <v>195.26</v>
      </c>
      <c r="L113" s="12">
        <v>12.2</v>
      </c>
    </row>
    <row r="114" spans="1:12" ht="13.9" hidden="1" x14ac:dyDescent="0.25">
      <c r="A114" s="12">
        <v>6393</v>
      </c>
      <c r="B114" s="12">
        <v>19170261</v>
      </c>
      <c r="C114" s="12" t="s">
        <v>13</v>
      </c>
      <c r="D114" s="12" t="s">
        <v>14</v>
      </c>
      <c r="E114" s="14">
        <v>44187</v>
      </c>
      <c r="F114" s="12" t="s">
        <v>17</v>
      </c>
      <c r="G114" s="12" t="s">
        <v>19</v>
      </c>
      <c r="H114" s="12" t="s">
        <v>22</v>
      </c>
      <c r="I114" s="12">
        <v>230.00299999999999</v>
      </c>
      <c r="J114" s="12">
        <v>187.04</v>
      </c>
    </row>
    <row r="115" spans="1:12" ht="13.9" hidden="1" x14ac:dyDescent="0.25">
      <c r="A115" s="12">
        <v>6394</v>
      </c>
      <c r="B115" s="12">
        <v>19171272</v>
      </c>
      <c r="C115" s="12" t="s">
        <v>13</v>
      </c>
      <c r="D115" s="12" t="s">
        <v>14</v>
      </c>
      <c r="E115" s="14">
        <v>44188</v>
      </c>
      <c r="F115" s="12" t="s">
        <v>17</v>
      </c>
      <c r="G115" s="12" t="s">
        <v>19</v>
      </c>
      <c r="H115" s="12" t="s">
        <v>22</v>
      </c>
      <c r="I115" s="12">
        <v>230.00299999999999</v>
      </c>
      <c r="J115" s="12">
        <v>203.90100000000001</v>
      </c>
    </row>
    <row r="116" spans="1:12" ht="13.9" hidden="1" x14ac:dyDescent="0.25">
      <c r="A116" s="12">
        <v>6395</v>
      </c>
      <c r="B116" s="12">
        <v>19175898</v>
      </c>
      <c r="C116" s="12" t="s">
        <v>13</v>
      </c>
      <c r="D116" s="12" t="s">
        <v>14</v>
      </c>
      <c r="E116" s="14">
        <v>44189</v>
      </c>
      <c r="F116" s="12" t="s">
        <v>17</v>
      </c>
      <c r="G116" s="12" t="s">
        <v>19</v>
      </c>
      <c r="H116" s="12" t="s">
        <v>22</v>
      </c>
      <c r="I116" s="12">
        <v>230.00200000000001</v>
      </c>
      <c r="J116" s="12">
        <v>193.67500000000001</v>
      </c>
    </row>
    <row r="117" spans="1:12" ht="13.9" hidden="1" x14ac:dyDescent="0.25">
      <c r="A117" s="12">
        <v>6396</v>
      </c>
      <c r="B117" s="12">
        <v>19179231</v>
      </c>
      <c r="C117" s="12" t="s">
        <v>13</v>
      </c>
      <c r="D117" s="12" t="s">
        <v>14</v>
      </c>
      <c r="E117" s="14">
        <v>44190</v>
      </c>
      <c r="F117" s="12" t="s">
        <v>17</v>
      </c>
      <c r="G117" s="12" t="s">
        <v>19</v>
      </c>
      <c r="H117" s="12" t="s">
        <v>22</v>
      </c>
      <c r="I117" s="12">
        <v>230.00200000000001</v>
      </c>
      <c r="J117" s="12">
        <v>193.40799999999999</v>
      </c>
    </row>
    <row r="118" spans="1:12" ht="13.9" hidden="1" x14ac:dyDescent="0.25">
      <c r="A118" s="12">
        <v>6397</v>
      </c>
      <c r="B118" s="12">
        <v>19182431</v>
      </c>
      <c r="C118" s="12" t="s">
        <v>13</v>
      </c>
      <c r="D118" s="12" t="s">
        <v>14</v>
      </c>
      <c r="E118" s="14">
        <v>44191</v>
      </c>
      <c r="F118" s="12" t="s">
        <v>34</v>
      </c>
      <c r="G118" s="12" t="s">
        <v>19</v>
      </c>
      <c r="H118" s="12" t="s">
        <v>22</v>
      </c>
      <c r="I118" s="12">
        <v>229.96600000000001</v>
      </c>
      <c r="J118" s="12">
        <v>196.488</v>
      </c>
      <c r="L118" s="12">
        <v>12.2</v>
      </c>
    </row>
    <row r="119" spans="1:12" ht="13.9" hidden="1" x14ac:dyDescent="0.25">
      <c r="A119" s="12">
        <v>6398</v>
      </c>
      <c r="B119" s="12">
        <v>19186298</v>
      </c>
      <c r="C119" s="12" t="s">
        <v>13</v>
      </c>
      <c r="D119" s="12" t="s">
        <v>14</v>
      </c>
      <c r="E119" s="14">
        <v>44192</v>
      </c>
      <c r="F119" s="12" t="s">
        <v>34</v>
      </c>
      <c r="G119" s="12" t="s">
        <v>19</v>
      </c>
      <c r="H119" s="12" t="s">
        <v>22</v>
      </c>
      <c r="I119" s="12">
        <v>230</v>
      </c>
      <c r="J119" s="12">
        <v>188.15700000000001</v>
      </c>
      <c r="L119" s="12">
        <v>12.4</v>
      </c>
    </row>
    <row r="120" spans="1:12" ht="13.9" hidden="1" x14ac:dyDescent="0.25">
      <c r="A120" s="12">
        <v>6399</v>
      </c>
      <c r="B120" s="12">
        <v>19189915</v>
      </c>
      <c r="C120" s="12" t="s">
        <v>13</v>
      </c>
      <c r="D120" s="12" t="s">
        <v>14</v>
      </c>
      <c r="E120" s="14">
        <v>44193</v>
      </c>
      <c r="F120" s="12" t="s">
        <v>34</v>
      </c>
      <c r="G120" s="12" t="s">
        <v>19</v>
      </c>
      <c r="H120" s="12" t="s">
        <v>22</v>
      </c>
      <c r="I120" s="12">
        <v>230</v>
      </c>
      <c r="J120" s="12">
        <v>198.71600000000001</v>
      </c>
    </row>
    <row r="121" spans="1:12" ht="13.9" hidden="1" x14ac:dyDescent="0.25">
      <c r="A121" s="12">
        <v>6400</v>
      </c>
      <c r="B121" s="12">
        <v>19189923</v>
      </c>
      <c r="C121" s="12" t="s">
        <v>13</v>
      </c>
      <c r="D121" s="12" t="s">
        <v>14</v>
      </c>
      <c r="E121" s="14">
        <v>44194</v>
      </c>
      <c r="F121" s="12" t="s">
        <v>34</v>
      </c>
      <c r="G121" s="12" t="s">
        <v>19</v>
      </c>
      <c r="H121" s="12" t="s">
        <v>22</v>
      </c>
      <c r="I121" s="12">
        <v>230</v>
      </c>
      <c r="J121" s="12">
        <v>197.42599999999999</v>
      </c>
      <c r="L121" s="12">
        <v>12.4</v>
      </c>
    </row>
    <row r="122" spans="1:12" ht="13.9" hidden="1" x14ac:dyDescent="0.25">
      <c r="A122" s="12">
        <v>6401</v>
      </c>
      <c r="B122" s="12">
        <v>19189931</v>
      </c>
      <c r="C122" s="12" t="s">
        <v>13</v>
      </c>
      <c r="D122" s="12" t="s">
        <v>14</v>
      </c>
      <c r="E122" s="14">
        <v>44195</v>
      </c>
      <c r="F122" s="12" t="s">
        <v>18</v>
      </c>
      <c r="G122" s="12" t="s">
        <v>19</v>
      </c>
      <c r="H122" s="12" t="s">
        <v>22</v>
      </c>
      <c r="I122" s="12">
        <v>230.006</v>
      </c>
      <c r="J122" s="12">
        <v>192.953</v>
      </c>
    </row>
    <row r="123" spans="1:12" ht="13.9" hidden="1" x14ac:dyDescent="0.25">
      <c r="A123" s="12">
        <v>6402</v>
      </c>
      <c r="B123" s="12">
        <v>19194950</v>
      </c>
      <c r="C123" s="12" t="s">
        <v>13</v>
      </c>
      <c r="D123" s="12" t="s">
        <v>14</v>
      </c>
      <c r="E123" s="14">
        <v>44196</v>
      </c>
      <c r="F123" s="12" t="s">
        <v>18</v>
      </c>
      <c r="G123" s="12" t="s">
        <v>19</v>
      </c>
      <c r="H123" s="12" t="s">
        <v>22</v>
      </c>
      <c r="I123" s="12">
        <v>230.006</v>
      </c>
      <c r="J123" s="12">
        <v>193</v>
      </c>
    </row>
    <row r="124" spans="1:12" ht="13.9" hidden="1" x14ac:dyDescent="0.25">
      <c r="A124" s="12">
        <v>6403</v>
      </c>
      <c r="B124" s="12">
        <v>19198264</v>
      </c>
      <c r="C124" s="12" t="s">
        <v>13</v>
      </c>
      <c r="D124" s="12" t="s">
        <v>14</v>
      </c>
      <c r="E124" s="14">
        <v>44197</v>
      </c>
      <c r="F124" s="12" t="s">
        <v>17</v>
      </c>
      <c r="G124" s="12" t="s">
        <v>19</v>
      </c>
      <c r="H124" s="12" t="s">
        <v>35</v>
      </c>
      <c r="I124" s="12">
        <v>230.04400000000001</v>
      </c>
      <c r="J124" s="12">
        <v>198.982</v>
      </c>
      <c r="L124" s="12">
        <v>12</v>
      </c>
    </row>
    <row r="125" spans="1:12" ht="13.9" hidden="1" x14ac:dyDescent="0.25">
      <c r="A125" s="12">
        <v>6404</v>
      </c>
      <c r="B125" s="12">
        <v>19201179</v>
      </c>
      <c r="C125" s="12" t="s">
        <v>13</v>
      </c>
      <c r="D125" s="12" t="s">
        <v>14</v>
      </c>
      <c r="E125" s="14">
        <v>44198</v>
      </c>
      <c r="F125" s="12" t="s">
        <v>17</v>
      </c>
      <c r="G125" s="12" t="s">
        <v>19</v>
      </c>
      <c r="H125" s="12" t="s">
        <v>22</v>
      </c>
      <c r="I125" s="12">
        <v>230.001</v>
      </c>
      <c r="J125" s="12">
        <v>188.113</v>
      </c>
    </row>
    <row r="126" spans="1:12" ht="13.9" hidden="1" x14ac:dyDescent="0.25">
      <c r="A126" s="12">
        <v>6405</v>
      </c>
      <c r="B126" s="12">
        <v>19203385</v>
      </c>
      <c r="C126" s="12" t="s">
        <v>13</v>
      </c>
      <c r="D126" s="12" t="s">
        <v>14</v>
      </c>
      <c r="E126" s="14">
        <v>44199</v>
      </c>
      <c r="F126" s="12" t="s">
        <v>17</v>
      </c>
      <c r="G126" s="12" t="s">
        <v>19</v>
      </c>
      <c r="H126" s="12" t="s">
        <v>22</v>
      </c>
      <c r="I126" s="12">
        <v>230.001</v>
      </c>
      <c r="J126" s="12">
        <v>200.8</v>
      </c>
    </row>
    <row r="127" spans="1:12" ht="13.9" hidden="1" x14ac:dyDescent="0.25">
      <c r="A127" s="12">
        <v>6406</v>
      </c>
      <c r="B127" s="12">
        <v>19203393</v>
      </c>
      <c r="C127" s="12" t="s">
        <v>13</v>
      </c>
      <c r="D127" s="12" t="s">
        <v>14</v>
      </c>
      <c r="E127" s="14">
        <v>44200</v>
      </c>
      <c r="F127" s="12" t="s">
        <v>17</v>
      </c>
      <c r="G127" s="12" t="s">
        <v>19</v>
      </c>
      <c r="H127" s="12" t="s">
        <v>22</v>
      </c>
      <c r="I127" s="12">
        <v>230.00399999999999</v>
      </c>
      <c r="J127" s="12">
        <v>194.58500000000001</v>
      </c>
    </row>
    <row r="128" spans="1:12" ht="13.9" hidden="1" x14ac:dyDescent="0.25">
      <c r="A128" s="12">
        <v>6407</v>
      </c>
      <c r="B128" s="12">
        <v>19203406</v>
      </c>
      <c r="C128" s="12" t="s">
        <v>13</v>
      </c>
      <c r="D128" s="12" t="s">
        <v>14</v>
      </c>
      <c r="E128" s="14">
        <v>44201</v>
      </c>
      <c r="F128" s="12" t="s">
        <v>17</v>
      </c>
      <c r="G128" s="12" t="s">
        <v>19</v>
      </c>
      <c r="H128" s="12" t="s">
        <v>22</v>
      </c>
      <c r="I128" s="12">
        <v>230.00299999999999</v>
      </c>
      <c r="J128" s="12">
        <v>198.06299999999999</v>
      </c>
    </row>
    <row r="129" spans="1:12" ht="13.9" hidden="1" x14ac:dyDescent="0.25">
      <c r="A129" s="12">
        <v>6408</v>
      </c>
      <c r="B129" s="12">
        <v>19204581</v>
      </c>
      <c r="C129" s="12" t="s">
        <v>13</v>
      </c>
      <c r="D129" s="12" t="s">
        <v>14</v>
      </c>
      <c r="E129" s="14">
        <v>44202</v>
      </c>
      <c r="F129" s="12" t="s">
        <v>17</v>
      </c>
      <c r="G129" s="12" t="s">
        <v>19</v>
      </c>
      <c r="H129" s="12" t="s">
        <v>22</v>
      </c>
      <c r="I129" s="12">
        <v>230.036</v>
      </c>
      <c r="J129" s="12">
        <v>196.137</v>
      </c>
      <c r="L129" s="12">
        <v>12.6</v>
      </c>
    </row>
    <row r="130" spans="1:12" ht="13.9" hidden="1" x14ac:dyDescent="0.25">
      <c r="A130" s="12">
        <v>6409</v>
      </c>
      <c r="B130" s="12">
        <v>19208928</v>
      </c>
      <c r="C130" s="12" t="s">
        <v>13</v>
      </c>
      <c r="D130" s="12" t="s">
        <v>14</v>
      </c>
      <c r="E130" s="14">
        <v>44203</v>
      </c>
      <c r="F130" s="12" t="s">
        <v>34</v>
      </c>
      <c r="G130" s="12" t="s">
        <v>19</v>
      </c>
      <c r="H130" s="12" t="s">
        <v>22</v>
      </c>
      <c r="I130" s="12">
        <v>230.00200000000001</v>
      </c>
      <c r="J130" s="12">
        <v>193.41499999999999</v>
      </c>
    </row>
    <row r="131" spans="1:12" ht="13.9" hidden="1" x14ac:dyDescent="0.25">
      <c r="A131" s="12">
        <v>6410</v>
      </c>
      <c r="B131" s="12">
        <v>19212206</v>
      </c>
      <c r="C131" s="12" t="s">
        <v>13</v>
      </c>
      <c r="D131" s="12" t="s">
        <v>14</v>
      </c>
      <c r="E131" s="14">
        <v>44204</v>
      </c>
      <c r="F131" s="12" t="s">
        <v>34</v>
      </c>
      <c r="G131" s="12" t="s">
        <v>19</v>
      </c>
      <c r="H131" s="12" t="s">
        <v>22</v>
      </c>
      <c r="I131" s="12">
        <v>230.001</v>
      </c>
      <c r="J131" s="12">
        <v>196.44499999999999</v>
      </c>
    </row>
    <row r="132" spans="1:12" ht="13.9" hidden="1" x14ac:dyDescent="0.25">
      <c r="A132" s="12">
        <v>6411</v>
      </c>
      <c r="B132" s="12">
        <v>19215239</v>
      </c>
      <c r="C132" s="12" t="s">
        <v>13</v>
      </c>
      <c r="D132" s="12" t="s">
        <v>14</v>
      </c>
      <c r="E132" s="14">
        <v>44205</v>
      </c>
      <c r="F132" s="12" t="s">
        <v>34</v>
      </c>
      <c r="G132" s="12" t="s">
        <v>19</v>
      </c>
      <c r="H132" s="12" t="s">
        <v>22</v>
      </c>
      <c r="I132" s="12">
        <v>230.00700000000001</v>
      </c>
      <c r="J132" s="12">
        <v>196.637</v>
      </c>
    </row>
    <row r="133" spans="1:12" ht="13.9" hidden="1" x14ac:dyDescent="0.25">
      <c r="A133" s="12">
        <v>6412</v>
      </c>
      <c r="B133" s="12">
        <v>19217015</v>
      </c>
      <c r="C133" s="12" t="s">
        <v>13</v>
      </c>
      <c r="D133" s="12" t="s">
        <v>14</v>
      </c>
      <c r="E133" s="14">
        <v>44206</v>
      </c>
      <c r="F133" s="12" t="s">
        <v>34</v>
      </c>
      <c r="G133" s="12" t="s">
        <v>19</v>
      </c>
      <c r="H133" s="12" t="s">
        <v>22</v>
      </c>
      <c r="I133" s="12">
        <v>230.00800000000001</v>
      </c>
      <c r="J133" s="12">
        <v>197.72900000000001</v>
      </c>
    </row>
    <row r="134" spans="1:12" ht="13.9" hidden="1" x14ac:dyDescent="0.25">
      <c r="A134" s="12">
        <v>6413</v>
      </c>
      <c r="B134" s="12">
        <v>19217437</v>
      </c>
      <c r="C134" s="12" t="s">
        <v>13</v>
      </c>
      <c r="D134" s="12" t="s">
        <v>14</v>
      </c>
      <c r="E134" s="14">
        <v>44207</v>
      </c>
      <c r="F134" s="12" t="s">
        <v>34</v>
      </c>
      <c r="G134" s="12" t="s">
        <v>19</v>
      </c>
      <c r="H134" s="12" t="s">
        <v>22</v>
      </c>
      <c r="I134" s="12">
        <v>229.999</v>
      </c>
      <c r="J134" s="12">
        <v>196.73099999999999</v>
      </c>
      <c r="L134" s="12">
        <v>12.2</v>
      </c>
    </row>
    <row r="135" spans="1:12" ht="13.9" hidden="1" x14ac:dyDescent="0.25">
      <c r="A135" s="12">
        <v>6414</v>
      </c>
      <c r="B135" s="12">
        <v>19217648</v>
      </c>
      <c r="C135" s="12" t="s">
        <v>13</v>
      </c>
      <c r="D135" s="12" t="s">
        <v>14</v>
      </c>
      <c r="E135" s="14">
        <v>44208</v>
      </c>
      <c r="F135" s="12" t="s">
        <v>17</v>
      </c>
      <c r="G135" s="12" t="s">
        <v>19</v>
      </c>
      <c r="H135" s="12" t="s">
        <v>22</v>
      </c>
      <c r="I135" s="12">
        <v>230.005</v>
      </c>
      <c r="J135" s="12">
        <v>192.02199999999999</v>
      </c>
    </row>
    <row r="136" spans="1:12" ht="13.9" hidden="1" x14ac:dyDescent="0.25">
      <c r="A136" s="12">
        <v>6415</v>
      </c>
      <c r="B136" s="12">
        <v>19218552</v>
      </c>
      <c r="C136" s="12" t="s">
        <v>13</v>
      </c>
      <c r="D136" s="12" t="s">
        <v>14</v>
      </c>
      <c r="E136" s="14">
        <v>44209</v>
      </c>
      <c r="F136" s="12" t="s">
        <v>17</v>
      </c>
      <c r="G136" s="12" t="s">
        <v>19</v>
      </c>
      <c r="H136" s="12" t="s">
        <v>22</v>
      </c>
      <c r="I136" s="12">
        <v>230.005</v>
      </c>
      <c r="J136" s="12">
        <v>198.94399999999999</v>
      </c>
    </row>
    <row r="137" spans="1:12" ht="13.9" hidden="1" x14ac:dyDescent="0.25">
      <c r="A137" s="12">
        <v>6416</v>
      </c>
      <c r="B137" s="12">
        <v>19222893</v>
      </c>
      <c r="C137" s="12" t="s">
        <v>13</v>
      </c>
      <c r="D137" s="12" t="s">
        <v>14</v>
      </c>
      <c r="E137" s="14">
        <v>44210</v>
      </c>
      <c r="F137" s="12" t="s">
        <v>17</v>
      </c>
      <c r="G137" s="12" t="s">
        <v>19</v>
      </c>
      <c r="H137" s="12" t="s">
        <v>22</v>
      </c>
      <c r="I137" s="12">
        <v>229.98699999999999</v>
      </c>
      <c r="J137" s="12">
        <v>192.68100000000001</v>
      </c>
    </row>
    <row r="138" spans="1:12" ht="13.9" hidden="1" x14ac:dyDescent="0.25">
      <c r="A138" s="12">
        <v>6417</v>
      </c>
      <c r="B138" s="12">
        <v>19226051</v>
      </c>
      <c r="C138" s="12" t="s">
        <v>13</v>
      </c>
      <c r="D138" s="12" t="s">
        <v>14</v>
      </c>
      <c r="E138" s="14">
        <v>44211</v>
      </c>
      <c r="F138" s="12" t="s">
        <v>17</v>
      </c>
      <c r="G138" s="12" t="s">
        <v>19</v>
      </c>
      <c r="H138" s="12" t="s">
        <v>22</v>
      </c>
      <c r="I138" s="12">
        <v>229.98699999999999</v>
      </c>
      <c r="J138" s="12">
        <v>203.69300000000001</v>
      </c>
    </row>
    <row r="139" spans="1:12" ht="13.9" hidden="1" x14ac:dyDescent="0.25">
      <c r="A139" s="12">
        <v>6418</v>
      </c>
      <c r="B139" s="12">
        <v>19229745</v>
      </c>
      <c r="C139" s="12" t="s">
        <v>13</v>
      </c>
      <c r="D139" s="12" t="s">
        <v>14</v>
      </c>
      <c r="E139" s="14">
        <v>44212</v>
      </c>
      <c r="F139" s="12" t="s">
        <v>17</v>
      </c>
      <c r="G139" s="12" t="s">
        <v>19</v>
      </c>
      <c r="H139" s="12" t="s">
        <v>22</v>
      </c>
      <c r="I139" s="12">
        <v>229.999</v>
      </c>
      <c r="J139" s="12">
        <v>196.10300000000001</v>
      </c>
      <c r="L139" s="12">
        <v>12.1</v>
      </c>
    </row>
    <row r="140" spans="1:12" ht="13.9" hidden="1" x14ac:dyDescent="0.25">
      <c r="A140" s="12">
        <v>6419</v>
      </c>
      <c r="B140" s="12">
        <v>19234350</v>
      </c>
      <c r="C140" s="12" t="s">
        <v>13</v>
      </c>
      <c r="D140" s="12" t="s">
        <v>14</v>
      </c>
      <c r="E140" s="14">
        <v>44213</v>
      </c>
      <c r="F140" s="12" t="s">
        <v>17</v>
      </c>
      <c r="G140" s="12" t="s">
        <v>19</v>
      </c>
      <c r="H140" s="12" t="s">
        <v>22</v>
      </c>
      <c r="I140" s="12">
        <v>230.00399999999999</v>
      </c>
      <c r="J140" s="12">
        <v>192.995</v>
      </c>
    </row>
    <row r="141" spans="1:12" ht="13.9" hidden="1" x14ac:dyDescent="0.25">
      <c r="A141" s="12">
        <v>6420</v>
      </c>
      <c r="B141" s="12">
        <v>19238078</v>
      </c>
      <c r="C141" s="12" t="s">
        <v>13</v>
      </c>
      <c r="D141" s="12" t="s">
        <v>14</v>
      </c>
      <c r="E141" s="14">
        <v>44214</v>
      </c>
      <c r="F141" s="12" t="s">
        <v>17</v>
      </c>
      <c r="G141" s="12" t="s">
        <v>19</v>
      </c>
      <c r="H141" s="12" t="s">
        <v>22</v>
      </c>
      <c r="I141" s="12">
        <v>230.00399999999999</v>
      </c>
      <c r="J141" s="12">
        <v>203.09299999999999</v>
      </c>
    </row>
    <row r="142" spans="1:12" ht="13.9" hidden="1" x14ac:dyDescent="0.25">
      <c r="A142" s="12">
        <v>6421</v>
      </c>
      <c r="B142" s="12">
        <v>19238086</v>
      </c>
      <c r="C142" s="12" t="s">
        <v>13</v>
      </c>
      <c r="D142" s="12" t="s">
        <v>14</v>
      </c>
      <c r="E142" s="14">
        <v>44215</v>
      </c>
      <c r="F142" s="12" t="s">
        <v>17</v>
      </c>
      <c r="G142" s="12" t="s">
        <v>19</v>
      </c>
      <c r="H142" s="12" t="s">
        <v>22</v>
      </c>
      <c r="I142" s="12">
        <v>229.98699999999999</v>
      </c>
      <c r="J142" s="12">
        <v>194.62799999999999</v>
      </c>
    </row>
    <row r="143" spans="1:12" ht="13.9" hidden="1" x14ac:dyDescent="0.25">
      <c r="A143" s="12">
        <v>6422</v>
      </c>
      <c r="B143" s="12">
        <v>19238094</v>
      </c>
      <c r="C143" s="12" t="s">
        <v>13</v>
      </c>
      <c r="D143" s="12" t="s">
        <v>14</v>
      </c>
      <c r="E143" s="14">
        <v>44216</v>
      </c>
      <c r="F143" s="12" t="s">
        <v>17</v>
      </c>
      <c r="G143" s="12" t="s">
        <v>19</v>
      </c>
      <c r="H143" s="12" t="s">
        <v>35</v>
      </c>
      <c r="I143" s="12">
        <v>230.006</v>
      </c>
      <c r="J143" s="12">
        <v>196.76400000000001</v>
      </c>
    </row>
    <row r="144" spans="1:12" ht="13.9" hidden="1" x14ac:dyDescent="0.25">
      <c r="A144" s="12">
        <v>6423</v>
      </c>
      <c r="B144" s="12">
        <v>19242667</v>
      </c>
      <c r="C144" s="12" t="s">
        <v>13</v>
      </c>
      <c r="D144" s="12" t="s">
        <v>14</v>
      </c>
      <c r="E144" s="14">
        <v>44217</v>
      </c>
      <c r="F144" s="12" t="s">
        <v>17</v>
      </c>
      <c r="G144" s="12" t="s">
        <v>19</v>
      </c>
      <c r="H144" s="12" t="s">
        <v>35</v>
      </c>
      <c r="I144" s="12">
        <v>230.005</v>
      </c>
      <c r="J144" s="12">
        <v>192.816</v>
      </c>
      <c r="L144" s="12">
        <v>11.8</v>
      </c>
    </row>
    <row r="145" spans="1:12" ht="13.9" hidden="1" x14ac:dyDescent="0.25">
      <c r="A145" s="12">
        <v>6424</v>
      </c>
      <c r="B145" s="12">
        <v>19246617</v>
      </c>
      <c r="C145" s="12" t="s">
        <v>13</v>
      </c>
      <c r="D145" s="12" t="s">
        <v>14</v>
      </c>
      <c r="E145" s="14">
        <v>44218</v>
      </c>
      <c r="F145" s="12" t="s">
        <v>17</v>
      </c>
      <c r="G145" s="12" t="s">
        <v>19</v>
      </c>
      <c r="H145" s="12" t="s">
        <v>22</v>
      </c>
      <c r="I145" s="12">
        <v>229.98699999999999</v>
      </c>
      <c r="J145" s="12">
        <v>189.589</v>
      </c>
    </row>
    <row r="146" spans="1:12" ht="13.9" hidden="1" x14ac:dyDescent="0.25">
      <c r="A146" s="12">
        <v>6425</v>
      </c>
      <c r="B146" s="12">
        <v>19251934</v>
      </c>
      <c r="C146" s="12" t="s">
        <v>13</v>
      </c>
      <c r="D146" s="12" t="s">
        <v>14</v>
      </c>
      <c r="E146" s="14">
        <v>44219</v>
      </c>
      <c r="F146" s="12" t="s">
        <v>17</v>
      </c>
      <c r="G146" s="12" t="s">
        <v>19</v>
      </c>
      <c r="H146" s="12" t="s">
        <v>22</v>
      </c>
      <c r="I146" s="12">
        <v>229.988</v>
      </c>
      <c r="J146" s="12">
        <v>202.14699999999999</v>
      </c>
    </row>
    <row r="147" spans="1:12" ht="13.9" hidden="1" x14ac:dyDescent="0.25">
      <c r="A147" s="12">
        <v>6426</v>
      </c>
      <c r="B147" s="12">
        <v>19256524</v>
      </c>
      <c r="C147" s="12" t="s">
        <v>13</v>
      </c>
      <c r="D147" s="12" t="s">
        <v>14</v>
      </c>
      <c r="E147" s="14">
        <v>44220</v>
      </c>
      <c r="F147" s="12" t="s">
        <v>17</v>
      </c>
      <c r="G147" s="12" t="s">
        <v>19</v>
      </c>
      <c r="H147" s="12" t="s">
        <v>25</v>
      </c>
      <c r="I147" s="12">
        <v>230</v>
      </c>
      <c r="J147" s="12">
        <v>191.01599999999999</v>
      </c>
    </row>
    <row r="148" spans="1:12" ht="13.9" hidden="1" x14ac:dyDescent="0.25">
      <c r="A148" s="12">
        <v>6427</v>
      </c>
      <c r="B148" s="12">
        <v>19259565</v>
      </c>
      <c r="C148" s="12" t="s">
        <v>13</v>
      </c>
      <c r="D148" s="12" t="s">
        <v>14</v>
      </c>
      <c r="E148" s="14">
        <v>44221</v>
      </c>
      <c r="F148" s="12" t="s">
        <v>17</v>
      </c>
      <c r="G148" s="12" t="s">
        <v>19</v>
      </c>
      <c r="H148" s="12" t="s">
        <v>25</v>
      </c>
      <c r="I148" s="12">
        <v>230.001</v>
      </c>
      <c r="J148" s="12">
        <v>200.535</v>
      </c>
    </row>
    <row r="149" spans="1:12" ht="13.9" hidden="1" x14ac:dyDescent="0.25">
      <c r="A149" s="12">
        <v>6428</v>
      </c>
      <c r="B149" s="12">
        <v>19259776</v>
      </c>
      <c r="C149" s="12" t="s">
        <v>13</v>
      </c>
      <c r="D149" s="12" t="s">
        <v>14</v>
      </c>
      <c r="E149" s="14">
        <v>44222</v>
      </c>
      <c r="F149" s="12" t="s">
        <v>17</v>
      </c>
      <c r="G149" s="12" t="s">
        <v>19</v>
      </c>
      <c r="H149" s="12" t="s">
        <v>25</v>
      </c>
      <c r="I149" s="12">
        <v>230.047</v>
      </c>
      <c r="J149" s="12">
        <v>192.52500000000001</v>
      </c>
      <c r="L149" s="12">
        <v>11.7</v>
      </c>
    </row>
    <row r="150" spans="1:12" ht="13.9" hidden="1" x14ac:dyDescent="0.25">
      <c r="A150" s="12">
        <v>6429</v>
      </c>
      <c r="B150" s="12">
        <v>19261243</v>
      </c>
      <c r="C150" s="12" t="s">
        <v>13</v>
      </c>
      <c r="D150" s="12" t="s">
        <v>14</v>
      </c>
      <c r="E150" s="14">
        <v>44223</v>
      </c>
      <c r="F150" s="12" t="s">
        <v>17</v>
      </c>
      <c r="G150" s="12" t="s">
        <v>19</v>
      </c>
      <c r="H150" s="12" t="s">
        <v>25</v>
      </c>
      <c r="I150" s="12">
        <v>230.006</v>
      </c>
      <c r="J150" s="12">
        <v>191.423</v>
      </c>
    </row>
    <row r="151" spans="1:12" ht="13.9" hidden="1" x14ac:dyDescent="0.25">
      <c r="A151" s="12">
        <v>6430</v>
      </c>
      <c r="B151" s="12">
        <v>19266247</v>
      </c>
      <c r="C151" s="12" t="s">
        <v>13</v>
      </c>
      <c r="D151" s="12" t="s">
        <v>14</v>
      </c>
      <c r="E151" s="14">
        <v>44224</v>
      </c>
      <c r="F151" s="12" t="s">
        <v>17</v>
      </c>
      <c r="G151" s="12" t="s">
        <v>19</v>
      </c>
      <c r="H151" s="12" t="s">
        <v>25</v>
      </c>
      <c r="I151" s="12">
        <v>230.006</v>
      </c>
      <c r="J151" s="12">
        <v>195.40600000000001</v>
      </c>
    </row>
    <row r="152" spans="1:12" ht="13.9" hidden="1" x14ac:dyDescent="0.25">
      <c r="A152" s="12">
        <v>6431</v>
      </c>
      <c r="B152" s="12">
        <v>19270529</v>
      </c>
      <c r="C152" s="12" t="s">
        <v>13</v>
      </c>
      <c r="D152" s="12" t="s">
        <v>14</v>
      </c>
      <c r="E152" s="14">
        <v>44225</v>
      </c>
      <c r="F152" s="12" t="s">
        <v>17</v>
      </c>
      <c r="G152" s="12" t="s">
        <v>19</v>
      </c>
      <c r="H152" s="12" t="s">
        <v>35</v>
      </c>
      <c r="I152" s="12">
        <v>230.006</v>
      </c>
      <c r="J152" s="12">
        <v>195.506</v>
      </c>
    </row>
    <row r="153" spans="1:12" ht="13.9" hidden="1" x14ac:dyDescent="0.25">
      <c r="A153" s="12">
        <v>6432</v>
      </c>
      <c r="B153" s="12">
        <v>19274811</v>
      </c>
      <c r="C153" s="12" t="s">
        <v>13</v>
      </c>
      <c r="D153" s="12" t="s">
        <v>14</v>
      </c>
      <c r="E153" s="14">
        <v>44226</v>
      </c>
      <c r="F153" s="12" t="s">
        <v>17</v>
      </c>
      <c r="G153" s="12" t="s">
        <v>19</v>
      </c>
      <c r="H153" s="12" t="s">
        <v>35</v>
      </c>
      <c r="I153" s="12">
        <v>230.006</v>
      </c>
      <c r="J153" s="12">
        <v>195</v>
      </c>
    </row>
    <row r="154" spans="1:12" ht="13.9" hidden="1" x14ac:dyDescent="0.25">
      <c r="A154" s="12">
        <v>6433</v>
      </c>
      <c r="B154" s="12">
        <v>19278985</v>
      </c>
      <c r="C154" s="12" t="s">
        <v>13</v>
      </c>
      <c r="D154" s="12" t="s">
        <v>14</v>
      </c>
      <c r="E154" s="14">
        <v>44227</v>
      </c>
      <c r="F154" s="12" t="s">
        <v>18</v>
      </c>
      <c r="G154" s="12" t="s">
        <v>19</v>
      </c>
      <c r="H154" s="12" t="s">
        <v>22</v>
      </c>
      <c r="I154" s="12">
        <v>229.99700000000001</v>
      </c>
      <c r="J154" s="12">
        <v>195</v>
      </c>
      <c r="L154" s="12">
        <v>12.3</v>
      </c>
    </row>
    <row r="155" spans="1:12" ht="13.9" hidden="1" x14ac:dyDescent="0.25">
      <c r="A155" s="12">
        <v>6434</v>
      </c>
      <c r="B155" s="12">
        <v>19281666</v>
      </c>
      <c r="C155" s="12" t="s">
        <v>13</v>
      </c>
      <c r="D155" s="12" t="s">
        <v>14</v>
      </c>
      <c r="E155" s="14">
        <v>44228</v>
      </c>
      <c r="F155" s="12" t="s">
        <v>17</v>
      </c>
      <c r="G155" s="12" t="s">
        <v>19</v>
      </c>
      <c r="H155" s="12" t="s">
        <v>22</v>
      </c>
      <c r="I155" s="12">
        <v>230.005</v>
      </c>
      <c r="J155" s="12">
        <v>189.922</v>
      </c>
    </row>
    <row r="156" spans="1:12" ht="13.9" hidden="1" x14ac:dyDescent="0.25">
      <c r="A156" s="12">
        <v>6435</v>
      </c>
      <c r="B156" s="12">
        <v>19281674</v>
      </c>
      <c r="C156" s="12" t="s">
        <v>13</v>
      </c>
      <c r="D156" s="12" t="s">
        <v>14</v>
      </c>
      <c r="E156" s="14">
        <v>44229</v>
      </c>
      <c r="F156" s="12" t="s">
        <v>17</v>
      </c>
      <c r="G156" s="12" t="s">
        <v>19</v>
      </c>
      <c r="H156" s="12" t="s">
        <v>22</v>
      </c>
      <c r="I156" s="12">
        <v>230.00399999999999</v>
      </c>
      <c r="J156" s="12">
        <v>191.66200000000001</v>
      </c>
    </row>
    <row r="157" spans="1:12" ht="13.9" hidden="1" x14ac:dyDescent="0.25">
      <c r="A157" s="12">
        <v>6436</v>
      </c>
      <c r="B157" s="12">
        <v>19281682</v>
      </c>
      <c r="C157" s="12" t="s">
        <v>13</v>
      </c>
      <c r="D157" s="12" t="s">
        <v>14</v>
      </c>
      <c r="E157" s="14">
        <v>44230</v>
      </c>
      <c r="F157" s="12" t="s">
        <v>17</v>
      </c>
      <c r="G157" s="12" t="s">
        <v>19</v>
      </c>
      <c r="H157" s="12" t="s">
        <v>22</v>
      </c>
      <c r="I157" s="12">
        <v>230.02</v>
      </c>
      <c r="J157" s="12">
        <v>192.02</v>
      </c>
    </row>
    <row r="158" spans="1:12" ht="13.9" hidden="1" x14ac:dyDescent="0.25">
      <c r="A158" s="12">
        <v>6437</v>
      </c>
      <c r="B158" s="12">
        <v>19287591</v>
      </c>
      <c r="C158" s="12" t="s">
        <v>13</v>
      </c>
      <c r="D158" s="12" t="s">
        <v>14</v>
      </c>
      <c r="E158" s="14">
        <v>44231</v>
      </c>
      <c r="F158" s="12" t="s">
        <v>17</v>
      </c>
      <c r="G158" s="12" t="s">
        <v>19</v>
      </c>
      <c r="H158" s="12" t="s">
        <v>22</v>
      </c>
      <c r="I158" s="12">
        <v>230.02</v>
      </c>
      <c r="J158" s="12">
        <v>194.52699999999999</v>
      </c>
    </row>
    <row r="159" spans="1:12" ht="13.9" hidden="1" x14ac:dyDescent="0.25">
      <c r="A159" s="12">
        <v>6438</v>
      </c>
      <c r="B159" s="12">
        <v>19291311</v>
      </c>
      <c r="C159" s="12" t="s">
        <v>13</v>
      </c>
      <c r="D159" s="12" t="s">
        <v>14</v>
      </c>
      <c r="E159" s="14">
        <v>44232</v>
      </c>
      <c r="F159" s="12" t="s">
        <v>17</v>
      </c>
      <c r="G159" s="12" t="s">
        <v>19</v>
      </c>
      <c r="H159" s="12" t="s">
        <v>22</v>
      </c>
      <c r="I159" s="12">
        <v>230.03200000000001</v>
      </c>
      <c r="J159" s="12">
        <v>193.74600000000001</v>
      </c>
      <c r="L159" s="12">
        <v>11.9</v>
      </c>
    </row>
    <row r="160" spans="1:12" ht="13.9" hidden="1" x14ac:dyDescent="0.25">
      <c r="A160" s="12">
        <v>6439</v>
      </c>
      <c r="B160" s="12">
        <v>19295574</v>
      </c>
      <c r="C160" s="12" t="s">
        <v>13</v>
      </c>
      <c r="D160" s="12" t="s">
        <v>14</v>
      </c>
      <c r="E160" s="14">
        <v>44233</v>
      </c>
      <c r="F160" s="12" t="s">
        <v>34</v>
      </c>
      <c r="G160" s="12" t="s">
        <v>19</v>
      </c>
      <c r="H160" s="12" t="s">
        <v>26</v>
      </c>
      <c r="I160" s="12">
        <v>230.00200000000001</v>
      </c>
      <c r="J160" s="12">
        <v>192.34200000000001</v>
      </c>
    </row>
    <row r="161" spans="1:12" ht="13.9" hidden="1" x14ac:dyDescent="0.25">
      <c r="A161" s="12">
        <v>6440</v>
      </c>
      <c r="B161" s="12">
        <v>19299971</v>
      </c>
      <c r="C161" s="12" t="s">
        <v>13</v>
      </c>
      <c r="D161" s="12" t="s">
        <v>14</v>
      </c>
      <c r="E161" s="14">
        <v>44234</v>
      </c>
      <c r="F161" s="12" t="s">
        <v>34</v>
      </c>
      <c r="G161" s="12" t="s">
        <v>19</v>
      </c>
      <c r="H161" s="12" t="s">
        <v>26</v>
      </c>
      <c r="I161" s="12">
        <v>230.001</v>
      </c>
      <c r="J161" s="12">
        <v>200.1</v>
      </c>
    </row>
    <row r="162" spans="1:12" ht="13.9" hidden="1" x14ac:dyDescent="0.25">
      <c r="A162" s="12">
        <v>6441</v>
      </c>
      <c r="B162" s="12">
        <v>19299997</v>
      </c>
      <c r="C162" s="12" t="s">
        <v>13</v>
      </c>
      <c r="D162" s="12" t="s">
        <v>14</v>
      </c>
      <c r="E162" s="14">
        <v>44235</v>
      </c>
      <c r="F162" s="12" t="s">
        <v>17</v>
      </c>
      <c r="G162" s="12" t="s">
        <v>19</v>
      </c>
      <c r="H162" s="12" t="s">
        <v>22</v>
      </c>
      <c r="I162" s="12">
        <v>230.00200000000001</v>
      </c>
      <c r="J162" s="12">
        <v>194.239</v>
      </c>
    </row>
    <row r="163" spans="1:12" ht="13.9" hidden="1" x14ac:dyDescent="0.25">
      <c r="A163" s="12">
        <v>6442</v>
      </c>
      <c r="B163" s="12">
        <v>19300020</v>
      </c>
      <c r="C163" s="12" t="s">
        <v>13</v>
      </c>
      <c r="D163" s="12" t="s">
        <v>14</v>
      </c>
      <c r="E163" s="14">
        <v>44236</v>
      </c>
      <c r="F163" s="12" t="s">
        <v>17</v>
      </c>
      <c r="G163" s="12" t="s">
        <v>19</v>
      </c>
      <c r="H163" s="12" t="s">
        <v>22</v>
      </c>
      <c r="I163" s="12">
        <v>230.001</v>
      </c>
      <c r="J163" s="12">
        <v>202.316</v>
      </c>
    </row>
    <row r="164" spans="1:12" ht="13.9" hidden="1" x14ac:dyDescent="0.25">
      <c r="A164" s="12">
        <v>6443</v>
      </c>
      <c r="B164" s="12">
        <v>19304231</v>
      </c>
      <c r="C164" s="12" t="s">
        <v>13</v>
      </c>
      <c r="D164" s="12" t="s">
        <v>14</v>
      </c>
      <c r="E164" s="14">
        <v>44237</v>
      </c>
      <c r="F164" s="12" t="s">
        <v>17</v>
      </c>
      <c r="G164" s="12" t="s">
        <v>19</v>
      </c>
      <c r="H164" s="12" t="s">
        <v>22</v>
      </c>
      <c r="I164" s="12">
        <v>229.99299999999999</v>
      </c>
      <c r="J164" s="12">
        <v>191.166</v>
      </c>
    </row>
    <row r="165" spans="1:12" ht="13.9" hidden="1" x14ac:dyDescent="0.25">
      <c r="A165" s="12">
        <v>6444</v>
      </c>
      <c r="B165" s="12">
        <v>19307897</v>
      </c>
      <c r="C165" s="12" t="s">
        <v>13</v>
      </c>
      <c r="D165" s="12" t="s">
        <v>14</v>
      </c>
      <c r="E165" s="14">
        <v>44238</v>
      </c>
      <c r="F165" s="12" t="s">
        <v>17</v>
      </c>
      <c r="G165" s="12" t="s">
        <v>19</v>
      </c>
      <c r="H165" s="12" t="s">
        <v>22</v>
      </c>
      <c r="I165" s="12">
        <v>229.994</v>
      </c>
      <c r="J165" s="12">
        <v>204.50299999999999</v>
      </c>
    </row>
    <row r="166" spans="1:12" ht="13.9" hidden="1" x14ac:dyDescent="0.25">
      <c r="A166" s="12">
        <v>6445</v>
      </c>
      <c r="B166" s="12">
        <v>19312338</v>
      </c>
      <c r="C166" s="12" t="s">
        <v>13</v>
      </c>
      <c r="D166" s="12" t="s">
        <v>14</v>
      </c>
      <c r="E166" s="14">
        <v>44239</v>
      </c>
      <c r="F166" s="12" t="s">
        <v>17</v>
      </c>
      <c r="G166" s="12" t="s">
        <v>19</v>
      </c>
      <c r="H166" s="12" t="s">
        <v>22</v>
      </c>
      <c r="I166" s="12">
        <v>230.03100000000001</v>
      </c>
      <c r="J166" s="12">
        <v>198.80600000000001</v>
      </c>
      <c r="L166" s="12">
        <v>12</v>
      </c>
    </row>
    <row r="167" spans="1:12" ht="13.9" hidden="1" x14ac:dyDescent="0.25">
      <c r="A167" s="12">
        <v>6446</v>
      </c>
      <c r="B167" s="12">
        <v>19316443</v>
      </c>
      <c r="C167" s="12" t="s">
        <v>13</v>
      </c>
      <c r="D167" s="12" t="s">
        <v>14</v>
      </c>
      <c r="E167" s="14">
        <v>44240</v>
      </c>
      <c r="F167" s="12" t="s">
        <v>36</v>
      </c>
      <c r="G167" s="12" t="s">
        <v>19</v>
      </c>
      <c r="H167" s="12" t="s">
        <v>22</v>
      </c>
      <c r="I167" s="12">
        <v>229.95699999999999</v>
      </c>
      <c r="J167" s="12">
        <v>184.6</v>
      </c>
    </row>
    <row r="168" spans="1:12" ht="13.9" hidden="1" x14ac:dyDescent="0.25">
      <c r="A168" s="12">
        <v>6447</v>
      </c>
      <c r="B168" s="12">
        <v>19320207</v>
      </c>
      <c r="C168" s="12" t="s">
        <v>13</v>
      </c>
      <c r="D168" s="12" t="s">
        <v>14</v>
      </c>
      <c r="E168" s="14">
        <v>44241</v>
      </c>
      <c r="F168" s="12" t="s">
        <v>36</v>
      </c>
      <c r="G168" s="12" t="s">
        <v>19</v>
      </c>
      <c r="H168" s="12" t="s">
        <v>22</v>
      </c>
      <c r="I168" s="12">
        <v>229.95699999999999</v>
      </c>
      <c r="J168" s="12">
        <v>201.089</v>
      </c>
    </row>
    <row r="169" spans="1:12" ht="13.9" hidden="1" x14ac:dyDescent="0.25">
      <c r="A169" s="12">
        <v>6448</v>
      </c>
      <c r="B169" s="12">
        <v>19323467</v>
      </c>
      <c r="C169" s="12" t="s">
        <v>13</v>
      </c>
      <c r="D169" s="12" t="s">
        <v>14</v>
      </c>
      <c r="E169" s="14">
        <v>44242</v>
      </c>
      <c r="F169" s="12" t="s">
        <v>17</v>
      </c>
      <c r="G169" s="12" t="s">
        <v>19</v>
      </c>
      <c r="H169" s="12" t="s">
        <v>22</v>
      </c>
      <c r="I169" s="12">
        <v>230</v>
      </c>
      <c r="J169" s="12">
        <v>192.899</v>
      </c>
    </row>
    <row r="170" spans="1:12" ht="13.9" hidden="1" x14ac:dyDescent="0.25">
      <c r="A170" s="12">
        <v>6449</v>
      </c>
      <c r="B170" s="12">
        <v>19323580</v>
      </c>
      <c r="C170" s="12" t="s">
        <v>13</v>
      </c>
      <c r="D170" s="12" t="s">
        <v>14</v>
      </c>
      <c r="E170" s="14">
        <v>44243</v>
      </c>
      <c r="F170" s="12" t="s">
        <v>17</v>
      </c>
      <c r="G170" s="12" t="s">
        <v>19</v>
      </c>
      <c r="H170" s="12" t="s">
        <v>22</v>
      </c>
      <c r="I170" s="12">
        <v>229.999</v>
      </c>
      <c r="J170" s="12">
        <v>196.04400000000001</v>
      </c>
      <c r="L170" s="12">
        <v>12.4</v>
      </c>
    </row>
    <row r="171" spans="1:12" ht="13.9" hidden="1" x14ac:dyDescent="0.25">
      <c r="A171" s="12">
        <v>6450</v>
      </c>
      <c r="B171" s="12">
        <v>19324953</v>
      </c>
      <c r="C171" s="12" t="s">
        <v>13</v>
      </c>
      <c r="D171" s="12" t="s">
        <v>14</v>
      </c>
      <c r="E171" s="14">
        <v>44244</v>
      </c>
      <c r="F171" s="12" t="s">
        <v>17</v>
      </c>
      <c r="G171" s="12" t="s">
        <v>19</v>
      </c>
      <c r="H171" s="12" t="s">
        <v>22</v>
      </c>
      <c r="I171" s="12">
        <v>229.99100000000001</v>
      </c>
      <c r="J171" s="12">
        <v>190.75700000000001</v>
      </c>
    </row>
    <row r="172" spans="1:12" ht="13.9" hidden="1" x14ac:dyDescent="0.25">
      <c r="A172" s="12">
        <v>6451</v>
      </c>
      <c r="B172" s="12">
        <v>19329551</v>
      </c>
      <c r="C172" s="12" t="s">
        <v>13</v>
      </c>
      <c r="D172" s="12" t="s">
        <v>14</v>
      </c>
      <c r="E172" s="14">
        <v>44245</v>
      </c>
      <c r="F172" s="12" t="s">
        <v>17</v>
      </c>
      <c r="G172" s="12" t="s">
        <v>19</v>
      </c>
      <c r="H172" s="12" t="s">
        <v>22</v>
      </c>
      <c r="I172" s="12">
        <v>229.99199999999999</v>
      </c>
      <c r="J172" s="12">
        <v>204.99299999999999</v>
      </c>
    </row>
    <row r="173" spans="1:12" ht="13.9" hidden="1" x14ac:dyDescent="0.25">
      <c r="A173" s="12">
        <v>6452</v>
      </c>
      <c r="B173" s="12">
        <v>19333438</v>
      </c>
      <c r="C173" s="12" t="s">
        <v>13</v>
      </c>
      <c r="D173" s="12" t="s">
        <v>14</v>
      </c>
      <c r="E173" s="14">
        <v>44246</v>
      </c>
      <c r="F173" s="12" t="s">
        <v>17</v>
      </c>
      <c r="G173" s="12" t="s">
        <v>19</v>
      </c>
      <c r="H173" s="12" t="s">
        <v>22</v>
      </c>
      <c r="I173" s="12">
        <v>230.00399999999999</v>
      </c>
      <c r="J173" s="12">
        <v>194.23099999999999</v>
      </c>
      <c r="L173" s="12">
        <v>12.7</v>
      </c>
    </row>
    <row r="174" spans="1:12" ht="13.9" hidden="1" x14ac:dyDescent="0.25">
      <c r="A174" s="12">
        <v>6453</v>
      </c>
      <c r="B174" s="12">
        <v>19337877</v>
      </c>
      <c r="C174" s="12" t="s">
        <v>13</v>
      </c>
      <c r="D174" s="12" t="s">
        <v>14</v>
      </c>
      <c r="E174" s="14">
        <v>44247</v>
      </c>
      <c r="F174" s="12" t="s">
        <v>17</v>
      </c>
      <c r="G174" s="12" t="s">
        <v>19</v>
      </c>
      <c r="H174" s="12" t="s">
        <v>35</v>
      </c>
      <c r="I174" s="12">
        <v>230.001</v>
      </c>
      <c r="J174" s="12">
        <v>200.33600000000001</v>
      </c>
    </row>
    <row r="175" spans="1:12" ht="13.9" hidden="1" x14ac:dyDescent="0.25">
      <c r="A175" s="12">
        <v>6454</v>
      </c>
      <c r="B175" s="12">
        <v>19341104</v>
      </c>
      <c r="C175" s="12" t="s">
        <v>13</v>
      </c>
      <c r="D175" s="12" t="s">
        <v>14</v>
      </c>
      <c r="E175" s="14">
        <v>44248</v>
      </c>
      <c r="F175" s="12" t="s">
        <v>17</v>
      </c>
      <c r="G175" s="12" t="s">
        <v>19</v>
      </c>
      <c r="H175" s="12" t="s">
        <v>35</v>
      </c>
      <c r="I175" s="12">
        <v>230.00200000000001</v>
      </c>
      <c r="J175" s="12">
        <v>192.149</v>
      </c>
    </row>
    <row r="176" spans="1:12" ht="13.9" hidden="1" x14ac:dyDescent="0.25">
      <c r="A176" s="12">
        <v>6455</v>
      </c>
      <c r="B176" s="12">
        <v>19344452</v>
      </c>
      <c r="C176" s="12" t="s">
        <v>13</v>
      </c>
      <c r="D176" s="12" t="s">
        <v>14</v>
      </c>
      <c r="E176" s="14">
        <v>44249</v>
      </c>
      <c r="F176" s="12" t="s">
        <v>17</v>
      </c>
      <c r="G176" s="12" t="s">
        <v>19</v>
      </c>
      <c r="H176" s="12" t="s">
        <v>26</v>
      </c>
      <c r="I176" s="12">
        <v>230</v>
      </c>
      <c r="J176" s="12">
        <v>189.751</v>
      </c>
    </row>
    <row r="177" spans="1:12" ht="13.9" hidden="1" x14ac:dyDescent="0.25">
      <c r="A177" s="12">
        <v>6456</v>
      </c>
      <c r="B177" s="12">
        <v>19344479</v>
      </c>
      <c r="C177" s="12" t="s">
        <v>13</v>
      </c>
      <c r="D177" s="12" t="s">
        <v>14</v>
      </c>
      <c r="E177" s="14">
        <v>44250</v>
      </c>
      <c r="F177" s="12" t="s">
        <v>17</v>
      </c>
      <c r="G177" s="12" t="s">
        <v>19</v>
      </c>
      <c r="H177" s="12" t="s">
        <v>26</v>
      </c>
      <c r="I177" s="12">
        <v>230</v>
      </c>
      <c r="J177" s="12">
        <v>201.94200000000001</v>
      </c>
    </row>
    <row r="178" spans="1:12" ht="13.9" hidden="1" x14ac:dyDescent="0.25">
      <c r="A178" s="12">
        <v>6457</v>
      </c>
      <c r="B178" s="12">
        <v>19345164</v>
      </c>
      <c r="C178" s="12" t="s">
        <v>13</v>
      </c>
      <c r="D178" s="12" t="s">
        <v>14</v>
      </c>
      <c r="E178" s="14">
        <v>44251</v>
      </c>
      <c r="F178" s="12" t="s">
        <v>17</v>
      </c>
      <c r="G178" s="12" t="s">
        <v>19</v>
      </c>
      <c r="H178" s="12" t="s">
        <v>22</v>
      </c>
      <c r="I178" s="12">
        <v>230.001</v>
      </c>
      <c r="J178" s="12">
        <v>191.881</v>
      </c>
    </row>
    <row r="179" spans="1:12" ht="13.9" hidden="1" x14ac:dyDescent="0.25">
      <c r="A179" s="12">
        <v>6458</v>
      </c>
      <c r="B179" s="12">
        <v>19348672</v>
      </c>
      <c r="C179" s="12" t="s">
        <v>13</v>
      </c>
      <c r="D179" s="12" t="s">
        <v>14</v>
      </c>
      <c r="E179" s="14">
        <v>44252</v>
      </c>
      <c r="F179" s="12" t="s">
        <v>17</v>
      </c>
      <c r="G179" s="12" t="s">
        <v>19</v>
      </c>
      <c r="H179" s="12" t="s">
        <v>22</v>
      </c>
      <c r="I179" s="12">
        <v>230.00200000000001</v>
      </c>
      <c r="J179" s="12">
        <v>196.851</v>
      </c>
    </row>
    <row r="180" spans="1:12" ht="13.9" hidden="1" x14ac:dyDescent="0.25">
      <c r="A180" s="12">
        <v>6459</v>
      </c>
      <c r="B180" s="12">
        <v>19352920</v>
      </c>
      <c r="C180" s="12" t="s">
        <v>13</v>
      </c>
      <c r="D180" s="12" t="s">
        <v>14</v>
      </c>
      <c r="E180" s="14">
        <v>44253</v>
      </c>
      <c r="F180" s="12" t="s">
        <v>17</v>
      </c>
      <c r="G180" s="12" t="s">
        <v>19</v>
      </c>
      <c r="H180" s="12" t="s">
        <v>22</v>
      </c>
      <c r="I180" s="12">
        <v>230.01499999999999</v>
      </c>
      <c r="J180" s="12">
        <v>197.15</v>
      </c>
      <c r="L180" s="12">
        <v>11.9</v>
      </c>
    </row>
    <row r="181" spans="1:12" ht="13.9" hidden="1" x14ac:dyDescent="0.25">
      <c r="A181" s="12">
        <v>6460</v>
      </c>
      <c r="B181" s="12">
        <v>19356808</v>
      </c>
      <c r="C181" s="12" t="s">
        <v>13</v>
      </c>
      <c r="D181" s="12" t="s">
        <v>14</v>
      </c>
      <c r="E181" s="14">
        <v>44254</v>
      </c>
      <c r="F181" s="12" t="s">
        <v>17</v>
      </c>
      <c r="G181" s="12" t="s">
        <v>19</v>
      </c>
      <c r="H181" s="12" t="s">
        <v>22</v>
      </c>
      <c r="I181" s="12">
        <v>219.989</v>
      </c>
      <c r="J181" s="12">
        <v>195</v>
      </c>
    </row>
    <row r="182" spans="1:12" ht="13.9" hidden="1" x14ac:dyDescent="0.25">
      <c r="A182" s="12">
        <v>6461</v>
      </c>
      <c r="B182" s="12">
        <v>19361130</v>
      </c>
      <c r="C182" s="12" t="s">
        <v>13</v>
      </c>
      <c r="D182" s="12" t="s">
        <v>14</v>
      </c>
      <c r="E182" s="14">
        <v>44255</v>
      </c>
      <c r="F182" s="12" t="s">
        <v>17</v>
      </c>
      <c r="G182" s="12" t="s">
        <v>19</v>
      </c>
      <c r="H182" s="12" t="s">
        <v>22</v>
      </c>
      <c r="I182" s="12">
        <v>219.989</v>
      </c>
      <c r="J182" s="12">
        <v>195</v>
      </c>
    </row>
    <row r="183" spans="1:12" ht="13.9" hidden="1" x14ac:dyDescent="0.25">
      <c r="A183" s="12">
        <v>6462</v>
      </c>
      <c r="B183" s="12">
        <v>19364373</v>
      </c>
      <c r="C183" s="12" t="s">
        <v>13</v>
      </c>
      <c r="D183" s="12" t="s">
        <v>14</v>
      </c>
      <c r="E183" s="14">
        <v>44256</v>
      </c>
      <c r="F183" s="12" t="s">
        <v>18</v>
      </c>
      <c r="G183" s="12" t="s">
        <v>20</v>
      </c>
      <c r="H183" s="12" t="s">
        <v>30</v>
      </c>
      <c r="I183" s="12">
        <v>234.5</v>
      </c>
      <c r="J183" s="12">
        <v>202.90600000000001</v>
      </c>
    </row>
    <row r="184" spans="1:12" ht="13.9" hidden="1" x14ac:dyDescent="0.25">
      <c r="A184" s="12">
        <v>6463</v>
      </c>
      <c r="B184" s="12">
        <v>19364891</v>
      </c>
      <c r="C184" s="12" t="s">
        <v>13</v>
      </c>
      <c r="D184" s="12" t="s">
        <v>14</v>
      </c>
      <c r="E184" s="14">
        <v>44257</v>
      </c>
      <c r="F184" s="12" t="s">
        <v>18</v>
      </c>
      <c r="G184" s="12" t="s">
        <v>20</v>
      </c>
      <c r="H184" s="12" t="s">
        <v>30</v>
      </c>
      <c r="I184" s="12">
        <v>234.5</v>
      </c>
      <c r="J184" s="12">
        <v>203.09</v>
      </c>
    </row>
    <row r="185" spans="1:12" ht="13.9" hidden="1" x14ac:dyDescent="0.25">
      <c r="A185" s="12">
        <v>6464</v>
      </c>
      <c r="B185" s="12">
        <v>19366096</v>
      </c>
      <c r="C185" s="12" t="s">
        <v>13</v>
      </c>
      <c r="D185" s="12" t="s">
        <v>14</v>
      </c>
      <c r="E185" s="14">
        <v>44258</v>
      </c>
      <c r="F185" s="12" t="s">
        <v>37</v>
      </c>
      <c r="G185" s="12" t="s">
        <v>19</v>
      </c>
      <c r="H185" s="12" t="s">
        <v>22</v>
      </c>
      <c r="I185" s="12">
        <v>229.965</v>
      </c>
      <c r="J185" s="12">
        <v>194.065</v>
      </c>
      <c r="L185" s="12">
        <v>11</v>
      </c>
    </row>
    <row r="186" spans="1:12" ht="13.9" hidden="1" x14ac:dyDescent="0.25">
      <c r="A186" s="12">
        <v>6465</v>
      </c>
      <c r="B186" s="12">
        <v>19369748</v>
      </c>
      <c r="C186" s="12" t="s">
        <v>13</v>
      </c>
      <c r="D186" s="12" t="s">
        <v>14</v>
      </c>
      <c r="E186" s="14">
        <v>44259</v>
      </c>
      <c r="F186" s="12" t="s">
        <v>37</v>
      </c>
      <c r="G186" s="12" t="s">
        <v>19</v>
      </c>
      <c r="H186" s="12" t="s">
        <v>22</v>
      </c>
      <c r="I186" s="12">
        <v>229.99700000000001</v>
      </c>
      <c r="J186" s="12">
        <v>194.59399999999999</v>
      </c>
    </row>
    <row r="187" spans="1:12" ht="13.9" hidden="1" x14ac:dyDescent="0.25">
      <c r="A187" s="12">
        <v>6466</v>
      </c>
      <c r="B187" s="12">
        <v>19373309</v>
      </c>
      <c r="C187" s="12" t="s">
        <v>13</v>
      </c>
      <c r="D187" s="12" t="s">
        <v>14</v>
      </c>
      <c r="E187" s="14">
        <v>44260</v>
      </c>
      <c r="F187" s="12" t="s">
        <v>37</v>
      </c>
      <c r="G187" s="12" t="s">
        <v>19</v>
      </c>
      <c r="H187" s="12" t="s">
        <v>22</v>
      </c>
      <c r="I187" s="12">
        <v>229.99799999999999</v>
      </c>
      <c r="J187" s="12">
        <v>193.70599999999999</v>
      </c>
    </row>
    <row r="188" spans="1:12" ht="13.9" hidden="1" x14ac:dyDescent="0.25">
      <c r="A188" s="12">
        <v>6467</v>
      </c>
      <c r="B188" s="12">
        <v>19376841</v>
      </c>
      <c r="C188" s="12" t="s">
        <v>13</v>
      </c>
      <c r="D188" s="12" t="s">
        <v>14</v>
      </c>
      <c r="E188" s="14">
        <v>44261</v>
      </c>
      <c r="F188" s="12" t="s">
        <v>37</v>
      </c>
      <c r="G188" s="12" t="s">
        <v>19</v>
      </c>
      <c r="H188" s="12" t="s">
        <v>22</v>
      </c>
      <c r="I188" s="12">
        <v>230.01599999999999</v>
      </c>
      <c r="J188" s="12">
        <v>197.27099999999999</v>
      </c>
    </row>
    <row r="189" spans="1:12" ht="13.9" hidden="1" x14ac:dyDescent="0.25">
      <c r="A189" s="12">
        <v>6468</v>
      </c>
      <c r="B189" s="12">
        <v>19380736</v>
      </c>
      <c r="C189" s="12" t="s">
        <v>13</v>
      </c>
      <c r="D189" s="12" t="s">
        <v>14</v>
      </c>
      <c r="E189" s="14">
        <v>44262</v>
      </c>
      <c r="F189" s="12" t="s">
        <v>37</v>
      </c>
      <c r="G189" s="12" t="s">
        <v>19</v>
      </c>
      <c r="H189" s="12" t="s">
        <v>22</v>
      </c>
      <c r="I189" s="12">
        <v>230.01599999999999</v>
      </c>
      <c r="J189" s="12">
        <v>197.08600000000001</v>
      </c>
    </row>
    <row r="190" spans="1:12" ht="13.9" hidden="1" x14ac:dyDescent="0.25">
      <c r="A190" s="12">
        <v>6469</v>
      </c>
      <c r="B190" s="12">
        <v>19383283</v>
      </c>
      <c r="C190" s="12" t="s">
        <v>13</v>
      </c>
      <c r="D190" s="12" t="s">
        <v>14</v>
      </c>
      <c r="E190" s="14">
        <v>44263</v>
      </c>
      <c r="F190" s="12" t="s">
        <v>37</v>
      </c>
      <c r="G190" s="12" t="s">
        <v>20</v>
      </c>
      <c r="H190" s="12" t="s">
        <v>31</v>
      </c>
      <c r="I190" s="12">
        <v>235.00200000000001</v>
      </c>
      <c r="J190" s="12">
        <v>200.78399999999999</v>
      </c>
    </row>
    <row r="191" spans="1:12" ht="13.9" hidden="1" x14ac:dyDescent="0.25">
      <c r="A191" s="12">
        <v>6470</v>
      </c>
      <c r="B191" s="12">
        <v>19383380</v>
      </c>
      <c r="C191" s="12" t="s">
        <v>13</v>
      </c>
      <c r="D191" s="12" t="s">
        <v>14</v>
      </c>
      <c r="E191" s="14">
        <v>44264</v>
      </c>
      <c r="F191" s="12" t="s">
        <v>37</v>
      </c>
      <c r="G191" s="12" t="s">
        <v>20</v>
      </c>
      <c r="H191" s="12" t="s">
        <v>31</v>
      </c>
      <c r="I191" s="12">
        <v>235.00299999999999</v>
      </c>
      <c r="J191" s="12">
        <v>204.12200000000001</v>
      </c>
    </row>
    <row r="192" spans="1:12" ht="13.9" hidden="1" x14ac:dyDescent="0.25">
      <c r="A192" s="12">
        <v>6471</v>
      </c>
      <c r="B192" s="12">
        <v>19386450</v>
      </c>
      <c r="C192" s="12" t="s">
        <v>13</v>
      </c>
      <c r="D192" s="12" t="s">
        <v>14</v>
      </c>
      <c r="E192" s="14">
        <v>44265</v>
      </c>
      <c r="F192" s="12" t="s">
        <v>37</v>
      </c>
      <c r="G192" s="12" t="s">
        <v>20</v>
      </c>
      <c r="H192" s="12" t="s">
        <v>29</v>
      </c>
      <c r="I192" s="12">
        <v>229.999</v>
      </c>
      <c r="J192" s="12">
        <v>197.88200000000001</v>
      </c>
    </row>
    <row r="193" spans="1:12" ht="13.9" hidden="1" x14ac:dyDescent="0.25">
      <c r="A193" s="12">
        <v>6472</v>
      </c>
      <c r="B193" s="12">
        <v>19391347</v>
      </c>
      <c r="C193" s="12" t="s">
        <v>13</v>
      </c>
      <c r="D193" s="12" t="s">
        <v>14</v>
      </c>
      <c r="E193" s="14">
        <v>44266</v>
      </c>
      <c r="F193" s="12" t="s">
        <v>37</v>
      </c>
      <c r="G193" s="12" t="s">
        <v>20</v>
      </c>
      <c r="H193" s="12" t="s">
        <v>29</v>
      </c>
      <c r="I193" s="12">
        <v>230</v>
      </c>
      <c r="J193" s="12">
        <v>193.06700000000001</v>
      </c>
    </row>
    <row r="194" spans="1:12" ht="13.9" hidden="1" x14ac:dyDescent="0.25">
      <c r="A194" s="12">
        <v>6473</v>
      </c>
      <c r="B194" s="12">
        <v>19393852</v>
      </c>
      <c r="C194" s="12" t="s">
        <v>13</v>
      </c>
      <c r="D194" s="12" t="s">
        <v>14</v>
      </c>
      <c r="E194" s="14">
        <v>44267</v>
      </c>
      <c r="F194" s="12" t="s">
        <v>17</v>
      </c>
      <c r="G194" s="12" t="s">
        <v>19</v>
      </c>
      <c r="H194" s="12" t="s">
        <v>25</v>
      </c>
      <c r="I194" s="12">
        <v>230.01400000000001</v>
      </c>
      <c r="J194" s="12">
        <v>193.37299999999999</v>
      </c>
      <c r="L194" s="12">
        <v>12</v>
      </c>
    </row>
    <row r="195" spans="1:12" ht="13.9" hidden="1" x14ac:dyDescent="0.25">
      <c r="A195" s="12">
        <v>6474</v>
      </c>
      <c r="B195" s="12">
        <v>19396789</v>
      </c>
      <c r="C195" s="12" t="s">
        <v>13</v>
      </c>
      <c r="D195" s="12" t="s">
        <v>14</v>
      </c>
      <c r="E195" s="14">
        <v>44268</v>
      </c>
      <c r="F195" s="12" t="s">
        <v>17</v>
      </c>
      <c r="G195" s="12" t="s">
        <v>19</v>
      </c>
      <c r="H195" s="12" t="s">
        <v>25</v>
      </c>
      <c r="I195" s="12">
        <v>230.00299999999999</v>
      </c>
      <c r="J195" s="12">
        <v>191.05799999999999</v>
      </c>
    </row>
    <row r="196" spans="1:12" ht="13.9" hidden="1" x14ac:dyDescent="0.25">
      <c r="A196" s="12">
        <v>6475</v>
      </c>
      <c r="B196" s="12">
        <v>19400848</v>
      </c>
      <c r="C196" s="12" t="s">
        <v>13</v>
      </c>
      <c r="D196" s="12" t="s">
        <v>14</v>
      </c>
      <c r="E196" s="14">
        <v>44269</v>
      </c>
      <c r="F196" s="12" t="s">
        <v>17</v>
      </c>
      <c r="G196" s="12" t="s">
        <v>19</v>
      </c>
      <c r="H196" s="12" t="s">
        <v>25</v>
      </c>
      <c r="I196" s="12">
        <v>230.00200000000001</v>
      </c>
      <c r="J196" s="12">
        <v>191.81299999999999</v>
      </c>
    </row>
    <row r="197" spans="1:12" ht="13.9" hidden="1" x14ac:dyDescent="0.25">
      <c r="A197" s="12">
        <v>6476</v>
      </c>
      <c r="B197" s="12">
        <v>19403660</v>
      </c>
      <c r="C197" s="12" t="s">
        <v>13</v>
      </c>
      <c r="D197" s="12" t="s">
        <v>14</v>
      </c>
      <c r="E197" s="14">
        <v>44270</v>
      </c>
      <c r="F197" s="12" t="s">
        <v>17</v>
      </c>
      <c r="G197" s="12" t="s">
        <v>19</v>
      </c>
      <c r="H197" s="12" t="s">
        <v>25</v>
      </c>
      <c r="I197" s="12">
        <v>229.98500000000001</v>
      </c>
      <c r="J197" s="12">
        <v>189.74</v>
      </c>
    </row>
    <row r="198" spans="1:12" ht="13.9" hidden="1" x14ac:dyDescent="0.25">
      <c r="A198" s="12">
        <v>6477</v>
      </c>
      <c r="B198" s="12">
        <v>19403686</v>
      </c>
      <c r="C198" s="12" t="s">
        <v>13</v>
      </c>
      <c r="D198" s="12" t="s">
        <v>14</v>
      </c>
      <c r="E198" s="14">
        <v>44271</v>
      </c>
      <c r="F198" s="12" t="s">
        <v>17</v>
      </c>
      <c r="G198" s="12" t="s">
        <v>19</v>
      </c>
      <c r="H198" s="12" t="s">
        <v>25</v>
      </c>
      <c r="I198" s="12">
        <v>229.98500000000001</v>
      </c>
      <c r="J198" s="12">
        <v>196.24799999999999</v>
      </c>
    </row>
    <row r="199" spans="1:12" ht="13.9" hidden="1" x14ac:dyDescent="0.25">
      <c r="A199" s="12">
        <v>6478</v>
      </c>
      <c r="B199" s="12">
        <v>19405104</v>
      </c>
      <c r="C199" s="12" t="s">
        <v>13</v>
      </c>
      <c r="D199" s="12" t="s">
        <v>14</v>
      </c>
      <c r="E199" s="14">
        <v>44272</v>
      </c>
      <c r="F199" s="12" t="s">
        <v>34</v>
      </c>
      <c r="G199" s="12" t="s">
        <v>19</v>
      </c>
      <c r="H199" s="12" t="s">
        <v>26</v>
      </c>
      <c r="I199" s="12">
        <v>230.006</v>
      </c>
      <c r="J199" s="12">
        <v>197.52199999999999</v>
      </c>
    </row>
    <row r="200" spans="1:12" ht="13.9" hidden="1" x14ac:dyDescent="0.25">
      <c r="A200" s="12">
        <v>6479</v>
      </c>
      <c r="B200" s="12">
        <v>19408073</v>
      </c>
      <c r="C200" s="12" t="s">
        <v>13</v>
      </c>
      <c r="D200" s="12" t="s">
        <v>14</v>
      </c>
      <c r="E200" s="14">
        <v>44273</v>
      </c>
      <c r="F200" s="12" t="s">
        <v>34</v>
      </c>
      <c r="G200" s="12" t="s">
        <v>19</v>
      </c>
      <c r="H200" s="12" t="s">
        <v>26</v>
      </c>
      <c r="I200" s="12">
        <v>230.005</v>
      </c>
      <c r="J200" s="12">
        <v>186.852</v>
      </c>
    </row>
    <row r="201" spans="1:12" ht="13.9" hidden="1" x14ac:dyDescent="0.25">
      <c r="A201" s="12">
        <v>6480</v>
      </c>
      <c r="B201" s="12">
        <v>19413112</v>
      </c>
      <c r="C201" s="12" t="s">
        <v>13</v>
      </c>
      <c r="D201" s="12" t="s">
        <v>14</v>
      </c>
      <c r="E201" s="14">
        <v>44274</v>
      </c>
      <c r="F201" s="12" t="s">
        <v>34</v>
      </c>
      <c r="G201" s="12" t="s">
        <v>19</v>
      </c>
      <c r="H201" s="12" t="s">
        <v>22</v>
      </c>
      <c r="I201" s="12">
        <v>220.00200000000001</v>
      </c>
      <c r="J201" s="12">
        <v>183.72499999999999</v>
      </c>
    </row>
    <row r="202" spans="1:12" ht="13.9" hidden="1" x14ac:dyDescent="0.25">
      <c r="A202" s="12">
        <v>6481</v>
      </c>
      <c r="B202" s="12">
        <v>19416778</v>
      </c>
      <c r="C202" s="12" t="s">
        <v>13</v>
      </c>
      <c r="D202" s="12" t="s">
        <v>14</v>
      </c>
      <c r="E202" s="14">
        <v>44275</v>
      </c>
      <c r="F202" s="12" t="s">
        <v>34</v>
      </c>
      <c r="G202" s="12" t="s">
        <v>19</v>
      </c>
      <c r="H202" s="12" t="s">
        <v>22</v>
      </c>
      <c r="I202" s="12">
        <v>220.00200000000001</v>
      </c>
      <c r="J202" s="12">
        <v>181.131</v>
      </c>
    </row>
    <row r="203" spans="1:12" ht="13.9" hidden="1" x14ac:dyDescent="0.25">
      <c r="A203" s="12">
        <v>6482</v>
      </c>
      <c r="B203" s="12">
        <v>19420742</v>
      </c>
      <c r="C203" s="12" t="s">
        <v>13</v>
      </c>
      <c r="D203" s="12" t="s">
        <v>14</v>
      </c>
      <c r="E203" s="14">
        <v>44276</v>
      </c>
      <c r="F203" s="12" t="s">
        <v>37</v>
      </c>
      <c r="G203" s="12" t="s">
        <v>20</v>
      </c>
      <c r="H203" s="12" t="s">
        <v>29</v>
      </c>
      <c r="I203" s="12">
        <v>230</v>
      </c>
      <c r="J203" s="12">
        <v>189.64699999999999</v>
      </c>
    </row>
    <row r="204" spans="1:12" ht="13.9" hidden="1" x14ac:dyDescent="0.25">
      <c r="A204" s="12">
        <v>6483</v>
      </c>
      <c r="B204" s="12">
        <v>19424330</v>
      </c>
      <c r="C204" s="12" t="s">
        <v>13</v>
      </c>
      <c r="D204" s="12" t="s">
        <v>14</v>
      </c>
      <c r="E204" s="14">
        <v>44277</v>
      </c>
      <c r="F204" s="12" t="s">
        <v>37</v>
      </c>
      <c r="G204" s="12" t="s">
        <v>20</v>
      </c>
      <c r="H204" s="12" t="s">
        <v>29</v>
      </c>
      <c r="I204" s="12">
        <v>230.001</v>
      </c>
      <c r="J204" s="12">
        <v>192.59</v>
      </c>
    </row>
    <row r="205" spans="1:12" ht="13.9" hidden="1" x14ac:dyDescent="0.25">
      <c r="A205" s="12">
        <v>6484</v>
      </c>
      <c r="B205" s="12">
        <v>19424461</v>
      </c>
      <c r="C205" s="12" t="s">
        <v>13</v>
      </c>
      <c r="D205" s="12" t="s">
        <v>14</v>
      </c>
      <c r="E205" s="14">
        <v>44278</v>
      </c>
      <c r="F205" s="12" t="s">
        <v>17</v>
      </c>
      <c r="G205" s="12" t="s">
        <v>19</v>
      </c>
      <c r="H205" s="12" t="s">
        <v>22</v>
      </c>
      <c r="I205" s="12">
        <v>230.00700000000001</v>
      </c>
      <c r="J205" s="12">
        <v>192.52699999999999</v>
      </c>
      <c r="L205" s="12">
        <v>11.7</v>
      </c>
    </row>
    <row r="206" spans="1:12" ht="13.9" hidden="1" x14ac:dyDescent="0.25">
      <c r="A206" s="12">
        <v>6485</v>
      </c>
      <c r="B206" s="12">
        <v>19426159</v>
      </c>
      <c r="C206" s="12" t="s">
        <v>13</v>
      </c>
      <c r="D206" s="12" t="s">
        <v>14</v>
      </c>
      <c r="E206" s="14">
        <v>44279</v>
      </c>
      <c r="F206" s="12" t="s">
        <v>17</v>
      </c>
      <c r="G206" s="12" t="s">
        <v>19</v>
      </c>
      <c r="H206" s="12" t="s">
        <v>22</v>
      </c>
      <c r="I206" s="12">
        <v>230.00399999999999</v>
      </c>
      <c r="J206" s="12">
        <v>191.398</v>
      </c>
    </row>
    <row r="207" spans="1:12" ht="13.9" hidden="1" x14ac:dyDescent="0.25">
      <c r="A207" s="12">
        <v>6486</v>
      </c>
      <c r="B207" s="12">
        <v>19429982</v>
      </c>
      <c r="C207" s="12" t="s">
        <v>13</v>
      </c>
      <c r="D207" s="12" t="s">
        <v>14</v>
      </c>
      <c r="E207" s="14">
        <v>44280</v>
      </c>
      <c r="F207" s="12" t="s">
        <v>17</v>
      </c>
      <c r="G207" s="12" t="s">
        <v>19</v>
      </c>
      <c r="H207" s="12" t="s">
        <v>22</v>
      </c>
      <c r="I207" s="12">
        <v>230.005</v>
      </c>
      <c r="J207" s="12">
        <v>191.86</v>
      </c>
    </row>
    <row r="208" spans="1:12" ht="13.9" hidden="1" x14ac:dyDescent="0.25">
      <c r="A208" s="12">
        <v>6487</v>
      </c>
      <c r="B208" s="12">
        <v>19435346</v>
      </c>
      <c r="C208" s="12" t="s">
        <v>13</v>
      </c>
      <c r="D208" s="12" t="s">
        <v>14</v>
      </c>
      <c r="E208" s="14">
        <v>44281</v>
      </c>
      <c r="F208" s="12" t="s">
        <v>17</v>
      </c>
      <c r="G208" s="12" t="s">
        <v>19</v>
      </c>
      <c r="H208" s="12" t="s">
        <v>22</v>
      </c>
      <c r="I208" s="12">
        <v>230.00700000000001</v>
      </c>
      <c r="J208" s="12">
        <v>190.16300000000001</v>
      </c>
    </row>
    <row r="209" spans="1:12" ht="13.9" hidden="1" x14ac:dyDescent="0.25">
      <c r="A209" s="12">
        <v>6488</v>
      </c>
      <c r="B209" s="12">
        <v>19440399</v>
      </c>
      <c r="C209" s="12" t="s">
        <v>13</v>
      </c>
      <c r="D209" s="12" t="s">
        <v>14</v>
      </c>
      <c r="E209" s="14">
        <v>44282</v>
      </c>
      <c r="F209" s="12" t="s">
        <v>17</v>
      </c>
      <c r="G209" s="12" t="s">
        <v>19</v>
      </c>
      <c r="H209" s="12" t="s">
        <v>22</v>
      </c>
      <c r="I209" s="12">
        <v>230.00800000000001</v>
      </c>
      <c r="J209" s="12">
        <v>190.96199999999999</v>
      </c>
    </row>
    <row r="210" spans="1:12" ht="13.9" hidden="1" x14ac:dyDescent="0.25">
      <c r="A210" s="12">
        <v>6489</v>
      </c>
      <c r="B210" s="12">
        <v>19444103</v>
      </c>
      <c r="C210" s="12" t="s">
        <v>13</v>
      </c>
      <c r="D210" s="12" t="s">
        <v>14</v>
      </c>
      <c r="E210" s="14">
        <v>44283</v>
      </c>
      <c r="F210" s="12" t="s">
        <v>34</v>
      </c>
      <c r="G210" s="12" t="s">
        <v>19</v>
      </c>
      <c r="H210" s="12" t="s">
        <v>22</v>
      </c>
      <c r="I210" s="12">
        <v>230.00700000000001</v>
      </c>
      <c r="J210" s="12">
        <v>189.64</v>
      </c>
      <c r="L210" s="12">
        <v>11.9</v>
      </c>
    </row>
    <row r="211" spans="1:12" ht="13.9" hidden="1" x14ac:dyDescent="0.25">
      <c r="A211" s="12">
        <v>6490</v>
      </c>
      <c r="B211" s="12">
        <v>19449537</v>
      </c>
      <c r="C211" s="12" t="s">
        <v>13</v>
      </c>
      <c r="D211" s="12" t="s">
        <v>14</v>
      </c>
      <c r="E211" s="14">
        <v>44284</v>
      </c>
      <c r="F211" s="12" t="s">
        <v>18</v>
      </c>
      <c r="G211" s="12" t="s">
        <v>20</v>
      </c>
      <c r="H211" s="12" t="s">
        <v>31</v>
      </c>
      <c r="I211" s="12">
        <v>235.00299999999999</v>
      </c>
      <c r="J211" s="12">
        <v>196.363</v>
      </c>
    </row>
    <row r="212" spans="1:12" ht="13.9" hidden="1" x14ac:dyDescent="0.25">
      <c r="A212" s="12">
        <v>6491</v>
      </c>
      <c r="B212" s="12">
        <v>19449633</v>
      </c>
      <c r="C212" s="12" t="s">
        <v>13</v>
      </c>
      <c r="D212" s="12" t="s">
        <v>14</v>
      </c>
      <c r="E212" s="14">
        <v>44285</v>
      </c>
      <c r="F212" s="12" t="s">
        <v>18</v>
      </c>
      <c r="G212" s="12" t="s">
        <v>20</v>
      </c>
      <c r="H212" s="12" t="s">
        <v>31</v>
      </c>
      <c r="I212" s="12">
        <v>235.00200000000001</v>
      </c>
      <c r="J212" s="12">
        <v>198.04900000000001</v>
      </c>
    </row>
    <row r="213" spans="1:12" ht="13.9" hidden="1" x14ac:dyDescent="0.25">
      <c r="A213" s="12">
        <v>6492</v>
      </c>
      <c r="B213" s="12">
        <v>19449650</v>
      </c>
      <c r="C213" s="12" t="s">
        <v>13</v>
      </c>
      <c r="D213" s="12" t="s">
        <v>14</v>
      </c>
      <c r="E213" s="14">
        <v>44286</v>
      </c>
      <c r="F213" s="12" t="s">
        <v>37</v>
      </c>
      <c r="G213" s="12" t="s">
        <v>19</v>
      </c>
      <c r="H213" s="12" t="s">
        <v>22</v>
      </c>
      <c r="I213" s="12">
        <v>229.994</v>
      </c>
      <c r="J213" s="12">
        <v>187.749</v>
      </c>
    </row>
    <row r="214" spans="1:12" ht="13.9" hidden="1" x14ac:dyDescent="0.25">
      <c r="A214" s="12">
        <v>6493</v>
      </c>
      <c r="B214" s="12">
        <v>19452251</v>
      </c>
      <c r="C214" s="12" t="s">
        <v>13</v>
      </c>
      <c r="D214" s="12" t="s">
        <v>14</v>
      </c>
      <c r="E214" s="14">
        <v>44287</v>
      </c>
      <c r="F214" s="12" t="s">
        <v>37</v>
      </c>
      <c r="G214" s="12" t="s">
        <v>19</v>
      </c>
      <c r="H214" s="12" t="s">
        <v>22</v>
      </c>
      <c r="I214" s="12">
        <v>229.99299999999999</v>
      </c>
      <c r="J214" s="12">
        <v>197.60599999999999</v>
      </c>
    </row>
    <row r="215" spans="1:12" ht="13.9" hidden="1" x14ac:dyDescent="0.25">
      <c r="A215" s="12">
        <v>6494</v>
      </c>
      <c r="B215" s="12">
        <v>19456112</v>
      </c>
      <c r="C215" s="12" t="s">
        <v>13</v>
      </c>
      <c r="D215" s="12" t="s">
        <v>14</v>
      </c>
      <c r="E215" s="14">
        <v>44288</v>
      </c>
      <c r="F215" s="12" t="s">
        <v>37</v>
      </c>
      <c r="G215" s="12" t="s">
        <v>19</v>
      </c>
      <c r="H215" s="12" t="s">
        <v>22</v>
      </c>
      <c r="I215" s="12">
        <v>229.96700000000001</v>
      </c>
      <c r="J215" s="12">
        <v>191.29400000000001</v>
      </c>
      <c r="L215" s="12">
        <v>12.5</v>
      </c>
    </row>
    <row r="216" spans="1:12" ht="13.9" hidden="1" x14ac:dyDescent="0.25">
      <c r="A216" s="12">
        <v>6495</v>
      </c>
      <c r="B216" s="12">
        <v>19460103</v>
      </c>
      <c r="C216" s="12" t="s">
        <v>13</v>
      </c>
      <c r="D216" s="12" t="s">
        <v>14</v>
      </c>
      <c r="E216" s="14">
        <v>44289</v>
      </c>
      <c r="F216" s="12" t="s">
        <v>37</v>
      </c>
      <c r="G216" s="12" t="s">
        <v>19</v>
      </c>
      <c r="H216" s="12" t="s">
        <v>22</v>
      </c>
      <c r="I216" s="12">
        <v>229.99700000000001</v>
      </c>
      <c r="J216" s="12">
        <v>190.446</v>
      </c>
    </row>
    <row r="217" spans="1:12" ht="13.9" hidden="1" x14ac:dyDescent="0.25">
      <c r="A217" s="12">
        <v>6496</v>
      </c>
      <c r="B217" s="12">
        <v>19464340</v>
      </c>
      <c r="C217" s="12" t="s">
        <v>13</v>
      </c>
      <c r="D217" s="12" t="s">
        <v>14</v>
      </c>
      <c r="E217" s="14">
        <v>44290</v>
      </c>
      <c r="F217" s="12" t="s">
        <v>37</v>
      </c>
      <c r="G217" s="12" t="s">
        <v>19</v>
      </c>
      <c r="H217" s="12" t="s">
        <v>22</v>
      </c>
      <c r="I217" s="12">
        <v>229.99799999999999</v>
      </c>
      <c r="J217" s="12">
        <v>185.90899999999999</v>
      </c>
    </row>
    <row r="218" spans="1:12" ht="13.9" hidden="1" x14ac:dyDescent="0.25">
      <c r="A218" s="12">
        <v>6497</v>
      </c>
      <c r="B218" s="12">
        <v>19467014</v>
      </c>
      <c r="C218" s="12" t="s">
        <v>13</v>
      </c>
      <c r="D218" s="12" t="s">
        <v>14</v>
      </c>
      <c r="E218" s="14">
        <v>44291</v>
      </c>
      <c r="F218" s="12" t="s">
        <v>37</v>
      </c>
      <c r="G218" s="12" t="s">
        <v>20</v>
      </c>
      <c r="H218" s="12" t="s">
        <v>29</v>
      </c>
      <c r="I218" s="12">
        <v>230.03</v>
      </c>
      <c r="J218" s="12">
        <v>191.03800000000001</v>
      </c>
    </row>
    <row r="219" spans="1:12" ht="13.9" hidden="1" x14ac:dyDescent="0.25">
      <c r="A219" s="12">
        <v>6498</v>
      </c>
      <c r="B219" s="12">
        <v>19468682</v>
      </c>
      <c r="C219" s="12" t="s">
        <v>13</v>
      </c>
      <c r="D219" s="12" t="s">
        <v>14</v>
      </c>
      <c r="E219" s="14">
        <v>44292</v>
      </c>
      <c r="F219" s="12" t="s">
        <v>37</v>
      </c>
      <c r="G219" s="12" t="s">
        <v>20</v>
      </c>
      <c r="H219" s="12" t="s">
        <v>29</v>
      </c>
      <c r="I219" s="12">
        <v>230.03</v>
      </c>
      <c r="J219" s="12">
        <v>192.60499999999999</v>
      </c>
    </row>
    <row r="220" spans="1:12" ht="13.9" hidden="1" x14ac:dyDescent="0.25">
      <c r="A220" s="12">
        <v>6499</v>
      </c>
      <c r="B220" s="12">
        <v>19468746</v>
      </c>
      <c r="C220" s="12" t="s">
        <v>13</v>
      </c>
      <c r="D220" s="12" t="s">
        <v>14</v>
      </c>
      <c r="E220" s="14">
        <v>44293</v>
      </c>
      <c r="F220" s="12" t="s">
        <v>37</v>
      </c>
      <c r="G220" s="12" t="s">
        <v>20</v>
      </c>
      <c r="H220" s="12" t="s">
        <v>29</v>
      </c>
      <c r="I220" s="12">
        <v>229.982</v>
      </c>
      <c r="J220" s="12">
        <v>191.56899999999999</v>
      </c>
    </row>
    <row r="221" spans="1:12" ht="13.9" hidden="1" x14ac:dyDescent="0.25">
      <c r="A221" s="12">
        <v>6500</v>
      </c>
      <c r="B221" s="12">
        <v>19472366</v>
      </c>
      <c r="C221" s="12" t="s">
        <v>13</v>
      </c>
      <c r="D221" s="12" t="s">
        <v>14</v>
      </c>
      <c r="E221" s="14">
        <v>44294</v>
      </c>
      <c r="F221" s="12" t="s">
        <v>37</v>
      </c>
      <c r="G221" s="12" t="s">
        <v>20</v>
      </c>
      <c r="H221" s="12" t="s">
        <v>29</v>
      </c>
      <c r="I221" s="12">
        <v>230</v>
      </c>
      <c r="J221" s="12">
        <v>194.34200000000001</v>
      </c>
    </row>
    <row r="222" spans="1:12" ht="13.9" hidden="1" x14ac:dyDescent="0.25">
      <c r="A222" s="12">
        <v>6501</v>
      </c>
      <c r="B222" s="12">
        <v>19477141</v>
      </c>
      <c r="C222" s="12" t="s">
        <v>13</v>
      </c>
      <c r="D222" s="12" t="s">
        <v>14</v>
      </c>
      <c r="E222" s="14">
        <v>44295</v>
      </c>
      <c r="F222" s="12" t="s">
        <v>37</v>
      </c>
      <c r="G222" s="12" t="s">
        <v>20</v>
      </c>
      <c r="H222" s="12" t="s">
        <v>29</v>
      </c>
      <c r="I222" s="12">
        <v>230</v>
      </c>
      <c r="J222" s="12">
        <v>188.5</v>
      </c>
    </row>
    <row r="223" spans="1:12" ht="13.9" hidden="1" x14ac:dyDescent="0.25">
      <c r="A223" s="12">
        <v>6502</v>
      </c>
      <c r="B223" s="12">
        <v>19481051</v>
      </c>
      <c r="C223" s="12" t="s">
        <v>13</v>
      </c>
      <c r="D223" s="12" t="s">
        <v>14</v>
      </c>
      <c r="E223" s="14">
        <v>44296</v>
      </c>
      <c r="F223" s="12" t="s">
        <v>17</v>
      </c>
      <c r="G223" s="12" t="s">
        <v>20</v>
      </c>
      <c r="H223" s="12" t="s">
        <v>30</v>
      </c>
      <c r="I223" s="12">
        <v>232.99600000000001</v>
      </c>
      <c r="J223" s="12">
        <v>195.446</v>
      </c>
    </row>
    <row r="224" spans="1:12" ht="13.9" hidden="1" x14ac:dyDescent="0.25">
      <c r="A224" s="12">
        <v>6503</v>
      </c>
      <c r="B224" s="12">
        <v>19484691</v>
      </c>
      <c r="C224" s="12" t="s">
        <v>13</v>
      </c>
      <c r="D224" s="12" t="s">
        <v>14</v>
      </c>
      <c r="E224" s="14">
        <v>44297</v>
      </c>
      <c r="F224" s="12" t="s">
        <v>17</v>
      </c>
      <c r="G224" s="12" t="s">
        <v>20</v>
      </c>
      <c r="H224" s="12" t="s">
        <v>30</v>
      </c>
      <c r="I224" s="12">
        <v>232.99600000000001</v>
      </c>
      <c r="J224" s="12">
        <v>195.78899999999999</v>
      </c>
    </row>
    <row r="225" spans="1:12" ht="13.9" hidden="1" x14ac:dyDescent="0.25">
      <c r="A225" s="12">
        <v>6504</v>
      </c>
      <c r="B225" s="12">
        <v>19488309</v>
      </c>
      <c r="C225" s="12" t="s">
        <v>13</v>
      </c>
      <c r="D225" s="12" t="s">
        <v>14</v>
      </c>
      <c r="E225" s="14">
        <v>44298</v>
      </c>
      <c r="F225" s="12" t="s">
        <v>17</v>
      </c>
      <c r="G225" s="12" t="s">
        <v>19</v>
      </c>
      <c r="H225" s="12" t="s">
        <v>22</v>
      </c>
      <c r="I225" s="12">
        <v>230.001</v>
      </c>
      <c r="J225" s="12">
        <v>188.28200000000001</v>
      </c>
      <c r="L225" s="12">
        <v>11.1</v>
      </c>
    </row>
    <row r="226" spans="1:12" ht="13.9" hidden="1" x14ac:dyDescent="0.25">
      <c r="A226" s="12">
        <v>6505</v>
      </c>
      <c r="B226" s="12">
        <v>19488317</v>
      </c>
      <c r="C226" s="12" t="s">
        <v>13</v>
      </c>
      <c r="D226" s="12" t="s">
        <v>14</v>
      </c>
      <c r="E226" s="14">
        <v>44299</v>
      </c>
      <c r="F226" s="12" t="s">
        <v>17</v>
      </c>
      <c r="G226" s="12" t="s">
        <v>19</v>
      </c>
      <c r="H226" s="12" t="s">
        <v>22</v>
      </c>
      <c r="I226" s="12">
        <v>229.98099999999999</v>
      </c>
      <c r="J226" s="12">
        <v>187.85499999999999</v>
      </c>
    </row>
    <row r="227" spans="1:12" ht="13.9" hidden="1" x14ac:dyDescent="0.25">
      <c r="A227" s="12">
        <v>6506</v>
      </c>
      <c r="B227" s="12">
        <v>19488325</v>
      </c>
      <c r="C227" s="12" t="s">
        <v>13</v>
      </c>
      <c r="D227" s="12" t="s">
        <v>14</v>
      </c>
      <c r="E227" s="14">
        <v>44300</v>
      </c>
      <c r="F227" s="12" t="s">
        <v>17</v>
      </c>
      <c r="G227" s="12" t="s">
        <v>19</v>
      </c>
      <c r="H227" s="12" t="s">
        <v>22</v>
      </c>
      <c r="I227" s="12">
        <v>229.98099999999999</v>
      </c>
      <c r="J227" s="12">
        <v>188.65899999999999</v>
      </c>
    </row>
    <row r="228" spans="1:12" ht="13.9" hidden="1" x14ac:dyDescent="0.25">
      <c r="A228" s="12">
        <v>6507</v>
      </c>
      <c r="B228" s="12">
        <v>19488333</v>
      </c>
      <c r="C228" s="12" t="s">
        <v>13</v>
      </c>
      <c r="D228" s="12" t="s">
        <v>14</v>
      </c>
      <c r="E228" s="14">
        <v>44301</v>
      </c>
      <c r="F228" s="12" t="s">
        <v>18</v>
      </c>
      <c r="G228" s="12" t="s">
        <v>20</v>
      </c>
      <c r="H228" s="12" t="s">
        <v>31</v>
      </c>
      <c r="I228" s="12">
        <v>232.999</v>
      </c>
      <c r="J228" s="12">
        <v>195.34800000000001</v>
      </c>
    </row>
    <row r="229" spans="1:12" ht="13.9" hidden="1" x14ac:dyDescent="0.25">
      <c r="A229" s="12">
        <v>6508</v>
      </c>
      <c r="B229" s="12">
        <v>19493431</v>
      </c>
      <c r="C229" s="12" t="s">
        <v>13</v>
      </c>
      <c r="D229" s="12" t="s">
        <v>14</v>
      </c>
      <c r="E229" s="14">
        <v>44302</v>
      </c>
      <c r="F229" s="12" t="s">
        <v>18</v>
      </c>
      <c r="G229" s="12" t="s">
        <v>20</v>
      </c>
      <c r="H229" s="12" t="s">
        <v>31</v>
      </c>
      <c r="I229" s="12">
        <v>232.999</v>
      </c>
      <c r="J229" s="12">
        <v>201.977</v>
      </c>
    </row>
    <row r="230" spans="1:12" ht="13.9" hidden="1" x14ac:dyDescent="0.25">
      <c r="A230" s="12">
        <v>6509</v>
      </c>
      <c r="B230" s="12">
        <v>19498401</v>
      </c>
      <c r="C230" s="12" t="s">
        <v>13</v>
      </c>
      <c r="D230" s="12" t="s">
        <v>14</v>
      </c>
      <c r="E230" s="14">
        <v>44303</v>
      </c>
      <c r="F230" s="12" t="s">
        <v>18</v>
      </c>
      <c r="G230" s="12" t="s">
        <v>20</v>
      </c>
      <c r="H230" s="12" t="s">
        <v>31</v>
      </c>
      <c r="I230" s="12">
        <v>233.00299999999999</v>
      </c>
      <c r="J230" s="12">
        <v>195.69800000000001</v>
      </c>
      <c r="L230" s="12">
        <v>11.8</v>
      </c>
    </row>
    <row r="231" spans="1:12" ht="13.9" hidden="1" x14ac:dyDescent="0.25">
      <c r="A231" s="12">
        <v>6510</v>
      </c>
      <c r="B231" s="12">
        <v>19503011</v>
      </c>
      <c r="C231" s="12" t="s">
        <v>13</v>
      </c>
      <c r="D231" s="12" t="s">
        <v>14</v>
      </c>
      <c r="E231" s="14">
        <v>44304</v>
      </c>
      <c r="F231" s="12" t="s">
        <v>18</v>
      </c>
      <c r="G231" s="12" t="s">
        <v>20</v>
      </c>
      <c r="H231" s="12" t="s">
        <v>31</v>
      </c>
      <c r="I231" s="12">
        <v>233.017</v>
      </c>
      <c r="J231" s="12">
        <v>200.3</v>
      </c>
    </row>
    <row r="232" spans="1:12" ht="13.9" hidden="1" x14ac:dyDescent="0.25">
      <c r="A232" s="12">
        <v>6511</v>
      </c>
      <c r="B232" s="12">
        <v>19506861</v>
      </c>
      <c r="C232" s="12" t="s">
        <v>13</v>
      </c>
      <c r="D232" s="12" t="s">
        <v>14</v>
      </c>
      <c r="E232" s="14">
        <v>44305</v>
      </c>
      <c r="F232" s="12" t="s">
        <v>18</v>
      </c>
      <c r="G232" s="12" t="s">
        <v>20</v>
      </c>
      <c r="H232" s="12" t="s">
        <v>31</v>
      </c>
      <c r="I232" s="12">
        <v>233.018</v>
      </c>
      <c r="J232" s="12">
        <v>198.489</v>
      </c>
    </row>
    <row r="233" spans="1:12" ht="13.9" hidden="1" x14ac:dyDescent="0.25">
      <c r="A233" s="12">
        <v>6512</v>
      </c>
      <c r="B233" s="12">
        <v>19506870</v>
      </c>
      <c r="C233" s="12" t="s">
        <v>13</v>
      </c>
      <c r="D233" s="12" t="s">
        <v>14</v>
      </c>
      <c r="E233" s="14">
        <v>44306</v>
      </c>
      <c r="F233" s="12" t="s">
        <v>34</v>
      </c>
      <c r="G233" s="12" t="s">
        <v>19</v>
      </c>
      <c r="H233" s="12" t="s">
        <v>22</v>
      </c>
      <c r="I233" s="12">
        <v>230.00299999999999</v>
      </c>
      <c r="J233" s="12">
        <v>185.73</v>
      </c>
    </row>
    <row r="234" spans="1:12" ht="13.9" hidden="1" x14ac:dyDescent="0.25">
      <c r="A234" s="12">
        <v>6513</v>
      </c>
      <c r="B234" s="12">
        <v>19507768</v>
      </c>
      <c r="C234" s="12" t="s">
        <v>13</v>
      </c>
      <c r="D234" s="12" t="s">
        <v>14</v>
      </c>
      <c r="E234" s="14">
        <v>44307</v>
      </c>
      <c r="F234" s="12" t="s">
        <v>34</v>
      </c>
      <c r="G234" s="12" t="s">
        <v>19</v>
      </c>
      <c r="H234" s="12" t="s">
        <v>22</v>
      </c>
      <c r="I234" s="12">
        <v>230.00299999999999</v>
      </c>
      <c r="J234" s="12">
        <v>196.03200000000001</v>
      </c>
    </row>
    <row r="235" spans="1:12" ht="13.9" hidden="1" x14ac:dyDescent="0.25">
      <c r="A235" s="12">
        <v>6514</v>
      </c>
      <c r="B235" s="12">
        <v>19512920</v>
      </c>
      <c r="C235" s="12" t="s">
        <v>13</v>
      </c>
      <c r="D235" s="12" t="s">
        <v>14</v>
      </c>
      <c r="E235" s="14">
        <v>44308</v>
      </c>
      <c r="F235" s="12" t="s">
        <v>34</v>
      </c>
      <c r="G235" s="12" t="s">
        <v>19</v>
      </c>
      <c r="H235" s="12" t="s">
        <v>22</v>
      </c>
      <c r="I235" s="12">
        <v>230.02</v>
      </c>
      <c r="J235" s="12">
        <v>190.11</v>
      </c>
      <c r="L235" s="12">
        <v>12.7</v>
      </c>
    </row>
    <row r="236" spans="1:12" ht="13.9" hidden="1" x14ac:dyDescent="0.25">
      <c r="A236" s="12">
        <v>6515</v>
      </c>
      <c r="B236" s="12">
        <v>19517528</v>
      </c>
      <c r="C236" s="12" t="s">
        <v>13</v>
      </c>
      <c r="D236" s="12" t="s">
        <v>14</v>
      </c>
      <c r="E236" s="14">
        <v>44309</v>
      </c>
      <c r="F236" s="12" t="s">
        <v>34</v>
      </c>
      <c r="G236" s="12" t="s">
        <v>19</v>
      </c>
      <c r="H236" s="12" t="s">
        <v>22</v>
      </c>
      <c r="I236" s="12">
        <v>229.99700000000001</v>
      </c>
      <c r="J236" s="12">
        <v>190.96899999999999</v>
      </c>
    </row>
    <row r="237" spans="1:12" ht="13.9" hidden="1" x14ac:dyDescent="0.25">
      <c r="A237" s="12">
        <v>6516</v>
      </c>
      <c r="B237" s="12">
        <v>19520436</v>
      </c>
      <c r="C237" s="12" t="s">
        <v>13</v>
      </c>
      <c r="D237" s="12" t="s">
        <v>14</v>
      </c>
      <c r="E237" s="14">
        <v>44310</v>
      </c>
      <c r="F237" s="12" t="s">
        <v>34</v>
      </c>
      <c r="G237" s="12" t="s">
        <v>19</v>
      </c>
      <c r="H237" s="12" t="s">
        <v>22</v>
      </c>
      <c r="I237" s="12">
        <v>229.99799999999999</v>
      </c>
      <c r="J237" s="12">
        <v>190.64599999999999</v>
      </c>
    </row>
    <row r="238" spans="1:12" ht="13.9" hidden="1" x14ac:dyDescent="0.25">
      <c r="A238" s="12">
        <v>6517</v>
      </c>
      <c r="B238" s="12">
        <v>19524904</v>
      </c>
      <c r="C238" s="12" t="s">
        <v>13</v>
      </c>
      <c r="D238" s="12" t="s">
        <v>14</v>
      </c>
      <c r="E238" s="14">
        <v>44311</v>
      </c>
      <c r="F238" s="12" t="s">
        <v>18</v>
      </c>
      <c r="G238" s="12" t="s">
        <v>20</v>
      </c>
      <c r="H238" s="12" t="s">
        <v>30</v>
      </c>
      <c r="I238" s="12">
        <v>233.01300000000001</v>
      </c>
      <c r="J238" s="12">
        <v>190.25399999999999</v>
      </c>
    </row>
    <row r="239" spans="1:12" ht="13.9" hidden="1" x14ac:dyDescent="0.25">
      <c r="A239" s="12">
        <v>6518</v>
      </c>
      <c r="B239" s="12">
        <v>19529326</v>
      </c>
      <c r="C239" s="12" t="s">
        <v>13</v>
      </c>
      <c r="D239" s="12" t="s">
        <v>14</v>
      </c>
      <c r="E239" s="14">
        <v>44312</v>
      </c>
      <c r="F239" s="12" t="s">
        <v>18</v>
      </c>
      <c r="G239" s="12" t="s">
        <v>20</v>
      </c>
      <c r="H239" s="12" t="s">
        <v>30</v>
      </c>
      <c r="I239" s="12">
        <v>233.01300000000001</v>
      </c>
      <c r="J239" s="12">
        <v>199.67500000000001</v>
      </c>
    </row>
    <row r="240" spans="1:12" ht="13.9" hidden="1" x14ac:dyDescent="0.25">
      <c r="A240" s="12">
        <v>6519</v>
      </c>
      <c r="B240" s="12">
        <v>19529334</v>
      </c>
      <c r="C240" s="12" t="s">
        <v>13</v>
      </c>
      <c r="D240" s="12" t="s">
        <v>14</v>
      </c>
      <c r="E240" s="14">
        <v>44313</v>
      </c>
      <c r="F240" s="12" t="s">
        <v>17</v>
      </c>
      <c r="G240" s="12" t="s">
        <v>20</v>
      </c>
      <c r="H240" s="12" t="s">
        <v>29</v>
      </c>
      <c r="I240" s="12">
        <v>232.999</v>
      </c>
      <c r="J240" s="12">
        <v>195.952</v>
      </c>
    </row>
    <row r="241" spans="1:12" ht="13.9" hidden="1" x14ac:dyDescent="0.25">
      <c r="A241" s="12">
        <v>6520</v>
      </c>
      <c r="B241" s="12">
        <v>19530933</v>
      </c>
      <c r="C241" s="12" t="s">
        <v>13</v>
      </c>
      <c r="D241" s="12" t="s">
        <v>14</v>
      </c>
      <c r="E241" s="14">
        <v>44314</v>
      </c>
      <c r="F241" s="12" t="s">
        <v>17</v>
      </c>
      <c r="G241" s="12" t="s">
        <v>20</v>
      </c>
      <c r="H241" s="12" t="s">
        <v>29</v>
      </c>
      <c r="I241" s="12">
        <v>233</v>
      </c>
      <c r="J241" s="12">
        <v>198.536</v>
      </c>
    </row>
    <row r="242" spans="1:12" ht="13.9" hidden="1" x14ac:dyDescent="0.25">
      <c r="A242" s="12">
        <v>6521</v>
      </c>
      <c r="B242" s="12">
        <v>19535427</v>
      </c>
      <c r="C242" s="12" t="s">
        <v>13</v>
      </c>
      <c r="D242" s="12" t="s">
        <v>14</v>
      </c>
      <c r="E242" s="14">
        <v>44315</v>
      </c>
      <c r="F242" s="12" t="s">
        <v>17</v>
      </c>
      <c r="G242" s="12" t="s">
        <v>19</v>
      </c>
      <c r="H242" s="12" t="s">
        <v>26</v>
      </c>
      <c r="I242" s="12">
        <v>230.00200000000001</v>
      </c>
      <c r="J242" s="12">
        <v>200.3</v>
      </c>
    </row>
    <row r="243" spans="1:12" ht="13.9" hidden="1" x14ac:dyDescent="0.25">
      <c r="A243" s="12">
        <v>6522</v>
      </c>
      <c r="B243" s="12">
        <v>19538556</v>
      </c>
      <c r="C243" s="12" t="s">
        <v>13</v>
      </c>
      <c r="D243" s="12" t="s">
        <v>14</v>
      </c>
      <c r="E243" s="14">
        <v>44316</v>
      </c>
      <c r="F243" s="12" t="s">
        <v>17</v>
      </c>
      <c r="G243" s="12" t="s">
        <v>19</v>
      </c>
      <c r="H243" s="12" t="s">
        <v>26</v>
      </c>
      <c r="I243" s="12">
        <v>230.00200000000001</v>
      </c>
      <c r="J243" s="12">
        <v>194.88200000000001</v>
      </c>
    </row>
    <row r="244" spans="1:12" ht="13.9" hidden="1" x14ac:dyDescent="0.25">
      <c r="A244" s="12">
        <v>6523</v>
      </c>
      <c r="B244" s="12">
        <v>19542846</v>
      </c>
      <c r="C244" s="12" t="s">
        <v>13</v>
      </c>
      <c r="D244" s="12" t="s">
        <v>14</v>
      </c>
      <c r="E244" s="14">
        <v>44317</v>
      </c>
      <c r="F244" s="12" t="s">
        <v>18</v>
      </c>
      <c r="G244" s="12" t="s">
        <v>20</v>
      </c>
      <c r="H244" s="12" t="s">
        <v>30</v>
      </c>
      <c r="I244" s="12">
        <v>232.00800000000001</v>
      </c>
      <c r="J244" s="12">
        <v>193.142</v>
      </c>
    </row>
    <row r="245" spans="1:12" ht="13.9" hidden="1" x14ac:dyDescent="0.25">
      <c r="A245" s="12">
        <v>6524</v>
      </c>
      <c r="B245" s="12">
        <v>19547583</v>
      </c>
      <c r="C245" s="12" t="s">
        <v>13</v>
      </c>
      <c r="D245" s="12" t="s">
        <v>14</v>
      </c>
      <c r="E245" s="14">
        <v>44318</v>
      </c>
      <c r="F245" s="12" t="s">
        <v>18</v>
      </c>
      <c r="G245" s="12" t="s">
        <v>20</v>
      </c>
      <c r="H245" s="12" t="s">
        <v>30</v>
      </c>
      <c r="I245" s="12">
        <v>232.00800000000001</v>
      </c>
      <c r="J245" s="12">
        <v>193.76900000000001</v>
      </c>
    </row>
    <row r="246" spans="1:12" ht="13.9" hidden="1" x14ac:dyDescent="0.25">
      <c r="A246" s="12">
        <v>6525</v>
      </c>
      <c r="B246" s="12">
        <v>19550601</v>
      </c>
      <c r="C246" s="12" t="s">
        <v>13</v>
      </c>
      <c r="D246" s="12" t="s">
        <v>14</v>
      </c>
      <c r="E246" s="14">
        <v>44319</v>
      </c>
      <c r="F246" s="12" t="s">
        <v>18</v>
      </c>
      <c r="G246" s="12" t="s">
        <v>20</v>
      </c>
      <c r="H246" s="12" t="s">
        <v>29</v>
      </c>
      <c r="I246" s="12">
        <v>232.029</v>
      </c>
      <c r="J246" s="12">
        <v>195.05600000000001</v>
      </c>
    </row>
    <row r="247" spans="1:12" ht="13.9" hidden="1" x14ac:dyDescent="0.25">
      <c r="A247" s="12">
        <v>6526</v>
      </c>
      <c r="B247" s="12">
        <v>19550619</v>
      </c>
      <c r="C247" s="12" t="s">
        <v>13</v>
      </c>
      <c r="D247" s="12" t="s">
        <v>14</v>
      </c>
      <c r="E247" s="14">
        <v>44320</v>
      </c>
      <c r="F247" s="12" t="s">
        <v>18</v>
      </c>
      <c r="G247" s="12" t="s">
        <v>20</v>
      </c>
      <c r="H247" s="12" t="s">
        <v>29</v>
      </c>
      <c r="I247" s="12">
        <v>232.02799999999999</v>
      </c>
      <c r="J247" s="12">
        <v>193.19800000000001</v>
      </c>
    </row>
    <row r="248" spans="1:12" ht="13.9" hidden="1" x14ac:dyDescent="0.25">
      <c r="A248" s="12">
        <v>6527</v>
      </c>
      <c r="B248" s="12">
        <v>19550686</v>
      </c>
      <c r="C248" s="12" t="s">
        <v>13</v>
      </c>
      <c r="D248" s="12" t="s">
        <v>14</v>
      </c>
      <c r="E248" s="14">
        <v>44321</v>
      </c>
      <c r="F248" s="12" t="s">
        <v>17</v>
      </c>
      <c r="G248" s="12" t="s">
        <v>19</v>
      </c>
      <c r="H248" s="12" t="s">
        <v>25</v>
      </c>
      <c r="I248" s="12">
        <v>230.00399999999999</v>
      </c>
      <c r="J248" s="12">
        <v>191.88399999999999</v>
      </c>
    </row>
    <row r="249" spans="1:12" ht="13.9" hidden="1" x14ac:dyDescent="0.25">
      <c r="A249" s="12">
        <v>6528</v>
      </c>
      <c r="B249" s="12">
        <v>19554898</v>
      </c>
      <c r="C249" s="12" t="s">
        <v>13</v>
      </c>
      <c r="D249" s="12" t="s">
        <v>14</v>
      </c>
      <c r="E249" s="14">
        <v>44322</v>
      </c>
      <c r="F249" s="12" t="s">
        <v>17</v>
      </c>
      <c r="G249" s="12" t="s">
        <v>19</v>
      </c>
      <c r="H249" s="12" t="s">
        <v>25</v>
      </c>
      <c r="I249" s="12">
        <v>230</v>
      </c>
      <c r="J249" s="12">
        <v>192.095</v>
      </c>
    </row>
    <row r="250" spans="1:12" ht="13.9" hidden="1" x14ac:dyDescent="0.25">
      <c r="A250" s="12">
        <v>6529</v>
      </c>
      <c r="B250" s="12">
        <v>19559120</v>
      </c>
      <c r="C250" s="12" t="s">
        <v>13</v>
      </c>
      <c r="D250" s="12" t="s">
        <v>14</v>
      </c>
      <c r="E250" s="14">
        <v>44323</v>
      </c>
      <c r="F250" s="12" t="s">
        <v>17</v>
      </c>
      <c r="G250" s="12" t="s">
        <v>19</v>
      </c>
      <c r="H250" s="12" t="s">
        <v>25</v>
      </c>
      <c r="I250" s="12">
        <v>230</v>
      </c>
      <c r="J250" s="12">
        <v>194.55699999999999</v>
      </c>
    </row>
    <row r="251" spans="1:12" ht="13.9" hidden="1" x14ac:dyDescent="0.25">
      <c r="A251" s="12">
        <v>6530</v>
      </c>
      <c r="B251" s="12">
        <v>19563719</v>
      </c>
      <c r="C251" s="12" t="s">
        <v>13</v>
      </c>
      <c r="D251" s="12" t="s">
        <v>14</v>
      </c>
      <c r="E251" s="14">
        <v>44324</v>
      </c>
      <c r="F251" s="12" t="s">
        <v>17</v>
      </c>
      <c r="G251" s="12" t="s">
        <v>19</v>
      </c>
      <c r="H251" s="12" t="s">
        <v>25</v>
      </c>
      <c r="I251" s="12">
        <v>230</v>
      </c>
      <c r="J251" s="12">
        <v>187.90799999999999</v>
      </c>
    </row>
    <row r="252" spans="1:12" ht="13.9" hidden="1" x14ac:dyDescent="0.25">
      <c r="A252" s="12">
        <v>6531</v>
      </c>
      <c r="B252" s="12">
        <v>19567795</v>
      </c>
      <c r="C252" s="12" t="s">
        <v>13</v>
      </c>
      <c r="D252" s="12" t="s">
        <v>14</v>
      </c>
      <c r="E252" s="14">
        <v>44325</v>
      </c>
      <c r="F252" s="12" t="s">
        <v>17</v>
      </c>
      <c r="G252" s="12" t="s">
        <v>19</v>
      </c>
      <c r="H252" s="12" t="s">
        <v>25</v>
      </c>
      <c r="I252" s="12">
        <v>230.001</v>
      </c>
      <c r="J252" s="12">
        <v>190.30799999999999</v>
      </c>
    </row>
    <row r="253" spans="1:12" ht="13.9" hidden="1" x14ac:dyDescent="0.25">
      <c r="A253" s="12">
        <v>6532</v>
      </c>
      <c r="B253" s="12">
        <v>19571815</v>
      </c>
      <c r="C253" s="12" t="s">
        <v>13</v>
      </c>
      <c r="D253" s="12" t="s">
        <v>14</v>
      </c>
      <c r="E253" s="14">
        <v>44326</v>
      </c>
      <c r="F253" s="12" t="s">
        <v>18</v>
      </c>
      <c r="G253" s="12" t="s">
        <v>20</v>
      </c>
      <c r="H253" s="12" t="s">
        <v>30</v>
      </c>
      <c r="I253" s="12">
        <v>232.00299999999999</v>
      </c>
      <c r="J253" s="12">
        <v>189.453</v>
      </c>
    </row>
    <row r="254" spans="1:12" ht="13.9" hidden="1" x14ac:dyDescent="0.25">
      <c r="A254" s="12">
        <v>6533</v>
      </c>
      <c r="B254" s="12">
        <v>19572076</v>
      </c>
      <c r="C254" s="12" t="s">
        <v>13</v>
      </c>
      <c r="D254" s="12" t="s">
        <v>14</v>
      </c>
      <c r="E254" s="14">
        <v>44327</v>
      </c>
      <c r="F254" s="12" t="s">
        <v>18</v>
      </c>
      <c r="G254" s="12" t="s">
        <v>20</v>
      </c>
      <c r="H254" s="12" t="s">
        <v>30</v>
      </c>
      <c r="I254" s="12">
        <v>232.00200000000001</v>
      </c>
      <c r="J254" s="12">
        <v>187.68899999999999</v>
      </c>
    </row>
    <row r="255" spans="1:12" ht="13.9" hidden="1" x14ac:dyDescent="0.25">
      <c r="A255" s="12">
        <v>6534</v>
      </c>
      <c r="B255" s="12">
        <v>19572682</v>
      </c>
      <c r="C255" s="12" t="s">
        <v>13</v>
      </c>
      <c r="D255" s="12" t="s">
        <v>14</v>
      </c>
      <c r="E255" s="14">
        <v>44328</v>
      </c>
      <c r="F255" s="12" t="s">
        <v>37</v>
      </c>
      <c r="G255" s="12" t="s">
        <v>19</v>
      </c>
      <c r="H255" s="12" t="s">
        <v>22</v>
      </c>
      <c r="I255" s="12">
        <v>230.011</v>
      </c>
      <c r="J255" s="12">
        <v>190.352</v>
      </c>
      <c r="L255" s="12">
        <v>11.4</v>
      </c>
    </row>
    <row r="256" spans="1:12" ht="13.9" hidden="1" x14ac:dyDescent="0.25">
      <c r="A256" s="12">
        <v>6535</v>
      </c>
      <c r="B256" s="12">
        <v>19576181</v>
      </c>
      <c r="C256" s="12" t="s">
        <v>13</v>
      </c>
      <c r="D256" s="12" t="s">
        <v>14</v>
      </c>
      <c r="E256" s="14">
        <v>44329</v>
      </c>
      <c r="F256" s="12" t="s">
        <v>37</v>
      </c>
      <c r="G256" s="12" t="s">
        <v>19</v>
      </c>
      <c r="H256" s="12" t="s">
        <v>22</v>
      </c>
      <c r="I256" s="12">
        <v>230</v>
      </c>
      <c r="J256" s="12">
        <v>189.42099999999999</v>
      </c>
    </row>
    <row r="257" spans="1:12" ht="13.9" hidden="1" x14ac:dyDescent="0.25">
      <c r="A257" s="12">
        <v>6536</v>
      </c>
      <c r="B257" s="12">
        <v>19579964</v>
      </c>
      <c r="C257" s="12" t="s">
        <v>13</v>
      </c>
      <c r="D257" s="12" t="s">
        <v>14</v>
      </c>
      <c r="E257" s="14">
        <v>44330</v>
      </c>
      <c r="F257" s="12" t="s">
        <v>37</v>
      </c>
      <c r="G257" s="12" t="s">
        <v>19</v>
      </c>
      <c r="H257" s="12" t="s">
        <v>22</v>
      </c>
      <c r="I257" s="12">
        <v>230</v>
      </c>
      <c r="J257" s="12">
        <v>189.55</v>
      </c>
    </row>
    <row r="258" spans="1:12" ht="13.9" hidden="1" x14ac:dyDescent="0.25">
      <c r="A258" s="12">
        <v>6537</v>
      </c>
      <c r="B258" s="12">
        <v>19582995</v>
      </c>
      <c r="C258" s="12" t="s">
        <v>13</v>
      </c>
      <c r="D258" s="12" t="s">
        <v>14</v>
      </c>
      <c r="E258" s="14">
        <v>44331</v>
      </c>
      <c r="F258" s="12" t="s">
        <v>37</v>
      </c>
      <c r="G258" s="12" t="s">
        <v>19</v>
      </c>
      <c r="H258" s="12" t="s">
        <v>22</v>
      </c>
      <c r="I258" s="12">
        <v>229.99600000000001</v>
      </c>
      <c r="J258" s="12">
        <v>194.18</v>
      </c>
    </row>
    <row r="259" spans="1:12" ht="13.9" hidden="1" x14ac:dyDescent="0.25">
      <c r="A259" s="12">
        <v>6538</v>
      </c>
      <c r="B259" s="12">
        <v>19587260</v>
      </c>
      <c r="C259" s="12" t="s">
        <v>13</v>
      </c>
      <c r="D259" s="12" t="s">
        <v>14</v>
      </c>
      <c r="E259" s="14">
        <v>44332</v>
      </c>
      <c r="F259" s="12" t="s">
        <v>37</v>
      </c>
      <c r="G259" s="12" t="s">
        <v>19</v>
      </c>
      <c r="H259" s="12" t="s">
        <v>22</v>
      </c>
      <c r="I259" s="12">
        <v>229.995</v>
      </c>
      <c r="J259" s="12">
        <v>185.96199999999999</v>
      </c>
    </row>
    <row r="260" spans="1:12" ht="13.9" hidden="1" x14ac:dyDescent="0.25">
      <c r="A260" s="12">
        <v>6539</v>
      </c>
      <c r="B260" s="12">
        <v>19591103</v>
      </c>
      <c r="C260" s="12" t="s">
        <v>13</v>
      </c>
      <c r="D260" s="12" t="s">
        <v>14</v>
      </c>
      <c r="E260" s="14">
        <v>44333</v>
      </c>
      <c r="F260" s="12" t="s">
        <v>36</v>
      </c>
      <c r="G260" s="12" t="s">
        <v>20</v>
      </c>
      <c r="H260" s="12" t="s">
        <v>30</v>
      </c>
      <c r="I260" s="12">
        <v>232.00299999999999</v>
      </c>
      <c r="J260" s="12">
        <v>190.9</v>
      </c>
    </row>
    <row r="261" spans="1:12" ht="13.9" hidden="1" x14ac:dyDescent="0.25">
      <c r="A261" s="12">
        <v>6540</v>
      </c>
      <c r="B261" s="12">
        <v>19591111</v>
      </c>
      <c r="C261" s="12" t="s">
        <v>13</v>
      </c>
      <c r="D261" s="12" t="s">
        <v>14</v>
      </c>
      <c r="E261" s="14">
        <v>44334</v>
      </c>
      <c r="F261" s="12" t="s">
        <v>36</v>
      </c>
      <c r="G261" s="12" t="s">
        <v>20</v>
      </c>
      <c r="H261" s="12" t="s">
        <v>30</v>
      </c>
      <c r="I261" s="12">
        <v>232.00299999999999</v>
      </c>
      <c r="J261" s="12">
        <v>186.64</v>
      </c>
    </row>
    <row r="262" spans="1:12" ht="13.9" hidden="1" x14ac:dyDescent="0.25">
      <c r="A262" s="12">
        <v>6541</v>
      </c>
      <c r="B262" s="12">
        <v>19591138</v>
      </c>
      <c r="C262" s="12" t="s">
        <v>13</v>
      </c>
      <c r="D262" s="12" t="s">
        <v>14</v>
      </c>
      <c r="E262" s="14">
        <v>44335</v>
      </c>
      <c r="F262" s="12" t="s">
        <v>18</v>
      </c>
      <c r="G262" s="12" t="s">
        <v>20</v>
      </c>
      <c r="H262" s="12" t="s">
        <v>31</v>
      </c>
      <c r="I262" s="12">
        <v>232.00299999999999</v>
      </c>
      <c r="J262" s="12">
        <v>196.327</v>
      </c>
    </row>
    <row r="263" spans="1:12" ht="13.9" hidden="1" x14ac:dyDescent="0.25">
      <c r="A263" s="12">
        <v>6542</v>
      </c>
      <c r="B263" s="12">
        <v>19596529</v>
      </c>
      <c r="C263" s="12" t="s">
        <v>13</v>
      </c>
      <c r="D263" s="12" t="s">
        <v>14</v>
      </c>
      <c r="E263" s="14">
        <v>44336</v>
      </c>
      <c r="F263" s="12" t="s">
        <v>18</v>
      </c>
      <c r="G263" s="12" t="s">
        <v>20</v>
      </c>
      <c r="H263" s="12" t="s">
        <v>31</v>
      </c>
      <c r="I263" s="12">
        <v>232.00299999999999</v>
      </c>
      <c r="J263" s="12">
        <v>192.751</v>
      </c>
    </row>
    <row r="264" spans="1:12" ht="13.9" hidden="1" x14ac:dyDescent="0.25">
      <c r="A264" s="12">
        <v>6543</v>
      </c>
      <c r="B264" s="12">
        <v>19600217</v>
      </c>
      <c r="C264" s="12" t="s">
        <v>13</v>
      </c>
      <c r="D264" s="12" t="s">
        <v>14</v>
      </c>
      <c r="E264" s="14">
        <v>44337</v>
      </c>
      <c r="F264" s="12" t="s">
        <v>17</v>
      </c>
      <c r="G264" s="12" t="s">
        <v>19</v>
      </c>
      <c r="H264" s="12" t="s">
        <v>22</v>
      </c>
      <c r="I264" s="12">
        <v>230.01599999999999</v>
      </c>
      <c r="J264" s="12">
        <v>190.32599999999999</v>
      </c>
      <c r="L264" s="12">
        <v>10.9</v>
      </c>
    </row>
    <row r="265" spans="1:12" ht="13.9" hidden="1" x14ac:dyDescent="0.25">
      <c r="A265" s="12">
        <v>6544</v>
      </c>
      <c r="B265" s="12">
        <v>19604517</v>
      </c>
      <c r="C265" s="12" t="s">
        <v>13</v>
      </c>
      <c r="D265" s="12" t="s">
        <v>14</v>
      </c>
      <c r="E265" s="14">
        <v>44338</v>
      </c>
      <c r="F265" s="12" t="s">
        <v>17</v>
      </c>
      <c r="G265" s="12" t="s">
        <v>19</v>
      </c>
      <c r="H265" s="12" t="s">
        <v>22</v>
      </c>
      <c r="I265" s="12">
        <v>229.99799999999999</v>
      </c>
      <c r="J265" s="12">
        <v>193</v>
      </c>
    </row>
    <row r="266" spans="1:12" ht="13.9" hidden="1" x14ac:dyDescent="0.25">
      <c r="A266" s="12">
        <v>6545</v>
      </c>
      <c r="B266" s="12">
        <v>19606715</v>
      </c>
      <c r="C266" s="12" t="s">
        <v>13</v>
      </c>
      <c r="D266" s="12" t="s">
        <v>14</v>
      </c>
      <c r="E266" s="14">
        <v>44339</v>
      </c>
      <c r="F266" s="12" t="s">
        <v>17</v>
      </c>
      <c r="G266" s="12" t="s">
        <v>19</v>
      </c>
      <c r="H266" s="12" t="s">
        <v>22</v>
      </c>
      <c r="I266" s="12">
        <v>229.99799999999999</v>
      </c>
      <c r="J266" s="12">
        <v>190.78800000000001</v>
      </c>
    </row>
    <row r="267" spans="1:12" ht="13.9" hidden="1" x14ac:dyDescent="0.25">
      <c r="A267" s="12">
        <v>6546</v>
      </c>
      <c r="B267" s="12">
        <v>19609561</v>
      </c>
      <c r="C267" s="12" t="s">
        <v>13</v>
      </c>
      <c r="D267" s="12" t="s">
        <v>14</v>
      </c>
      <c r="E267" s="14">
        <v>44340</v>
      </c>
      <c r="F267" s="12" t="s">
        <v>17</v>
      </c>
      <c r="G267" s="12" t="s">
        <v>19</v>
      </c>
      <c r="H267" s="12" t="s">
        <v>22</v>
      </c>
      <c r="I267" s="12">
        <v>230.006</v>
      </c>
      <c r="J267" s="12">
        <v>198.084</v>
      </c>
    </row>
    <row r="268" spans="1:12" ht="13.9" hidden="1" x14ac:dyDescent="0.25">
      <c r="A268" s="12">
        <v>6547</v>
      </c>
      <c r="B268" s="12">
        <v>19610853</v>
      </c>
      <c r="C268" s="12" t="s">
        <v>13</v>
      </c>
      <c r="D268" s="12" t="s">
        <v>14</v>
      </c>
      <c r="E268" s="14">
        <v>44341</v>
      </c>
      <c r="F268" s="12" t="s">
        <v>17</v>
      </c>
      <c r="G268" s="12" t="s">
        <v>19</v>
      </c>
      <c r="H268" s="12" t="s">
        <v>22</v>
      </c>
      <c r="I268" s="12">
        <v>230.006</v>
      </c>
      <c r="J268" s="12">
        <v>189.601</v>
      </c>
    </row>
    <row r="269" spans="1:12" ht="13.9" hidden="1" x14ac:dyDescent="0.25">
      <c r="A269" s="12">
        <v>6548</v>
      </c>
      <c r="B269" s="12">
        <v>19610896</v>
      </c>
      <c r="C269" s="12" t="s">
        <v>13</v>
      </c>
      <c r="D269" s="12" t="s">
        <v>14</v>
      </c>
      <c r="E269" s="14">
        <v>44342</v>
      </c>
      <c r="F269" s="12" t="s">
        <v>18</v>
      </c>
      <c r="G269" s="12" t="s">
        <v>20</v>
      </c>
      <c r="H269" s="12" t="s">
        <v>30</v>
      </c>
      <c r="I269" s="12">
        <v>232.005</v>
      </c>
      <c r="J269" s="12">
        <v>194.41</v>
      </c>
      <c r="L269" s="12">
        <v>10.6</v>
      </c>
    </row>
    <row r="270" spans="1:12" ht="13.9" hidden="1" x14ac:dyDescent="0.25">
      <c r="A270" s="12">
        <v>6549</v>
      </c>
      <c r="B270" s="12">
        <v>19616462</v>
      </c>
      <c r="C270" s="12" t="s">
        <v>13</v>
      </c>
      <c r="D270" s="12" t="s">
        <v>14</v>
      </c>
      <c r="E270" s="14">
        <v>44343</v>
      </c>
      <c r="F270" s="12" t="s">
        <v>18</v>
      </c>
      <c r="G270" s="12" t="s">
        <v>20</v>
      </c>
      <c r="H270" s="12" t="s">
        <v>30</v>
      </c>
      <c r="I270" s="12">
        <v>231.99199999999999</v>
      </c>
      <c r="J270" s="12">
        <v>191.38800000000001</v>
      </c>
    </row>
    <row r="271" spans="1:12" ht="13.9" hidden="1" x14ac:dyDescent="0.25">
      <c r="A271" s="12">
        <v>6550</v>
      </c>
      <c r="B271" s="12">
        <v>19620277</v>
      </c>
      <c r="C271" s="12" t="s">
        <v>13</v>
      </c>
      <c r="D271" s="12" t="s">
        <v>14</v>
      </c>
      <c r="E271" s="14">
        <v>44344</v>
      </c>
      <c r="F271" s="12" t="s">
        <v>18</v>
      </c>
      <c r="G271" s="12" t="s">
        <v>20</v>
      </c>
      <c r="H271" s="12" t="s">
        <v>30</v>
      </c>
      <c r="I271" s="12">
        <v>231.99299999999999</v>
      </c>
      <c r="J271" s="12">
        <v>197.93600000000001</v>
      </c>
    </row>
    <row r="272" spans="1:12" ht="13.9" hidden="1" x14ac:dyDescent="0.25">
      <c r="A272" s="12">
        <v>6551</v>
      </c>
      <c r="B272" s="12">
        <v>19623911</v>
      </c>
      <c r="C272" s="12" t="s">
        <v>13</v>
      </c>
      <c r="D272" s="12" t="s">
        <v>14</v>
      </c>
      <c r="E272" s="14">
        <v>44345</v>
      </c>
      <c r="F272" s="12" t="s">
        <v>18</v>
      </c>
      <c r="G272" s="12" t="s">
        <v>20</v>
      </c>
      <c r="H272" s="12" t="s">
        <v>30</v>
      </c>
      <c r="I272" s="12">
        <v>232.005</v>
      </c>
      <c r="J272" s="12">
        <v>194.11500000000001</v>
      </c>
    </row>
    <row r="273" spans="1:12" ht="13.9" hidden="1" x14ac:dyDescent="0.25">
      <c r="A273" s="12">
        <v>6552</v>
      </c>
      <c r="B273" s="12">
        <v>19628551</v>
      </c>
      <c r="C273" s="12" t="s">
        <v>13</v>
      </c>
      <c r="D273" s="12" t="s">
        <v>14</v>
      </c>
      <c r="E273" s="14">
        <v>44346</v>
      </c>
      <c r="F273" s="12" t="s">
        <v>18</v>
      </c>
      <c r="G273" s="12" t="s">
        <v>20</v>
      </c>
      <c r="H273" s="12" t="s">
        <v>30</v>
      </c>
      <c r="I273" s="12">
        <v>232.005</v>
      </c>
      <c r="J273" s="12">
        <v>189</v>
      </c>
    </row>
    <row r="274" spans="1:12" ht="13.9" hidden="1" x14ac:dyDescent="0.25">
      <c r="A274" s="12">
        <v>6553</v>
      </c>
      <c r="B274" s="12">
        <v>19631718</v>
      </c>
      <c r="C274" s="12" t="s">
        <v>13</v>
      </c>
      <c r="D274" s="12" t="s">
        <v>14</v>
      </c>
      <c r="E274" s="14">
        <v>44347</v>
      </c>
      <c r="F274" s="12" t="s">
        <v>17</v>
      </c>
      <c r="G274" s="12" t="s">
        <v>19</v>
      </c>
      <c r="H274" s="12" t="s">
        <v>25</v>
      </c>
      <c r="I274" s="12">
        <v>230.023</v>
      </c>
      <c r="J274" s="12">
        <v>194.86099999999999</v>
      </c>
      <c r="L274" s="12">
        <v>12.6</v>
      </c>
    </row>
    <row r="275" spans="1:12" ht="13.9" hidden="1" x14ac:dyDescent="0.25">
      <c r="A275" s="12">
        <v>6554</v>
      </c>
      <c r="B275" s="12">
        <v>19631726</v>
      </c>
      <c r="C275" s="12" t="s">
        <v>13</v>
      </c>
      <c r="D275" s="12" t="s">
        <v>14</v>
      </c>
      <c r="E275" s="14">
        <v>44348</v>
      </c>
      <c r="F275" s="12" t="s">
        <v>17</v>
      </c>
      <c r="G275" s="12" t="s">
        <v>19</v>
      </c>
      <c r="H275" s="12" t="s">
        <v>25</v>
      </c>
      <c r="I275" s="12">
        <v>230.001</v>
      </c>
      <c r="J275" s="12">
        <v>192.274</v>
      </c>
    </row>
    <row r="276" spans="1:12" ht="13.9" hidden="1" x14ac:dyDescent="0.25">
      <c r="A276" s="12">
        <v>6555</v>
      </c>
      <c r="B276" s="12">
        <v>19631734</v>
      </c>
      <c r="C276" s="12" t="s">
        <v>13</v>
      </c>
      <c r="D276" s="12" t="s">
        <v>14</v>
      </c>
      <c r="E276" s="14">
        <v>44349</v>
      </c>
      <c r="F276" s="12" t="s">
        <v>17</v>
      </c>
      <c r="G276" s="12" t="s">
        <v>19</v>
      </c>
      <c r="H276" s="12" t="s">
        <v>25</v>
      </c>
      <c r="I276" s="12">
        <v>230.001</v>
      </c>
      <c r="J276" s="12">
        <v>193.55</v>
      </c>
    </row>
    <row r="277" spans="1:12" ht="13.9" hidden="1" x14ac:dyDescent="0.25">
      <c r="A277" s="12">
        <v>6556</v>
      </c>
      <c r="B277" s="12">
        <v>19635911</v>
      </c>
      <c r="C277" s="12" t="s">
        <v>13</v>
      </c>
      <c r="D277" s="12" t="s">
        <v>14</v>
      </c>
      <c r="E277" s="14">
        <v>44350</v>
      </c>
      <c r="F277" s="12" t="s">
        <v>17</v>
      </c>
      <c r="G277" s="12" t="s">
        <v>19</v>
      </c>
      <c r="H277" s="12" t="s">
        <v>25</v>
      </c>
      <c r="I277" s="12">
        <v>229.99799999999999</v>
      </c>
      <c r="J277" s="12">
        <v>190.86600000000001</v>
      </c>
    </row>
    <row r="278" spans="1:12" ht="13.9" hidden="1" x14ac:dyDescent="0.25">
      <c r="A278" s="12">
        <v>6557</v>
      </c>
      <c r="B278" s="12">
        <v>19639197</v>
      </c>
      <c r="C278" s="12" t="s">
        <v>13</v>
      </c>
      <c r="D278" s="12" t="s">
        <v>14</v>
      </c>
      <c r="E278" s="14">
        <v>44351</v>
      </c>
      <c r="F278" s="12" t="s">
        <v>17</v>
      </c>
      <c r="G278" s="12" t="s">
        <v>19</v>
      </c>
      <c r="H278" s="12" t="s">
        <v>25</v>
      </c>
      <c r="I278" s="12">
        <v>229.99799999999999</v>
      </c>
      <c r="J278" s="12">
        <v>193.55699999999999</v>
      </c>
    </row>
    <row r="279" spans="1:12" ht="13.9" hidden="1" x14ac:dyDescent="0.25">
      <c r="A279" s="12">
        <v>6558</v>
      </c>
      <c r="B279" s="12">
        <v>19643217</v>
      </c>
      <c r="C279" s="12" t="s">
        <v>13</v>
      </c>
      <c r="D279" s="12" t="s">
        <v>14</v>
      </c>
      <c r="E279" s="14">
        <v>44352</v>
      </c>
      <c r="F279" s="12" t="s">
        <v>37</v>
      </c>
      <c r="G279" s="12" t="s">
        <v>20</v>
      </c>
      <c r="H279" s="12" t="s">
        <v>31</v>
      </c>
      <c r="I279" s="12">
        <v>235.005</v>
      </c>
      <c r="J279" s="12">
        <v>196.26499999999999</v>
      </c>
    </row>
    <row r="280" spans="1:12" ht="13.9" hidden="1" x14ac:dyDescent="0.25">
      <c r="A280" s="12">
        <v>6559</v>
      </c>
      <c r="B280" s="12">
        <v>19648528</v>
      </c>
      <c r="C280" s="12" t="s">
        <v>13</v>
      </c>
      <c r="D280" s="12" t="s">
        <v>14</v>
      </c>
      <c r="E280" s="14">
        <v>44353</v>
      </c>
      <c r="F280" s="12" t="s">
        <v>37</v>
      </c>
      <c r="G280" s="12" t="s">
        <v>20</v>
      </c>
      <c r="H280" s="12" t="s">
        <v>31</v>
      </c>
      <c r="I280" s="12">
        <v>235.00399999999999</v>
      </c>
      <c r="J280" s="12">
        <v>193.74299999999999</v>
      </c>
    </row>
    <row r="281" spans="1:12" ht="13.9" hidden="1" x14ac:dyDescent="0.25">
      <c r="A281" s="12">
        <v>6560</v>
      </c>
      <c r="B281" s="12">
        <v>19651524</v>
      </c>
      <c r="C281" s="12" t="s">
        <v>13</v>
      </c>
      <c r="D281" s="12" t="s">
        <v>14</v>
      </c>
      <c r="E281" s="14">
        <v>44354</v>
      </c>
      <c r="F281" s="12" t="s">
        <v>17</v>
      </c>
      <c r="G281" s="12" t="s">
        <v>19</v>
      </c>
      <c r="H281" s="12" t="s">
        <v>35</v>
      </c>
      <c r="I281" s="12">
        <v>230.018</v>
      </c>
      <c r="J281" s="12">
        <v>189.67400000000001</v>
      </c>
      <c r="L281" s="12">
        <v>12</v>
      </c>
    </row>
    <row r="282" spans="1:12" ht="13.9" hidden="1" x14ac:dyDescent="0.25">
      <c r="A282" s="12">
        <v>6561</v>
      </c>
      <c r="B282" s="12">
        <v>19651751</v>
      </c>
      <c r="C282" s="12" t="s">
        <v>13</v>
      </c>
      <c r="D282" s="12" t="s">
        <v>14</v>
      </c>
      <c r="E282" s="14">
        <v>44355</v>
      </c>
      <c r="F282" s="12" t="s">
        <v>38</v>
      </c>
      <c r="G282" s="12" t="s">
        <v>19</v>
      </c>
      <c r="H282" s="12" t="s">
        <v>22</v>
      </c>
      <c r="I282" s="12">
        <v>230.00700000000001</v>
      </c>
      <c r="J282" s="12">
        <v>191.95599999999999</v>
      </c>
    </row>
    <row r="283" spans="1:12" ht="13.9" hidden="1" x14ac:dyDescent="0.25">
      <c r="A283" s="12">
        <v>6562</v>
      </c>
      <c r="B283" s="12">
        <v>19651760</v>
      </c>
      <c r="C283" s="12" t="s">
        <v>13</v>
      </c>
      <c r="D283" s="12" t="s">
        <v>14</v>
      </c>
      <c r="E283" s="14">
        <v>44356</v>
      </c>
      <c r="F283" s="12" t="s">
        <v>38</v>
      </c>
      <c r="G283" s="12" t="s">
        <v>19</v>
      </c>
      <c r="H283" s="12" t="s">
        <v>22</v>
      </c>
      <c r="I283" s="12">
        <v>230.006</v>
      </c>
      <c r="J283" s="12">
        <v>188.429</v>
      </c>
    </row>
    <row r="284" spans="1:12" ht="13.9" hidden="1" x14ac:dyDescent="0.25">
      <c r="A284" s="12">
        <v>6563</v>
      </c>
      <c r="B284" s="12">
        <v>19657660</v>
      </c>
      <c r="C284" s="12" t="s">
        <v>13</v>
      </c>
      <c r="D284" s="12" t="s">
        <v>14</v>
      </c>
      <c r="E284" s="14">
        <v>44357</v>
      </c>
      <c r="F284" s="12" t="s">
        <v>38</v>
      </c>
      <c r="G284" s="12" t="s">
        <v>19</v>
      </c>
      <c r="H284" s="12" t="s">
        <v>22</v>
      </c>
      <c r="I284" s="12">
        <v>230.006</v>
      </c>
      <c r="J284" s="12">
        <v>191.87700000000001</v>
      </c>
      <c r="L284" s="12">
        <v>11.8</v>
      </c>
    </row>
    <row r="285" spans="1:12" ht="13.9" hidden="1" x14ac:dyDescent="0.25">
      <c r="A285" s="12">
        <v>6564</v>
      </c>
      <c r="B285" s="12">
        <v>19661503</v>
      </c>
      <c r="C285" s="12" t="s">
        <v>13</v>
      </c>
      <c r="D285" s="12" t="s">
        <v>14</v>
      </c>
      <c r="E285" s="14">
        <v>44358</v>
      </c>
      <c r="F285" s="12" t="s">
        <v>17</v>
      </c>
      <c r="G285" s="12" t="s">
        <v>19</v>
      </c>
      <c r="H285" s="12" t="s">
        <v>25</v>
      </c>
      <c r="I285" s="12">
        <v>230.005</v>
      </c>
      <c r="J285" s="12">
        <v>193.91900000000001</v>
      </c>
    </row>
    <row r="286" spans="1:12" ht="13.9" hidden="1" x14ac:dyDescent="0.25">
      <c r="A286" s="12">
        <v>6565</v>
      </c>
      <c r="B286" s="12">
        <v>19666380</v>
      </c>
      <c r="C286" s="12" t="s">
        <v>13</v>
      </c>
      <c r="D286" s="12" t="s">
        <v>14</v>
      </c>
      <c r="E286" s="14">
        <v>44359</v>
      </c>
      <c r="F286" s="12" t="s">
        <v>17</v>
      </c>
      <c r="G286" s="12" t="s">
        <v>19</v>
      </c>
      <c r="H286" s="12" t="s">
        <v>25</v>
      </c>
      <c r="I286" s="12">
        <v>230.005</v>
      </c>
      <c r="J286" s="12">
        <v>186.06200000000001</v>
      </c>
    </row>
    <row r="287" spans="1:12" ht="13.9" hidden="1" x14ac:dyDescent="0.25">
      <c r="A287" s="12">
        <v>6566</v>
      </c>
      <c r="B287" s="12">
        <v>19670389</v>
      </c>
      <c r="C287" s="12" t="s">
        <v>13</v>
      </c>
      <c r="D287" s="12" t="s">
        <v>14</v>
      </c>
      <c r="E287" s="14">
        <v>44360</v>
      </c>
      <c r="F287" s="12" t="s">
        <v>18</v>
      </c>
      <c r="G287" s="12" t="s">
        <v>20</v>
      </c>
      <c r="H287" s="12" t="s">
        <v>31</v>
      </c>
      <c r="I287" s="12">
        <v>235.00700000000001</v>
      </c>
      <c r="J287" s="12">
        <v>203.101</v>
      </c>
    </row>
    <row r="288" spans="1:12" ht="13.9" hidden="1" x14ac:dyDescent="0.25">
      <c r="A288" s="12">
        <v>6567</v>
      </c>
      <c r="B288" s="12">
        <v>19673088</v>
      </c>
      <c r="C288" s="12" t="s">
        <v>13</v>
      </c>
      <c r="D288" s="12" t="s">
        <v>14</v>
      </c>
      <c r="E288" s="14">
        <v>44361</v>
      </c>
      <c r="F288" s="12" t="s">
        <v>18</v>
      </c>
      <c r="G288" s="12" t="s">
        <v>20</v>
      </c>
      <c r="H288" s="12" t="s">
        <v>31</v>
      </c>
      <c r="I288" s="12">
        <v>235.006</v>
      </c>
      <c r="J288" s="12">
        <v>193.12899999999999</v>
      </c>
    </row>
    <row r="289" spans="1:12" ht="13.9" hidden="1" x14ac:dyDescent="0.25">
      <c r="A289" s="12">
        <v>6568</v>
      </c>
      <c r="B289" s="12">
        <v>19677249</v>
      </c>
      <c r="C289" s="12" t="s">
        <v>13</v>
      </c>
      <c r="D289" s="12" t="s">
        <v>14</v>
      </c>
      <c r="E289" s="14">
        <v>44362</v>
      </c>
      <c r="F289" s="12" t="s">
        <v>37</v>
      </c>
      <c r="G289" s="12" t="s">
        <v>19</v>
      </c>
      <c r="H289" s="12" t="s">
        <v>27</v>
      </c>
      <c r="I289" s="12">
        <v>230</v>
      </c>
      <c r="J289" s="12">
        <v>189.899</v>
      </c>
      <c r="L289" s="12">
        <v>12.5</v>
      </c>
    </row>
    <row r="290" spans="1:12" ht="13.9" hidden="1" x14ac:dyDescent="0.25">
      <c r="A290" s="12">
        <v>6569</v>
      </c>
      <c r="B290" s="12">
        <v>19677265</v>
      </c>
      <c r="C290" s="12" t="s">
        <v>13</v>
      </c>
      <c r="D290" s="12" t="s">
        <v>14</v>
      </c>
      <c r="E290" s="14">
        <v>44363</v>
      </c>
      <c r="F290" s="12" t="s">
        <v>37</v>
      </c>
      <c r="G290" s="12" t="s">
        <v>19</v>
      </c>
      <c r="H290" s="12" t="s">
        <v>25</v>
      </c>
      <c r="I290" s="12">
        <v>230.00399999999999</v>
      </c>
      <c r="J290" s="12">
        <v>199.83099999999999</v>
      </c>
    </row>
    <row r="291" spans="1:12" ht="13.9" hidden="1" x14ac:dyDescent="0.25">
      <c r="A291" s="12">
        <v>6570</v>
      </c>
      <c r="B291" s="12">
        <v>19678701</v>
      </c>
      <c r="C291" s="12" t="s">
        <v>13</v>
      </c>
      <c r="D291" s="12" t="s">
        <v>14</v>
      </c>
      <c r="E291" s="14">
        <v>44364</v>
      </c>
      <c r="F291" s="12" t="s">
        <v>37</v>
      </c>
      <c r="G291" s="12" t="s">
        <v>19</v>
      </c>
      <c r="H291" s="12" t="s">
        <v>25</v>
      </c>
      <c r="I291" s="12">
        <v>230.005</v>
      </c>
      <c r="J291" s="12">
        <v>190.64599999999999</v>
      </c>
    </row>
    <row r="292" spans="1:12" ht="13.9" hidden="1" x14ac:dyDescent="0.25">
      <c r="A292" s="12">
        <v>6571</v>
      </c>
      <c r="B292" s="12">
        <v>19683139</v>
      </c>
      <c r="C292" s="12" t="s">
        <v>13</v>
      </c>
      <c r="D292" s="12" t="s">
        <v>14</v>
      </c>
      <c r="E292" s="14">
        <v>44365</v>
      </c>
      <c r="F292" s="12" t="s">
        <v>17</v>
      </c>
      <c r="G292" s="12" t="s">
        <v>19</v>
      </c>
      <c r="H292" s="12" t="s">
        <v>25</v>
      </c>
      <c r="I292" s="12">
        <v>230.00399999999999</v>
      </c>
      <c r="J292" s="12">
        <v>194.23500000000001</v>
      </c>
      <c r="L292" s="12">
        <v>11.7</v>
      </c>
    </row>
    <row r="293" spans="1:12" ht="13.9" hidden="1" x14ac:dyDescent="0.25">
      <c r="A293" s="12">
        <v>6572</v>
      </c>
      <c r="B293" s="12">
        <v>19687050</v>
      </c>
      <c r="C293" s="12" t="s">
        <v>13</v>
      </c>
      <c r="D293" s="12" t="s">
        <v>14</v>
      </c>
      <c r="E293" s="14">
        <v>44366</v>
      </c>
      <c r="F293" s="12" t="s">
        <v>17</v>
      </c>
      <c r="G293" s="12" t="s">
        <v>19</v>
      </c>
      <c r="H293" s="12" t="s">
        <v>25</v>
      </c>
      <c r="I293" s="12">
        <v>230.00299999999999</v>
      </c>
      <c r="J293" s="12">
        <v>189.124</v>
      </c>
      <c r="L293" s="12">
        <v>11.7</v>
      </c>
    </row>
    <row r="294" spans="1:12" ht="13.9" hidden="1" x14ac:dyDescent="0.25">
      <c r="A294" s="12">
        <v>6573</v>
      </c>
      <c r="B294" s="12">
        <v>19690671</v>
      </c>
      <c r="C294" s="12" t="s">
        <v>13</v>
      </c>
      <c r="D294" s="12" t="s">
        <v>14</v>
      </c>
      <c r="E294" s="14">
        <v>44367</v>
      </c>
      <c r="F294" s="12" t="s">
        <v>17</v>
      </c>
      <c r="G294" s="12" t="s">
        <v>19</v>
      </c>
      <c r="H294" s="12" t="s">
        <v>25</v>
      </c>
      <c r="I294" s="12">
        <v>230.023</v>
      </c>
      <c r="J294" s="12">
        <v>190.69900000000001</v>
      </c>
      <c r="L294" s="12">
        <v>12.2</v>
      </c>
    </row>
    <row r="295" spans="1:12" ht="13.9" hidden="1" x14ac:dyDescent="0.25">
      <c r="A295" s="12">
        <v>6574</v>
      </c>
      <c r="B295" s="12">
        <v>19694815</v>
      </c>
      <c r="C295" s="12" t="s">
        <v>13</v>
      </c>
      <c r="D295" s="12" t="s">
        <v>14</v>
      </c>
      <c r="E295" s="14">
        <v>44368</v>
      </c>
      <c r="F295" s="12" t="s">
        <v>17</v>
      </c>
      <c r="G295" s="12" t="s">
        <v>19</v>
      </c>
      <c r="H295" s="12" t="s">
        <v>25</v>
      </c>
      <c r="I295" s="12">
        <v>230.00299999999999</v>
      </c>
      <c r="J295" s="12">
        <v>191.11699999999999</v>
      </c>
    </row>
    <row r="296" spans="1:12" ht="13.9" hidden="1" x14ac:dyDescent="0.25">
      <c r="A296" s="12">
        <v>6575</v>
      </c>
      <c r="B296" s="12">
        <v>19694823</v>
      </c>
      <c r="C296" s="12" t="s">
        <v>13</v>
      </c>
      <c r="D296" s="12" t="s">
        <v>14</v>
      </c>
      <c r="E296" s="14">
        <v>44369</v>
      </c>
      <c r="F296" s="12" t="s">
        <v>17</v>
      </c>
      <c r="G296" s="12" t="s">
        <v>19</v>
      </c>
      <c r="H296" s="12" t="s">
        <v>25</v>
      </c>
      <c r="I296" s="12">
        <v>230.00299999999999</v>
      </c>
      <c r="J296" s="12">
        <v>185.65199999999999</v>
      </c>
    </row>
    <row r="297" spans="1:12" ht="13.9" hidden="1" x14ac:dyDescent="0.25">
      <c r="A297" s="12">
        <v>6576</v>
      </c>
      <c r="B297" s="12">
        <v>19694831</v>
      </c>
      <c r="C297" s="12" t="s">
        <v>13</v>
      </c>
      <c r="D297" s="12" t="s">
        <v>14</v>
      </c>
      <c r="E297" s="14">
        <v>44370</v>
      </c>
      <c r="F297" s="12" t="s">
        <v>18</v>
      </c>
      <c r="G297" s="12" t="s">
        <v>20</v>
      </c>
      <c r="H297" s="12" t="s">
        <v>31</v>
      </c>
      <c r="I297" s="12">
        <v>235.00899999999999</v>
      </c>
      <c r="J297" s="12">
        <v>202.16900000000001</v>
      </c>
    </row>
    <row r="298" spans="1:12" ht="13.9" hidden="1" x14ac:dyDescent="0.25">
      <c r="A298" s="12">
        <v>6577</v>
      </c>
      <c r="B298" s="12">
        <v>19699561</v>
      </c>
      <c r="C298" s="12" t="s">
        <v>13</v>
      </c>
      <c r="D298" s="12" t="s">
        <v>14</v>
      </c>
      <c r="E298" s="14">
        <v>44371</v>
      </c>
      <c r="F298" s="12" t="s">
        <v>18</v>
      </c>
      <c r="G298" s="12" t="s">
        <v>20</v>
      </c>
      <c r="H298" s="12" t="s">
        <v>31</v>
      </c>
      <c r="I298" s="12">
        <v>235.01</v>
      </c>
      <c r="J298" s="12">
        <v>193.29</v>
      </c>
    </row>
    <row r="299" spans="1:12" ht="13.9" hidden="1" x14ac:dyDescent="0.25">
      <c r="A299" s="12">
        <v>6578</v>
      </c>
      <c r="B299" s="12">
        <v>19703742</v>
      </c>
      <c r="C299" s="12" t="s">
        <v>13</v>
      </c>
      <c r="D299" s="12" t="s">
        <v>14</v>
      </c>
      <c r="E299" s="14">
        <v>44372</v>
      </c>
      <c r="F299" s="12" t="s">
        <v>17</v>
      </c>
      <c r="G299" s="12" t="s">
        <v>19</v>
      </c>
      <c r="H299" s="12" t="s">
        <v>25</v>
      </c>
      <c r="I299" s="12">
        <v>230.01400000000001</v>
      </c>
      <c r="J299" s="12">
        <v>192.23</v>
      </c>
      <c r="L299" s="12">
        <v>12.2</v>
      </c>
    </row>
    <row r="300" spans="1:12" ht="13.9" hidden="1" x14ac:dyDescent="0.25">
      <c r="A300" s="12">
        <v>6579</v>
      </c>
      <c r="B300" s="12">
        <v>19709010</v>
      </c>
      <c r="C300" s="12" t="s">
        <v>13</v>
      </c>
      <c r="D300" s="12" t="s">
        <v>14</v>
      </c>
      <c r="E300" s="14">
        <v>44373</v>
      </c>
      <c r="F300" s="12" t="s">
        <v>17</v>
      </c>
      <c r="G300" s="12" t="s">
        <v>19</v>
      </c>
      <c r="H300" s="12" t="s">
        <v>25</v>
      </c>
      <c r="I300" s="12">
        <v>230.01</v>
      </c>
      <c r="J300" s="12">
        <v>187.06299999999999</v>
      </c>
    </row>
    <row r="301" spans="1:12" ht="13.9" hidden="1" x14ac:dyDescent="0.25">
      <c r="A301" s="12">
        <v>6580</v>
      </c>
      <c r="B301" s="12">
        <v>19713844</v>
      </c>
      <c r="C301" s="12" t="s">
        <v>13</v>
      </c>
      <c r="D301" s="12" t="s">
        <v>14</v>
      </c>
      <c r="E301" s="14">
        <v>44374</v>
      </c>
      <c r="F301" s="12" t="s">
        <v>17</v>
      </c>
      <c r="G301" s="12" t="s">
        <v>19</v>
      </c>
      <c r="H301" s="12" t="s">
        <v>25</v>
      </c>
      <c r="I301" s="12">
        <v>230.01</v>
      </c>
      <c r="J301" s="12">
        <v>193.489</v>
      </c>
    </row>
    <row r="302" spans="1:12" ht="13.9" hidden="1" x14ac:dyDescent="0.25">
      <c r="A302" s="12">
        <v>6581</v>
      </c>
      <c r="B302" s="12">
        <v>19716594</v>
      </c>
      <c r="C302" s="12" t="s">
        <v>13</v>
      </c>
      <c r="D302" s="12" t="s">
        <v>14</v>
      </c>
      <c r="E302" s="14">
        <v>44375</v>
      </c>
      <c r="F302" s="12" t="s">
        <v>17</v>
      </c>
      <c r="G302" s="12" t="s">
        <v>19</v>
      </c>
      <c r="H302" s="12" t="s">
        <v>25</v>
      </c>
      <c r="I302" s="12">
        <v>230.005</v>
      </c>
      <c r="J302" s="12">
        <v>186.57</v>
      </c>
    </row>
    <row r="303" spans="1:12" ht="13.9" hidden="1" x14ac:dyDescent="0.25">
      <c r="A303" s="12">
        <v>6582</v>
      </c>
      <c r="B303" s="12">
        <v>19716607</v>
      </c>
      <c r="C303" s="12" t="s">
        <v>13</v>
      </c>
      <c r="D303" s="12" t="s">
        <v>14</v>
      </c>
      <c r="E303" s="14">
        <v>44376</v>
      </c>
      <c r="F303" s="12" t="s">
        <v>17</v>
      </c>
      <c r="G303" s="12" t="s">
        <v>19</v>
      </c>
      <c r="H303" s="12" t="s">
        <v>25</v>
      </c>
      <c r="I303" s="12">
        <v>230.005</v>
      </c>
      <c r="J303" s="12">
        <v>188.309</v>
      </c>
    </row>
    <row r="304" spans="1:12" ht="13.9" hidden="1" x14ac:dyDescent="0.25">
      <c r="A304" s="12">
        <v>6583</v>
      </c>
      <c r="B304" s="12">
        <v>19717992</v>
      </c>
      <c r="C304" s="12" t="s">
        <v>13</v>
      </c>
      <c r="D304" s="12" t="s">
        <v>14</v>
      </c>
      <c r="E304" s="14">
        <v>44377</v>
      </c>
      <c r="F304" s="12" t="s">
        <v>17</v>
      </c>
      <c r="G304" s="12" t="s">
        <v>19</v>
      </c>
      <c r="H304" s="12" t="s">
        <v>25</v>
      </c>
      <c r="I304" s="12">
        <v>230.02</v>
      </c>
      <c r="J304" s="12">
        <v>189.203</v>
      </c>
      <c r="L304" s="12">
        <v>12.4</v>
      </c>
    </row>
    <row r="305" spans="1:12" ht="13.9" hidden="1" x14ac:dyDescent="0.25">
      <c r="A305" s="12">
        <v>6584</v>
      </c>
      <c r="B305" s="12">
        <v>19721772</v>
      </c>
      <c r="C305" s="12" t="s">
        <v>13</v>
      </c>
      <c r="D305" s="12" t="s">
        <v>14</v>
      </c>
      <c r="E305" s="14">
        <v>44378</v>
      </c>
      <c r="F305" s="12" t="s">
        <v>17</v>
      </c>
      <c r="G305" s="12" t="s">
        <v>19</v>
      </c>
      <c r="H305" s="12" t="s">
        <v>25</v>
      </c>
      <c r="I305" s="12">
        <v>229.99600000000001</v>
      </c>
      <c r="J305" s="12">
        <v>192.2</v>
      </c>
      <c r="L305" s="12">
        <v>12.3</v>
      </c>
    </row>
    <row r="306" spans="1:12" ht="13.9" hidden="1" x14ac:dyDescent="0.25">
      <c r="A306" s="12">
        <v>6585</v>
      </c>
      <c r="B306" s="12">
        <v>19726830</v>
      </c>
      <c r="C306" s="12" t="s">
        <v>13</v>
      </c>
      <c r="D306" s="12" t="s">
        <v>14</v>
      </c>
      <c r="E306" s="14">
        <v>44379</v>
      </c>
      <c r="F306" s="12" t="s">
        <v>17</v>
      </c>
      <c r="G306" s="12" t="s">
        <v>19</v>
      </c>
      <c r="H306" s="12" t="s">
        <v>25</v>
      </c>
      <c r="I306" s="12">
        <v>229.99600000000001</v>
      </c>
      <c r="J306" s="12">
        <v>185.065</v>
      </c>
      <c r="L306" s="12">
        <v>12.3</v>
      </c>
    </row>
    <row r="307" spans="1:12" ht="13.9" hidden="1" x14ac:dyDescent="0.25">
      <c r="A307" s="12">
        <v>6586</v>
      </c>
      <c r="B307" s="12">
        <v>19731313</v>
      </c>
      <c r="C307" s="12" t="s">
        <v>13</v>
      </c>
      <c r="D307" s="12" t="s">
        <v>14</v>
      </c>
      <c r="E307" s="14">
        <v>44380</v>
      </c>
      <c r="F307" s="12" t="s">
        <v>17</v>
      </c>
      <c r="G307" s="12" t="s">
        <v>19</v>
      </c>
      <c r="H307" s="12" t="s">
        <v>25</v>
      </c>
      <c r="I307" s="12">
        <v>230.00800000000001</v>
      </c>
      <c r="J307" s="12">
        <v>190.09200000000001</v>
      </c>
      <c r="L307" s="12">
        <v>11.3</v>
      </c>
    </row>
    <row r="308" spans="1:12" ht="13.9" hidden="1" x14ac:dyDescent="0.25">
      <c r="A308" s="12">
        <v>6587</v>
      </c>
      <c r="B308" s="12">
        <v>19734813</v>
      </c>
      <c r="C308" s="12" t="s">
        <v>13</v>
      </c>
      <c r="D308" s="12" t="s">
        <v>14</v>
      </c>
      <c r="E308" s="14">
        <v>44381</v>
      </c>
      <c r="F308" s="12" t="s">
        <v>17</v>
      </c>
      <c r="G308" s="12" t="s">
        <v>19</v>
      </c>
      <c r="H308" s="12" t="s">
        <v>25</v>
      </c>
      <c r="I308" s="12">
        <v>230.00899999999999</v>
      </c>
      <c r="J308" s="12">
        <v>193.8</v>
      </c>
      <c r="L308" s="12">
        <v>11.3</v>
      </c>
    </row>
    <row r="309" spans="1:12" ht="13.9" hidden="1" x14ac:dyDescent="0.25">
      <c r="A309" s="12">
        <v>6588</v>
      </c>
      <c r="B309" s="12">
        <v>19740341</v>
      </c>
      <c r="C309" s="12" t="s">
        <v>13</v>
      </c>
      <c r="D309" s="12" t="s">
        <v>14</v>
      </c>
      <c r="E309" s="14">
        <v>44382</v>
      </c>
      <c r="F309" s="12" t="s">
        <v>18</v>
      </c>
      <c r="G309" s="12" t="s">
        <v>20</v>
      </c>
      <c r="H309" s="12" t="s">
        <v>30</v>
      </c>
      <c r="I309" s="12">
        <v>230.00299999999999</v>
      </c>
      <c r="J309" s="12">
        <v>192.476</v>
      </c>
      <c r="L309" s="12">
        <v>11.4</v>
      </c>
    </row>
    <row r="310" spans="1:12" ht="13.9" hidden="1" x14ac:dyDescent="0.25">
      <c r="A310" s="12">
        <v>6589</v>
      </c>
      <c r="B310" s="12">
        <v>19740359</v>
      </c>
      <c r="C310" s="12" t="s">
        <v>13</v>
      </c>
      <c r="D310" s="12" t="s">
        <v>14</v>
      </c>
      <c r="E310" s="14">
        <v>44383</v>
      </c>
      <c r="F310" s="12" t="s">
        <v>18</v>
      </c>
      <c r="G310" s="12" t="s">
        <v>20</v>
      </c>
      <c r="H310" s="12" t="s">
        <v>30</v>
      </c>
      <c r="I310" s="12">
        <v>230.00200000000001</v>
      </c>
      <c r="J310" s="12">
        <v>192.56</v>
      </c>
      <c r="L310" s="12">
        <v>11.4</v>
      </c>
    </row>
    <row r="311" spans="1:12" ht="13.9" hidden="1" x14ac:dyDescent="0.25">
      <c r="A311" s="12">
        <v>6590</v>
      </c>
      <c r="B311" s="12">
        <v>19740367</v>
      </c>
      <c r="C311" s="12" t="s">
        <v>13</v>
      </c>
      <c r="D311" s="12" t="s">
        <v>14</v>
      </c>
      <c r="E311" s="14">
        <v>44384</v>
      </c>
      <c r="F311" s="12" t="s">
        <v>18</v>
      </c>
      <c r="G311" s="12" t="s">
        <v>20</v>
      </c>
      <c r="H311" s="12" t="s">
        <v>30</v>
      </c>
      <c r="I311" s="12">
        <v>230.00200000000001</v>
      </c>
      <c r="J311" s="12">
        <v>196.708</v>
      </c>
      <c r="L311" s="12">
        <v>11.4</v>
      </c>
    </row>
    <row r="312" spans="1:12" ht="13.9" hidden="1" x14ac:dyDescent="0.25">
      <c r="A312" s="12">
        <v>6591</v>
      </c>
      <c r="B312" s="12">
        <v>19744042</v>
      </c>
      <c r="C312" s="12" t="s">
        <v>13</v>
      </c>
      <c r="D312" s="12" t="s">
        <v>14</v>
      </c>
      <c r="E312" s="14">
        <v>44385</v>
      </c>
      <c r="F312" s="12" t="s">
        <v>18</v>
      </c>
      <c r="G312" s="12" t="s">
        <v>20</v>
      </c>
      <c r="H312" s="12" t="s">
        <v>30</v>
      </c>
      <c r="I312" s="12">
        <v>230</v>
      </c>
      <c r="J312" s="12">
        <v>198.452</v>
      </c>
    </row>
    <row r="313" spans="1:12" ht="13.9" hidden="1" x14ac:dyDescent="0.25">
      <c r="A313" s="12">
        <v>6592</v>
      </c>
      <c r="B313" s="12">
        <v>19747631</v>
      </c>
      <c r="C313" s="12" t="s">
        <v>13</v>
      </c>
      <c r="D313" s="12" t="s">
        <v>14</v>
      </c>
      <c r="E313" s="14">
        <v>44386</v>
      </c>
      <c r="F313" s="12" t="s">
        <v>18</v>
      </c>
      <c r="G313" s="12" t="s">
        <v>20</v>
      </c>
      <c r="H313" s="12" t="s">
        <v>30</v>
      </c>
      <c r="I313" s="12">
        <v>230.001</v>
      </c>
      <c r="J313" s="12">
        <v>188.31700000000001</v>
      </c>
    </row>
    <row r="314" spans="1:12" ht="13.9" hidden="1" x14ac:dyDescent="0.25">
      <c r="A314" s="12">
        <v>6593</v>
      </c>
      <c r="B314" s="12">
        <v>19752421</v>
      </c>
      <c r="C314" s="12" t="s">
        <v>13</v>
      </c>
      <c r="D314" s="12" t="s">
        <v>14</v>
      </c>
      <c r="E314" s="14">
        <v>44387</v>
      </c>
      <c r="F314" s="12" t="s">
        <v>17</v>
      </c>
      <c r="G314" s="12" t="s">
        <v>19</v>
      </c>
      <c r="H314" s="12" t="s">
        <v>25</v>
      </c>
      <c r="I314" s="12">
        <v>225.01599999999999</v>
      </c>
      <c r="J314" s="12">
        <v>186.46299999999999</v>
      </c>
      <c r="L314" s="12">
        <v>11.8</v>
      </c>
    </row>
    <row r="315" spans="1:12" ht="13.9" hidden="1" x14ac:dyDescent="0.25">
      <c r="A315" s="12">
        <v>6594</v>
      </c>
      <c r="B315" s="12">
        <v>19756078</v>
      </c>
      <c r="C315" s="12" t="s">
        <v>13</v>
      </c>
      <c r="D315" s="12" t="s">
        <v>14</v>
      </c>
      <c r="E315" s="14">
        <v>44388</v>
      </c>
      <c r="F315" s="12" t="s">
        <v>17</v>
      </c>
      <c r="G315" s="12" t="s">
        <v>19</v>
      </c>
      <c r="H315" s="12" t="s">
        <v>25</v>
      </c>
      <c r="I315" s="12">
        <v>224.994</v>
      </c>
      <c r="J315" s="12">
        <v>190.53700000000001</v>
      </c>
    </row>
    <row r="316" spans="1:12" ht="13.9" hidden="1" x14ac:dyDescent="0.25">
      <c r="A316" s="12">
        <v>6595</v>
      </c>
      <c r="B316" s="12">
        <v>19759906</v>
      </c>
      <c r="C316" s="12" t="s">
        <v>13</v>
      </c>
      <c r="D316" s="12" t="s">
        <v>14</v>
      </c>
      <c r="E316" s="14">
        <v>44389</v>
      </c>
      <c r="F316" s="12" t="s">
        <v>17</v>
      </c>
      <c r="G316" s="12" t="s">
        <v>19</v>
      </c>
      <c r="H316" s="12" t="s">
        <v>25</v>
      </c>
      <c r="I316" s="12">
        <v>224.99299999999999</v>
      </c>
      <c r="J316" s="12">
        <v>182.04900000000001</v>
      </c>
    </row>
    <row r="317" spans="1:12" ht="13.9" hidden="1" x14ac:dyDescent="0.25">
      <c r="A317" s="12">
        <v>6596</v>
      </c>
      <c r="B317" s="12">
        <v>19759931</v>
      </c>
      <c r="C317" s="12" t="s">
        <v>13</v>
      </c>
      <c r="D317" s="12" t="s">
        <v>14</v>
      </c>
      <c r="E317" s="14">
        <v>44390</v>
      </c>
      <c r="F317" s="12" t="s">
        <v>17</v>
      </c>
      <c r="G317" s="12" t="s">
        <v>19</v>
      </c>
      <c r="H317" s="12" t="s">
        <v>25</v>
      </c>
      <c r="I317" s="12">
        <v>225.005</v>
      </c>
      <c r="J317" s="12">
        <v>186.55</v>
      </c>
    </row>
    <row r="318" spans="1:12" ht="13.9" hidden="1" x14ac:dyDescent="0.25">
      <c r="A318" s="12">
        <v>6597</v>
      </c>
      <c r="B318" s="12">
        <v>19759957</v>
      </c>
      <c r="C318" s="12" t="s">
        <v>13</v>
      </c>
      <c r="D318" s="12" t="s">
        <v>14</v>
      </c>
      <c r="E318" s="14">
        <v>44391</v>
      </c>
      <c r="F318" s="12" t="s">
        <v>17</v>
      </c>
      <c r="G318" s="12" t="s">
        <v>19</v>
      </c>
      <c r="H318" s="12" t="s">
        <v>25</v>
      </c>
      <c r="I318" s="12">
        <v>225.005</v>
      </c>
      <c r="J318" s="12">
        <v>189.95</v>
      </c>
    </row>
    <row r="319" spans="1:12" ht="13.9" hidden="1" x14ac:dyDescent="0.25">
      <c r="A319" s="12">
        <v>6598</v>
      </c>
      <c r="B319" s="12">
        <v>19764262</v>
      </c>
      <c r="C319" s="12" t="s">
        <v>13</v>
      </c>
      <c r="D319" s="12" t="s">
        <v>14</v>
      </c>
      <c r="E319" s="14">
        <v>44392</v>
      </c>
      <c r="F319" s="12" t="s">
        <v>17</v>
      </c>
      <c r="G319" s="12" t="s">
        <v>19</v>
      </c>
      <c r="H319" s="12" t="s">
        <v>27</v>
      </c>
      <c r="I319" s="12">
        <v>229.99600000000001</v>
      </c>
      <c r="J319" s="12">
        <v>185.45099999999999</v>
      </c>
      <c r="L319" s="12">
        <v>13.3</v>
      </c>
    </row>
    <row r="320" spans="1:12" ht="13.9" hidden="1" x14ac:dyDescent="0.25">
      <c r="A320" s="12">
        <v>6599</v>
      </c>
      <c r="B320" s="12">
        <v>19767421</v>
      </c>
      <c r="C320" s="12" t="s">
        <v>13</v>
      </c>
      <c r="D320" s="12" t="s">
        <v>14</v>
      </c>
      <c r="E320" s="14">
        <v>44393</v>
      </c>
      <c r="F320" s="12" t="s">
        <v>17</v>
      </c>
      <c r="G320" s="12" t="s">
        <v>19</v>
      </c>
      <c r="H320" s="12" t="s">
        <v>27</v>
      </c>
      <c r="I320" s="12">
        <v>225.00299999999999</v>
      </c>
      <c r="J320" s="12">
        <v>189.29</v>
      </c>
    </row>
    <row r="321" spans="1:12" ht="13.9" hidden="1" x14ac:dyDescent="0.25">
      <c r="A321" s="12">
        <v>6600</v>
      </c>
      <c r="B321" s="12">
        <v>19772828</v>
      </c>
      <c r="C321" s="12" t="s">
        <v>13</v>
      </c>
      <c r="D321" s="12" t="s">
        <v>14</v>
      </c>
      <c r="E321" s="14">
        <v>44394</v>
      </c>
      <c r="F321" s="12" t="s">
        <v>17</v>
      </c>
      <c r="G321" s="12" t="s">
        <v>19</v>
      </c>
      <c r="H321" s="12" t="s">
        <v>27</v>
      </c>
      <c r="I321" s="12">
        <v>225.00299999999999</v>
      </c>
      <c r="J321" s="12">
        <v>179.83</v>
      </c>
    </row>
    <row r="322" spans="1:12" ht="13.9" hidden="1" x14ac:dyDescent="0.25">
      <c r="A322" s="12">
        <v>6601</v>
      </c>
      <c r="B322" s="12">
        <v>19777557</v>
      </c>
      <c r="C322" s="12" t="s">
        <v>13</v>
      </c>
      <c r="D322" s="12" t="s">
        <v>14</v>
      </c>
      <c r="E322" s="14">
        <v>44395</v>
      </c>
      <c r="F322" s="12" t="s">
        <v>17</v>
      </c>
      <c r="G322" s="12" t="s">
        <v>19</v>
      </c>
      <c r="H322" s="12" t="s">
        <v>27</v>
      </c>
      <c r="I322" s="12">
        <v>225.00399999999999</v>
      </c>
      <c r="J322" s="12">
        <v>190.88200000000001</v>
      </c>
    </row>
    <row r="323" spans="1:12" ht="13.9" hidden="1" x14ac:dyDescent="0.25">
      <c r="A323" s="12">
        <v>6602</v>
      </c>
      <c r="B323" s="12">
        <v>19780406</v>
      </c>
      <c r="C323" s="12" t="s">
        <v>13</v>
      </c>
      <c r="D323" s="12" t="s">
        <v>14</v>
      </c>
      <c r="E323" s="14">
        <v>44396</v>
      </c>
      <c r="F323" s="12" t="s">
        <v>17</v>
      </c>
      <c r="G323" s="12" t="s">
        <v>19</v>
      </c>
      <c r="H323" s="12" t="s">
        <v>27</v>
      </c>
      <c r="I323" s="12">
        <v>225.00399999999999</v>
      </c>
      <c r="J323" s="12">
        <v>181.12100000000001</v>
      </c>
    </row>
    <row r="324" spans="1:12" ht="13.9" hidden="1" x14ac:dyDescent="0.25">
      <c r="A324" s="12">
        <v>6603</v>
      </c>
      <c r="B324" s="12">
        <v>19780529</v>
      </c>
      <c r="C324" s="12" t="s">
        <v>13</v>
      </c>
      <c r="D324" s="12" t="s">
        <v>14</v>
      </c>
      <c r="E324" s="14">
        <v>44397</v>
      </c>
      <c r="F324" s="12" t="s">
        <v>37</v>
      </c>
      <c r="G324" s="12" t="s">
        <v>20</v>
      </c>
      <c r="H324" s="12" t="s">
        <v>29</v>
      </c>
      <c r="I324" s="12">
        <v>230.00200000000001</v>
      </c>
      <c r="J324" s="12">
        <v>183.74</v>
      </c>
      <c r="L324" s="12">
        <v>11</v>
      </c>
    </row>
    <row r="325" spans="1:12" ht="13.9" hidden="1" x14ac:dyDescent="0.25">
      <c r="A325" s="12">
        <v>6604</v>
      </c>
      <c r="B325" s="12">
        <v>19781847</v>
      </c>
      <c r="C325" s="12" t="s">
        <v>13</v>
      </c>
      <c r="D325" s="12" t="s">
        <v>14</v>
      </c>
      <c r="E325" s="14">
        <v>44398</v>
      </c>
      <c r="F325" s="12" t="s">
        <v>37</v>
      </c>
      <c r="G325" s="12" t="s">
        <v>20</v>
      </c>
      <c r="H325" s="12" t="s">
        <v>29</v>
      </c>
      <c r="I325" s="12">
        <v>229.99700000000001</v>
      </c>
      <c r="J325" s="12">
        <v>196.92099999999999</v>
      </c>
    </row>
    <row r="326" spans="1:12" ht="13.9" hidden="1" x14ac:dyDescent="0.25">
      <c r="A326" s="12">
        <v>6605</v>
      </c>
      <c r="B326" s="12">
        <v>19786040</v>
      </c>
      <c r="C326" s="12" t="s">
        <v>13</v>
      </c>
      <c r="D326" s="12" t="s">
        <v>14</v>
      </c>
      <c r="E326" s="14">
        <v>44399</v>
      </c>
      <c r="F326" s="12" t="s">
        <v>37</v>
      </c>
      <c r="G326" s="12" t="s">
        <v>20</v>
      </c>
      <c r="H326" s="12" t="s">
        <v>29</v>
      </c>
      <c r="I326" s="12">
        <v>229.99799999999999</v>
      </c>
      <c r="J326" s="12">
        <v>190.428</v>
      </c>
    </row>
    <row r="327" spans="1:12" ht="13.9" hidden="1" x14ac:dyDescent="0.25">
      <c r="A327" s="12">
        <v>6606</v>
      </c>
      <c r="B327" s="12">
        <v>19791181</v>
      </c>
      <c r="C327" s="12" t="s">
        <v>13</v>
      </c>
      <c r="D327" s="12" t="s">
        <v>14</v>
      </c>
      <c r="E327" s="14">
        <v>44400</v>
      </c>
      <c r="F327" s="12" t="s">
        <v>37</v>
      </c>
      <c r="G327" s="12" t="s">
        <v>20</v>
      </c>
      <c r="H327" s="12" t="s">
        <v>29</v>
      </c>
      <c r="I327" s="12">
        <v>230.001</v>
      </c>
      <c r="J327" s="12">
        <v>192.33199999999999</v>
      </c>
    </row>
    <row r="328" spans="1:12" ht="13.9" hidden="1" x14ac:dyDescent="0.25">
      <c r="A328" s="12">
        <v>6607</v>
      </c>
      <c r="B328" s="12">
        <v>19792116</v>
      </c>
      <c r="C328" s="12" t="s">
        <v>13</v>
      </c>
      <c r="D328" s="12" t="s">
        <v>14</v>
      </c>
      <c r="E328" s="14">
        <v>44401</v>
      </c>
      <c r="F328" s="12" t="s">
        <v>37</v>
      </c>
      <c r="G328" s="12" t="s">
        <v>20</v>
      </c>
      <c r="H328" s="12" t="s">
        <v>29</v>
      </c>
      <c r="I328" s="12">
        <v>230.00200000000001</v>
      </c>
      <c r="J328" s="12">
        <v>202.89599999999999</v>
      </c>
    </row>
    <row r="329" spans="1:12" ht="13.9" hidden="1" x14ac:dyDescent="0.25">
      <c r="A329" s="12">
        <v>6608</v>
      </c>
      <c r="B329" s="12">
        <v>19796601</v>
      </c>
      <c r="C329" s="12" t="s">
        <v>13</v>
      </c>
      <c r="D329" s="12" t="s">
        <v>14</v>
      </c>
      <c r="E329" s="14">
        <v>44402</v>
      </c>
      <c r="F329" s="12" t="s">
        <v>17</v>
      </c>
      <c r="G329" s="12" t="s">
        <v>19</v>
      </c>
      <c r="H329" s="12" t="s">
        <v>25</v>
      </c>
      <c r="I329" s="12">
        <v>225.012</v>
      </c>
      <c r="J329" s="12">
        <v>186.34899999999999</v>
      </c>
      <c r="L329" s="12">
        <v>11.9</v>
      </c>
    </row>
    <row r="330" spans="1:12" ht="13.9" hidden="1" x14ac:dyDescent="0.25">
      <c r="A330" s="12">
        <v>6609</v>
      </c>
      <c r="B330" s="12">
        <v>19802581</v>
      </c>
      <c r="C330" s="12" t="s">
        <v>13</v>
      </c>
      <c r="D330" s="12" t="s">
        <v>14</v>
      </c>
      <c r="E330" s="14">
        <v>44403</v>
      </c>
      <c r="F330" s="12" t="s">
        <v>17</v>
      </c>
      <c r="G330" s="12" t="s">
        <v>19</v>
      </c>
      <c r="H330" s="12" t="s">
        <v>25</v>
      </c>
      <c r="I330" s="12">
        <v>224.96899999999999</v>
      </c>
      <c r="J330" s="12">
        <v>193.416</v>
      </c>
    </row>
    <row r="331" spans="1:12" ht="13.9" hidden="1" x14ac:dyDescent="0.25">
      <c r="A331" s="12">
        <v>6610</v>
      </c>
      <c r="B331" s="12">
        <v>19802599</v>
      </c>
      <c r="C331" s="12" t="s">
        <v>13</v>
      </c>
      <c r="D331" s="12" t="s">
        <v>14</v>
      </c>
      <c r="E331" s="14">
        <v>44404</v>
      </c>
      <c r="F331" s="12" t="s">
        <v>17</v>
      </c>
      <c r="G331" s="12" t="s">
        <v>19</v>
      </c>
      <c r="H331" s="12" t="s">
        <v>25</v>
      </c>
      <c r="I331" s="12">
        <v>224.96899999999999</v>
      </c>
      <c r="J331" s="12">
        <v>188.464</v>
      </c>
    </row>
    <row r="332" spans="1:12" ht="13.9" hidden="1" x14ac:dyDescent="0.25">
      <c r="A332" s="12">
        <v>6611</v>
      </c>
      <c r="B332" s="12">
        <v>19802628</v>
      </c>
      <c r="C332" s="12" t="s">
        <v>13</v>
      </c>
      <c r="D332" s="12" t="s">
        <v>14</v>
      </c>
      <c r="E332" s="14">
        <v>44405</v>
      </c>
      <c r="F332" s="12" t="s">
        <v>17</v>
      </c>
      <c r="G332" s="12" t="s">
        <v>19</v>
      </c>
      <c r="H332" s="12" t="s">
        <v>25</v>
      </c>
      <c r="I332" s="12">
        <v>224.994</v>
      </c>
      <c r="J332" s="12">
        <v>193.08699999999999</v>
      </c>
    </row>
    <row r="333" spans="1:12" ht="13.9" hidden="1" x14ac:dyDescent="0.25">
      <c r="A333" s="12">
        <v>6612</v>
      </c>
      <c r="B333" s="12">
        <v>19805271</v>
      </c>
      <c r="C333" s="12" t="s">
        <v>13</v>
      </c>
      <c r="D333" s="12" t="s">
        <v>14</v>
      </c>
      <c r="E333" s="14">
        <v>44406</v>
      </c>
      <c r="F333" s="12" t="s">
        <v>17</v>
      </c>
      <c r="G333" s="12" t="s">
        <v>19</v>
      </c>
      <c r="H333" s="12" t="s">
        <v>25</v>
      </c>
      <c r="I333" s="12">
        <v>224.995</v>
      </c>
      <c r="J333" s="12">
        <v>187.74299999999999</v>
      </c>
    </row>
    <row r="334" spans="1:12" ht="13.9" hidden="1" x14ac:dyDescent="0.25">
      <c r="A334" s="12">
        <v>6613</v>
      </c>
      <c r="B334" s="12">
        <v>19809248</v>
      </c>
      <c r="C334" s="12" t="s">
        <v>13</v>
      </c>
      <c r="D334" s="12" t="s">
        <v>14</v>
      </c>
      <c r="E334" s="14">
        <v>44407</v>
      </c>
      <c r="F334" s="12" t="s">
        <v>18</v>
      </c>
      <c r="G334" s="12" t="s">
        <v>20</v>
      </c>
      <c r="H334" s="12" t="s">
        <v>31</v>
      </c>
      <c r="I334" s="12">
        <v>230.00299999999999</v>
      </c>
      <c r="J334" s="12">
        <v>199.96700000000001</v>
      </c>
    </row>
    <row r="335" spans="1:12" ht="13.9" hidden="1" x14ac:dyDescent="0.25">
      <c r="A335" s="12">
        <v>6614</v>
      </c>
      <c r="B335" s="12">
        <v>19813212</v>
      </c>
      <c r="C335" s="12" t="s">
        <v>13</v>
      </c>
      <c r="D335" s="12" t="s">
        <v>14</v>
      </c>
      <c r="E335" s="14">
        <v>44408</v>
      </c>
      <c r="F335" s="12" t="s">
        <v>18</v>
      </c>
      <c r="G335" s="12" t="s">
        <v>20</v>
      </c>
      <c r="H335" s="12" t="s">
        <v>31</v>
      </c>
      <c r="I335" s="12">
        <v>230.00200000000001</v>
      </c>
      <c r="J335" s="12">
        <v>199</v>
      </c>
    </row>
    <row r="336" spans="1:12" ht="13.9" hidden="1" x14ac:dyDescent="0.25">
      <c r="A336" s="12">
        <v>6615</v>
      </c>
      <c r="B336" s="12">
        <v>19816430</v>
      </c>
      <c r="C336" s="12" t="s">
        <v>13</v>
      </c>
      <c r="D336" s="12" t="s">
        <v>14</v>
      </c>
      <c r="E336" s="14">
        <v>44409</v>
      </c>
      <c r="F336" s="12" t="s">
        <v>18</v>
      </c>
      <c r="G336" s="12" t="s">
        <v>20</v>
      </c>
      <c r="H336" s="12" t="s">
        <v>31</v>
      </c>
      <c r="I336" s="12">
        <v>230.00299999999999</v>
      </c>
      <c r="J336" s="12">
        <v>200.6</v>
      </c>
    </row>
    <row r="337" spans="1:12" ht="13.9" hidden="1" x14ac:dyDescent="0.25">
      <c r="A337" s="12">
        <v>6616</v>
      </c>
      <c r="B337" s="12">
        <v>19819825</v>
      </c>
      <c r="C337" s="12" t="s">
        <v>13</v>
      </c>
      <c r="D337" s="12" t="s">
        <v>14</v>
      </c>
      <c r="E337" s="14">
        <v>44410</v>
      </c>
      <c r="F337" s="12" t="s">
        <v>18</v>
      </c>
      <c r="G337" s="12" t="s">
        <v>20</v>
      </c>
      <c r="H337" s="12" t="s">
        <v>31</v>
      </c>
      <c r="I337" s="12">
        <v>230.00299999999999</v>
      </c>
      <c r="J337" s="12">
        <v>194.114</v>
      </c>
    </row>
    <row r="338" spans="1:12" ht="13.9" hidden="1" x14ac:dyDescent="0.25">
      <c r="A338" s="12">
        <v>6617</v>
      </c>
      <c r="B338" s="12">
        <v>19819833</v>
      </c>
      <c r="C338" s="12" t="s">
        <v>13</v>
      </c>
      <c r="D338" s="12" t="s">
        <v>14</v>
      </c>
      <c r="E338" s="14">
        <v>44411</v>
      </c>
      <c r="F338" s="12" t="s">
        <v>17</v>
      </c>
      <c r="G338" s="12" t="s">
        <v>19</v>
      </c>
      <c r="H338" s="12" t="s">
        <v>25</v>
      </c>
      <c r="I338" s="12">
        <v>230.01</v>
      </c>
      <c r="J338" s="12">
        <v>196.14500000000001</v>
      </c>
      <c r="L338" s="12">
        <v>11.6</v>
      </c>
    </row>
    <row r="339" spans="1:12" ht="13.9" hidden="1" x14ac:dyDescent="0.25">
      <c r="A339" s="12">
        <v>6618</v>
      </c>
      <c r="B339" s="12">
        <v>19822004</v>
      </c>
      <c r="C339" s="12" t="s">
        <v>13</v>
      </c>
      <c r="D339" s="12" t="s">
        <v>14</v>
      </c>
      <c r="E339" s="14">
        <v>44412</v>
      </c>
      <c r="F339" s="12" t="s">
        <v>17</v>
      </c>
      <c r="G339" s="12" t="s">
        <v>19</v>
      </c>
      <c r="H339" s="12" t="s">
        <v>25</v>
      </c>
      <c r="I339" s="12">
        <v>230.01400000000001</v>
      </c>
      <c r="J339" s="12">
        <v>195.89699999999999</v>
      </c>
    </row>
    <row r="340" spans="1:12" ht="13.9" hidden="1" x14ac:dyDescent="0.25">
      <c r="A340" s="12">
        <v>6619</v>
      </c>
      <c r="B340" s="12">
        <v>19825715</v>
      </c>
      <c r="C340" s="12" t="s">
        <v>13</v>
      </c>
      <c r="D340" s="12" t="s">
        <v>14</v>
      </c>
      <c r="E340" s="14">
        <v>44413</v>
      </c>
      <c r="F340" s="12" t="s">
        <v>17</v>
      </c>
      <c r="G340" s="12" t="s">
        <v>19</v>
      </c>
      <c r="H340" s="12" t="s">
        <v>25</v>
      </c>
      <c r="I340" s="12">
        <v>230.01300000000001</v>
      </c>
      <c r="J340" s="12">
        <v>193.328</v>
      </c>
    </row>
    <row r="341" spans="1:12" ht="13.9" hidden="1" x14ac:dyDescent="0.25">
      <c r="A341" s="12">
        <v>6620</v>
      </c>
      <c r="B341" s="12">
        <v>19829812</v>
      </c>
      <c r="C341" s="12" t="s">
        <v>13</v>
      </c>
      <c r="D341" s="12" t="s">
        <v>14</v>
      </c>
      <c r="E341" s="14">
        <v>44414</v>
      </c>
      <c r="F341" s="12" t="s">
        <v>17</v>
      </c>
      <c r="G341" s="12" t="s">
        <v>19</v>
      </c>
      <c r="H341" s="12" t="s">
        <v>25</v>
      </c>
      <c r="I341" s="12">
        <v>229.989</v>
      </c>
      <c r="J341" s="12">
        <v>198.864</v>
      </c>
    </row>
    <row r="342" spans="1:12" ht="13.9" hidden="1" x14ac:dyDescent="0.25">
      <c r="A342" s="12">
        <v>6621</v>
      </c>
      <c r="B342" s="12">
        <v>19832641</v>
      </c>
      <c r="C342" s="12" t="s">
        <v>13</v>
      </c>
      <c r="D342" s="12" t="s">
        <v>14</v>
      </c>
      <c r="E342" s="14">
        <v>44415</v>
      </c>
      <c r="F342" s="12" t="s">
        <v>17</v>
      </c>
      <c r="G342" s="12" t="s">
        <v>19</v>
      </c>
      <c r="H342" s="12" t="s">
        <v>25</v>
      </c>
      <c r="I342" s="12">
        <v>229.99</v>
      </c>
      <c r="J342" s="12">
        <v>190.22200000000001</v>
      </c>
    </row>
    <row r="343" spans="1:12" ht="13.9" hidden="1" x14ac:dyDescent="0.25">
      <c r="A343" s="12">
        <v>6622</v>
      </c>
      <c r="B343" s="12">
        <v>19837898</v>
      </c>
      <c r="C343" s="12" t="s">
        <v>13</v>
      </c>
      <c r="D343" s="12" t="s">
        <v>14</v>
      </c>
      <c r="E343" s="14">
        <v>44416</v>
      </c>
      <c r="F343" s="12" t="s">
        <v>18</v>
      </c>
      <c r="G343" s="12" t="s">
        <v>20</v>
      </c>
      <c r="H343" s="12" t="s">
        <v>30</v>
      </c>
      <c r="I343" s="12">
        <v>230.017</v>
      </c>
      <c r="J343" s="12">
        <v>197</v>
      </c>
      <c r="L343" s="12">
        <v>12</v>
      </c>
    </row>
    <row r="344" spans="1:12" ht="13.9" hidden="1" x14ac:dyDescent="0.25">
      <c r="A344" s="12">
        <v>6623</v>
      </c>
      <c r="B344" s="12">
        <v>19839201</v>
      </c>
      <c r="C344" s="12" t="s">
        <v>13</v>
      </c>
      <c r="D344" s="12" t="s">
        <v>14</v>
      </c>
      <c r="E344" s="14">
        <v>44417</v>
      </c>
      <c r="F344" s="12" t="s">
        <v>18</v>
      </c>
      <c r="G344" s="12" t="s">
        <v>20</v>
      </c>
      <c r="H344" s="12" t="s">
        <v>30</v>
      </c>
      <c r="I344" s="12">
        <v>229.995</v>
      </c>
      <c r="J344" s="12">
        <v>198.00299999999999</v>
      </c>
    </row>
    <row r="345" spans="1:12" ht="13.9" hidden="1" x14ac:dyDescent="0.25">
      <c r="A345" s="12">
        <v>6624</v>
      </c>
      <c r="B345" s="12">
        <v>19842523</v>
      </c>
      <c r="C345" s="12" t="s">
        <v>13</v>
      </c>
      <c r="D345" s="12" t="s">
        <v>14</v>
      </c>
      <c r="E345" s="14">
        <v>44418</v>
      </c>
      <c r="F345" s="12" t="s">
        <v>18</v>
      </c>
      <c r="G345" s="12" t="s">
        <v>20</v>
      </c>
      <c r="H345" s="12" t="s">
        <v>30</v>
      </c>
      <c r="I345" s="12">
        <v>229.995</v>
      </c>
      <c r="J345" s="12">
        <v>190.50200000000001</v>
      </c>
    </row>
    <row r="346" spans="1:12" ht="13.9" hidden="1" x14ac:dyDescent="0.25">
      <c r="A346" s="12">
        <v>6625</v>
      </c>
      <c r="B346" s="12">
        <v>19843067</v>
      </c>
      <c r="C346" s="12" t="s">
        <v>13</v>
      </c>
      <c r="D346" s="12" t="s">
        <v>14</v>
      </c>
      <c r="E346" s="14">
        <v>44419</v>
      </c>
      <c r="F346" s="12" t="s">
        <v>18</v>
      </c>
      <c r="G346" s="12" t="s">
        <v>20</v>
      </c>
      <c r="H346" s="12" t="s">
        <v>30</v>
      </c>
      <c r="I346" s="12">
        <v>230.01</v>
      </c>
      <c r="J346" s="12">
        <v>201.49100000000001</v>
      </c>
    </row>
    <row r="347" spans="1:12" ht="13.9" hidden="1" x14ac:dyDescent="0.25">
      <c r="A347" s="12">
        <v>6626</v>
      </c>
      <c r="B347" s="12">
        <v>19846022</v>
      </c>
      <c r="C347" s="12" t="s">
        <v>13</v>
      </c>
      <c r="D347" s="12" t="s">
        <v>14</v>
      </c>
      <c r="E347" s="14">
        <v>44420</v>
      </c>
      <c r="F347" s="12" t="s">
        <v>18</v>
      </c>
      <c r="G347" s="12" t="s">
        <v>20</v>
      </c>
      <c r="H347" s="12" t="s">
        <v>30</v>
      </c>
      <c r="I347" s="12">
        <v>230.011</v>
      </c>
      <c r="J347" s="12">
        <v>192.21600000000001</v>
      </c>
    </row>
    <row r="348" spans="1:12" ht="13.9" hidden="1" x14ac:dyDescent="0.25">
      <c r="A348" s="12">
        <v>6627</v>
      </c>
      <c r="B348" s="12">
        <v>19848749</v>
      </c>
      <c r="C348" s="12" t="s">
        <v>13</v>
      </c>
      <c r="D348" s="12" t="s">
        <v>14</v>
      </c>
      <c r="E348" s="14">
        <v>44421</v>
      </c>
      <c r="F348" s="12" t="s">
        <v>17</v>
      </c>
      <c r="G348" s="12" t="s">
        <v>19</v>
      </c>
      <c r="H348" s="12" t="s">
        <v>27</v>
      </c>
      <c r="I348" s="12">
        <v>230.011</v>
      </c>
      <c r="J348" s="12">
        <v>194.14400000000001</v>
      </c>
      <c r="L348" s="12">
        <v>13</v>
      </c>
    </row>
    <row r="349" spans="1:12" ht="13.9" hidden="1" x14ac:dyDescent="0.25">
      <c r="A349" s="12">
        <v>6628</v>
      </c>
      <c r="B349" s="12">
        <v>19853062</v>
      </c>
      <c r="C349" s="12" t="s">
        <v>13</v>
      </c>
      <c r="D349" s="12" t="s">
        <v>14</v>
      </c>
      <c r="E349" s="14">
        <v>44422</v>
      </c>
      <c r="F349" s="12" t="s">
        <v>17</v>
      </c>
      <c r="G349" s="12" t="s">
        <v>19</v>
      </c>
      <c r="H349" s="12" t="s">
        <v>27</v>
      </c>
      <c r="I349" s="12">
        <v>230.00700000000001</v>
      </c>
      <c r="J349" s="12">
        <v>195.6</v>
      </c>
    </row>
    <row r="350" spans="1:12" ht="13.9" hidden="1" x14ac:dyDescent="0.25">
      <c r="A350" s="12">
        <v>6629</v>
      </c>
      <c r="B350" s="12">
        <v>19856191</v>
      </c>
      <c r="C350" s="12" t="s">
        <v>13</v>
      </c>
      <c r="D350" s="12" t="s">
        <v>14</v>
      </c>
      <c r="E350" s="14">
        <v>44423</v>
      </c>
      <c r="F350" s="12" t="s">
        <v>17</v>
      </c>
      <c r="G350" s="12" t="s">
        <v>19</v>
      </c>
      <c r="H350" s="12" t="s">
        <v>27</v>
      </c>
      <c r="I350" s="12">
        <v>230.00800000000001</v>
      </c>
      <c r="J350" s="12">
        <v>193.77099999999999</v>
      </c>
    </row>
    <row r="351" spans="1:12" ht="13.9" hidden="1" x14ac:dyDescent="0.25">
      <c r="A351" s="12">
        <v>6630</v>
      </c>
      <c r="B351" s="12">
        <v>19859481</v>
      </c>
      <c r="C351" s="12" t="s">
        <v>13</v>
      </c>
      <c r="D351" s="12" t="s">
        <v>14</v>
      </c>
      <c r="E351" s="14">
        <v>44424</v>
      </c>
      <c r="F351" s="12" t="s">
        <v>17</v>
      </c>
      <c r="G351" s="12" t="s">
        <v>19</v>
      </c>
      <c r="H351" s="12" t="s">
        <v>27</v>
      </c>
      <c r="I351" s="12">
        <v>230.006</v>
      </c>
      <c r="J351" s="12">
        <v>193.63</v>
      </c>
    </row>
    <row r="352" spans="1:12" ht="13.9" hidden="1" x14ac:dyDescent="0.25">
      <c r="A352" s="12">
        <v>6631</v>
      </c>
      <c r="B352" s="12">
        <v>19859886</v>
      </c>
      <c r="C352" s="12" t="s">
        <v>13</v>
      </c>
      <c r="D352" s="12" t="s">
        <v>14</v>
      </c>
      <c r="E352" s="14">
        <v>44425</v>
      </c>
      <c r="F352" s="12" t="s">
        <v>17</v>
      </c>
      <c r="G352" s="12" t="s">
        <v>19</v>
      </c>
      <c r="H352" s="12" t="s">
        <v>27</v>
      </c>
      <c r="I352" s="12">
        <v>230.006</v>
      </c>
      <c r="J352" s="12">
        <v>190.09200000000001</v>
      </c>
    </row>
    <row r="353" spans="1:12" ht="13.9" hidden="1" x14ac:dyDescent="0.25">
      <c r="A353" s="12">
        <v>6632</v>
      </c>
      <c r="B353" s="12">
        <v>19859974</v>
      </c>
      <c r="C353" s="12" t="s">
        <v>13</v>
      </c>
      <c r="D353" s="12" t="s">
        <v>14</v>
      </c>
      <c r="E353" s="14">
        <v>44426</v>
      </c>
      <c r="F353" s="12" t="s">
        <v>18</v>
      </c>
      <c r="G353" s="12" t="s">
        <v>20</v>
      </c>
      <c r="H353" s="12" t="s">
        <v>29</v>
      </c>
      <c r="I353" s="12">
        <v>229.99199999999999</v>
      </c>
      <c r="J353" s="12">
        <v>189.714</v>
      </c>
      <c r="L353" s="12">
        <v>12.1</v>
      </c>
    </row>
    <row r="354" spans="1:12" ht="13.9" hidden="1" x14ac:dyDescent="0.25">
      <c r="A354" s="12">
        <v>6633</v>
      </c>
      <c r="B354" s="12">
        <v>19864343</v>
      </c>
      <c r="C354" s="12" t="s">
        <v>13</v>
      </c>
      <c r="D354" s="12" t="s">
        <v>14</v>
      </c>
      <c r="E354" s="14">
        <v>44427</v>
      </c>
      <c r="F354" s="12" t="s">
        <v>18</v>
      </c>
      <c r="G354" s="12" t="s">
        <v>20</v>
      </c>
      <c r="H354" s="12" t="s">
        <v>29</v>
      </c>
      <c r="I354" s="12">
        <v>230.00299999999999</v>
      </c>
      <c r="J354" s="12">
        <v>200.547</v>
      </c>
    </row>
    <row r="355" spans="1:12" ht="13.9" hidden="1" x14ac:dyDescent="0.25">
      <c r="A355" s="12">
        <v>6634</v>
      </c>
      <c r="B355" s="12">
        <v>19868045</v>
      </c>
      <c r="C355" s="12" t="s">
        <v>13</v>
      </c>
      <c r="D355" s="12" t="s">
        <v>14</v>
      </c>
      <c r="E355" s="14">
        <v>44428</v>
      </c>
      <c r="F355" s="12" t="s">
        <v>18</v>
      </c>
      <c r="G355" s="12" t="s">
        <v>20</v>
      </c>
      <c r="H355" s="12" t="s">
        <v>29</v>
      </c>
      <c r="I355" s="12">
        <v>230.00200000000001</v>
      </c>
      <c r="J355" s="12">
        <v>191.84399999999999</v>
      </c>
    </row>
    <row r="356" spans="1:12" ht="13.9" hidden="1" x14ac:dyDescent="0.25">
      <c r="A356" s="12">
        <v>6635</v>
      </c>
      <c r="B356" s="12">
        <v>19872394</v>
      </c>
      <c r="C356" s="12" t="s">
        <v>13</v>
      </c>
      <c r="D356" s="12" t="s">
        <v>14</v>
      </c>
      <c r="E356" s="14">
        <v>44429</v>
      </c>
      <c r="F356" s="12" t="s">
        <v>18</v>
      </c>
      <c r="G356" s="12" t="s">
        <v>20</v>
      </c>
      <c r="H356" s="12" t="s">
        <v>29</v>
      </c>
      <c r="I356" s="12">
        <v>230.00899999999999</v>
      </c>
      <c r="J356" s="12">
        <v>198.58</v>
      </c>
    </row>
    <row r="357" spans="1:12" ht="13.9" hidden="1" x14ac:dyDescent="0.25">
      <c r="A357" s="12">
        <v>6636</v>
      </c>
      <c r="B357" s="12">
        <v>19876281</v>
      </c>
      <c r="C357" s="12" t="s">
        <v>13</v>
      </c>
      <c r="D357" s="12" t="s">
        <v>14</v>
      </c>
      <c r="E357" s="14">
        <v>44430</v>
      </c>
      <c r="F357" s="12" t="s">
        <v>18</v>
      </c>
      <c r="G357" s="12" t="s">
        <v>20</v>
      </c>
      <c r="H357" s="12" t="s">
        <v>29</v>
      </c>
      <c r="I357" s="12">
        <v>230.00899999999999</v>
      </c>
      <c r="J357" s="12">
        <v>196.76499999999999</v>
      </c>
    </row>
    <row r="358" spans="1:12" ht="13.9" hidden="1" x14ac:dyDescent="0.25">
      <c r="A358" s="12">
        <v>6637</v>
      </c>
      <c r="B358" s="12">
        <v>19879123</v>
      </c>
      <c r="C358" s="12" t="s">
        <v>13</v>
      </c>
      <c r="D358" s="12" t="s">
        <v>14</v>
      </c>
      <c r="E358" s="14">
        <v>44431</v>
      </c>
      <c r="F358" s="12" t="s">
        <v>17</v>
      </c>
      <c r="G358" s="12" t="s">
        <v>19</v>
      </c>
      <c r="H358" s="12" t="s">
        <v>27</v>
      </c>
      <c r="I358" s="12">
        <v>230.00800000000001</v>
      </c>
      <c r="J358" s="12">
        <v>193.495</v>
      </c>
      <c r="L358" s="12">
        <v>11.7</v>
      </c>
    </row>
    <row r="359" spans="1:12" ht="13.9" hidden="1" x14ac:dyDescent="0.25">
      <c r="A359" s="12">
        <v>6638</v>
      </c>
      <c r="B359" s="12">
        <v>19879406</v>
      </c>
      <c r="C359" s="12" t="s">
        <v>13</v>
      </c>
      <c r="D359" s="12" t="s">
        <v>14</v>
      </c>
      <c r="E359" s="14">
        <v>44432</v>
      </c>
      <c r="F359" s="12" t="s">
        <v>17</v>
      </c>
      <c r="G359" s="12" t="s">
        <v>19</v>
      </c>
      <c r="H359" s="12" t="s">
        <v>27</v>
      </c>
      <c r="I359" s="12">
        <v>230.005</v>
      </c>
      <c r="J359" s="12">
        <v>195.76400000000001</v>
      </c>
      <c r="L359" s="12">
        <v>11.7</v>
      </c>
    </row>
    <row r="360" spans="1:12" ht="13.9" hidden="1" x14ac:dyDescent="0.25">
      <c r="A360" s="12">
        <v>6639</v>
      </c>
      <c r="B360" s="12">
        <v>19880036</v>
      </c>
      <c r="C360" s="12" t="s">
        <v>13</v>
      </c>
      <c r="D360" s="12" t="s">
        <v>14</v>
      </c>
      <c r="E360" s="14">
        <v>44433</v>
      </c>
      <c r="F360" s="12" t="s">
        <v>17</v>
      </c>
      <c r="G360" s="12" t="s">
        <v>19</v>
      </c>
      <c r="H360" s="12" t="s">
        <v>27</v>
      </c>
      <c r="I360" s="12">
        <v>230.005</v>
      </c>
      <c r="J360" s="12">
        <v>193.77099999999999</v>
      </c>
      <c r="L360" s="12">
        <v>11.7</v>
      </c>
    </row>
    <row r="361" spans="1:12" ht="13.9" hidden="1" x14ac:dyDescent="0.25">
      <c r="A361" s="12">
        <v>6640</v>
      </c>
      <c r="B361" s="12">
        <v>19883780</v>
      </c>
      <c r="C361" s="12" t="s">
        <v>13</v>
      </c>
      <c r="D361" s="12" t="s">
        <v>14</v>
      </c>
      <c r="E361" s="14">
        <v>44434</v>
      </c>
      <c r="F361" s="12" t="s">
        <v>17</v>
      </c>
      <c r="G361" s="12" t="s">
        <v>19</v>
      </c>
      <c r="H361" s="12" t="s">
        <v>27</v>
      </c>
      <c r="I361" s="12">
        <v>230.00399999999999</v>
      </c>
      <c r="J361" s="12">
        <v>195.874</v>
      </c>
    </row>
    <row r="362" spans="1:12" ht="13.9" hidden="1" x14ac:dyDescent="0.25">
      <c r="A362" s="12">
        <v>6641</v>
      </c>
      <c r="B362" s="12">
        <v>19887983</v>
      </c>
      <c r="C362" s="12" t="s">
        <v>13</v>
      </c>
      <c r="D362" s="12" t="s">
        <v>14</v>
      </c>
      <c r="E362" s="14">
        <v>44435</v>
      </c>
      <c r="F362" s="12" t="s">
        <v>17</v>
      </c>
      <c r="G362" s="12" t="s">
        <v>19</v>
      </c>
      <c r="H362" s="12" t="s">
        <v>27</v>
      </c>
      <c r="I362" s="12">
        <v>230.00299999999999</v>
      </c>
      <c r="J362" s="12">
        <v>193.92</v>
      </c>
    </row>
    <row r="363" spans="1:12" ht="13.9" hidden="1" x14ac:dyDescent="0.25">
      <c r="A363" s="12">
        <v>6642</v>
      </c>
      <c r="B363" s="12">
        <v>19891350</v>
      </c>
      <c r="C363" s="12" t="s">
        <v>13</v>
      </c>
      <c r="D363" s="12" t="s">
        <v>14</v>
      </c>
      <c r="E363" s="14">
        <v>44436</v>
      </c>
      <c r="F363" s="12" t="s">
        <v>37</v>
      </c>
      <c r="G363" s="12" t="s">
        <v>20</v>
      </c>
      <c r="H363" s="12" t="s">
        <v>30</v>
      </c>
      <c r="I363" s="12">
        <v>230.01300000000001</v>
      </c>
      <c r="J363" s="12">
        <v>196.90299999999999</v>
      </c>
      <c r="L363" s="12">
        <v>11</v>
      </c>
    </row>
    <row r="364" spans="1:12" ht="13.9" hidden="1" x14ac:dyDescent="0.25">
      <c r="A364" s="12">
        <v>6643</v>
      </c>
      <c r="B364" s="12">
        <v>19896855</v>
      </c>
      <c r="C364" s="12" t="s">
        <v>13</v>
      </c>
      <c r="D364" s="12" t="s">
        <v>14</v>
      </c>
      <c r="E364" s="14">
        <v>44437</v>
      </c>
      <c r="F364" s="12" t="s">
        <v>37</v>
      </c>
      <c r="G364" s="12" t="s">
        <v>20</v>
      </c>
      <c r="H364" s="12" t="s">
        <v>30</v>
      </c>
      <c r="I364" s="12">
        <v>230.006</v>
      </c>
      <c r="J364" s="12">
        <v>196.45</v>
      </c>
    </row>
    <row r="365" spans="1:12" ht="13.9" hidden="1" x14ac:dyDescent="0.25">
      <c r="A365" s="12">
        <v>6644</v>
      </c>
      <c r="B365" s="12">
        <v>19898447</v>
      </c>
      <c r="C365" s="12" t="s">
        <v>13</v>
      </c>
      <c r="D365" s="12" t="s">
        <v>14</v>
      </c>
      <c r="E365" s="14">
        <v>44438</v>
      </c>
      <c r="F365" s="12" t="s">
        <v>37</v>
      </c>
      <c r="G365" s="12" t="s">
        <v>20</v>
      </c>
      <c r="H365" s="12" t="s">
        <v>30</v>
      </c>
      <c r="I365" s="12">
        <v>230.005</v>
      </c>
      <c r="J365" s="12">
        <v>189.73</v>
      </c>
    </row>
    <row r="366" spans="1:12" ht="13.9" hidden="1" x14ac:dyDescent="0.25">
      <c r="A366" s="12">
        <v>6645</v>
      </c>
      <c r="B366" s="12">
        <v>19899052</v>
      </c>
      <c r="C366" s="12" t="s">
        <v>13</v>
      </c>
      <c r="D366" s="12" t="s">
        <v>14</v>
      </c>
      <c r="E366" s="14">
        <v>44439</v>
      </c>
      <c r="F366" s="12" t="s">
        <v>37</v>
      </c>
      <c r="G366" s="12" t="s">
        <v>20</v>
      </c>
      <c r="H366" s="12" t="s">
        <v>30</v>
      </c>
      <c r="I366" s="12">
        <v>230.01400000000001</v>
      </c>
      <c r="J366" s="12">
        <v>197.67</v>
      </c>
    </row>
    <row r="367" spans="1:12" ht="13.9" hidden="1" x14ac:dyDescent="0.25">
      <c r="A367" s="12">
        <v>6646</v>
      </c>
      <c r="B367" s="12">
        <v>19899079</v>
      </c>
      <c r="C367" s="12" t="s">
        <v>13</v>
      </c>
      <c r="D367" s="12" t="s">
        <v>14</v>
      </c>
      <c r="E367" s="14">
        <v>44440</v>
      </c>
      <c r="F367" s="12" t="s">
        <v>37</v>
      </c>
      <c r="G367" s="12" t="s">
        <v>20</v>
      </c>
      <c r="H367" s="12" t="s">
        <v>30</v>
      </c>
      <c r="I367" s="12">
        <v>230.01300000000001</v>
      </c>
      <c r="J367" s="12">
        <v>182.899</v>
      </c>
    </row>
    <row r="368" spans="1:12" ht="13.9" hidden="1" x14ac:dyDescent="0.25">
      <c r="A368" s="12">
        <v>6647</v>
      </c>
      <c r="B368" s="12">
        <v>19903162</v>
      </c>
      <c r="C368" s="12" t="s">
        <v>13</v>
      </c>
      <c r="D368" s="12" t="s">
        <v>14</v>
      </c>
      <c r="E368" s="14">
        <v>44441</v>
      </c>
      <c r="F368" s="12" t="s">
        <v>37</v>
      </c>
      <c r="G368" s="12" t="s">
        <v>19</v>
      </c>
      <c r="H368" s="12" t="s">
        <v>27</v>
      </c>
      <c r="I368" s="12">
        <v>230.00700000000001</v>
      </c>
      <c r="J368" s="12">
        <v>199.17699999999999</v>
      </c>
    </row>
    <row r="369" spans="1:12" ht="13.9" hidden="1" x14ac:dyDescent="0.25">
      <c r="A369" s="12">
        <v>6648</v>
      </c>
      <c r="B369" s="12">
        <v>19906697</v>
      </c>
      <c r="C369" s="12" t="s">
        <v>13</v>
      </c>
      <c r="D369" s="12" t="s">
        <v>14</v>
      </c>
      <c r="E369" s="14">
        <v>44442</v>
      </c>
      <c r="F369" s="12" t="s">
        <v>37</v>
      </c>
      <c r="G369" s="12" t="s">
        <v>19</v>
      </c>
      <c r="H369" s="12" t="s">
        <v>27</v>
      </c>
      <c r="I369" s="12">
        <v>230.006</v>
      </c>
      <c r="J369" s="12">
        <v>192.714</v>
      </c>
    </row>
    <row r="370" spans="1:12" ht="13.9" hidden="1" x14ac:dyDescent="0.25">
      <c r="A370" s="12">
        <v>6649</v>
      </c>
      <c r="B370" s="12">
        <v>19910258</v>
      </c>
      <c r="C370" s="12" t="s">
        <v>13</v>
      </c>
      <c r="D370" s="12" t="s">
        <v>14</v>
      </c>
      <c r="E370" s="14">
        <v>44443</v>
      </c>
      <c r="F370" s="12" t="s">
        <v>37</v>
      </c>
      <c r="G370" s="12" t="s">
        <v>19</v>
      </c>
      <c r="H370" s="12" t="s">
        <v>27</v>
      </c>
      <c r="I370" s="12">
        <v>230.00399999999999</v>
      </c>
      <c r="J370" s="12">
        <v>199.60400000000001</v>
      </c>
    </row>
    <row r="371" spans="1:12" ht="13.9" hidden="1" x14ac:dyDescent="0.25">
      <c r="A371" s="12">
        <v>6650</v>
      </c>
      <c r="B371" s="12">
        <v>19913951</v>
      </c>
      <c r="C371" s="12" t="s">
        <v>13</v>
      </c>
      <c r="D371" s="12" t="s">
        <v>14</v>
      </c>
      <c r="E371" s="14">
        <v>44444</v>
      </c>
      <c r="F371" s="12" t="s">
        <v>37</v>
      </c>
      <c r="G371" s="12" t="s">
        <v>19</v>
      </c>
      <c r="H371" s="12" t="s">
        <v>27</v>
      </c>
      <c r="I371" s="12">
        <v>230.00399999999999</v>
      </c>
      <c r="J371" s="12">
        <v>190.114</v>
      </c>
    </row>
    <row r="372" spans="1:12" ht="13.9" hidden="1" x14ac:dyDescent="0.25">
      <c r="A372" s="12">
        <v>6651</v>
      </c>
      <c r="B372" s="12">
        <v>19921838</v>
      </c>
      <c r="C372" s="12" t="s">
        <v>13</v>
      </c>
      <c r="D372" s="12" t="s">
        <v>14</v>
      </c>
      <c r="E372" s="14">
        <v>44445</v>
      </c>
      <c r="F372" s="12" t="s">
        <v>34</v>
      </c>
      <c r="G372" s="12" t="s">
        <v>19</v>
      </c>
      <c r="H372" s="12" t="s">
        <v>39</v>
      </c>
      <c r="I372" s="12">
        <v>225.00899999999999</v>
      </c>
      <c r="J372" s="12">
        <v>189.58199999999999</v>
      </c>
      <c r="L372" s="12">
        <v>14.1</v>
      </c>
    </row>
    <row r="373" spans="1:12" ht="13.9" hidden="1" x14ac:dyDescent="0.25">
      <c r="A373" s="12">
        <v>6652</v>
      </c>
      <c r="B373" s="12">
        <v>19921871</v>
      </c>
      <c r="C373" s="12" t="s">
        <v>13</v>
      </c>
      <c r="D373" s="12" t="s">
        <v>14</v>
      </c>
      <c r="E373" s="14">
        <v>44446</v>
      </c>
      <c r="F373" s="12" t="s">
        <v>34</v>
      </c>
      <c r="G373" s="12" t="s">
        <v>19</v>
      </c>
      <c r="H373" s="12" t="s">
        <v>40</v>
      </c>
      <c r="I373" s="12">
        <v>225.001</v>
      </c>
      <c r="J373" s="12">
        <v>192.833</v>
      </c>
    </row>
    <row r="374" spans="1:12" ht="13.9" hidden="1" x14ac:dyDescent="0.25">
      <c r="A374" s="12">
        <v>6653</v>
      </c>
      <c r="B374" s="12">
        <v>19919455</v>
      </c>
      <c r="C374" s="12" t="s">
        <v>13</v>
      </c>
      <c r="D374" s="12" t="s">
        <v>14</v>
      </c>
      <c r="E374" s="14">
        <v>44447</v>
      </c>
      <c r="F374" s="12" t="s">
        <v>18</v>
      </c>
      <c r="G374" s="12" t="s">
        <v>20</v>
      </c>
      <c r="H374" s="12" t="s">
        <v>29</v>
      </c>
      <c r="I374" s="12">
        <v>230.01900000000001</v>
      </c>
      <c r="J374" s="12">
        <v>188.43600000000001</v>
      </c>
    </row>
    <row r="375" spans="1:12" ht="13.9" hidden="1" x14ac:dyDescent="0.25">
      <c r="A375" s="12">
        <v>6654</v>
      </c>
      <c r="B375" s="12">
        <v>19923454</v>
      </c>
      <c r="C375" s="12" t="s">
        <v>13</v>
      </c>
      <c r="D375" s="12" t="s">
        <v>14</v>
      </c>
      <c r="E375" s="14">
        <v>44448</v>
      </c>
      <c r="F375" s="12" t="s">
        <v>18</v>
      </c>
      <c r="G375" s="12" t="s">
        <v>20</v>
      </c>
      <c r="H375" s="12" t="s">
        <v>29</v>
      </c>
      <c r="I375" s="12">
        <v>230.018</v>
      </c>
      <c r="J375" s="12">
        <v>185.245</v>
      </c>
    </row>
    <row r="376" spans="1:12" ht="13.9" hidden="1" x14ac:dyDescent="0.25">
      <c r="A376" s="12">
        <v>6655</v>
      </c>
      <c r="B376" s="12">
        <v>19930048</v>
      </c>
      <c r="C376" s="12" t="s">
        <v>13</v>
      </c>
      <c r="D376" s="12" t="s">
        <v>14</v>
      </c>
      <c r="E376" s="14">
        <v>44449</v>
      </c>
      <c r="F376" s="12" t="s">
        <v>18</v>
      </c>
      <c r="G376" s="12" t="s">
        <v>20</v>
      </c>
      <c r="H376" s="12" t="s">
        <v>29</v>
      </c>
      <c r="I376" s="12">
        <v>229.964</v>
      </c>
      <c r="J376" s="12">
        <v>197.49700000000001</v>
      </c>
      <c r="L376" s="12">
        <v>11.6</v>
      </c>
    </row>
    <row r="377" spans="1:12" ht="13.9" hidden="1" x14ac:dyDescent="0.25">
      <c r="A377" s="12">
        <v>6656</v>
      </c>
      <c r="B377" s="12">
        <v>19932588</v>
      </c>
      <c r="C377" s="12" t="s">
        <v>13</v>
      </c>
      <c r="D377" s="12" t="s">
        <v>14</v>
      </c>
      <c r="E377" s="14">
        <v>44450</v>
      </c>
      <c r="F377" s="12" t="s">
        <v>18</v>
      </c>
      <c r="G377" s="12" t="s">
        <v>20</v>
      </c>
      <c r="H377" s="12" t="s">
        <v>29</v>
      </c>
      <c r="I377" s="12">
        <v>230</v>
      </c>
      <c r="J377" s="12">
        <v>197.20099999999999</v>
      </c>
    </row>
    <row r="378" spans="1:12" ht="13.9" hidden="1" x14ac:dyDescent="0.25">
      <c r="A378" s="12">
        <v>6657</v>
      </c>
      <c r="B378" s="12">
        <v>19936571</v>
      </c>
      <c r="C378" s="12" t="s">
        <v>13</v>
      </c>
      <c r="D378" s="12" t="s">
        <v>14</v>
      </c>
      <c r="E378" s="14">
        <v>44451</v>
      </c>
      <c r="F378" s="12" t="s">
        <v>18</v>
      </c>
      <c r="G378" s="12" t="s">
        <v>20</v>
      </c>
      <c r="H378" s="12" t="s">
        <v>29</v>
      </c>
      <c r="I378" s="12">
        <v>230</v>
      </c>
      <c r="J378" s="12">
        <v>175.55</v>
      </c>
    </row>
    <row r="379" spans="1:12" ht="13.9" hidden="1" x14ac:dyDescent="0.25">
      <c r="A379" s="12">
        <v>6658</v>
      </c>
      <c r="B379" s="12">
        <v>19940617</v>
      </c>
      <c r="C379" s="12" t="s">
        <v>13</v>
      </c>
      <c r="D379" s="12" t="s">
        <v>14</v>
      </c>
      <c r="E379" s="14">
        <v>44452</v>
      </c>
      <c r="F379" s="12" t="s">
        <v>36</v>
      </c>
      <c r="G379" s="12" t="s">
        <v>20</v>
      </c>
      <c r="H379" s="12" t="s">
        <v>30</v>
      </c>
      <c r="I379" s="12">
        <v>229.999</v>
      </c>
      <c r="J379" s="12">
        <v>198.41900000000001</v>
      </c>
    </row>
    <row r="380" spans="1:12" ht="13.9" hidden="1" x14ac:dyDescent="0.25">
      <c r="A380" s="12">
        <v>6659</v>
      </c>
      <c r="B380" s="12">
        <v>19940684</v>
      </c>
      <c r="C380" s="12" t="s">
        <v>13</v>
      </c>
      <c r="D380" s="12" t="s">
        <v>14</v>
      </c>
      <c r="E380" s="14">
        <v>44453</v>
      </c>
      <c r="F380" s="12" t="s">
        <v>36</v>
      </c>
      <c r="G380" s="12" t="s">
        <v>20</v>
      </c>
      <c r="H380" s="12" t="s">
        <v>30</v>
      </c>
      <c r="I380" s="12">
        <v>229.999</v>
      </c>
      <c r="J380" s="12">
        <v>189.67400000000001</v>
      </c>
    </row>
    <row r="381" spans="1:12" ht="13.9" hidden="1" x14ac:dyDescent="0.25">
      <c r="A381" s="12">
        <v>6660</v>
      </c>
      <c r="B381" s="12">
        <v>19941329</v>
      </c>
      <c r="C381" s="12" t="s">
        <v>13</v>
      </c>
      <c r="D381" s="12" t="s">
        <v>14</v>
      </c>
      <c r="E381" s="14">
        <v>44454</v>
      </c>
      <c r="F381" s="12" t="s">
        <v>18</v>
      </c>
      <c r="G381" s="12" t="s">
        <v>20</v>
      </c>
      <c r="H381" s="12" t="s">
        <v>30</v>
      </c>
      <c r="I381" s="12">
        <v>229.988</v>
      </c>
      <c r="J381" s="12">
        <v>183.535</v>
      </c>
    </row>
    <row r="382" spans="1:12" ht="13.9" hidden="1" x14ac:dyDescent="0.25">
      <c r="A382" s="12">
        <v>6661</v>
      </c>
      <c r="B382" s="12">
        <v>19946437</v>
      </c>
      <c r="C382" s="12" t="s">
        <v>13</v>
      </c>
      <c r="D382" s="12" t="s">
        <v>14</v>
      </c>
      <c r="E382" s="14">
        <v>44455</v>
      </c>
      <c r="F382" s="12" t="s">
        <v>18</v>
      </c>
      <c r="G382" s="12" t="s">
        <v>20</v>
      </c>
      <c r="H382" s="12" t="s">
        <v>30</v>
      </c>
      <c r="I382" s="12">
        <v>229.988</v>
      </c>
      <c r="J382" s="12">
        <v>176.69200000000001</v>
      </c>
    </row>
    <row r="383" spans="1:12" ht="13.9" hidden="1" x14ac:dyDescent="0.25">
      <c r="A383" s="12">
        <v>6662</v>
      </c>
      <c r="B383" s="12">
        <v>19950401</v>
      </c>
      <c r="C383" s="12" t="s">
        <v>13</v>
      </c>
      <c r="D383" s="12" t="s">
        <v>14</v>
      </c>
      <c r="E383" s="14">
        <v>44456</v>
      </c>
      <c r="F383" s="12" t="s">
        <v>17</v>
      </c>
      <c r="G383" s="12" t="s">
        <v>19</v>
      </c>
      <c r="H383" s="12" t="s">
        <v>39</v>
      </c>
      <c r="I383" s="12">
        <v>230.01599999999999</v>
      </c>
      <c r="J383" s="12">
        <v>163.06700000000001</v>
      </c>
    </row>
    <row r="384" spans="1:12" ht="13.9" hidden="1" x14ac:dyDescent="0.25">
      <c r="A384" s="12">
        <v>6663</v>
      </c>
      <c r="B384" s="12">
        <v>19953944</v>
      </c>
      <c r="C384" s="12" t="s">
        <v>13</v>
      </c>
      <c r="D384" s="12" t="s">
        <v>14</v>
      </c>
      <c r="E384" s="14">
        <v>44457</v>
      </c>
      <c r="F384" s="12" t="s">
        <v>17</v>
      </c>
      <c r="G384" s="12" t="s">
        <v>19</v>
      </c>
      <c r="H384" s="12" t="s">
        <v>39</v>
      </c>
      <c r="I384" s="12">
        <v>230.01599999999999</v>
      </c>
      <c r="J384" s="12">
        <v>157.232</v>
      </c>
      <c r="L384" s="12">
        <v>13.8</v>
      </c>
    </row>
    <row r="385" spans="1:12" ht="13.9" hidden="1" x14ac:dyDescent="0.25">
      <c r="A385" s="12">
        <v>6664</v>
      </c>
      <c r="B385" s="12">
        <v>19958446</v>
      </c>
      <c r="C385" s="12" t="s">
        <v>13</v>
      </c>
      <c r="D385" s="12" t="s">
        <v>14</v>
      </c>
      <c r="E385" s="14">
        <v>44458</v>
      </c>
      <c r="F385" s="12" t="s">
        <v>17</v>
      </c>
      <c r="G385" s="12" t="s">
        <v>19</v>
      </c>
      <c r="H385" s="12" t="s">
        <v>39</v>
      </c>
      <c r="I385" s="12">
        <v>230.01499999999999</v>
      </c>
      <c r="J385" s="12">
        <v>168.10400000000001</v>
      </c>
    </row>
    <row r="386" spans="1:12" ht="13.9" hidden="1" x14ac:dyDescent="0.25">
      <c r="A386" s="12">
        <v>6665</v>
      </c>
      <c r="B386" s="12">
        <v>19963384</v>
      </c>
      <c r="C386" s="12" t="s">
        <v>13</v>
      </c>
      <c r="D386" s="12" t="s">
        <v>14</v>
      </c>
      <c r="E386" s="14">
        <v>44459</v>
      </c>
      <c r="F386" s="12" t="s">
        <v>17</v>
      </c>
      <c r="G386" s="12" t="s">
        <v>19</v>
      </c>
      <c r="H386" s="12" t="s">
        <v>41</v>
      </c>
      <c r="I386" s="12">
        <v>230.029</v>
      </c>
      <c r="J386" s="12">
        <v>195.66</v>
      </c>
      <c r="L386" s="12">
        <v>13.5</v>
      </c>
    </row>
    <row r="387" spans="1:12" ht="13.9" hidden="1" x14ac:dyDescent="0.25">
      <c r="A387" s="12">
        <v>6666</v>
      </c>
      <c r="B387" s="12">
        <v>19963413</v>
      </c>
      <c r="C387" s="12" t="s">
        <v>13</v>
      </c>
      <c r="D387" s="12" t="s">
        <v>14</v>
      </c>
      <c r="E387" s="14">
        <v>44460</v>
      </c>
      <c r="F387" s="12" t="s">
        <v>17</v>
      </c>
      <c r="G387" s="12" t="s">
        <v>19</v>
      </c>
      <c r="H387" s="12" t="s">
        <v>40</v>
      </c>
      <c r="I387" s="12">
        <v>230.01300000000001</v>
      </c>
      <c r="J387" s="12">
        <v>193.65</v>
      </c>
      <c r="L387" s="12">
        <v>14</v>
      </c>
    </row>
    <row r="388" spans="1:12" ht="13.9" hidden="1" x14ac:dyDescent="0.25">
      <c r="A388" s="12">
        <v>6667</v>
      </c>
      <c r="B388" s="12">
        <v>19963755</v>
      </c>
      <c r="C388" s="12" t="s">
        <v>13</v>
      </c>
      <c r="D388" s="12" t="s">
        <v>14</v>
      </c>
      <c r="E388" s="14">
        <v>44461</v>
      </c>
      <c r="F388" s="12" t="s">
        <v>18</v>
      </c>
      <c r="G388" s="12" t="s">
        <v>20</v>
      </c>
      <c r="H388" s="12" t="s">
        <v>42</v>
      </c>
      <c r="I388" s="12">
        <v>230.005</v>
      </c>
      <c r="J388" s="12">
        <v>176.99100000000001</v>
      </c>
      <c r="L388" s="12">
        <v>14.6</v>
      </c>
    </row>
    <row r="389" spans="1:12" ht="13.9" hidden="1" x14ac:dyDescent="0.25">
      <c r="A389" s="12">
        <v>6668</v>
      </c>
      <c r="B389" s="12">
        <v>19967465</v>
      </c>
      <c r="C389" s="12" t="s">
        <v>13</v>
      </c>
      <c r="D389" s="12" t="s">
        <v>14</v>
      </c>
      <c r="E389" s="14">
        <v>44462</v>
      </c>
      <c r="F389" s="12" t="s">
        <v>18</v>
      </c>
      <c r="G389" s="12" t="s">
        <v>20</v>
      </c>
      <c r="H389" s="12" t="s">
        <v>30</v>
      </c>
      <c r="I389" s="12">
        <v>229.99600000000001</v>
      </c>
      <c r="J389" s="12">
        <v>171.7</v>
      </c>
    </row>
    <row r="390" spans="1:12" ht="13.9" hidden="1" x14ac:dyDescent="0.25">
      <c r="A390" s="12">
        <v>6669</v>
      </c>
      <c r="B390" s="12">
        <v>19971827</v>
      </c>
      <c r="C390" s="12" t="s">
        <v>13</v>
      </c>
      <c r="D390" s="12" t="s">
        <v>14</v>
      </c>
      <c r="E390" s="14">
        <v>44463</v>
      </c>
      <c r="F390" s="12" t="s">
        <v>18</v>
      </c>
      <c r="G390" s="12" t="s">
        <v>20</v>
      </c>
      <c r="H390" s="12" t="s">
        <v>30</v>
      </c>
      <c r="I390" s="12">
        <v>229.99600000000001</v>
      </c>
      <c r="J390" s="12">
        <v>181.358</v>
      </c>
    </row>
    <row r="391" spans="1:12" ht="13.9" hidden="1" x14ac:dyDescent="0.25">
      <c r="A391" s="12">
        <v>6670</v>
      </c>
      <c r="B391" s="12">
        <v>19975625</v>
      </c>
      <c r="C391" s="12" t="s">
        <v>13</v>
      </c>
      <c r="D391" s="12" t="s">
        <v>14</v>
      </c>
      <c r="E391" s="14">
        <v>44464</v>
      </c>
      <c r="F391" s="12" t="s">
        <v>18</v>
      </c>
      <c r="G391" s="12" t="s">
        <v>20</v>
      </c>
      <c r="H391" s="12" t="s">
        <v>29</v>
      </c>
      <c r="I391" s="12">
        <v>230</v>
      </c>
      <c r="J391" s="12">
        <v>175.381</v>
      </c>
      <c r="L391" s="12">
        <v>11.3</v>
      </c>
    </row>
    <row r="392" spans="1:12" ht="13.9" hidden="1" x14ac:dyDescent="0.25">
      <c r="A392" s="12">
        <v>6671</v>
      </c>
      <c r="B392" s="12">
        <v>19982180</v>
      </c>
      <c r="C392" s="12" t="s">
        <v>13</v>
      </c>
      <c r="D392" s="12" t="s">
        <v>14</v>
      </c>
      <c r="E392" s="14">
        <v>44465</v>
      </c>
      <c r="F392" s="12" t="s">
        <v>17</v>
      </c>
      <c r="G392" s="12" t="s">
        <v>19</v>
      </c>
      <c r="H392" s="12" t="s">
        <v>43</v>
      </c>
      <c r="I392" s="12">
        <v>229.99199999999999</v>
      </c>
      <c r="J392" s="12">
        <v>177.19399999999999</v>
      </c>
      <c r="L392" s="12">
        <v>13.9</v>
      </c>
    </row>
    <row r="393" spans="1:12" ht="13.9" hidden="1" x14ac:dyDescent="0.25">
      <c r="A393" s="12">
        <v>6672</v>
      </c>
      <c r="B393" s="12">
        <v>19983545</v>
      </c>
      <c r="C393" s="12" t="s">
        <v>13</v>
      </c>
      <c r="D393" s="12" t="s">
        <v>14</v>
      </c>
      <c r="E393" s="14">
        <v>44466</v>
      </c>
      <c r="F393" s="12" t="s">
        <v>18</v>
      </c>
      <c r="G393" s="12" t="s">
        <v>20</v>
      </c>
      <c r="H393" s="12" t="s">
        <v>44</v>
      </c>
      <c r="I393" s="12">
        <v>230.01300000000001</v>
      </c>
      <c r="J393" s="12">
        <v>189.73699999999999</v>
      </c>
      <c r="L393" s="12">
        <v>13.7</v>
      </c>
    </row>
    <row r="394" spans="1:12" ht="13.9" hidden="1" x14ac:dyDescent="0.25">
      <c r="A394" s="12">
        <v>6673</v>
      </c>
      <c r="B394" s="12">
        <v>19983553</v>
      </c>
      <c r="C394" s="12" t="s">
        <v>13</v>
      </c>
      <c r="D394" s="12" t="s">
        <v>14</v>
      </c>
      <c r="E394" s="14">
        <v>44467</v>
      </c>
      <c r="F394" s="12" t="s">
        <v>17</v>
      </c>
      <c r="G394" s="12" t="s">
        <v>20</v>
      </c>
      <c r="H394" s="12" t="s">
        <v>39</v>
      </c>
      <c r="I394" s="12">
        <v>230</v>
      </c>
      <c r="J394" s="12">
        <v>200.114</v>
      </c>
    </row>
    <row r="395" spans="1:12" ht="13.9" hidden="1" x14ac:dyDescent="0.25">
      <c r="A395" s="12">
        <v>6674</v>
      </c>
      <c r="B395" s="12">
        <v>19984901</v>
      </c>
      <c r="C395" s="12" t="s">
        <v>13</v>
      </c>
      <c r="D395" s="12" t="s">
        <v>14</v>
      </c>
      <c r="E395" s="14">
        <v>44468</v>
      </c>
      <c r="F395" s="12" t="s">
        <v>17</v>
      </c>
      <c r="G395" s="12" t="s">
        <v>20</v>
      </c>
      <c r="H395" s="12" t="s">
        <v>39</v>
      </c>
      <c r="I395" s="12">
        <v>230</v>
      </c>
      <c r="J395" s="12">
        <v>196.399</v>
      </c>
    </row>
    <row r="396" spans="1:12" ht="13.9" hidden="1" x14ac:dyDescent="0.25">
      <c r="A396" s="12">
        <v>6675</v>
      </c>
      <c r="B396" s="12">
        <v>19988995</v>
      </c>
      <c r="C396" s="12" t="s">
        <v>13</v>
      </c>
      <c r="D396" s="12" t="s">
        <v>14</v>
      </c>
      <c r="E396" s="14">
        <v>44469</v>
      </c>
      <c r="F396" s="12" t="s">
        <v>17</v>
      </c>
      <c r="G396" s="12" t="s">
        <v>20</v>
      </c>
      <c r="H396" s="12" t="s">
        <v>39</v>
      </c>
      <c r="I396" s="12">
        <v>230</v>
      </c>
      <c r="J396" s="12">
        <v>192.946</v>
      </c>
    </row>
    <row r="397" spans="1:12" ht="13.9" hidden="1" x14ac:dyDescent="0.25">
      <c r="A397" s="12">
        <v>6676</v>
      </c>
      <c r="B397" s="12">
        <v>1000039</v>
      </c>
      <c r="C397" s="12" t="s">
        <v>13</v>
      </c>
      <c r="D397" s="12" t="s">
        <v>14</v>
      </c>
      <c r="E397" s="14">
        <v>44470</v>
      </c>
      <c r="F397" s="12" t="s">
        <v>18</v>
      </c>
      <c r="G397" s="12" t="s">
        <v>20</v>
      </c>
      <c r="H397" s="12" t="s">
        <v>42</v>
      </c>
      <c r="I397" s="12">
        <v>230.011</v>
      </c>
      <c r="J397" s="12">
        <v>195.87</v>
      </c>
    </row>
    <row r="398" spans="1:12" ht="13.9" hidden="1" x14ac:dyDescent="0.25">
      <c r="A398" s="12">
        <v>6677</v>
      </c>
      <c r="B398" s="12">
        <v>1000040</v>
      </c>
      <c r="C398" s="12" t="s">
        <v>13</v>
      </c>
      <c r="D398" s="12" t="s">
        <v>14</v>
      </c>
      <c r="E398" s="14">
        <v>44471</v>
      </c>
      <c r="F398" s="12" t="s">
        <v>18</v>
      </c>
      <c r="G398" s="12" t="s">
        <v>20</v>
      </c>
      <c r="H398" s="12" t="s">
        <v>42</v>
      </c>
      <c r="I398" s="12">
        <v>230.011</v>
      </c>
      <c r="J398" s="12">
        <v>193.71199999999999</v>
      </c>
    </row>
    <row r="399" spans="1:12" ht="13.9" hidden="1" x14ac:dyDescent="0.25">
      <c r="A399" s="12">
        <v>6678</v>
      </c>
      <c r="B399" s="12">
        <v>1000041</v>
      </c>
      <c r="C399" s="12" t="s">
        <v>13</v>
      </c>
      <c r="D399" s="12" t="s">
        <v>14</v>
      </c>
      <c r="E399" s="14">
        <v>44472</v>
      </c>
      <c r="F399" s="12" t="s">
        <v>18</v>
      </c>
      <c r="G399" s="12" t="s">
        <v>20</v>
      </c>
      <c r="H399" s="12" t="s">
        <v>42</v>
      </c>
      <c r="I399" s="12">
        <v>230.005</v>
      </c>
      <c r="J399" s="12">
        <v>198.32400000000001</v>
      </c>
      <c r="L399" s="12">
        <v>12.2</v>
      </c>
    </row>
    <row r="400" spans="1:12" ht="13.9" hidden="1" x14ac:dyDescent="0.25">
      <c r="A400" s="12">
        <v>6679</v>
      </c>
      <c r="B400" s="12">
        <v>1000042</v>
      </c>
      <c r="C400" s="12" t="s">
        <v>13</v>
      </c>
      <c r="D400" s="12" t="s">
        <v>14</v>
      </c>
      <c r="E400" s="14">
        <v>44473</v>
      </c>
      <c r="F400" s="12" t="s">
        <v>18</v>
      </c>
      <c r="G400" s="12" t="s">
        <v>20</v>
      </c>
      <c r="H400" s="12" t="s">
        <v>42</v>
      </c>
      <c r="I400" s="12">
        <v>225.00399999999999</v>
      </c>
      <c r="J400" s="12">
        <v>194.05799999999999</v>
      </c>
    </row>
    <row r="401" spans="1:12" ht="13.9" hidden="1" x14ac:dyDescent="0.25">
      <c r="A401" s="12">
        <v>6680</v>
      </c>
      <c r="B401" s="12">
        <v>1000043</v>
      </c>
      <c r="C401" s="12" t="s">
        <v>13</v>
      </c>
      <c r="D401" s="12" t="s">
        <v>14</v>
      </c>
      <c r="E401" s="14">
        <v>44474</v>
      </c>
      <c r="F401" s="12" t="s">
        <v>18</v>
      </c>
      <c r="G401" s="12" t="s">
        <v>20</v>
      </c>
      <c r="H401" s="12" t="s">
        <v>42</v>
      </c>
      <c r="I401" s="12">
        <v>225.00399999999999</v>
      </c>
      <c r="J401" s="12">
        <v>193.577</v>
      </c>
    </row>
    <row r="402" spans="1:12" ht="13.9" hidden="1" x14ac:dyDescent="0.25">
      <c r="A402" s="12">
        <v>6681</v>
      </c>
      <c r="B402" s="12">
        <v>1000044</v>
      </c>
      <c r="C402" s="12" t="s">
        <v>13</v>
      </c>
      <c r="D402" s="12" t="s">
        <v>14</v>
      </c>
      <c r="E402" s="14">
        <v>44475</v>
      </c>
      <c r="F402" s="12" t="s">
        <v>18</v>
      </c>
      <c r="G402" s="12" t="s">
        <v>20</v>
      </c>
      <c r="H402" s="12" t="s">
        <v>44</v>
      </c>
      <c r="I402" s="12">
        <v>225.00899999999999</v>
      </c>
      <c r="J402" s="12">
        <v>191.29599999999999</v>
      </c>
      <c r="L402" s="12">
        <v>12.6</v>
      </c>
    </row>
    <row r="403" spans="1:12" ht="13.9" hidden="1" x14ac:dyDescent="0.25">
      <c r="A403" s="12">
        <v>6682</v>
      </c>
      <c r="B403" s="12">
        <v>1000046</v>
      </c>
      <c r="C403" s="12" t="s">
        <v>13</v>
      </c>
      <c r="D403" s="12" t="s">
        <v>14</v>
      </c>
      <c r="E403" s="14">
        <v>44476</v>
      </c>
      <c r="F403" s="12" t="s">
        <v>18</v>
      </c>
      <c r="G403" s="12" t="s">
        <v>20</v>
      </c>
      <c r="H403" s="12" t="s">
        <v>44</v>
      </c>
      <c r="I403" s="12">
        <v>225.00299999999999</v>
      </c>
      <c r="J403" s="12">
        <v>190.251</v>
      </c>
    </row>
    <row r="404" spans="1:12" ht="13.9" hidden="1" x14ac:dyDescent="0.25">
      <c r="A404" s="12">
        <v>6683</v>
      </c>
      <c r="B404" s="12">
        <v>1000048</v>
      </c>
      <c r="C404" s="12" t="s">
        <v>13</v>
      </c>
      <c r="D404" s="12" t="s">
        <v>14</v>
      </c>
      <c r="E404" s="14">
        <v>44477</v>
      </c>
      <c r="F404" s="12" t="s">
        <v>18</v>
      </c>
      <c r="G404" s="12" t="s">
        <v>20</v>
      </c>
      <c r="H404" s="12" t="s">
        <v>44</v>
      </c>
      <c r="I404" s="12">
        <v>225.00200000000001</v>
      </c>
      <c r="J404" s="12">
        <v>190.16900000000001</v>
      </c>
    </row>
    <row r="405" spans="1:12" ht="13.9" hidden="1" x14ac:dyDescent="0.25">
      <c r="A405" s="12">
        <v>6684</v>
      </c>
      <c r="B405" s="12">
        <v>1000049</v>
      </c>
      <c r="C405" s="12" t="s">
        <v>13</v>
      </c>
      <c r="D405" s="12" t="s">
        <v>14</v>
      </c>
      <c r="E405" s="14">
        <v>44478</v>
      </c>
      <c r="F405" s="12" t="s">
        <v>18</v>
      </c>
      <c r="G405" s="12" t="s">
        <v>20</v>
      </c>
      <c r="H405" s="12" t="s">
        <v>44</v>
      </c>
      <c r="I405" s="12">
        <v>230</v>
      </c>
      <c r="J405" s="12">
        <v>190.35300000000001</v>
      </c>
    </row>
    <row r="406" spans="1:12" ht="13.9" hidden="1" x14ac:dyDescent="0.25">
      <c r="A406" s="12">
        <v>6685</v>
      </c>
      <c r="B406" s="12">
        <v>1000053</v>
      </c>
      <c r="C406" s="12" t="s">
        <v>13</v>
      </c>
      <c r="D406" s="12" t="s">
        <v>14</v>
      </c>
      <c r="E406" s="14">
        <v>44479</v>
      </c>
      <c r="F406" s="12" t="s">
        <v>18</v>
      </c>
      <c r="G406" s="12" t="s">
        <v>20</v>
      </c>
      <c r="H406" s="12" t="s">
        <v>44</v>
      </c>
      <c r="I406" s="12">
        <v>230</v>
      </c>
      <c r="J406" s="12">
        <v>181.76900000000001</v>
      </c>
    </row>
    <row r="407" spans="1:12" ht="13.9" hidden="1" x14ac:dyDescent="0.25">
      <c r="A407" s="12">
        <v>6686</v>
      </c>
      <c r="B407" s="12">
        <v>1000055</v>
      </c>
      <c r="C407" s="12" t="s">
        <v>13</v>
      </c>
      <c r="D407" s="12" t="s">
        <v>14</v>
      </c>
      <c r="E407" s="14">
        <v>44480</v>
      </c>
      <c r="F407" s="12" t="s">
        <v>18</v>
      </c>
      <c r="G407" s="12" t="s">
        <v>20</v>
      </c>
      <c r="H407" s="12" t="s">
        <v>42</v>
      </c>
      <c r="I407" s="12">
        <v>225.001</v>
      </c>
      <c r="J407" s="12">
        <v>188.02600000000001</v>
      </c>
      <c r="L407" s="12">
        <v>12.7</v>
      </c>
    </row>
    <row r="408" spans="1:12" ht="13.9" hidden="1" x14ac:dyDescent="0.25">
      <c r="A408" s="12">
        <v>6687</v>
      </c>
      <c r="B408" s="12">
        <v>1000069</v>
      </c>
      <c r="C408" s="12" t="s">
        <v>13</v>
      </c>
      <c r="D408" s="12" t="s">
        <v>14</v>
      </c>
      <c r="E408" s="14">
        <v>44481</v>
      </c>
      <c r="F408" s="12" t="s">
        <v>18</v>
      </c>
      <c r="G408" s="12" t="s">
        <v>20</v>
      </c>
      <c r="H408" s="12" t="s">
        <v>44</v>
      </c>
      <c r="I408" s="12">
        <v>225.02500000000001</v>
      </c>
      <c r="J408" s="12">
        <v>189.76400000000001</v>
      </c>
    </row>
    <row r="409" spans="1:12" ht="13.9" hidden="1" x14ac:dyDescent="0.25">
      <c r="A409" s="12">
        <v>6688</v>
      </c>
      <c r="B409" s="12">
        <v>1000070</v>
      </c>
      <c r="C409" s="12" t="s">
        <v>13</v>
      </c>
      <c r="D409" s="12" t="s">
        <v>14</v>
      </c>
      <c r="E409" s="14">
        <v>44482</v>
      </c>
      <c r="F409" s="12" t="s">
        <v>18</v>
      </c>
      <c r="G409" s="12" t="s">
        <v>20</v>
      </c>
      <c r="H409" s="12" t="s">
        <v>44</v>
      </c>
      <c r="I409" s="12">
        <v>225.02500000000001</v>
      </c>
      <c r="J409" s="12">
        <v>191.065</v>
      </c>
    </row>
    <row r="410" spans="1:12" ht="13.9" hidden="1" x14ac:dyDescent="0.25">
      <c r="A410" s="12">
        <v>6689</v>
      </c>
      <c r="B410" s="12">
        <v>1000245</v>
      </c>
      <c r="C410" s="12" t="s">
        <v>13</v>
      </c>
      <c r="D410" s="12" t="s">
        <v>14</v>
      </c>
      <c r="E410" s="14">
        <v>44483</v>
      </c>
      <c r="F410" s="12" t="s">
        <v>18</v>
      </c>
      <c r="G410" s="12" t="s">
        <v>20</v>
      </c>
      <c r="H410" s="12" t="s">
        <v>44</v>
      </c>
      <c r="I410" s="12">
        <v>225.00299999999999</v>
      </c>
      <c r="J410" s="12">
        <v>190.988</v>
      </c>
    </row>
    <row r="411" spans="1:12" ht="13.9" hidden="1" x14ac:dyDescent="0.25">
      <c r="A411" s="12">
        <v>6690</v>
      </c>
      <c r="B411" s="12">
        <v>1000361</v>
      </c>
      <c r="C411" s="12" t="s">
        <v>13</v>
      </c>
      <c r="D411" s="12" t="s">
        <v>14</v>
      </c>
      <c r="E411" s="14">
        <v>44484</v>
      </c>
      <c r="F411" s="12" t="s">
        <v>18</v>
      </c>
      <c r="G411" s="12" t="s">
        <v>20</v>
      </c>
      <c r="H411" s="12" t="s">
        <v>44</v>
      </c>
      <c r="I411" s="12">
        <v>225.00399999999999</v>
      </c>
      <c r="J411" s="12">
        <v>186.69300000000001</v>
      </c>
    </row>
    <row r="412" spans="1:12" ht="13.9" hidden="1" x14ac:dyDescent="0.25">
      <c r="A412" s="12">
        <v>6691</v>
      </c>
      <c r="B412" s="12">
        <v>1000435</v>
      </c>
      <c r="C412" s="12" t="s">
        <v>13</v>
      </c>
      <c r="D412" s="12" t="s">
        <v>14</v>
      </c>
      <c r="E412" s="14">
        <v>44485</v>
      </c>
      <c r="F412" s="12" t="s">
        <v>18</v>
      </c>
      <c r="G412" s="12" t="s">
        <v>20</v>
      </c>
      <c r="H412" s="12" t="s">
        <v>44</v>
      </c>
      <c r="I412" s="12">
        <v>224.99299999999999</v>
      </c>
      <c r="J412" s="12">
        <v>191.98400000000001</v>
      </c>
      <c r="L412" s="12">
        <v>13.4</v>
      </c>
    </row>
    <row r="413" spans="1:12" ht="13.9" hidden="1" x14ac:dyDescent="0.25">
      <c r="A413" s="12">
        <v>6692</v>
      </c>
      <c r="B413" s="12">
        <v>1000547</v>
      </c>
      <c r="C413" s="12" t="s">
        <v>13</v>
      </c>
      <c r="D413" s="12" t="s">
        <v>14</v>
      </c>
      <c r="E413" s="14">
        <v>44486</v>
      </c>
      <c r="F413" s="12" t="s">
        <v>18</v>
      </c>
      <c r="G413" s="12" t="s">
        <v>20</v>
      </c>
      <c r="H413" s="12" t="s">
        <v>44</v>
      </c>
      <c r="I413" s="12">
        <v>225.00200000000001</v>
      </c>
      <c r="J413" s="12">
        <v>192.227</v>
      </c>
    </row>
    <row r="414" spans="1:12" ht="13.9" hidden="1" x14ac:dyDescent="0.25">
      <c r="A414" s="12">
        <v>6693</v>
      </c>
      <c r="B414" s="12">
        <v>1000619</v>
      </c>
      <c r="C414" s="12" t="s">
        <v>13</v>
      </c>
      <c r="D414" s="12" t="s">
        <v>14</v>
      </c>
      <c r="E414" s="14">
        <v>44487</v>
      </c>
      <c r="F414" s="12" t="s">
        <v>18</v>
      </c>
      <c r="G414" s="12" t="s">
        <v>20</v>
      </c>
      <c r="H414" s="12" t="s">
        <v>44</v>
      </c>
      <c r="I414" s="12">
        <v>225.00200000000001</v>
      </c>
      <c r="J414" s="12">
        <v>188.98400000000001</v>
      </c>
    </row>
    <row r="415" spans="1:12" ht="13.9" hidden="1" x14ac:dyDescent="0.25">
      <c r="A415" s="12">
        <v>6694</v>
      </c>
      <c r="B415" s="12">
        <v>1000622</v>
      </c>
      <c r="C415" s="12" t="s">
        <v>13</v>
      </c>
      <c r="D415" s="12" t="s">
        <v>14</v>
      </c>
      <c r="E415" s="14">
        <v>44488</v>
      </c>
      <c r="F415" s="12" t="s">
        <v>18</v>
      </c>
      <c r="G415" s="12" t="s">
        <v>20</v>
      </c>
      <c r="H415" s="12" t="s">
        <v>44</v>
      </c>
      <c r="I415" s="12">
        <v>225.00200000000001</v>
      </c>
      <c r="J415" s="12">
        <v>192.809</v>
      </c>
    </row>
    <row r="416" spans="1:12" ht="13.9" hidden="1" x14ac:dyDescent="0.25">
      <c r="A416" s="12">
        <v>6695</v>
      </c>
      <c r="B416" s="12">
        <v>1000644</v>
      </c>
      <c r="C416" s="12" t="s">
        <v>13</v>
      </c>
      <c r="D416" s="12" t="s">
        <v>14</v>
      </c>
      <c r="E416" s="14">
        <v>44489</v>
      </c>
      <c r="F416" s="12" t="s">
        <v>18</v>
      </c>
      <c r="G416" s="12" t="s">
        <v>20</v>
      </c>
      <c r="H416" s="12" t="s">
        <v>44</v>
      </c>
      <c r="I416" s="12">
        <v>225.00299999999999</v>
      </c>
      <c r="J416" s="12">
        <v>183.20500000000001</v>
      </c>
    </row>
    <row r="417" spans="1:12" ht="13.9" hidden="1" x14ac:dyDescent="0.25">
      <c r="A417" s="12">
        <v>6696</v>
      </c>
      <c r="B417" s="12">
        <v>1000741</v>
      </c>
      <c r="C417" s="12" t="s">
        <v>13</v>
      </c>
      <c r="D417" s="12" t="s">
        <v>14</v>
      </c>
      <c r="E417" s="14">
        <v>44490</v>
      </c>
      <c r="F417" s="12" t="s">
        <v>18</v>
      </c>
      <c r="G417" s="12" t="s">
        <v>20</v>
      </c>
      <c r="H417" s="12" t="s">
        <v>44</v>
      </c>
      <c r="I417" s="12">
        <v>225.00899999999999</v>
      </c>
      <c r="J417" s="12">
        <v>193.767</v>
      </c>
      <c r="L417" s="12">
        <v>12.8</v>
      </c>
    </row>
    <row r="418" spans="1:12" ht="13.9" hidden="1" x14ac:dyDescent="0.25">
      <c r="A418" s="12">
        <v>6697</v>
      </c>
      <c r="B418" s="12">
        <v>1000843</v>
      </c>
      <c r="C418" s="12" t="s">
        <v>13</v>
      </c>
      <c r="D418" s="12" t="s">
        <v>14</v>
      </c>
      <c r="E418" s="14">
        <v>44491</v>
      </c>
      <c r="F418" s="12" t="s">
        <v>18</v>
      </c>
      <c r="G418" s="12" t="s">
        <v>20</v>
      </c>
      <c r="H418" s="12" t="s">
        <v>45</v>
      </c>
      <c r="I418" s="12">
        <v>225.02</v>
      </c>
      <c r="J418" s="12">
        <v>185.90899999999999</v>
      </c>
      <c r="K418" s="12">
        <v>3.3</v>
      </c>
    </row>
    <row r="419" spans="1:12" ht="13.9" hidden="1" x14ac:dyDescent="0.25">
      <c r="A419" s="12">
        <v>6698</v>
      </c>
      <c r="B419" s="12">
        <v>1000877</v>
      </c>
      <c r="C419" s="12" t="s">
        <v>13</v>
      </c>
      <c r="D419" s="12" t="s">
        <v>14</v>
      </c>
      <c r="E419" s="14">
        <v>44492</v>
      </c>
      <c r="F419" s="12" t="s">
        <v>18</v>
      </c>
      <c r="G419" s="12" t="s">
        <v>20</v>
      </c>
      <c r="H419" s="12" t="s">
        <v>45</v>
      </c>
      <c r="I419" s="12">
        <v>225.02099999999999</v>
      </c>
      <c r="J419" s="12">
        <v>190.94200000000001</v>
      </c>
      <c r="K419" s="12">
        <v>3.7</v>
      </c>
    </row>
    <row r="420" spans="1:12" ht="13.9" hidden="1" x14ac:dyDescent="0.25">
      <c r="A420" s="12">
        <v>6699</v>
      </c>
      <c r="B420" s="12">
        <v>1000941</v>
      </c>
      <c r="C420" s="12" t="s">
        <v>13</v>
      </c>
      <c r="D420" s="12" t="s">
        <v>14</v>
      </c>
      <c r="E420" s="14">
        <v>44493</v>
      </c>
      <c r="F420" s="12" t="s">
        <v>17</v>
      </c>
      <c r="G420" s="12" t="s">
        <v>19</v>
      </c>
      <c r="H420" s="12" t="s">
        <v>41</v>
      </c>
      <c r="I420" s="12">
        <v>225.017</v>
      </c>
      <c r="J420" s="12">
        <v>185.16300000000001</v>
      </c>
      <c r="K420" s="12">
        <v>3.1</v>
      </c>
    </row>
    <row r="421" spans="1:12" ht="13.9" hidden="1" x14ac:dyDescent="0.25">
      <c r="A421" s="12">
        <v>6700</v>
      </c>
      <c r="B421" s="12">
        <v>1001019</v>
      </c>
      <c r="C421" s="12" t="s">
        <v>13</v>
      </c>
      <c r="D421" s="12" t="s">
        <v>14</v>
      </c>
      <c r="E421" s="14">
        <v>44494</v>
      </c>
      <c r="F421" s="12" t="s">
        <v>17</v>
      </c>
      <c r="G421" s="12" t="s">
        <v>19</v>
      </c>
      <c r="H421" s="12" t="s">
        <v>41</v>
      </c>
      <c r="I421" s="12">
        <v>225.018</v>
      </c>
      <c r="J421" s="12">
        <v>190.089</v>
      </c>
      <c r="K421" s="12">
        <v>3.2</v>
      </c>
    </row>
    <row r="422" spans="1:12" ht="13.9" x14ac:dyDescent="0.25">
      <c r="A422" s="12">
        <v>6701</v>
      </c>
      <c r="B422" s="12">
        <v>1001022</v>
      </c>
      <c r="C422" s="12" t="s">
        <v>13</v>
      </c>
      <c r="D422" s="12" t="s">
        <v>14</v>
      </c>
      <c r="E422" s="14">
        <v>44495</v>
      </c>
      <c r="F422" s="12" t="s">
        <v>18</v>
      </c>
      <c r="G422" s="12" t="s">
        <v>20</v>
      </c>
      <c r="H422" s="12" t="s">
        <v>44</v>
      </c>
      <c r="I422" s="12">
        <v>225.04900000000001</v>
      </c>
      <c r="J422" s="12">
        <v>195.54</v>
      </c>
      <c r="K422" s="12">
        <v>3.8</v>
      </c>
      <c r="L422" s="12">
        <v>13.7</v>
      </c>
    </row>
    <row r="423" spans="1:12" ht="13.9" hidden="1" x14ac:dyDescent="0.25">
      <c r="A423" s="12">
        <v>6702</v>
      </c>
      <c r="B423" s="12">
        <v>1001026</v>
      </c>
      <c r="C423" s="12" t="s">
        <v>13</v>
      </c>
      <c r="D423" s="12" t="s">
        <v>14</v>
      </c>
      <c r="E423" s="14">
        <v>44496</v>
      </c>
      <c r="F423" s="12" t="s">
        <v>18</v>
      </c>
      <c r="G423" s="12" t="s">
        <v>20</v>
      </c>
      <c r="H423" s="12" t="s">
        <v>44</v>
      </c>
      <c r="I423" s="12">
        <v>225.08799999999999</v>
      </c>
      <c r="J423" s="12">
        <v>185.26599999999999</v>
      </c>
      <c r="K423" s="12">
        <v>3.8</v>
      </c>
    </row>
    <row r="424" spans="1:12" ht="13.9" hidden="1" x14ac:dyDescent="0.25">
      <c r="A424" s="12">
        <v>6703</v>
      </c>
      <c r="B424" s="12">
        <v>1001145</v>
      </c>
      <c r="C424" s="12" t="s">
        <v>13</v>
      </c>
      <c r="D424" s="12" t="s">
        <v>14</v>
      </c>
      <c r="E424" s="14">
        <v>44497</v>
      </c>
      <c r="F424" s="12" t="s">
        <v>18</v>
      </c>
      <c r="G424" s="12" t="s">
        <v>20</v>
      </c>
      <c r="H424" s="12" t="s">
        <v>44</v>
      </c>
      <c r="I424" s="12">
        <v>225.08799999999999</v>
      </c>
      <c r="J424" s="12">
        <v>192.82900000000001</v>
      </c>
      <c r="K424" s="12">
        <v>4.2</v>
      </c>
    </row>
    <row r="425" spans="1:12" ht="13.9" hidden="1" x14ac:dyDescent="0.25">
      <c r="A425" s="12">
        <v>6704</v>
      </c>
      <c r="B425" s="12">
        <v>1001221</v>
      </c>
      <c r="C425" s="12" t="s">
        <v>13</v>
      </c>
      <c r="D425" s="12" t="s">
        <v>14</v>
      </c>
      <c r="E425" s="14">
        <v>44498</v>
      </c>
      <c r="F425" s="12" t="s">
        <v>18</v>
      </c>
      <c r="G425" s="12" t="s">
        <v>20</v>
      </c>
      <c r="H425" s="12" t="s">
        <v>44</v>
      </c>
      <c r="I425" s="12">
        <v>224.995</v>
      </c>
      <c r="J425" s="12">
        <v>186.02799999999999</v>
      </c>
      <c r="K425" s="12">
        <v>3.8</v>
      </c>
    </row>
    <row r="426" spans="1:12" ht="13.9" hidden="1" x14ac:dyDescent="0.25">
      <c r="A426" s="12">
        <v>6705</v>
      </c>
      <c r="B426" s="12">
        <v>1001312</v>
      </c>
      <c r="C426" s="12" t="s">
        <v>13</v>
      </c>
      <c r="D426" s="12" t="s">
        <v>14</v>
      </c>
      <c r="E426" s="14">
        <v>44499</v>
      </c>
      <c r="F426" s="12" t="s">
        <v>18</v>
      </c>
      <c r="G426" s="12" t="s">
        <v>20</v>
      </c>
      <c r="H426" s="12" t="s">
        <v>44</v>
      </c>
      <c r="I426" s="12">
        <v>224.995</v>
      </c>
      <c r="J426" s="12">
        <v>190.97200000000001</v>
      </c>
      <c r="K426" s="12">
        <v>4.3</v>
      </c>
    </row>
    <row r="427" spans="1:12" ht="13.9" x14ac:dyDescent="0.25">
      <c r="A427" s="12">
        <v>6706</v>
      </c>
      <c r="B427" s="12">
        <v>1001380</v>
      </c>
      <c r="C427" s="12" t="s">
        <v>13</v>
      </c>
      <c r="D427" s="12" t="s">
        <v>14</v>
      </c>
      <c r="E427" s="14">
        <v>44500</v>
      </c>
      <c r="F427" s="12" t="s">
        <v>17</v>
      </c>
      <c r="G427" s="12" t="s">
        <v>19</v>
      </c>
      <c r="H427" s="12" t="s">
        <v>41</v>
      </c>
      <c r="I427" s="12">
        <v>230.01599999999999</v>
      </c>
      <c r="J427" s="12">
        <v>193.58600000000001</v>
      </c>
      <c r="K427" s="12">
        <v>3.6</v>
      </c>
      <c r="L427" s="12">
        <v>13.6</v>
      </c>
    </row>
    <row r="428" spans="1:12" ht="13.9" hidden="1" x14ac:dyDescent="0.25">
      <c r="A428" s="12">
        <v>6707</v>
      </c>
      <c r="B428" s="12">
        <v>1001442</v>
      </c>
      <c r="C428" s="12" t="s">
        <v>13</v>
      </c>
      <c r="D428" s="12" t="s">
        <v>14</v>
      </c>
      <c r="E428" s="14">
        <v>44501</v>
      </c>
      <c r="F428" s="12" t="s">
        <v>17</v>
      </c>
      <c r="G428" s="12" t="s">
        <v>19</v>
      </c>
      <c r="H428" s="12" t="s">
        <v>41</v>
      </c>
      <c r="I428" s="12">
        <v>230.042</v>
      </c>
      <c r="J428" s="12">
        <v>196.36799999999999</v>
      </c>
      <c r="K428" s="12">
        <v>3.8</v>
      </c>
    </row>
    <row r="429" spans="1:12" ht="13.9" hidden="1" x14ac:dyDescent="0.25">
      <c r="A429" s="12">
        <v>6708</v>
      </c>
      <c r="B429" s="12">
        <v>1001443</v>
      </c>
      <c r="C429" s="12" t="s">
        <v>13</v>
      </c>
      <c r="D429" s="12" t="s">
        <v>14</v>
      </c>
      <c r="E429" s="14">
        <v>44502</v>
      </c>
      <c r="F429" s="12" t="s">
        <v>17</v>
      </c>
      <c r="G429" s="12" t="s">
        <v>19</v>
      </c>
      <c r="H429" s="12" t="s">
        <v>41</v>
      </c>
      <c r="I429" s="12">
        <v>230.041</v>
      </c>
      <c r="J429" s="12">
        <v>192.06800000000001</v>
      </c>
      <c r="K429" s="12">
        <v>3.5</v>
      </c>
    </row>
    <row r="430" spans="1:12" ht="13.9" hidden="1" x14ac:dyDescent="0.25">
      <c r="A430" s="12">
        <v>6709</v>
      </c>
      <c r="B430" s="12">
        <v>1001444</v>
      </c>
      <c r="C430" s="12" t="s">
        <v>13</v>
      </c>
      <c r="D430" s="12" t="s">
        <v>14</v>
      </c>
      <c r="E430" s="14">
        <v>44503</v>
      </c>
      <c r="F430" s="12" t="s">
        <v>17</v>
      </c>
      <c r="G430" s="12" t="s">
        <v>19</v>
      </c>
      <c r="H430" s="12" t="s">
        <v>41</v>
      </c>
      <c r="I430" s="12">
        <v>229.99199999999999</v>
      </c>
      <c r="J430" s="12">
        <v>194.822</v>
      </c>
      <c r="K430" s="12">
        <v>4.0999999999999996</v>
      </c>
    </row>
    <row r="431" spans="1:12" ht="13.9" hidden="1" x14ac:dyDescent="0.25">
      <c r="A431" s="12">
        <v>6710</v>
      </c>
      <c r="B431" s="12">
        <v>1001508</v>
      </c>
      <c r="C431" s="12" t="s">
        <v>13</v>
      </c>
      <c r="D431" s="12" t="s">
        <v>14</v>
      </c>
      <c r="E431" s="14">
        <v>44504</v>
      </c>
      <c r="F431" s="12" t="s">
        <v>17</v>
      </c>
      <c r="G431" s="12" t="s">
        <v>19</v>
      </c>
      <c r="H431" s="12" t="s">
        <v>41</v>
      </c>
      <c r="I431" s="12">
        <v>229.99199999999999</v>
      </c>
      <c r="J431" s="12">
        <v>199.25899999999999</v>
      </c>
      <c r="K431" s="12">
        <v>3.5</v>
      </c>
    </row>
    <row r="432" spans="1:12" ht="13.9" x14ac:dyDescent="0.25">
      <c r="A432" s="12">
        <v>6711</v>
      </c>
      <c r="B432" s="12">
        <v>1001584</v>
      </c>
      <c r="C432" s="12" t="s">
        <v>13</v>
      </c>
      <c r="D432" s="12" t="s">
        <v>14</v>
      </c>
      <c r="E432" s="14">
        <v>44505</v>
      </c>
      <c r="F432" s="12" t="s">
        <v>18</v>
      </c>
      <c r="G432" s="12" t="s">
        <v>20</v>
      </c>
      <c r="H432" s="12" t="s">
        <v>44</v>
      </c>
      <c r="I432" s="12">
        <v>225.024</v>
      </c>
      <c r="J432" s="12">
        <v>191.89500000000001</v>
      </c>
      <c r="K432" s="12">
        <v>4.3</v>
      </c>
      <c r="L432" s="12">
        <v>13.4</v>
      </c>
    </row>
    <row r="433" spans="1:12" ht="13.9" hidden="1" x14ac:dyDescent="0.25">
      <c r="A433" s="12">
        <v>6712</v>
      </c>
      <c r="B433" s="12">
        <v>1001641</v>
      </c>
      <c r="C433" s="12" t="s">
        <v>13</v>
      </c>
      <c r="D433" s="12" t="s">
        <v>14</v>
      </c>
      <c r="E433" s="14">
        <v>44506</v>
      </c>
      <c r="F433" s="12" t="s">
        <v>18</v>
      </c>
      <c r="G433" s="12" t="s">
        <v>20</v>
      </c>
      <c r="H433" s="12" t="s">
        <v>44</v>
      </c>
      <c r="I433" s="12">
        <v>225.005</v>
      </c>
      <c r="J433" s="12">
        <v>189.291</v>
      </c>
      <c r="K433" s="12">
        <v>3.8</v>
      </c>
    </row>
    <row r="434" spans="1:12" ht="13.9" hidden="1" x14ac:dyDescent="0.25">
      <c r="A434" s="12">
        <v>6713</v>
      </c>
      <c r="B434" s="12">
        <v>1001726</v>
      </c>
      <c r="C434" s="12" t="s">
        <v>13</v>
      </c>
      <c r="D434" s="12" t="s">
        <v>14</v>
      </c>
      <c r="E434" s="14">
        <v>44507</v>
      </c>
      <c r="F434" s="12" t="s">
        <v>18</v>
      </c>
      <c r="G434" s="12" t="s">
        <v>20</v>
      </c>
      <c r="H434" s="12" t="s">
        <v>44</v>
      </c>
      <c r="I434" s="12">
        <v>225.00399999999999</v>
      </c>
      <c r="J434" s="12">
        <v>188.41300000000001</v>
      </c>
      <c r="K434" s="12">
        <v>4.5999999999999996</v>
      </c>
    </row>
    <row r="435" spans="1:12" ht="13.9" hidden="1" x14ac:dyDescent="0.25">
      <c r="A435" s="12">
        <v>6714</v>
      </c>
      <c r="B435" s="12">
        <v>1001812</v>
      </c>
      <c r="C435" s="12" t="s">
        <v>13</v>
      </c>
      <c r="D435" s="12" t="s">
        <v>14</v>
      </c>
      <c r="E435" s="14">
        <v>44508</v>
      </c>
      <c r="F435" s="12" t="s">
        <v>18</v>
      </c>
      <c r="G435" s="12" t="s">
        <v>20</v>
      </c>
      <c r="H435" s="12" t="s">
        <v>44</v>
      </c>
      <c r="I435" s="12">
        <v>225.00299999999999</v>
      </c>
      <c r="J435" s="12">
        <v>186.83</v>
      </c>
      <c r="K435" s="12">
        <v>4.3</v>
      </c>
    </row>
    <row r="436" spans="1:12" ht="13.9" hidden="1" x14ac:dyDescent="0.25">
      <c r="A436" s="12">
        <v>6715</v>
      </c>
      <c r="B436" s="12">
        <v>1001910</v>
      </c>
      <c r="C436" s="12" t="s">
        <v>13</v>
      </c>
      <c r="D436" s="12" t="s">
        <v>14</v>
      </c>
      <c r="E436" s="14">
        <v>44509</v>
      </c>
      <c r="F436" s="12" t="s">
        <v>18</v>
      </c>
      <c r="G436" s="12" t="s">
        <v>20</v>
      </c>
      <c r="H436" s="12" t="s">
        <v>44</v>
      </c>
      <c r="I436" s="12">
        <v>225.00299999999999</v>
      </c>
      <c r="J436" s="12">
        <v>191.50800000000001</v>
      </c>
      <c r="K436" s="12">
        <v>4.8</v>
      </c>
    </row>
    <row r="437" spans="1:12" ht="13.9" x14ac:dyDescent="0.25">
      <c r="A437" s="12">
        <v>6716</v>
      </c>
      <c r="B437" s="12">
        <v>1001911</v>
      </c>
      <c r="C437" s="12" t="s">
        <v>13</v>
      </c>
      <c r="D437" s="12" t="s">
        <v>14</v>
      </c>
      <c r="E437" s="14">
        <v>44510</v>
      </c>
      <c r="F437" s="12" t="s">
        <v>37</v>
      </c>
      <c r="G437" s="12" t="s">
        <v>19</v>
      </c>
      <c r="H437" s="12" t="s">
        <v>40</v>
      </c>
      <c r="I437" s="12">
        <v>230.00800000000001</v>
      </c>
      <c r="J437" s="12">
        <v>192.04499999999999</v>
      </c>
      <c r="K437" s="12">
        <v>3.5</v>
      </c>
      <c r="L437" s="12">
        <v>14.6</v>
      </c>
    </row>
    <row r="438" spans="1:12" ht="13.9" hidden="1" x14ac:dyDescent="0.25">
      <c r="A438" s="12">
        <v>6717</v>
      </c>
      <c r="B438" s="12">
        <v>1001945</v>
      </c>
      <c r="C438" s="12" t="s">
        <v>13</v>
      </c>
      <c r="D438" s="12" t="s">
        <v>14</v>
      </c>
      <c r="E438" s="14">
        <v>44511</v>
      </c>
      <c r="F438" s="12" t="s">
        <v>37</v>
      </c>
      <c r="G438" s="12" t="s">
        <v>19</v>
      </c>
      <c r="H438" s="12" t="s">
        <v>40</v>
      </c>
      <c r="I438" s="12">
        <v>230.00299999999999</v>
      </c>
      <c r="J438" s="12">
        <v>192.7</v>
      </c>
      <c r="K438" s="12">
        <v>3.3</v>
      </c>
    </row>
    <row r="439" spans="1:12" ht="13.9" hidden="1" x14ac:dyDescent="0.25">
      <c r="A439" s="12">
        <v>6718</v>
      </c>
      <c r="B439" s="12">
        <v>1001946</v>
      </c>
      <c r="C439" s="12" t="s">
        <v>13</v>
      </c>
      <c r="D439" s="12" t="s">
        <v>14</v>
      </c>
      <c r="E439" s="14">
        <v>44512</v>
      </c>
      <c r="F439" s="12" t="s">
        <v>37</v>
      </c>
      <c r="G439" s="12" t="s">
        <v>19</v>
      </c>
      <c r="H439" s="12" t="s">
        <v>40</v>
      </c>
      <c r="I439" s="12">
        <v>230.00200000000001</v>
      </c>
      <c r="J439" s="12">
        <v>193.988</v>
      </c>
      <c r="K439" s="12">
        <v>3.3</v>
      </c>
    </row>
    <row r="440" spans="1:12" ht="13.9" hidden="1" x14ac:dyDescent="0.25">
      <c r="A440" s="12">
        <v>6719</v>
      </c>
      <c r="B440" s="12">
        <v>1002076</v>
      </c>
      <c r="C440" s="12" t="s">
        <v>13</v>
      </c>
      <c r="D440" s="12" t="s">
        <v>14</v>
      </c>
      <c r="E440" s="14">
        <v>44513</v>
      </c>
      <c r="F440" s="12" t="s">
        <v>37</v>
      </c>
      <c r="G440" s="12" t="s">
        <v>19</v>
      </c>
      <c r="H440" s="12" t="s">
        <v>40</v>
      </c>
      <c r="I440" s="12">
        <v>230.00399999999999</v>
      </c>
      <c r="J440" s="12">
        <v>191</v>
      </c>
      <c r="K440" s="12">
        <v>3.5</v>
      </c>
    </row>
    <row r="441" spans="1:12" ht="13.9" hidden="1" x14ac:dyDescent="0.25">
      <c r="A441" s="12">
        <v>6720</v>
      </c>
      <c r="B441" s="12">
        <v>1002169</v>
      </c>
      <c r="C441" s="12" t="s">
        <v>13</v>
      </c>
      <c r="D441" s="12" t="s">
        <v>14</v>
      </c>
      <c r="E441" s="14">
        <v>44514</v>
      </c>
      <c r="F441" s="12" t="s">
        <v>37</v>
      </c>
      <c r="G441" s="12" t="s">
        <v>19</v>
      </c>
      <c r="H441" s="12" t="s">
        <v>40</v>
      </c>
      <c r="I441" s="12">
        <v>230.005</v>
      </c>
      <c r="J441" s="12">
        <v>198.702</v>
      </c>
      <c r="K441" s="12">
        <v>3.9</v>
      </c>
    </row>
    <row r="442" spans="1:12" ht="13.9" x14ac:dyDescent="0.25">
      <c r="A442" s="12">
        <v>6721</v>
      </c>
      <c r="B442" s="12">
        <v>1002254</v>
      </c>
      <c r="C442" s="12" t="s">
        <v>13</v>
      </c>
      <c r="D442" s="12" t="s">
        <v>14</v>
      </c>
      <c r="E442" s="14">
        <v>44515</v>
      </c>
      <c r="F442" s="12" t="s">
        <v>18</v>
      </c>
      <c r="G442" s="12" t="s">
        <v>20</v>
      </c>
      <c r="H442" s="12" t="s">
        <v>44</v>
      </c>
      <c r="I442" s="12">
        <v>224.995</v>
      </c>
      <c r="J442" s="12">
        <v>189.10300000000001</v>
      </c>
      <c r="K442" s="12">
        <v>4</v>
      </c>
      <c r="L442" s="12">
        <v>12.9</v>
      </c>
    </row>
    <row r="443" spans="1:12" ht="13.9" hidden="1" x14ac:dyDescent="0.25">
      <c r="A443" s="12">
        <v>6722</v>
      </c>
      <c r="B443" s="12">
        <v>1002305</v>
      </c>
      <c r="C443" s="12" t="s">
        <v>13</v>
      </c>
      <c r="D443" s="12" t="s">
        <v>14</v>
      </c>
      <c r="E443" s="14">
        <v>44516</v>
      </c>
      <c r="F443" s="12" t="s">
        <v>18</v>
      </c>
      <c r="G443" s="12" t="s">
        <v>20</v>
      </c>
      <c r="H443" s="12" t="s">
        <v>44</v>
      </c>
      <c r="I443" s="12">
        <v>225.00200000000001</v>
      </c>
      <c r="J443" s="12">
        <v>192.649</v>
      </c>
      <c r="K443" s="12">
        <v>3.6</v>
      </c>
    </row>
    <row r="444" spans="1:12" ht="13.9" hidden="1" x14ac:dyDescent="0.25">
      <c r="A444" s="12">
        <v>6723</v>
      </c>
      <c r="B444" s="12">
        <v>1002306</v>
      </c>
      <c r="C444" s="12" t="s">
        <v>13</v>
      </c>
      <c r="D444" s="12" t="s">
        <v>14</v>
      </c>
      <c r="E444" s="14">
        <v>44517</v>
      </c>
      <c r="F444" s="12" t="s">
        <v>18</v>
      </c>
      <c r="G444" s="12" t="s">
        <v>20</v>
      </c>
      <c r="H444" s="12" t="s">
        <v>44</v>
      </c>
      <c r="I444" s="12">
        <v>225.001</v>
      </c>
      <c r="J444" s="12">
        <v>186.428</v>
      </c>
      <c r="K444" s="12">
        <v>3.6</v>
      </c>
    </row>
    <row r="445" spans="1:12" ht="13.9" hidden="1" x14ac:dyDescent="0.25">
      <c r="A445" s="12">
        <v>6724</v>
      </c>
      <c r="B445" s="12">
        <v>1002325</v>
      </c>
      <c r="C445" s="12" t="s">
        <v>13</v>
      </c>
      <c r="D445" s="12" t="s">
        <v>14</v>
      </c>
      <c r="E445" s="14">
        <v>44518</v>
      </c>
      <c r="F445" s="12" t="s">
        <v>18</v>
      </c>
      <c r="G445" s="12" t="s">
        <v>20</v>
      </c>
      <c r="H445" s="12" t="s">
        <v>44</v>
      </c>
      <c r="I445" s="12">
        <v>224.98699999999999</v>
      </c>
      <c r="J445" s="12">
        <v>185.18</v>
      </c>
      <c r="K445" s="12">
        <v>4.2</v>
      </c>
    </row>
    <row r="446" spans="1:12" ht="13.9" hidden="1" x14ac:dyDescent="0.25">
      <c r="A446" s="12">
        <v>6725</v>
      </c>
      <c r="B446" s="12">
        <v>1002444</v>
      </c>
      <c r="C446" s="12" t="s">
        <v>13</v>
      </c>
      <c r="D446" s="12" t="s">
        <v>14</v>
      </c>
      <c r="E446" s="14">
        <v>44519</v>
      </c>
      <c r="F446" s="12" t="s">
        <v>18</v>
      </c>
      <c r="G446" s="12" t="s">
        <v>20</v>
      </c>
      <c r="H446" s="12" t="s">
        <v>44</v>
      </c>
      <c r="I446" s="12">
        <v>224.98699999999999</v>
      </c>
      <c r="J446" s="12">
        <v>197.03800000000001</v>
      </c>
      <c r="K446" s="12">
        <v>4.0999999999999996</v>
      </c>
    </row>
    <row r="447" spans="1:12" ht="13.9" hidden="1" x14ac:dyDescent="0.25">
      <c r="A447" s="12">
        <v>6726</v>
      </c>
      <c r="B447" s="12">
        <v>1002538</v>
      </c>
      <c r="C447" s="12" t="s">
        <v>13</v>
      </c>
      <c r="D447" s="12" t="s">
        <v>14</v>
      </c>
      <c r="E447" s="14">
        <v>44520</v>
      </c>
      <c r="F447" s="12" t="s">
        <v>34</v>
      </c>
      <c r="G447" s="12" t="s">
        <v>19</v>
      </c>
      <c r="H447" s="12" t="s">
        <v>43</v>
      </c>
      <c r="I447" s="12">
        <v>230</v>
      </c>
      <c r="J447" s="12">
        <v>186.62100000000001</v>
      </c>
      <c r="K447" s="12">
        <v>3.4</v>
      </c>
    </row>
    <row r="448" spans="1:12" ht="13.9" hidden="1" x14ac:dyDescent="0.25">
      <c r="A448" s="12">
        <v>6727</v>
      </c>
      <c r="B448" s="12">
        <v>1002629</v>
      </c>
      <c r="C448" s="12" t="s">
        <v>13</v>
      </c>
      <c r="D448" s="12" t="s">
        <v>14</v>
      </c>
      <c r="E448" s="14">
        <v>44521</v>
      </c>
      <c r="F448" s="12" t="s">
        <v>34</v>
      </c>
      <c r="G448" s="12" t="s">
        <v>19</v>
      </c>
      <c r="H448" s="12" t="s">
        <v>43</v>
      </c>
      <c r="I448" s="12">
        <v>230.001</v>
      </c>
      <c r="J448" s="12">
        <v>196.75200000000001</v>
      </c>
      <c r="K448" s="12">
        <v>3.7</v>
      </c>
    </row>
    <row r="449" spans="1:12" ht="13.9" hidden="1" x14ac:dyDescent="0.25">
      <c r="A449" s="12">
        <v>6728</v>
      </c>
      <c r="B449" s="12">
        <v>1002630</v>
      </c>
      <c r="C449" s="12" t="s">
        <v>13</v>
      </c>
      <c r="D449" s="12" t="s">
        <v>14</v>
      </c>
      <c r="E449" s="14">
        <v>44522</v>
      </c>
      <c r="F449" s="12" t="s">
        <v>34</v>
      </c>
      <c r="G449" s="12" t="s">
        <v>19</v>
      </c>
      <c r="H449" s="12" t="s">
        <v>39</v>
      </c>
      <c r="I449" s="12">
        <v>230.006</v>
      </c>
      <c r="J449" s="12">
        <v>182.11799999999999</v>
      </c>
      <c r="K449" s="12">
        <v>3.3</v>
      </c>
    </row>
    <row r="450" spans="1:12" ht="13.9" hidden="1" x14ac:dyDescent="0.25">
      <c r="A450" s="12">
        <v>6729</v>
      </c>
      <c r="B450" s="12">
        <v>1002743</v>
      </c>
      <c r="C450" s="12" t="s">
        <v>13</v>
      </c>
      <c r="D450" s="12" t="s">
        <v>14</v>
      </c>
      <c r="E450" s="14">
        <v>44523</v>
      </c>
      <c r="F450" s="12" t="s">
        <v>34</v>
      </c>
      <c r="G450" s="12" t="s">
        <v>19</v>
      </c>
      <c r="H450" s="12" t="s">
        <v>39</v>
      </c>
      <c r="I450" s="12">
        <v>230.006</v>
      </c>
      <c r="J450" s="12">
        <v>199.471</v>
      </c>
      <c r="K450" s="12">
        <v>3.4</v>
      </c>
    </row>
    <row r="451" spans="1:12" ht="13.9" hidden="1" x14ac:dyDescent="0.25">
      <c r="A451" s="12">
        <v>6730</v>
      </c>
      <c r="B451" s="12">
        <v>1002745</v>
      </c>
      <c r="C451" s="12" t="s">
        <v>13</v>
      </c>
      <c r="D451" s="12" t="s">
        <v>14</v>
      </c>
      <c r="E451" s="14">
        <v>44524</v>
      </c>
      <c r="F451" s="12" t="s">
        <v>18</v>
      </c>
      <c r="G451" s="12" t="s">
        <v>20</v>
      </c>
      <c r="H451" s="12" t="s">
        <v>45</v>
      </c>
      <c r="I451" s="12">
        <v>225.01300000000001</v>
      </c>
      <c r="J451" s="12">
        <v>189.53700000000001</v>
      </c>
      <c r="K451" s="12">
        <v>3.5</v>
      </c>
    </row>
    <row r="452" spans="1:12" ht="13.9" hidden="1" x14ac:dyDescent="0.25">
      <c r="A452" s="12">
        <v>6731</v>
      </c>
      <c r="B452" s="19">
        <v>1002791</v>
      </c>
      <c r="C452" s="12" t="s">
        <v>13</v>
      </c>
      <c r="D452" s="12" t="s">
        <v>14</v>
      </c>
      <c r="E452" s="14">
        <v>44525</v>
      </c>
      <c r="F452" s="12" t="s">
        <v>18</v>
      </c>
      <c r="G452" s="12" t="s">
        <v>20</v>
      </c>
      <c r="H452" s="12" t="s">
        <v>45</v>
      </c>
      <c r="I452" s="12">
        <v>225.01400000000001</v>
      </c>
      <c r="J452" s="12">
        <v>198.27799999999999</v>
      </c>
    </row>
    <row r="453" spans="1:12" ht="13.9" x14ac:dyDescent="0.25">
      <c r="A453" s="12">
        <v>6732</v>
      </c>
      <c r="B453" s="12">
        <v>1002856</v>
      </c>
      <c r="C453" s="12" t="s">
        <v>13</v>
      </c>
      <c r="D453" s="12" t="s">
        <v>14</v>
      </c>
      <c r="E453" s="14">
        <v>44526</v>
      </c>
      <c r="F453" s="12" t="s">
        <v>18</v>
      </c>
      <c r="G453" s="12" t="s">
        <v>20</v>
      </c>
      <c r="H453" s="12" t="s">
        <v>45</v>
      </c>
      <c r="I453" s="12">
        <v>225.001</v>
      </c>
      <c r="J453" s="12">
        <v>185.64599999999999</v>
      </c>
      <c r="K453" s="12">
        <v>3.8</v>
      </c>
      <c r="L453" s="12">
        <v>12</v>
      </c>
    </row>
    <row r="454" spans="1:12" ht="13.9" x14ac:dyDescent="0.25">
      <c r="A454" s="12">
        <v>6733</v>
      </c>
      <c r="B454" s="12">
        <v>1002952</v>
      </c>
      <c r="C454" s="12" t="s">
        <v>13</v>
      </c>
      <c r="D454" s="12" t="s">
        <v>14</v>
      </c>
      <c r="E454" s="14">
        <v>44527</v>
      </c>
      <c r="F454" s="12" t="s">
        <v>18</v>
      </c>
      <c r="G454" s="12" t="s">
        <v>20</v>
      </c>
      <c r="H454" s="12" t="s">
        <v>45</v>
      </c>
      <c r="I454" s="12">
        <v>225.001</v>
      </c>
      <c r="J454" s="12">
        <v>204.24</v>
      </c>
      <c r="K454" s="12">
        <v>4.2</v>
      </c>
      <c r="L454" s="12">
        <v>12</v>
      </c>
    </row>
    <row r="455" spans="1:12" ht="13.9" x14ac:dyDescent="0.25">
      <c r="A455" s="12">
        <v>6734</v>
      </c>
      <c r="B455" s="12">
        <v>1003051</v>
      </c>
      <c r="C455" s="12" t="s">
        <v>13</v>
      </c>
      <c r="D455" s="12" t="s">
        <v>14</v>
      </c>
      <c r="E455" s="14">
        <v>44528</v>
      </c>
      <c r="F455" s="12" t="s">
        <v>18</v>
      </c>
      <c r="G455" s="12" t="s">
        <v>20</v>
      </c>
      <c r="H455" s="12" t="s">
        <v>42</v>
      </c>
      <c r="I455" s="12">
        <v>225.00200000000001</v>
      </c>
      <c r="J455" s="12">
        <v>189.059</v>
      </c>
      <c r="K455" s="12">
        <v>4.4000000000000004</v>
      </c>
      <c r="L455" s="12">
        <v>13.5</v>
      </c>
    </row>
    <row r="456" spans="1:12" ht="13.9" hidden="1" x14ac:dyDescent="0.25">
      <c r="A456" s="12">
        <v>6735</v>
      </c>
      <c r="B456" s="12">
        <v>1003115</v>
      </c>
      <c r="C456" s="12" t="s">
        <v>13</v>
      </c>
      <c r="D456" s="12" t="s">
        <v>14</v>
      </c>
      <c r="E456" s="14">
        <v>44529</v>
      </c>
      <c r="F456" s="12" t="s">
        <v>18</v>
      </c>
      <c r="G456" s="12" t="s">
        <v>20</v>
      </c>
      <c r="H456" s="12" t="s">
        <v>42</v>
      </c>
      <c r="I456" s="12">
        <v>225.00399999999999</v>
      </c>
      <c r="J456" s="12">
        <v>181.26499999999999</v>
      </c>
      <c r="K456" s="12">
        <v>5.0999999999999996</v>
      </c>
    </row>
    <row r="457" spans="1:12" ht="13.9" hidden="1" x14ac:dyDescent="0.25">
      <c r="A457" s="12">
        <v>6736</v>
      </c>
      <c r="B457" s="12">
        <v>1003194</v>
      </c>
      <c r="C457" s="12" t="s">
        <v>13</v>
      </c>
      <c r="D457" s="12" t="s">
        <v>14</v>
      </c>
      <c r="E457" s="14">
        <v>44531</v>
      </c>
      <c r="F457" s="12" t="s">
        <v>18</v>
      </c>
      <c r="G457" s="12" t="s">
        <v>20</v>
      </c>
      <c r="H457" s="12" t="s">
        <v>42</v>
      </c>
      <c r="I457" s="12">
        <v>225.00299999999999</v>
      </c>
      <c r="J457" s="12">
        <v>194.63</v>
      </c>
      <c r="K457" s="12">
        <v>5.4</v>
      </c>
    </row>
    <row r="458" spans="1:12" ht="13.9" hidden="1" x14ac:dyDescent="0.25">
      <c r="A458" s="12">
        <v>6737</v>
      </c>
      <c r="B458" s="12">
        <v>1003205</v>
      </c>
      <c r="C458" s="12" t="s">
        <v>13</v>
      </c>
      <c r="D458" s="12" t="s">
        <v>14</v>
      </c>
      <c r="E458" s="14">
        <v>44531</v>
      </c>
      <c r="F458" s="12" t="s">
        <v>18</v>
      </c>
      <c r="G458" s="12" t="s">
        <v>20</v>
      </c>
      <c r="H458" s="12" t="s">
        <v>42</v>
      </c>
      <c r="I458" s="12">
        <v>225.00700000000001</v>
      </c>
      <c r="J458" s="12">
        <v>182.678</v>
      </c>
      <c r="K458" s="12">
        <v>5</v>
      </c>
    </row>
    <row r="459" spans="1:12" ht="13.9" hidden="1" x14ac:dyDescent="0.25">
      <c r="A459" s="12">
        <v>6738</v>
      </c>
      <c r="B459" s="12">
        <v>1003206</v>
      </c>
      <c r="C459" s="12" t="s">
        <v>13</v>
      </c>
      <c r="D459" s="12" t="s">
        <v>14</v>
      </c>
      <c r="E459" s="14">
        <v>44532</v>
      </c>
      <c r="F459" s="12" t="s">
        <v>18</v>
      </c>
      <c r="G459" s="12" t="s">
        <v>20</v>
      </c>
      <c r="H459" s="12" t="s">
        <v>42</v>
      </c>
      <c r="I459" s="12">
        <v>225.00700000000001</v>
      </c>
      <c r="J459" s="12">
        <v>200.95400000000001</v>
      </c>
      <c r="K459" s="12">
        <v>7</v>
      </c>
    </row>
    <row r="460" spans="1:12" ht="13.9" x14ac:dyDescent="0.25">
      <c r="A460" s="12">
        <v>6739</v>
      </c>
      <c r="B460" s="12">
        <v>1003325</v>
      </c>
      <c r="C460" s="12" t="s">
        <v>13</v>
      </c>
      <c r="D460" s="12" t="s">
        <v>14</v>
      </c>
      <c r="E460" s="14">
        <v>44533</v>
      </c>
      <c r="F460" s="12" t="s">
        <v>46</v>
      </c>
      <c r="G460" s="12" t="s">
        <v>19</v>
      </c>
      <c r="H460" s="12" t="s">
        <v>47</v>
      </c>
      <c r="I460" s="12">
        <v>225.018</v>
      </c>
      <c r="J460" s="12">
        <v>192.15299999999999</v>
      </c>
      <c r="K460" s="12">
        <v>4.9000000000000004</v>
      </c>
      <c r="L460" s="12">
        <v>13.3</v>
      </c>
    </row>
    <row r="461" spans="1:12" ht="13.9" hidden="1" x14ac:dyDescent="0.25">
      <c r="A461" s="12">
        <v>6740</v>
      </c>
      <c r="B461" s="12">
        <v>1003465</v>
      </c>
      <c r="C461" s="12" t="s">
        <v>13</v>
      </c>
      <c r="D461" s="12" t="s">
        <v>14</v>
      </c>
      <c r="E461" s="14">
        <v>44534</v>
      </c>
      <c r="F461" s="12" t="s">
        <v>17</v>
      </c>
      <c r="G461" s="12" t="s">
        <v>19</v>
      </c>
      <c r="H461" s="12" t="s">
        <v>41</v>
      </c>
      <c r="I461" s="12">
        <v>230.03800000000001</v>
      </c>
      <c r="J461" s="12">
        <v>190.59800000000001</v>
      </c>
      <c r="K461" s="12">
        <v>3.7</v>
      </c>
    </row>
    <row r="462" spans="1:12" ht="13.9" hidden="1" x14ac:dyDescent="0.25">
      <c r="A462" s="12">
        <v>6741</v>
      </c>
      <c r="B462" s="12">
        <v>1003569</v>
      </c>
      <c r="C462" s="12" t="s">
        <v>13</v>
      </c>
      <c r="D462" s="12" t="s">
        <v>14</v>
      </c>
      <c r="E462" s="14">
        <v>44535</v>
      </c>
      <c r="F462" s="12" t="s">
        <v>17</v>
      </c>
      <c r="G462" s="12" t="s">
        <v>19</v>
      </c>
      <c r="H462" s="12" t="s">
        <v>41</v>
      </c>
      <c r="I462" s="12">
        <v>230.03899999999999</v>
      </c>
      <c r="J462" s="12">
        <v>198.16</v>
      </c>
      <c r="K462" s="12">
        <v>5.2</v>
      </c>
    </row>
    <row r="463" spans="1:12" ht="13.9" hidden="1" x14ac:dyDescent="0.25">
      <c r="A463" s="12">
        <v>6742</v>
      </c>
      <c r="B463" s="12">
        <v>1003730</v>
      </c>
      <c r="C463" s="12" t="s">
        <v>13</v>
      </c>
      <c r="D463" s="12" t="s">
        <v>14</v>
      </c>
      <c r="E463" s="14">
        <v>44536</v>
      </c>
      <c r="F463" s="12" t="s">
        <v>18</v>
      </c>
      <c r="G463" s="12" t="s">
        <v>19</v>
      </c>
      <c r="H463" s="12" t="s">
        <v>40</v>
      </c>
      <c r="I463" s="12">
        <v>229.99799999999999</v>
      </c>
      <c r="J463" s="12">
        <v>188.078</v>
      </c>
      <c r="K463" s="12">
        <v>3.6</v>
      </c>
    </row>
    <row r="464" spans="1:12" ht="13.9" hidden="1" x14ac:dyDescent="0.25">
      <c r="A464" s="12">
        <v>6743</v>
      </c>
      <c r="B464" s="12">
        <v>1003731</v>
      </c>
      <c r="C464" s="12" t="s">
        <v>13</v>
      </c>
      <c r="D464" s="12" t="s">
        <v>14</v>
      </c>
      <c r="E464" s="14">
        <v>44537</v>
      </c>
      <c r="F464" s="12" t="s">
        <v>18</v>
      </c>
      <c r="G464" s="12" t="s">
        <v>19</v>
      </c>
      <c r="H464" s="12" t="s">
        <v>40</v>
      </c>
      <c r="I464" s="12">
        <v>229.99799999999999</v>
      </c>
      <c r="J464" s="12">
        <v>195.93899999999999</v>
      </c>
      <c r="K464" s="12">
        <v>3.5</v>
      </c>
    </row>
    <row r="465" spans="1:12" ht="13.9" x14ac:dyDescent="0.25">
      <c r="A465" s="12">
        <v>6744</v>
      </c>
      <c r="B465" s="12">
        <v>1003733</v>
      </c>
      <c r="C465" s="12" t="s">
        <v>13</v>
      </c>
      <c r="D465" s="12" t="s">
        <v>14</v>
      </c>
      <c r="E465" s="14">
        <v>44538</v>
      </c>
      <c r="F465" s="12" t="s">
        <v>18</v>
      </c>
      <c r="G465" s="12" t="s">
        <v>19</v>
      </c>
      <c r="H465" s="12" t="s">
        <v>40</v>
      </c>
      <c r="I465" s="12">
        <v>229.95400000000001</v>
      </c>
      <c r="J465" s="12">
        <v>192.9</v>
      </c>
      <c r="K465" s="12">
        <v>3.9</v>
      </c>
      <c r="L465" s="12">
        <v>13.8</v>
      </c>
    </row>
    <row r="466" spans="1:12" ht="13.9" hidden="1" x14ac:dyDescent="0.25">
      <c r="A466" s="12">
        <v>6745</v>
      </c>
      <c r="B466" s="12">
        <v>1003762</v>
      </c>
      <c r="C466" s="12" t="s">
        <v>13</v>
      </c>
      <c r="D466" s="12" t="s">
        <v>14</v>
      </c>
      <c r="E466" s="14">
        <v>44539</v>
      </c>
      <c r="F466" s="12" t="s">
        <v>18</v>
      </c>
      <c r="G466" s="12" t="s">
        <v>19</v>
      </c>
      <c r="H466" s="12" t="s">
        <v>40</v>
      </c>
      <c r="I466" s="12">
        <v>229.988</v>
      </c>
      <c r="J466" s="12">
        <v>190.12799999999999</v>
      </c>
      <c r="K466" s="12">
        <v>3.4</v>
      </c>
    </row>
    <row r="467" spans="1:12" ht="13.9" hidden="1" x14ac:dyDescent="0.25">
      <c r="A467" s="12">
        <v>6746</v>
      </c>
      <c r="B467" s="12">
        <v>1003861</v>
      </c>
      <c r="C467" s="12" t="s">
        <v>13</v>
      </c>
      <c r="D467" s="12" t="s">
        <v>14</v>
      </c>
      <c r="E467" s="14">
        <v>44540</v>
      </c>
      <c r="F467" s="12" t="s">
        <v>18</v>
      </c>
      <c r="G467" s="12" t="s">
        <v>19</v>
      </c>
      <c r="H467" s="12" t="s">
        <v>40</v>
      </c>
      <c r="I467" s="12">
        <v>229.988</v>
      </c>
      <c r="J467" s="12">
        <v>198.77500000000001</v>
      </c>
      <c r="K467" s="12">
        <v>3.5</v>
      </c>
    </row>
    <row r="468" spans="1:12" ht="13.9" x14ac:dyDescent="0.25">
      <c r="A468" s="12">
        <v>6747</v>
      </c>
      <c r="B468" s="12">
        <v>1003896</v>
      </c>
      <c r="C468" s="12" t="s">
        <v>13</v>
      </c>
      <c r="D468" s="12" t="s">
        <v>14</v>
      </c>
      <c r="E468" s="14">
        <v>44541</v>
      </c>
      <c r="F468" s="12" t="s">
        <v>18</v>
      </c>
      <c r="G468" s="12" t="s">
        <v>20</v>
      </c>
      <c r="H468" s="12" t="s">
        <v>44</v>
      </c>
      <c r="I468" s="12">
        <v>225</v>
      </c>
      <c r="J468" s="12">
        <v>198.16800000000001</v>
      </c>
      <c r="K468" s="12">
        <v>5.3</v>
      </c>
      <c r="L468" s="12">
        <v>13.9</v>
      </c>
    </row>
    <row r="469" spans="1:12" ht="13.9" hidden="1" x14ac:dyDescent="0.25">
      <c r="A469" s="12">
        <v>6748</v>
      </c>
      <c r="B469" s="12">
        <v>1003985</v>
      </c>
      <c r="C469" s="12" t="s">
        <v>13</v>
      </c>
      <c r="D469" s="12" t="s">
        <v>14</v>
      </c>
      <c r="E469" s="14">
        <v>44542</v>
      </c>
      <c r="F469" s="12" t="s">
        <v>18</v>
      </c>
      <c r="G469" s="12" t="s">
        <v>20</v>
      </c>
      <c r="H469" s="12" t="s">
        <v>44</v>
      </c>
      <c r="I469" s="12">
        <v>225.06299999999999</v>
      </c>
      <c r="J469" s="12">
        <v>189.83199999999999</v>
      </c>
      <c r="K469" s="12">
        <v>6.4</v>
      </c>
    </row>
    <row r="470" spans="1:12" ht="13.9" hidden="1" x14ac:dyDescent="0.25">
      <c r="A470" s="12">
        <v>6749</v>
      </c>
      <c r="B470" s="12">
        <v>1004052</v>
      </c>
      <c r="C470" s="12" t="s">
        <v>13</v>
      </c>
      <c r="D470" s="12" t="s">
        <v>14</v>
      </c>
      <c r="E470" s="14">
        <v>44543</v>
      </c>
      <c r="F470" s="12" t="s">
        <v>18</v>
      </c>
      <c r="G470" s="12" t="s">
        <v>20</v>
      </c>
      <c r="H470" s="12" t="s">
        <v>44</v>
      </c>
      <c r="I470" s="12">
        <v>225.06200000000001</v>
      </c>
      <c r="J470" s="12">
        <v>196.19300000000001</v>
      </c>
      <c r="K470" s="12">
        <v>4.3</v>
      </c>
    </row>
    <row r="471" spans="1:12" ht="13.9" hidden="1" x14ac:dyDescent="0.25">
      <c r="A471" s="12">
        <v>6750</v>
      </c>
      <c r="B471" s="12">
        <v>1004053</v>
      </c>
      <c r="C471" s="12" t="s">
        <v>13</v>
      </c>
      <c r="D471" s="12" t="s">
        <v>14</v>
      </c>
      <c r="E471" s="14">
        <v>44544</v>
      </c>
      <c r="F471" s="12" t="s">
        <v>18</v>
      </c>
      <c r="G471" s="12" t="s">
        <v>20</v>
      </c>
      <c r="H471" s="12" t="s">
        <v>44</v>
      </c>
      <c r="I471" s="12">
        <v>225.018</v>
      </c>
      <c r="J471" s="12">
        <v>186.05799999999999</v>
      </c>
      <c r="K471" s="12">
        <v>4.8</v>
      </c>
    </row>
    <row r="472" spans="1:12" ht="13.9" hidden="1" x14ac:dyDescent="0.25">
      <c r="A472" s="12">
        <v>6751</v>
      </c>
      <c r="B472" s="12">
        <v>1004054</v>
      </c>
      <c r="C472" s="12" t="s">
        <v>13</v>
      </c>
      <c r="D472" s="12" t="s">
        <v>14</v>
      </c>
      <c r="E472" s="14">
        <v>44545</v>
      </c>
      <c r="F472" s="12" t="s">
        <v>18</v>
      </c>
      <c r="G472" s="12" t="s">
        <v>20</v>
      </c>
      <c r="H472" s="12" t="s">
        <v>44</v>
      </c>
      <c r="I472" s="12">
        <v>225.018</v>
      </c>
      <c r="J472" s="12">
        <v>197.77699999999999</v>
      </c>
      <c r="K472" s="12">
        <v>6.2</v>
      </c>
    </row>
    <row r="473" spans="1:12" ht="13.9" x14ac:dyDescent="0.25">
      <c r="A473" s="12">
        <v>6752</v>
      </c>
      <c r="B473" s="12">
        <v>1004168</v>
      </c>
      <c r="C473" s="12" t="s">
        <v>13</v>
      </c>
      <c r="D473" s="12" t="s">
        <v>14</v>
      </c>
      <c r="E473" s="14">
        <v>44546</v>
      </c>
      <c r="F473" s="12" t="s">
        <v>17</v>
      </c>
      <c r="G473" s="12" t="s">
        <v>19</v>
      </c>
      <c r="H473" s="12" t="s">
        <v>35</v>
      </c>
      <c r="I473" s="12">
        <v>225</v>
      </c>
      <c r="J473" s="12">
        <v>190.273</v>
      </c>
      <c r="K473" s="12">
        <v>4.2</v>
      </c>
      <c r="L473" s="12">
        <v>14.1</v>
      </c>
    </row>
    <row r="474" spans="1:12" ht="13.9" hidden="1" x14ac:dyDescent="0.25">
      <c r="A474" s="12">
        <v>6753</v>
      </c>
      <c r="B474" s="12">
        <v>1004258</v>
      </c>
      <c r="C474" s="12" t="s">
        <v>13</v>
      </c>
      <c r="D474" s="12" t="s">
        <v>14</v>
      </c>
      <c r="E474" s="14">
        <v>44547</v>
      </c>
      <c r="F474" s="12" t="s">
        <v>18</v>
      </c>
      <c r="G474" s="12" t="s">
        <v>19</v>
      </c>
      <c r="H474" s="12" t="s">
        <v>39</v>
      </c>
      <c r="I474" s="12">
        <v>230.00899999999999</v>
      </c>
      <c r="J474" s="12">
        <v>185.232</v>
      </c>
      <c r="K474" s="12">
        <v>3.5</v>
      </c>
    </row>
    <row r="475" spans="1:12" ht="13.9" hidden="1" x14ac:dyDescent="0.25">
      <c r="A475" s="12">
        <v>6754</v>
      </c>
      <c r="B475" s="12">
        <v>1004328</v>
      </c>
      <c r="C475" s="12" t="s">
        <v>13</v>
      </c>
      <c r="D475" s="12" t="s">
        <v>14</v>
      </c>
      <c r="E475" s="14">
        <v>44548</v>
      </c>
      <c r="F475" s="12" t="s">
        <v>18</v>
      </c>
      <c r="G475" s="12" t="s">
        <v>19</v>
      </c>
      <c r="H475" s="12" t="s">
        <v>39</v>
      </c>
      <c r="I475" s="12">
        <v>230.00899999999999</v>
      </c>
      <c r="J475" s="12">
        <v>205.4</v>
      </c>
      <c r="K475" s="12">
        <v>5.2</v>
      </c>
    </row>
    <row r="476" spans="1:12" ht="13.9" hidden="1" x14ac:dyDescent="0.25">
      <c r="A476" s="12">
        <v>6755</v>
      </c>
      <c r="B476" s="12">
        <v>1004429</v>
      </c>
      <c r="C476" s="12" t="s">
        <v>13</v>
      </c>
      <c r="D476" s="12" t="s">
        <v>14</v>
      </c>
      <c r="E476" s="14">
        <v>44549</v>
      </c>
      <c r="F476" s="12" t="s">
        <v>18</v>
      </c>
      <c r="G476" s="12" t="s">
        <v>19</v>
      </c>
      <c r="H476" s="12" t="s">
        <v>39</v>
      </c>
      <c r="I476" s="12">
        <v>229.99799999999999</v>
      </c>
      <c r="J476" s="12">
        <v>189.09700000000001</v>
      </c>
      <c r="K476" s="12">
        <v>4.2</v>
      </c>
    </row>
    <row r="477" spans="1:12" ht="13.9" hidden="1" x14ac:dyDescent="0.25">
      <c r="A477" s="12">
        <v>6756</v>
      </c>
      <c r="B477" s="12">
        <v>1004497</v>
      </c>
      <c r="C477" s="12" t="s">
        <v>13</v>
      </c>
      <c r="D477" s="12" t="s">
        <v>14</v>
      </c>
      <c r="E477" s="14">
        <v>44550</v>
      </c>
      <c r="F477" s="12" t="s">
        <v>18</v>
      </c>
      <c r="G477" s="12" t="s">
        <v>19</v>
      </c>
      <c r="H477" s="12" t="s">
        <v>39</v>
      </c>
      <c r="I477" s="12">
        <v>229.999</v>
      </c>
      <c r="J477" s="12">
        <v>201.06800000000001</v>
      </c>
      <c r="K477" s="12">
        <v>4.5</v>
      </c>
    </row>
    <row r="478" spans="1:12" ht="13.9" x14ac:dyDescent="0.25">
      <c r="A478" s="12">
        <v>6757</v>
      </c>
      <c r="B478" s="12">
        <v>1004498</v>
      </c>
      <c r="C478" s="12" t="s">
        <v>13</v>
      </c>
      <c r="D478" s="12" t="s">
        <v>14</v>
      </c>
      <c r="E478" s="14">
        <v>44551</v>
      </c>
      <c r="F478" s="12" t="s">
        <v>18</v>
      </c>
      <c r="G478" s="12" t="s">
        <v>19</v>
      </c>
      <c r="H478" s="12" t="s">
        <v>39</v>
      </c>
      <c r="I478" s="12">
        <v>230.00399999999999</v>
      </c>
      <c r="J478" s="12">
        <v>194.078</v>
      </c>
      <c r="K478" s="12">
        <v>3.4</v>
      </c>
      <c r="L478" s="12">
        <v>13.3</v>
      </c>
    </row>
    <row r="479" spans="1:12" ht="13.9" x14ac:dyDescent="0.25">
      <c r="A479" s="12">
        <v>6758</v>
      </c>
      <c r="B479" s="12">
        <v>1004522</v>
      </c>
      <c r="C479" s="12" t="s">
        <v>13</v>
      </c>
      <c r="D479" s="12" t="s">
        <v>14</v>
      </c>
      <c r="E479" s="14">
        <v>44552</v>
      </c>
      <c r="F479" s="12" t="s">
        <v>17</v>
      </c>
      <c r="G479" s="12" t="s">
        <v>19</v>
      </c>
      <c r="H479" s="12" t="s">
        <v>40</v>
      </c>
      <c r="I479" s="12">
        <v>230.00399999999999</v>
      </c>
      <c r="J479" s="12">
        <v>197.399</v>
      </c>
      <c r="K479" s="12">
        <v>3.7</v>
      </c>
      <c r="L479" s="12">
        <v>13.9</v>
      </c>
    </row>
    <row r="480" spans="1:12" ht="13.9" x14ac:dyDescent="0.25">
      <c r="A480" s="12">
        <v>6759</v>
      </c>
      <c r="B480" s="12">
        <v>1004645</v>
      </c>
      <c r="C480" s="12" t="s">
        <v>13</v>
      </c>
      <c r="D480" s="12" t="s">
        <v>14</v>
      </c>
      <c r="E480" s="14">
        <v>44553</v>
      </c>
      <c r="F480" s="12" t="s">
        <v>17</v>
      </c>
      <c r="G480" s="12" t="s">
        <v>19</v>
      </c>
      <c r="H480" s="12" t="s">
        <v>40</v>
      </c>
      <c r="I480" s="12">
        <v>230.005</v>
      </c>
      <c r="J480" s="12">
        <v>200.97900000000001</v>
      </c>
      <c r="K480" s="12">
        <v>4.2</v>
      </c>
      <c r="L480" s="12">
        <v>13.9</v>
      </c>
    </row>
    <row r="481" spans="1:12" ht="13.9" hidden="1" x14ac:dyDescent="0.25">
      <c r="A481" s="12">
        <v>6760</v>
      </c>
      <c r="B481" s="12">
        <v>1004735</v>
      </c>
      <c r="C481" s="12" t="s">
        <v>13</v>
      </c>
      <c r="D481" s="12" t="s">
        <v>14</v>
      </c>
      <c r="E481" s="14">
        <v>44554</v>
      </c>
      <c r="F481" s="12" t="s">
        <v>17</v>
      </c>
      <c r="G481" s="12" t="s">
        <v>19</v>
      </c>
      <c r="H481" s="12" t="s">
        <v>40</v>
      </c>
      <c r="I481" s="12">
        <v>230.00200000000001</v>
      </c>
      <c r="J481" s="12">
        <v>192.767</v>
      </c>
      <c r="K481" s="12">
        <v>4.8</v>
      </c>
    </row>
    <row r="482" spans="1:12" ht="13.9" hidden="1" x14ac:dyDescent="0.25">
      <c r="A482" s="12">
        <v>6761</v>
      </c>
      <c r="B482" s="12">
        <v>1004806</v>
      </c>
      <c r="C482" s="12" t="s">
        <v>13</v>
      </c>
      <c r="D482" s="12" t="s">
        <v>14</v>
      </c>
      <c r="E482" s="14">
        <v>44555</v>
      </c>
      <c r="F482" s="12" t="s">
        <v>17</v>
      </c>
      <c r="G482" s="12" t="s">
        <v>19</v>
      </c>
      <c r="H482" s="12" t="s">
        <v>40</v>
      </c>
      <c r="I482" s="12">
        <v>230.00299999999999</v>
      </c>
      <c r="J482" s="12">
        <v>199.49600000000001</v>
      </c>
      <c r="K482" s="12">
        <v>4.2</v>
      </c>
    </row>
    <row r="483" spans="1:12" ht="13.9" x14ac:dyDescent="0.25">
      <c r="A483" s="12">
        <v>6762</v>
      </c>
      <c r="B483" s="12">
        <v>1004873</v>
      </c>
      <c r="C483" s="12" t="s">
        <v>13</v>
      </c>
      <c r="D483" s="12" t="s">
        <v>14</v>
      </c>
      <c r="E483" s="14">
        <v>44556</v>
      </c>
      <c r="F483" s="12" t="s">
        <v>17</v>
      </c>
      <c r="G483" s="12" t="s">
        <v>19</v>
      </c>
      <c r="H483" s="12" t="s">
        <v>40</v>
      </c>
      <c r="I483" s="12">
        <v>230.00299999999999</v>
      </c>
      <c r="J483" s="12">
        <v>197.30600000000001</v>
      </c>
      <c r="K483" s="12">
        <v>6.2</v>
      </c>
      <c r="L483" s="12">
        <v>12.8</v>
      </c>
    </row>
    <row r="484" spans="1:12" ht="13.9" hidden="1" x14ac:dyDescent="0.25">
      <c r="A484" s="12">
        <v>6763</v>
      </c>
      <c r="B484" s="12">
        <v>1004956</v>
      </c>
      <c r="C484" s="12" t="s">
        <v>13</v>
      </c>
      <c r="D484" s="12" t="s">
        <v>14</v>
      </c>
      <c r="E484" s="14">
        <v>44557</v>
      </c>
      <c r="F484" s="12" t="s">
        <v>17</v>
      </c>
      <c r="G484" s="12" t="s">
        <v>19</v>
      </c>
      <c r="H484" s="12" t="s">
        <v>41</v>
      </c>
      <c r="I484" s="12">
        <v>230</v>
      </c>
      <c r="J484" s="12">
        <v>196.05699999999999</v>
      </c>
      <c r="K484" s="12">
        <v>4.4000000000000004</v>
      </c>
    </row>
    <row r="485" spans="1:12" ht="13.9" x14ac:dyDescent="0.25">
      <c r="A485" s="12">
        <v>6764</v>
      </c>
      <c r="B485" s="12">
        <v>1004958</v>
      </c>
      <c r="C485" s="12" t="s">
        <v>13</v>
      </c>
      <c r="D485" s="12" t="s">
        <v>14</v>
      </c>
      <c r="E485" s="14">
        <v>44558</v>
      </c>
      <c r="F485" s="12" t="s">
        <v>17</v>
      </c>
      <c r="G485" s="12" t="s">
        <v>19</v>
      </c>
      <c r="H485" s="12" t="s">
        <v>41</v>
      </c>
      <c r="I485" s="12">
        <v>230</v>
      </c>
      <c r="J485" s="12">
        <v>197.202</v>
      </c>
      <c r="K485" s="12">
        <v>3.7</v>
      </c>
      <c r="L485" s="12">
        <v>14</v>
      </c>
    </row>
    <row r="486" spans="1:12" ht="13.9" hidden="1" x14ac:dyDescent="0.25">
      <c r="A486" s="12">
        <v>6765</v>
      </c>
      <c r="B486" s="12">
        <v>1004960</v>
      </c>
      <c r="C486" s="12" t="s">
        <v>13</v>
      </c>
      <c r="D486" s="12" t="s">
        <v>14</v>
      </c>
      <c r="E486" s="14">
        <v>44559</v>
      </c>
      <c r="F486" s="12" t="s">
        <v>17</v>
      </c>
      <c r="G486" s="12" t="s">
        <v>19</v>
      </c>
      <c r="H486" s="12" t="s">
        <v>41</v>
      </c>
      <c r="I486" s="12">
        <v>230</v>
      </c>
      <c r="J486" s="12">
        <v>191.18299999999999</v>
      </c>
      <c r="K486" s="12">
        <v>3.4</v>
      </c>
    </row>
    <row r="487" spans="1:12" ht="13.9" hidden="1" x14ac:dyDescent="0.25">
      <c r="A487" s="12">
        <v>6766</v>
      </c>
      <c r="B487" s="12">
        <v>1005048</v>
      </c>
      <c r="C487" s="12" t="s">
        <v>13</v>
      </c>
      <c r="D487" s="12" t="s">
        <v>14</v>
      </c>
      <c r="E487" s="14">
        <v>44560</v>
      </c>
      <c r="F487" s="12" t="s">
        <v>17</v>
      </c>
      <c r="G487" s="12" t="s">
        <v>19</v>
      </c>
      <c r="H487" s="12" t="s">
        <v>41</v>
      </c>
      <c r="I487" s="12">
        <v>230</v>
      </c>
      <c r="J487" s="12">
        <v>191.85400000000001</v>
      </c>
      <c r="K487" s="12">
        <v>3.8</v>
      </c>
    </row>
    <row r="488" spans="1:12" ht="13.9" hidden="1" x14ac:dyDescent="0.25">
      <c r="A488" s="12">
        <v>6767</v>
      </c>
      <c r="B488" s="12">
        <v>1005131</v>
      </c>
      <c r="C488" s="12" t="s">
        <v>13</v>
      </c>
      <c r="D488" s="12" t="s">
        <v>14</v>
      </c>
      <c r="E488" s="14">
        <v>44561</v>
      </c>
      <c r="F488" s="12" t="s">
        <v>17</v>
      </c>
      <c r="G488" s="12" t="s">
        <v>19</v>
      </c>
      <c r="H488" s="12" t="s">
        <v>41</v>
      </c>
      <c r="I488" s="12">
        <v>229.999</v>
      </c>
      <c r="J488" s="12">
        <v>199.64599999999999</v>
      </c>
      <c r="K488" s="12">
        <v>4</v>
      </c>
    </row>
    <row r="489" spans="1:12" ht="13.9" hidden="1" x14ac:dyDescent="0.25">
      <c r="A489" s="12">
        <v>6768</v>
      </c>
      <c r="B489" s="12">
        <v>1005279</v>
      </c>
      <c r="C489" s="12" t="s">
        <v>13</v>
      </c>
      <c r="D489" s="12" t="s">
        <v>14</v>
      </c>
      <c r="E489" s="14">
        <v>44562</v>
      </c>
      <c r="F489" s="12" t="s">
        <v>18</v>
      </c>
      <c r="G489" s="12" t="s">
        <v>19</v>
      </c>
      <c r="H489" s="12" t="s">
        <v>41</v>
      </c>
      <c r="I489" s="12">
        <v>230.012</v>
      </c>
      <c r="J489" s="12">
        <v>194.91900000000001</v>
      </c>
      <c r="K489" s="12">
        <v>4</v>
      </c>
    </row>
    <row r="490" spans="1:12" ht="13.9" x14ac:dyDescent="0.25">
      <c r="A490" s="12">
        <v>6769</v>
      </c>
      <c r="B490" s="12">
        <v>1005280</v>
      </c>
      <c r="C490" s="12" t="s">
        <v>13</v>
      </c>
      <c r="D490" s="12" t="s">
        <v>14</v>
      </c>
      <c r="E490" s="14">
        <v>44563</v>
      </c>
      <c r="F490" s="12" t="s">
        <v>18</v>
      </c>
      <c r="G490" s="12" t="s">
        <v>19</v>
      </c>
      <c r="H490" s="12" t="s">
        <v>41</v>
      </c>
      <c r="I490" s="12">
        <v>230.01300000000001</v>
      </c>
      <c r="J490" s="12">
        <v>187.98599999999999</v>
      </c>
      <c r="K490" s="12">
        <v>3.4</v>
      </c>
      <c r="L490" s="12">
        <v>13.8</v>
      </c>
    </row>
    <row r="491" spans="1:12" ht="13.9" hidden="1" x14ac:dyDescent="0.25">
      <c r="A491" s="12">
        <v>6770</v>
      </c>
      <c r="B491" s="12">
        <v>1005292</v>
      </c>
      <c r="C491" s="12" t="s">
        <v>13</v>
      </c>
      <c r="D491" s="12" t="s">
        <v>14</v>
      </c>
      <c r="E491" s="14">
        <v>44564</v>
      </c>
      <c r="F491" s="12" t="s">
        <v>18</v>
      </c>
      <c r="G491" s="12" t="s">
        <v>19</v>
      </c>
      <c r="H491" s="12" t="s">
        <v>41</v>
      </c>
      <c r="I491" s="12">
        <v>230.01300000000001</v>
      </c>
      <c r="J491" s="12">
        <v>199.94200000000001</v>
      </c>
      <c r="K491" s="12">
        <v>3.7</v>
      </c>
    </row>
    <row r="492" spans="1:12" ht="13.9" hidden="1" x14ac:dyDescent="0.25">
      <c r="A492" s="12">
        <v>6771</v>
      </c>
      <c r="B492" s="12">
        <v>1005293</v>
      </c>
      <c r="C492" s="12" t="s">
        <v>13</v>
      </c>
      <c r="D492" s="12" t="s">
        <v>14</v>
      </c>
      <c r="E492" s="14">
        <v>44565</v>
      </c>
      <c r="F492" s="12" t="s">
        <v>18</v>
      </c>
      <c r="G492" s="12" t="s">
        <v>19</v>
      </c>
      <c r="H492" s="12" t="s">
        <v>41</v>
      </c>
      <c r="I492" s="12">
        <v>230.012</v>
      </c>
      <c r="J492" s="12">
        <v>195.18700000000001</v>
      </c>
      <c r="K492" s="12">
        <v>3.5</v>
      </c>
    </row>
    <row r="493" spans="1:12" ht="13.9" hidden="1" x14ac:dyDescent="0.25">
      <c r="A493" s="12">
        <v>6772</v>
      </c>
      <c r="B493" s="12">
        <v>1005296</v>
      </c>
      <c r="C493" s="12" t="s">
        <v>13</v>
      </c>
      <c r="D493" s="12" t="s">
        <v>14</v>
      </c>
      <c r="E493" s="14">
        <v>44566</v>
      </c>
      <c r="F493" s="12" t="s">
        <v>18</v>
      </c>
      <c r="G493" s="12" t="s">
        <v>19</v>
      </c>
      <c r="H493" s="12" t="s">
        <v>41</v>
      </c>
      <c r="I493" s="12">
        <v>230.011</v>
      </c>
      <c r="J493" s="12">
        <v>197.28200000000001</v>
      </c>
      <c r="K493" s="12">
        <v>3.9</v>
      </c>
    </row>
    <row r="494" spans="1:12" ht="13.9" x14ac:dyDescent="0.25">
      <c r="A494" s="12">
        <v>6773</v>
      </c>
      <c r="B494" s="12">
        <v>1005409</v>
      </c>
      <c r="C494" s="12" t="s">
        <v>13</v>
      </c>
      <c r="D494" s="12" t="s">
        <v>14</v>
      </c>
      <c r="E494" s="14">
        <v>44567</v>
      </c>
      <c r="F494" s="12" t="s">
        <v>18</v>
      </c>
      <c r="G494" s="12" t="s">
        <v>19</v>
      </c>
      <c r="H494" s="12" t="s">
        <v>40</v>
      </c>
      <c r="I494" s="12">
        <v>230.02099999999999</v>
      </c>
      <c r="J494" s="12">
        <v>192.42599999999999</v>
      </c>
      <c r="K494" s="12">
        <v>3.6</v>
      </c>
      <c r="L494" s="12">
        <v>14.3</v>
      </c>
    </row>
    <row r="495" spans="1:12" ht="13.9" hidden="1" x14ac:dyDescent="0.25">
      <c r="A495" s="12">
        <v>6774</v>
      </c>
      <c r="B495" s="12">
        <v>1005473</v>
      </c>
      <c r="C495" s="12" t="s">
        <v>13</v>
      </c>
      <c r="D495" s="12" t="s">
        <v>14</v>
      </c>
      <c r="E495" s="14">
        <v>44568</v>
      </c>
      <c r="F495" s="12" t="s">
        <v>18</v>
      </c>
      <c r="G495" s="12" t="s">
        <v>19</v>
      </c>
      <c r="H495" s="12" t="s">
        <v>40</v>
      </c>
      <c r="I495" s="12">
        <v>229.999</v>
      </c>
      <c r="J495" s="12">
        <v>188.267</v>
      </c>
      <c r="K495" s="12">
        <v>3.4</v>
      </c>
    </row>
    <row r="496" spans="1:12" ht="13.9" hidden="1" x14ac:dyDescent="0.25">
      <c r="A496" s="12">
        <v>6775</v>
      </c>
      <c r="B496" s="12">
        <v>1005526</v>
      </c>
      <c r="C496" s="12" t="s">
        <v>13</v>
      </c>
      <c r="D496" s="12" t="s">
        <v>14</v>
      </c>
      <c r="E496" s="14">
        <v>44569</v>
      </c>
      <c r="F496" s="12" t="s">
        <v>18</v>
      </c>
      <c r="G496" s="12" t="s">
        <v>19</v>
      </c>
      <c r="H496" s="12" t="s">
        <v>40</v>
      </c>
      <c r="I496" s="12">
        <v>229.99799999999999</v>
      </c>
      <c r="J496" s="12">
        <v>201.48599999999999</v>
      </c>
      <c r="K496" s="12">
        <v>4.7</v>
      </c>
    </row>
    <row r="497" spans="1:12" ht="13.9" hidden="1" x14ac:dyDescent="0.25">
      <c r="A497" s="12">
        <v>6776</v>
      </c>
      <c r="B497" s="12">
        <v>1005635</v>
      </c>
      <c r="C497" s="12" t="s">
        <v>13</v>
      </c>
      <c r="D497" s="12" t="s">
        <v>14</v>
      </c>
      <c r="E497" s="14">
        <v>44570</v>
      </c>
      <c r="F497" s="12" t="s">
        <v>18</v>
      </c>
      <c r="G497" s="12" t="s">
        <v>19</v>
      </c>
      <c r="H497" s="12" t="s">
        <v>40</v>
      </c>
      <c r="I497" s="12">
        <v>230.00399999999999</v>
      </c>
      <c r="J497" s="12">
        <v>195.04300000000001</v>
      </c>
      <c r="K497" s="12">
        <v>3.9</v>
      </c>
    </row>
    <row r="498" spans="1:12" ht="13.9" hidden="1" x14ac:dyDescent="0.25">
      <c r="A498" s="12">
        <v>6777</v>
      </c>
      <c r="B498" s="12">
        <v>1005660</v>
      </c>
      <c r="C498" s="12" t="s">
        <v>13</v>
      </c>
      <c r="D498" s="12" t="s">
        <v>14</v>
      </c>
      <c r="E498" s="14">
        <v>44571</v>
      </c>
      <c r="F498" s="12" t="s">
        <v>18</v>
      </c>
      <c r="G498" s="12" t="s">
        <v>19</v>
      </c>
      <c r="H498" s="12" t="s">
        <v>40</v>
      </c>
      <c r="I498" s="12">
        <v>230.00299999999999</v>
      </c>
      <c r="J498" s="12">
        <v>199.09800000000001</v>
      </c>
      <c r="K498" s="12">
        <v>4.8</v>
      </c>
    </row>
    <row r="499" spans="1:12" ht="13.9" x14ac:dyDescent="0.25">
      <c r="A499" s="12">
        <v>6778</v>
      </c>
      <c r="B499" s="12">
        <v>1005720</v>
      </c>
      <c r="C499" s="12" t="s">
        <v>13</v>
      </c>
      <c r="D499" s="12" t="s">
        <v>14</v>
      </c>
      <c r="E499" s="14">
        <v>44572</v>
      </c>
      <c r="F499" s="12" t="s">
        <v>46</v>
      </c>
      <c r="G499" s="12" t="s">
        <v>20</v>
      </c>
      <c r="H499" s="12" t="s">
        <v>48</v>
      </c>
      <c r="I499" s="12">
        <v>225.01599999999999</v>
      </c>
      <c r="J499" s="12">
        <v>190.58799999999999</v>
      </c>
      <c r="K499" s="12">
        <v>4.8</v>
      </c>
      <c r="L499" s="12">
        <v>12.7</v>
      </c>
    </row>
    <row r="500" spans="1:12" ht="13.9" hidden="1" x14ac:dyDescent="0.25">
      <c r="A500" s="12">
        <v>6779</v>
      </c>
      <c r="B500" s="12">
        <v>1005667</v>
      </c>
      <c r="C500" s="12" t="s">
        <v>13</v>
      </c>
      <c r="D500" s="12" t="s">
        <v>14</v>
      </c>
      <c r="E500" s="14">
        <v>44573</v>
      </c>
      <c r="F500" s="12" t="s">
        <v>37</v>
      </c>
      <c r="G500" s="12" t="s">
        <v>19</v>
      </c>
      <c r="H500" s="12" t="s">
        <v>40</v>
      </c>
      <c r="I500" s="12">
        <v>230.00200000000001</v>
      </c>
      <c r="J500" s="12">
        <v>201.179</v>
      </c>
      <c r="K500" s="12">
        <v>3.7</v>
      </c>
    </row>
    <row r="501" spans="1:12" ht="13.9" hidden="1" x14ac:dyDescent="0.25">
      <c r="A501" s="12">
        <v>6780</v>
      </c>
      <c r="B501" s="12">
        <v>1005748</v>
      </c>
      <c r="C501" s="12" t="s">
        <v>13</v>
      </c>
      <c r="D501" s="12" t="s">
        <v>14</v>
      </c>
      <c r="E501" s="14">
        <v>44574</v>
      </c>
      <c r="F501" s="12" t="s">
        <v>37</v>
      </c>
      <c r="G501" s="12" t="s">
        <v>19</v>
      </c>
      <c r="H501" s="12" t="s">
        <v>40</v>
      </c>
      <c r="I501" s="12">
        <v>230.00299999999999</v>
      </c>
      <c r="J501" s="12">
        <v>183.47200000000001</v>
      </c>
      <c r="K501" s="12">
        <v>3.5</v>
      </c>
    </row>
    <row r="502" spans="1:12" ht="13.9" hidden="1" x14ac:dyDescent="0.25">
      <c r="A502" s="12">
        <v>6781</v>
      </c>
      <c r="B502" s="12">
        <v>1005832</v>
      </c>
      <c r="C502" s="12" t="s">
        <v>13</v>
      </c>
      <c r="D502" s="12" t="s">
        <v>14</v>
      </c>
      <c r="E502" s="14">
        <v>44575</v>
      </c>
      <c r="F502" s="12" t="s">
        <v>37</v>
      </c>
      <c r="G502" s="12" t="s">
        <v>19</v>
      </c>
      <c r="H502" s="12" t="s">
        <v>40</v>
      </c>
      <c r="I502" s="12">
        <v>229.99600000000001</v>
      </c>
      <c r="J502" s="12">
        <v>196.00399999999999</v>
      </c>
      <c r="K502" s="12">
        <v>4.5</v>
      </c>
    </row>
    <row r="503" spans="1:12" ht="13.9" hidden="1" x14ac:dyDescent="0.25">
      <c r="A503" s="12">
        <v>6782</v>
      </c>
      <c r="B503" s="12">
        <v>1005890</v>
      </c>
      <c r="C503" s="12" t="s">
        <v>13</v>
      </c>
      <c r="D503" s="12" t="s">
        <v>14</v>
      </c>
      <c r="E503" s="14">
        <v>44576</v>
      </c>
      <c r="F503" s="12" t="s">
        <v>37</v>
      </c>
      <c r="G503" s="12" t="s">
        <v>19</v>
      </c>
      <c r="H503" s="12" t="s">
        <v>40</v>
      </c>
      <c r="I503" s="12">
        <v>229.99700000000001</v>
      </c>
      <c r="J503" s="12">
        <v>189.64</v>
      </c>
      <c r="K503" s="12">
        <v>3.1</v>
      </c>
    </row>
    <row r="504" spans="1:12" ht="13.9" x14ac:dyDescent="0.25">
      <c r="A504" s="12">
        <v>6783</v>
      </c>
      <c r="B504" s="12">
        <v>1005977</v>
      </c>
      <c r="C504" s="12" t="s">
        <v>13</v>
      </c>
      <c r="D504" s="12" t="s">
        <v>14</v>
      </c>
      <c r="E504" s="14">
        <v>44577</v>
      </c>
      <c r="F504" s="12" t="s">
        <v>37</v>
      </c>
      <c r="G504" s="12" t="s">
        <v>19</v>
      </c>
      <c r="H504" s="12" t="s">
        <v>40</v>
      </c>
      <c r="I504" s="12">
        <v>229.994</v>
      </c>
      <c r="J504" s="12">
        <v>194.578</v>
      </c>
      <c r="K504" s="12">
        <v>3.6</v>
      </c>
      <c r="L504" s="12">
        <v>13.1</v>
      </c>
    </row>
    <row r="505" spans="1:12" ht="13.9" hidden="1" x14ac:dyDescent="0.25">
      <c r="A505" s="12">
        <v>6784</v>
      </c>
      <c r="B505" s="12">
        <v>1006105</v>
      </c>
      <c r="C505" s="12" t="s">
        <v>13</v>
      </c>
      <c r="D505" s="12" t="s">
        <v>14</v>
      </c>
      <c r="E505" s="14">
        <v>44578</v>
      </c>
      <c r="F505" s="12" t="s">
        <v>17</v>
      </c>
      <c r="G505" s="12" t="s">
        <v>19</v>
      </c>
      <c r="H505" s="12" t="s">
        <v>41</v>
      </c>
      <c r="I505" s="12">
        <v>230.00200000000001</v>
      </c>
      <c r="J505" s="12">
        <v>193.05099999999999</v>
      </c>
      <c r="K505" s="12">
        <v>4.0999999999999996</v>
      </c>
    </row>
    <row r="506" spans="1:12" ht="13.9" hidden="1" x14ac:dyDescent="0.25">
      <c r="A506" s="12">
        <v>6785</v>
      </c>
      <c r="B506" s="12">
        <v>1006108</v>
      </c>
      <c r="C506" s="12" t="s">
        <v>13</v>
      </c>
      <c r="D506" s="12" t="s">
        <v>14</v>
      </c>
      <c r="E506" s="14">
        <v>44579</v>
      </c>
      <c r="F506" s="12" t="s">
        <v>17</v>
      </c>
      <c r="G506" s="12" t="s">
        <v>19</v>
      </c>
      <c r="H506" s="12" t="s">
        <v>41</v>
      </c>
      <c r="I506" s="12">
        <v>230.00299999999999</v>
      </c>
      <c r="J506" s="12">
        <v>198.37100000000001</v>
      </c>
      <c r="K506" s="12">
        <v>4.3</v>
      </c>
    </row>
    <row r="507" spans="1:12" ht="13.9" hidden="1" x14ac:dyDescent="0.25">
      <c r="A507" s="12">
        <v>6786</v>
      </c>
      <c r="B507" s="12">
        <v>1006109</v>
      </c>
      <c r="C507" s="12" t="s">
        <v>13</v>
      </c>
      <c r="D507" s="12" t="s">
        <v>14</v>
      </c>
      <c r="E507" s="14">
        <v>44580</v>
      </c>
      <c r="F507" s="12" t="s">
        <v>17</v>
      </c>
      <c r="G507" s="12" t="s">
        <v>19</v>
      </c>
      <c r="H507" s="12" t="s">
        <v>41</v>
      </c>
      <c r="I507" s="12">
        <v>230.001</v>
      </c>
      <c r="J507" s="12">
        <v>192.4</v>
      </c>
      <c r="K507" s="12">
        <v>3.6</v>
      </c>
    </row>
    <row r="508" spans="1:12" ht="13.9" x14ac:dyDescent="0.25">
      <c r="A508" s="12">
        <v>6787</v>
      </c>
      <c r="B508" s="12">
        <v>1006187</v>
      </c>
      <c r="C508" s="12" t="s">
        <v>13</v>
      </c>
      <c r="D508" s="12" t="s">
        <v>14</v>
      </c>
      <c r="E508" s="14">
        <v>44581</v>
      </c>
      <c r="F508" s="12" t="s">
        <v>17</v>
      </c>
      <c r="G508" s="12" t="s">
        <v>19</v>
      </c>
      <c r="H508" s="12" t="s">
        <v>41</v>
      </c>
      <c r="I508" s="12">
        <v>230.001</v>
      </c>
      <c r="J508" s="12">
        <v>191.428</v>
      </c>
      <c r="K508" s="12">
        <v>3.5</v>
      </c>
      <c r="L508" s="12">
        <v>13.7</v>
      </c>
    </row>
    <row r="509" spans="1:12" ht="13.9" hidden="1" x14ac:dyDescent="0.25">
      <c r="A509" s="12">
        <v>6788</v>
      </c>
      <c r="B509" s="12">
        <v>1006254</v>
      </c>
      <c r="C509" s="12" t="s">
        <v>13</v>
      </c>
      <c r="D509" s="12" t="s">
        <v>14</v>
      </c>
      <c r="E509" s="14">
        <v>44582</v>
      </c>
      <c r="F509" s="12" t="s">
        <v>17</v>
      </c>
      <c r="G509" s="12" t="s">
        <v>19</v>
      </c>
      <c r="H509" s="12" t="s">
        <v>41</v>
      </c>
      <c r="I509" s="12">
        <v>230.00200000000001</v>
      </c>
      <c r="J509" s="12">
        <v>202.87200000000001</v>
      </c>
      <c r="K509" s="12">
        <v>3.7</v>
      </c>
    </row>
    <row r="510" spans="1:12" ht="13.9" hidden="1" x14ac:dyDescent="0.25">
      <c r="A510" s="12">
        <v>6789</v>
      </c>
      <c r="B510" s="12">
        <v>1006308</v>
      </c>
      <c r="C510" s="12" t="s">
        <v>13</v>
      </c>
      <c r="D510" s="12" t="s">
        <v>14</v>
      </c>
      <c r="E510" s="14">
        <v>44583</v>
      </c>
      <c r="F510" s="12" t="s">
        <v>17</v>
      </c>
      <c r="G510" s="12" t="s">
        <v>20</v>
      </c>
      <c r="H510" s="12" t="s">
        <v>42</v>
      </c>
      <c r="I510" s="12">
        <v>229.99600000000001</v>
      </c>
      <c r="J510" s="12">
        <v>190.34200000000001</v>
      </c>
      <c r="K510" s="12">
        <v>4.9000000000000004</v>
      </c>
    </row>
    <row r="511" spans="1:12" ht="13.9" hidden="1" x14ac:dyDescent="0.25">
      <c r="A511" s="12">
        <v>6790</v>
      </c>
      <c r="B511" s="12">
        <v>1006403</v>
      </c>
      <c r="C511" s="12" t="s">
        <v>13</v>
      </c>
      <c r="D511" s="12" t="s">
        <v>14</v>
      </c>
      <c r="E511" s="14">
        <v>44584</v>
      </c>
      <c r="F511" s="12" t="s">
        <v>17</v>
      </c>
      <c r="G511" s="12" t="s">
        <v>20</v>
      </c>
      <c r="H511" s="12" t="s">
        <v>42</v>
      </c>
      <c r="I511" s="12">
        <v>229.99600000000001</v>
      </c>
      <c r="J511" s="12">
        <v>195.87899999999999</v>
      </c>
      <c r="K511" s="12">
        <v>4.8</v>
      </c>
    </row>
    <row r="512" spans="1:12" x14ac:dyDescent="0.25">
      <c r="A512" s="12">
        <v>6791</v>
      </c>
      <c r="B512" s="12">
        <v>1006504</v>
      </c>
      <c r="C512" s="12" t="s">
        <v>13</v>
      </c>
      <c r="D512" s="12" t="s">
        <v>14</v>
      </c>
      <c r="E512" s="14">
        <v>44585</v>
      </c>
      <c r="F512" s="12" t="s">
        <v>46</v>
      </c>
      <c r="G512" s="12" t="s">
        <v>19</v>
      </c>
      <c r="H512" s="12" t="s">
        <v>49</v>
      </c>
      <c r="I512" s="12">
        <v>225</v>
      </c>
      <c r="J512" s="12">
        <v>188.1</v>
      </c>
      <c r="K512" s="12">
        <v>3.2</v>
      </c>
      <c r="L512" s="12">
        <v>13.8</v>
      </c>
    </row>
    <row r="513" spans="1:12" ht="13.9" hidden="1" x14ac:dyDescent="0.25">
      <c r="A513" s="12">
        <v>6792</v>
      </c>
      <c r="B513" s="12">
        <v>1006505</v>
      </c>
      <c r="C513" s="12" t="s">
        <v>13</v>
      </c>
      <c r="D513" s="12" t="s">
        <v>14</v>
      </c>
      <c r="E513" s="14">
        <v>44586</v>
      </c>
      <c r="F513" s="12" t="s">
        <v>18</v>
      </c>
      <c r="G513" s="12" t="s">
        <v>19</v>
      </c>
      <c r="H513" s="12" t="s">
        <v>41</v>
      </c>
      <c r="I513" s="12">
        <v>229.995</v>
      </c>
      <c r="J513" s="12">
        <v>189.02699999999999</v>
      </c>
      <c r="K513" s="12">
        <v>3.6</v>
      </c>
    </row>
    <row r="514" spans="1:12" ht="13.9" hidden="1" x14ac:dyDescent="0.25">
      <c r="A514" s="12">
        <v>6793</v>
      </c>
      <c r="B514" s="12">
        <v>1006527</v>
      </c>
      <c r="C514" s="12" t="s">
        <v>13</v>
      </c>
      <c r="D514" s="12" t="s">
        <v>14</v>
      </c>
      <c r="E514" s="14">
        <v>44587</v>
      </c>
      <c r="F514" s="12" t="s">
        <v>18</v>
      </c>
      <c r="G514" s="12" t="s">
        <v>19</v>
      </c>
      <c r="H514" s="12" t="s">
        <v>41</v>
      </c>
      <c r="I514" s="12">
        <v>229.99600000000001</v>
      </c>
      <c r="J514" s="12">
        <v>203.85400000000001</v>
      </c>
      <c r="K514" s="12">
        <v>3.6</v>
      </c>
    </row>
    <row r="515" spans="1:12" ht="13.9" hidden="1" x14ac:dyDescent="0.25">
      <c r="A515" s="12">
        <v>6794</v>
      </c>
      <c r="B515" s="12">
        <v>1006621</v>
      </c>
      <c r="C515" s="12" t="s">
        <v>13</v>
      </c>
      <c r="D515" s="12" t="s">
        <v>14</v>
      </c>
      <c r="E515" s="14">
        <v>44588</v>
      </c>
      <c r="F515" s="12" t="s">
        <v>18</v>
      </c>
      <c r="G515" s="12" t="s">
        <v>19</v>
      </c>
      <c r="H515" s="12" t="s">
        <v>41</v>
      </c>
      <c r="I515" s="12">
        <v>229.994</v>
      </c>
      <c r="J515" s="12">
        <v>185.82400000000001</v>
      </c>
      <c r="K515" s="12">
        <v>3.6</v>
      </c>
    </row>
    <row r="516" spans="1:12" ht="13.9" hidden="1" x14ac:dyDescent="0.25">
      <c r="A516" s="12">
        <v>6795</v>
      </c>
      <c r="B516" s="12">
        <v>1006700</v>
      </c>
      <c r="C516" s="12" t="s">
        <v>13</v>
      </c>
      <c r="D516" s="12" t="s">
        <v>14</v>
      </c>
      <c r="E516" s="14">
        <v>44589</v>
      </c>
      <c r="F516" s="12" t="s">
        <v>18</v>
      </c>
      <c r="G516" s="12" t="s">
        <v>19</v>
      </c>
      <c r="H516" s="12" t="s">
        <v>41</v>
      </c>
      <c r="I516" s="12">
        <v>229.994</v>
      </c>
      <c r="J516" s="12">
        <v>205.48500000000001</v>
      </c>
      <c r="K516" s="12">
        <v>3.8</v>
      </c>
    </row>
    <row r="517" spans="1:12" ht="13.9" x14ac:dyDescent="0.25">
      <c r="A517" s="12">
        <v>6796</v>
      </c>
      <c r="B517" s="12">
        <v>1006760</v>
      </c>
      <c r="C517" s="12" t="s">
        <v>13</v>
      </c>
      <c r="D517" s="12" t="s">
        <v>14</v>
      </c>
      <c r="E517" s="14">
        <v>44590</v>
      </c>
      <c r="F517" s="12" t="s">
        <v>18</v>
      </c>
      <c r="G517" s="12" t="s">
        <v>19</v>
      </c>
      <c r="H517" s="12" t="s">
        <v>41</v>
      </c>
      <c r="I517" s="12">
        <v>230.00399999999999</v>
      </c>
      <c r="J517" s="12">
        <v>197.3</v>
      </c>
      <c r="K517" s="12">
        <v>3.6</v>
      </c>
      <c r="L517" s="12">
        <v>13.2</v>
      </c>
    </row>
    <row r="518" spans="1:12" ht="13.9" hidden="1" x14ac:dyDescent="0.25">
      <c r="A518" s="12">
        <v>6797</v>
      </c>
      <c r="B518" s="12">
        <v>1006833</v>
      </c>
      <c r="C518" s="12" t="s">
        <v>13</v>
      </c>
      <c r="D518" s="12" t="s">
        <v>14</v>
      </c>
      <c r="E518" s="14">
        <v>44591</v>
      </c>
      <c r="F518" s="12" t="s">
        <v>17</v>
      </c>
      <c r="G518" s="12" t="s">
        <v>19</v>
      </c>
      <c r="H518" s="12" t="s">
        <v>35</v>
      </c>
      <c r="I518" s="12">
        <v>230.00399999999999</v>
      </c>
      <c r="J518" s="12">
        <v>191.63200000000001</v>
      </c>
      <c r="K518" s="12">
        <v>3.7</v>
      </c>
    </row>
    <row r="519" spans="1:12" ht="13.9" hidden="1" x14ac:dyDescent="0.25">
      <c r="A519" s="12">
        <v>6798</v>
      </c>
      <c r="B519" s="12">
        <v>1006903</v>
      </c>
      <c r="C519" s="12" t="s">
        <v>13</v>
      </c>
      <c r="D519" s="12" t="s">
        <v>14</v>
      </c>
      <c r="E519" s="14">
        <v>44592</v>
      </c>
      <c r="F519" s="12" t="s">
        <v>17</v>
      </c>
      <c r="G519" s="12" t="s">
        <v>19</v>
      </c>
      <c r="H519" s="12" t="s">
        <v>35</v>
      </c>
      <c r="I519" s="12">
        <v>230.00299999999999</v>
      </c>
      <c r="J519" s="12">
        <v>192</v>
      </c>
      <c r="K519" s="12">
        <v>3.9</v>
      </c>
    </row>
    <row r="520" spans="1:12" ht="13.9" hidden="1" x14ac:dyDescent="0.25">
      <c r="A520" s="12">
        <v>6799</v>
      </c>
      <c r="B520" s="12">
        <v>1006905</v>
      </c>
      <c r="C520" s="12" t="s">
        <v>13</v>
      </c>
      <c r="D520" s="12" t="s">
        <v>14</v>
      </c>
      <c r="E520" s="14">
        <v>44593</v>
      </c>
      <c r="F520" s="12" t="s">
        <v>17</v>
      </c>
      <c r="G520" s="12" t="s">
        <v>19</v>
      </c>
      <c r="H520" s="12" t="s">
        <v>40</v>
      </c>
      <c r="I520" s="12">
        <v>230.001</v>
      </c>
      <c r="J520" s="12">
        <v>190.22300000000001</v>
      </c>
      <c r="K520" s="12">
        <v>3.3</v>
      </c>
    </row>
    <row r="521" spans="1:12" ht="13.9" hidden="1" x14ac:dyDescent="0.25">
      <c r="A521" s="12">
        <v>6800</v>
      </c>
      <c r="B521" s="12">
        <v>1006935</v>
      </c>
      <c r="C521" s="12" t="s">
        <v>13</v>
      </c>
      <c r="D521" s="12" t="s">
        <v>14</v>
      </c>
      <c r="E521" s="14">
        <v>44594</v>
      </c>
      <c r="F521" s="12" t="s">
        <v>17</v>
      </c>
      <c r="G521" s="12" t="s">
        <v>19</v>
      </c>
      <c r="H521" s="12" t="s">
        <v>40</v>
      </c>
      <c r="I521" s="12">
        <v>230.001</v>
      </c>
      <c r="J521" s="12">
        <v>196.976</v>
      </c>
      <c r="K521" s="12">
        <v>3.6</v>
      </c>
    </row>
    <row r="522" spans="1:12" ht="13.9" x14ac:dyDescent="0.25">
      <c r="A522" s="12">
        <v>6801</v>
      </c>
      <c r="B522" s="12">
        <v>1007054</v>
      </c>
      <c r="C522" s="12" t="s">
        <v>13</v>
      </c>
      <c r="D522" s="12" t="s">
        <v>14</v>
      </c>
      <c r="E522" s="14">
        <v>44595</v>
      </c>
      <c r="F522" s="12" t="s">
        <v>17</v>
      </c>
      <c r="G522" s="12" t="s">
        <v>19</v>
      </c>
      <c r="H522" s="12" t="s">
        <v>40</v>
      </c>
      <c r="I522" s="12">
        <v>230.06800000000001</v>
      </c>
      <c r="J522" s="12">
        <v>195.119</v>
      </c>
      <c r="K522" s="12">
        <v>3.7</v>
      </c>
      <c r="L522" s="12">
        <v>14.2</v>
      </c>
    </row>
    <row r="523" spans="1:12" ht="13.9" x14ac:dyDescent="0.25">
      <c r="A523" s="12">
        <v>6802</v>
      </c>
      <c r="B523" s="12">
        <v>1007129</v>
      </c>
      <c r="C523" s="12" t="s">
        <v>13</v>
      </c>
      <c r="D523" s="12" t="s">
        <v>14</v>
      </c>
      <c r="E523" s="14">
        <v>44596</v>
      </c>
      <c r="F523" s="12" t="s">
        <v>17</v>
      </c>
      <c r="G523" s="12" t="s">
        <v>19</v>
      </c>
      <c r="H523" s="12" t="s">
        <v>40</v>
      </c>
      <c r="I523" s="12">
        <v>229.99700000000001</v>
      </c>
      <c r="J523" s="12">
        <v>181.58699999999999</v>
      </c>
      <c r="K523" s="12">
        <v>4.0999999999999996</v>
      </c>
      <c r="L523" s="12">
        <v>14</v>
      </c>
    </row>
    <row r="524" spans="1:12" ht="13.9" x14ac:dyDescent="0.25">
      <c r="A524" s="12">
        <v>6803</v>
      </c>
      <c r="B524" s="12">
        <v>1007188</v>
      </c>
      <c r="C524" s="12" t="s">
        <v>13</v>
      </c>
      <c r="D524" s="12" t="s">
        <v>14</v>
      </c>
      <c r="E524" s="14">
        <v>44597</v>
      </c>
      <c r="F524" s="12" t="s">
        <v>17</v>
      </c>
      <c r="G524" s="12" t="s">
        <v>19</v>
      </c>
      <c r="H524" s="12" t="s">
        <v>40</v>
      </c>
      <c r="I524" s="12">
        <v>229.99700000000001</v>
      </c>
      <c r="J524" s="12">
        <v>205.32499999999999</v>
      </c>
      <c r="K524" s="12">
        <v>3.5</v>
      </c>
      <c r="L524" s="12">
        <v>14</v>
      </c>
    </row>
    <row r="525" spans="1:12" ht="13.9" hidden="1" x14ac:dyDescent="0.25">
      <c r="A525" s="12">
        <v>6804</v>
      </c>
      <c r="B525" s="12">
        <v>1007284</v>
      </c>
      <c r="C525" s="12" t="s">
        <v>13</v>
      </c>
      <c r="D525" s="12" t="s">
        <v>14</v>
      </c>
      <c r="E525" s="14">
        <v>44598</v>
      </c>
      <c r="F525" s="12" t="s">
        <v>17</v>
      </c>
      <c r="G525" s="12" t="s">
        <v>20</v>
      </c>
      <c r="H525" s="12" t="s">
        <v>42</v>
      </c>
      <c r="I525" s="12">
        <v>230.001</v>
      </c>
      <c r="J525" s="12">
        <v>186.364</v>
      </c>
      <c r="K525" s="12">
        <v>4.0999999999999996</v>
      </c>
    </row>
    <row r="526" spans="1:12" ht="13.9" x14ac:dyDescent="0.25">
      <c r="A526" s="12">
        <v>6805</v>
      </c>
      <c r="B526" s="12">
        <v>1007351</v>
      </c>
      <c r="C526" s="12" t="s">
        <v>13</v>
      </c>
      <c r="D526" s="12" t="s">
        <v>14</v>
      </c>
      <c r="E526" s="14">
        <v>44599</v>
      </c>
      <c r="F526" s="12" t="s">
        <v>17</v>
      </c>
      <c r="G526" s="12" t="s">
        <v>20</v>
      </c>
      <c r="H526" s="12" t="s">
        <v>42</v>
      </c>
      <c r="I526" s="12">
        <v>230.001</v>
      </c>
      <c r="J526" s="12">
        <v>206.887</v>
      </c>
      <c r="K526" s="12">
        <v>5</v>
      </c>
      <c r="L526" s="12">
        <v>13.5</v>
      </c>
    </row>
    <row r="527" spans="1:12" ht="13.9" x14ac:dyDescent="0.25">
      <c r="A527" s="12">
        <v>6806</v>
      </c>
      <c r="B527" s="12">
        <v>1007352</v>
      </c>
      <c r="C527" s="12" t="s">
        <v>13</v>
      </c>
      <c r="D527" s="12" t="s">
        <v>14</v>
      </c>
      <c r="E527" s="14">
        <v>44600</v>
      </c>
      <c r="F527" s="12" t="s">
        <v>17</v>
      </c>
      <c r="G527" s="12" t="s">
        <v>20</v>
      </c>
      <c r="H527" s="12" t="s">
        <v>42</v>
      </c>
      <c r="I527" s="12">
        <v>230.00200000000001</v>
      </c>
      <c r="J527" s="12">
        <v>196.00700000000001</v>
      </c>
      <c r="K527" s="12">
        <v>4.5</v>
      </c>
      <c r="L527" s="12">
        <v>12.7</v>
      </c>
    </row>
    <row r="528" spans="1:12" ht="13.9" hidden="1" x14ac:dyDescent="0.25">
      <c r="A528" s="12">
        <v>6807</v>
      </c>
      <c r="B528" s="12">
        <v>1007370</v>
      </c>
      <c r="C528" s="12" t="s">
        <v>13</v>
      </c>
      <c r="D528" s="12" t="s">
        <v>14</v>
      </c>
      <c r="E528" s="14">
        <v>44601</v>
      </c>
      <c r="F528" s="12" t="s">
        <v>17</v>
      </c>
      <c r="G528" s="12" t="s">
        <v>20</v>
      </c>
      <c r="H528" s="12" t="s">
        <v>44</v>
      </c>
      <c r="I528" s="12">
        <v>230.005</v>
      </c>
      <c r="J528" s="12">
        <v>183.90799999999999</v>
      </c>
      <c r="K528" s="12">
        <v>3.5</v>
      </c>
    </row>
    <row r="529" spans="1:12" ht="13.9" hidden="1" x14ac:dyDescent="0.25">
      <c r="A529" s="12">
        <v>6808</v>
      </c>
      <c r="B529" s="12">
        <v>1007495</v>
      </c>
      <c r="C529" s="12" t="s">
        <v>13</v>
      </c>
      <c r="D529" s="12" t="s">
        <v>14</v>
      </c>
      <c r="E529" s="14">
        <v>44602</v>
      </c>
      <c r="F529" s="12" t="s">
        <v>17</v>
      </c>
      <c r="G529" s="12" t="s">
        <v>20</v>
      </c>
      <c r="H529" s="12" t="s">
        <v>44</v>
      </c>
      <c r="I529" s="12">
        <v>230.00399999999999</v>
      </c>
      <c r="J529" s="12">
        <v>200.48099999999999</v>
      </c>
      <c r="K529" s="12">
        <v>4.8</v>
      </c>
    </row>
    <row r="530" spans="1:12" ht="13.9" hidden="1" x14ac:dyDescent="0.25">
      <c r="A530" s="12">
        <v>6809</v>
      </c>
      <c r="B530" s="12">
        <v>1007567</v>
      </c>
      <c r="C530" s="12" t="s">
        <v>13</v>
      </c>
      <c r="D530" s="12" t="s">
        <v>14</v>
      </c>
      <c r="E530" s="14">
        <v>44603</v>
      </c>
      <c r="F530" s="12" t="s">
        <v>17</v>
      </c>
      <c r="G530" s="12" t="s">
        <v>19</v>
      </c>
      <c r="H530" s="12" t="s">
        <v>41</v>
      </c>
      <c r="I530" s="12">
        <v>230.00399999999999</v>
      </c>
      <c r="J530" s="12">
        <v>182.99700000000001</v>
      </c>
      <c r="K530" s="12">
        <v>3.5</v>
      </c>
    </row>
    <row r="531" spans="1:12" ht="13.9" hidden="1" x14ac:dyDescent="0.25">
      <c r="A531" s="12">
        <v>6810</v>
      </c>
      <c r="B531" s="19">
        <v>1007645</v>
      </c>
      <c r="C531" s="12" t="s">
        <v>13</v>
      </c>
      <c r="D531" s="12" t="s">
        <v>14</v>
      </c>
      <c r="E531" s="14">
        <v>44604</v>
      </c>
      <c r="F531" s="12" t="s">
        <v>17</v>
      </c>
      <c r="G531" s="12" t="s">
        <v>19</v>
      </c>
      <c r="H531" s="12" t="s">
        <v>41</v>
      </c>
      <c r="I531" s="12">
        <v>230.00299999999999</v>
      </c>
      <c r="J531" s="12">
        <v>208.661</v>
      </c>
    </row>
    <row r="532" spans="1:12" ht="13.9" hidden="1" x14ac:dyDescent="0.25">
      <c r="A532" s="12">
        <v>6811</v>
      </c>
      <c r="B532" s="12">
        <v>1007737</v>
      </c>
      <c r="C532" s="12" t="s">
        <v>13</v>
      </c>
      <c r="D532" s="12" t="s">
        <v>14</v>
      </c>
      <c r="E532" s="14">
        <v>44605</v>
      </c>
      <c r="F532" s="12" t="s">
        <v>17</v>
      </c>
      <c r="G532" s="12" t="s">
        <v>19</v>
      </c>
      <c r="H532" s="12" t="s">
        <v>41</v>
      </c>
      <c r="I532" s="12">
        <v>229.98599999999999</v>
      </c>
      <c r="J532" s="12">
        <v>194.15899999999999</v>
      </c>
      <c r="K532" s="12">
        <v>3.5</v>
      </c>
    </row>
    <row r="533" spans="1:12" ht="13.9" hidden="1" x14ac:dyDescent="0.25">
      <c r="A533" s="12">
        <v>6812</v>
      </c>
      <c r="B533" s="12">
        <v>1007816</v>
      </c>
      <c r="C533" s="12" t="s">
        <v>13</v>
      </c>
      <c r="D533" s="12" t="s">
        <v>14</v>
      </c>
      <c r="E533" s="14">
        <v>44606</v>
      </c>
      <c r="F533" s="12" t="s">
        <v>17</v>
      </c>
      <c r="G533" s="12" t="s">
        <v>19</v>
      </c>
      <c r="H533" s="12" t="s">
        <v>41</v>
      </c>
      <c r="I533" s="12">
        <v>230.00299999999999</v>
      </c>
      <c r="J533" s="12">
        <v>188.536</v>
      </c>
      <c r="K533" s="12">
        <v>4</v>
      </c>
    </row>
    <row r="534" spans="1:12" ht="13.9" hidden="1" x14ac:dyDescent="0.25">
      <c r="A534" s="12">
        <v>6813</v>
      </c>
      <c r="B534" s="12">
        <v>1007818</v>
      </c>
      <c r="C534" s="12" t="s">
        <v>13</v>
      </c>
      <c r="D534" s="12" t="s">
        <v>14</v>
      </c>
      <c r="E534" s="14">
        <v>44607</v>
      </c>
      <c r="F534" s="12" t="s">
        <v>17</v>
      </c>
      <c r="G534" s="12" t="s">
        <v>19</v>
      </c>
      <c r="H534" s="12" t="s">
        <v>41</v>
      </c>
      <c r="I534" s="12">
        <v>230.00200000000001</v>
      </c>
      <c r="J534" s="12">
        <v>203.97399999999999</v>
      </c>
      <c r="K534" s="12">
        <v>4.0999999999999996</v>
      </c>
    </row>
    <row r="535" spans="1:12" ht="13.9" x14ac:dyDescent="0.25">
      <c r="A535" s="12">
        <v>6814</v>
      </c>
      <c r="B535" s="12">
        <v>1007820</v>
      </c>
      <c r="C535" s="12" t="s">
        <v>13</v>
      </c>
      <c r="D535" s="12" t="s">
        <v>14</v>
      </c>
      <c r="E535" s="14">
        <v>44608</v>
      </c>
      <c r="F535" s="12" t="s">
        <v>18</v>
      </c>
      <c r="G535" s="12" t="s">
        <v>19</v>
      </c>
      <c r="H535" s="12" t="s">
        <v>40</v>
      </c>
      <c r="I535" s="12">
        <v>230.108</v>
      </c>
      <c r="J535" s="12">
        <v>195.03899999999999</v>
      </c>
      <c r="K535" s="12">
        <v>5.7</v>
      </c>
      <c r="L535" s="12">
        <v>13.5</v>
      </c>
    </row>
    <row r="536" spans="1:12" ht="13.9" hidden="1" x14ac:dyDescent="0.25">
      <c r="A536" s="12">
        <v>6815</v>
      </c>
      <c r="B536" s="12">
        <v>1007947</v>
      </c>
      <c r="C536" s="12" t="s">
        <v>13</v>
      </c>
      <c r="D536" s="12" t="s">
        <v>14</v>
      </c>
      <c r="E536" s="14">
        <v>44609</v>
      </c>
      <c r="F536" s="12" t="s">
        <v>18</v>
      </c>
      <c r="G536" s="12" t="s">
        <v>19</v>
      </c>
      <c r="H536" s="12" t="s">
        <v>40</v>
      </c>
      <c r="I536" s="12">
        <v>230.05699999999999</v>
      </c>
      <c r="J536" s="12">
        <v>189.44900000000001</v>
      </c>
      <c r="K536" s="12">
        <v>3.7</v>
      </c>
    </row>
    <row r="537" spans="1:12" ht="13.9" hidden="1" x14ac:dyDescent="0.25">
      <c r="A537" s="12">
        <v>6816</v>
      </c>
      <c r="B537" s="12">
        <v>1007994</v>
      </c>
      <c r="C537" s="12" t="s">
        <v>13</v>
      </c>
      <c r="D537" s="12" t="s">
        <v>14</v>
      </c>
      <c r="E537" s="14">
        <v>44610</v>
      </c>
      <c r="F537" s="12" t="s">
        <v>18</v>
      </c>
      <c r="G537" s="12" t="s">
        <v>19</v>
      </c>
      <c r="H537" s="12" t="s">
        <v>40</v>
      </c>
      <c r="I537" s="12">
        <v>230.05699999999999</v>
      </c>
      <c r="J537" s="12">
        <v>203.279</v>
      </c>
      <c r="K537" s="12">
        <v>5.7</v>
      </c>
    </row>
    <row r="538" spans="1:12" ht="13.9" hidden="1" x14ac:dyDescent="0.25">
      <c r="A538" s="12">
        <v>6817</v>
      </c>
      <c r="B538" s="12">
        <v>1008035</v>
      </c>
      <c r="C538" s="12" t="s">
        <v>13</v>
      </c>
      <c r="D538" s="12" t="s">
        <v>14</v>
      </c>
      <c r="E538" s="14">
        <v>44611</v>
      </c>
      <c r="F538" s="12" t="s">
        <v>18</v>
      </c>
      <c r="G538" s="12" t="s">
        <v>19</v>
      </c>
      <c r="H538" s="12" t="s">
        <v>40</v>
      </c>
      <c r="I538" s="12">
        <v>230</v>
      </c>
      <c r="J538" s="12">
        <v>187.61699999999999</v>
      </c>
      <c r="K538" s="12">
        <v>4.5</v>
      </c>
    </row>
    <row r="539" spans="1:12" ht="13.9" hidden="1" x14ac:dyDescent="0.25">
      <c r="A539" s="12">
        <v>6818</v>
      </c>
      <c r="B539" s="12">
        <v>1008125</v>
      </c>
      <c r="C539" s="12" t="s">
        <v>13</v>
      </c>
      <c r="D539" s="12" t="s">
        <v>14</v>
      </c>
      <c r="E539" s="14">
        <v>44612</v>
      </c>
      <c r="F539" s="12" t="s">
        <v>18</v>
      </c>
      <c r="G539" s="12" t="s">
        <v>19</v>
      </c>
      <c r="H539" s="12" t="s">
        <v>40</v>
      </c>
      <c r="I539" s="12">
        <v>229.999</v>
      </c>
      <c r="J539" s="12">
        <v>202.66300000000001</v>
      </c>
      <c r="K539" s="12">
        <v>4</v>
      </c>
    </row>
    <row r="540" spans="1:12" ht="13.9" x14ac:dyDescent="0.25">
      <c r="A540" s="12">
        <v>6819</v>
      </c>
      <c r="B540" s="12">
        <v>1008277</v>
      </c>
      <c r="C540" s="12" t="s">
        <v>13</v>
      </c>
      <c r="D540" s="12" t="s">
        <v>14</v>
      </c>
      <c r="E540" s="14">
        <v>44613</v>
      </c>
      <c r="F540" s="12" t="s">
        <v>46</v>
      </c>
      <c r="G540" s="12" t="s">
        <v>20</v>
      </c>
      <c r="H540" s="12" t="s">
        <v>48</v>
      </c>
      <c r="I540" s="12">
        <v>225.001</v>
      </c>
      <c r="J540" s="12">
        <v>193.733</v>
      </c>
      <c r="K540" s="12">
        <v>4.4000000000000004</v>
      </c>
      <c r="L540" s="12">
        <v>12.5</v>
      </c>
    </row>
    <row r="541" spans="1:12" ht="13.9" hidden="1" x14ac:dyDescent="0.25">
      <c r="A541" s="12">
        <v>6820</v>
      </c>
      <c r="B541" s="12">
        <v>1008278</v>
      </c>
      <c r="C541" s="12" t="s">
        <v>13</v>
      </c>
      <c r="D541" s="12" t="s">
        <v>14</v>
      </c>
      <c r="E541" s="14">
        <v>44614</v>
      </c>
      <c r="F541" s="12" t="s">
        <v>18</v>
      </c>
      <c r="G541" s="12" t="s">
        <v>19</v>
      </c>
      <c r="H541" s="12" t="s">
        <v>43</v>
      </c>
      <c r="I541" s="12">
        <v>229.99799999999999</v>
      </c>
      <c r="J541" s="12">
        <v>186.703</v>
      </c>
      <c r="K541" s="12">
        <v>4</v>
      </c>
    </row>
    <row r="542" spans="1:12" ht="13.9" hidden="1" x14ac:dyDescent="0.25">
      <c r="A542" s="12">
        <v>6821</v>
      </c>
      <c r="B542" s="12">
        <v>1008279</v>
      </c>
      <c r="C542" s="12" t="s">
        <v>13</v>
      </c>
      <c r="D542" s="12" t="s">
        <v>14</v>
      </c>
      <c r="E542" s="14">
        <v>44615</v>
      </c>
      <c r="F542" s="12" t="s">
        <v>18</v>
      </c>
      <c r="G542" s="12" t="s">
        <v>19</v>
      </c>
      <c r="H542" s="12" t="s">
        <v>43</v>
      </c>
      <c r="I542" s="12">
        <v>229.99799999999999</v>
      </c>
      <c r="J542" s="12">
        <v>201.489</v>
      </c>
      <c r="K542" s="12">
        <v>3.5</v>
      </c>
    </row>
    <row r="543" spans="1:12" ht="13.9" x14ac:dyDescent="0.25">
      <c r="A543" s="12">
        <v>6822</v>
      </c>
      <c r="B543" s="12">
        <v>1008383</v>
      </c>
      <c r="C543" s="12" t="s">
        <v>13</v>
      </c>
      <c r="D543" s="12" t="s">
        <v>14</v>
      </c>
      <c r="E543" s="14">
        <v>44616</v>
      </c>
      <c r="F543" s="12" t="s">
        <v>18</v>
      </c>
      <c r="G543" s="12" t="s">
        <v>19</v>
      </c>
      <c r="H543" s="12" t="s">
        <v>43</v>
      </c>
      <c r="I543" s="12">
        <v>230.03800000000001</v>
      </c>
      <c r="J543" s="12">
        <v>195.30600000000001</v>
      </c>
      <c r="K543" s="12">
        <v>4.2</v>
      </c>
      <c r="L543" s="12">
        <v>14</v>
      </c>
    </row>
    <row r="544" spans="1:12" ht="13.9" hidden="1" x14ac:dyDescent="0.25">
      <c r="A544" s="12">
        <v>6823</v>
      </c>
      <c r="B544" s="12">
        <v>1008440</v>
      </c>
      <c r="C544" s="12" t="s">
        <v>13</v>
      </c>
      <c r="D544" s="12" t="s">
        <v>14</v>
      </c>
      <c r="E544" s="14">
        <v>44617</v>
      </c>
      <c r="F544" s="12" t="s">
        <v>18</v>
      </c>
      <c r="G544" s="12" t="s">
        <v>19</v>
      </c>
      <c r="H544" s="12" t="s">
        <v>43</v>
      </c>
      <c r="I544" s="12">
        <v>229.99700000000001</v>
      </c>
      <c r="J544" s="12">
        <v>192.541</v>
      </c>
      <c r="K544" s="12">
        <v>3.5</v>
      </c>
    </row>
    <row r="545" spans="1:12" ht="13.9" hidden="1" x14ac:dyDescent="0.25">
      <c r="A545" s="12">
        <v>6824</v>
      </c>
      <c r="B545" s="12">
        <v>1008560</v>
      </c>
      <c r="C545" s="12" t="s">
        <v>13</v>
      </c>
      <c r="D545" s="12" t="s">
        <v>14</v>
      </c>
      <c r="E545" s="14">
        <v>44618</v>
      </c>
      <c r="F545" s="12" t="s">
        <v>18</v>
      </c>
      <c r="G545" s="12" t="s">
        <v>19</v>
      </c>
      <c r="H545" s="12" t="s">
        <v>43</v>
      </c>
      <c r="I545" s="12">
        <v>229.99600000000001</v>
      </c>
      <c r="J545" s="12">
        <v>197.06899999999999</v>
      </c>
      <c r="K545" s="12">
        <v>4.0999999999999996</v>
      </c>
    </row>
    <row r="546" spans="1:12" ht="13.9" hidden="1" x14ac:dyDescent="0.25">
      <c r="A546" s="12">
        <v>6825</v>
      </c>
      <c r="B546" s="12">
        <v>1008630</v>
      </c>
      <c r="C546" s="12" t="s">
        <v>13</v>
      </c>
      <c r="D546" s="12" t="s">
        <v>14</v>
      </c>
      <c r="E546" s="14">
        <v>44619</v>
      </c>
      <c r="F546" s="12" t="s">
        <v>17</v>
      </c>
      <c r="G546" s="12" t="s">
        <v>19</v>
      </c>
      <c r="H546" s="12" t="s">
        <v>35</v>
      </c>
      <c r="I546" s="12">
        <v>230</v>
      </c>
      <c r="J546" s="12">
        <v>191.673</v>
      </c>
      <c r="K546" s="12">
        <v>3.5</v>
      </c>
    </row>
    <row r="547" spans="1:12" ht="13.9" hidden="1" x14ac:dyDescent="0.25">
      <c r="A547" s="12">
        <v>6826</v>
      </c>
      <c r="B547" s="12">
        <v>1008678</v>
      </c>
      <c r="C547" s="12" t="s">
        <v>13</v>
      </c>
      <c r="D547" s="12" t="s">
        <v>14</v>
      </c>
      <c r="E547" s="14">
        <v>44620</v>
      </c>
      <c r="F547" s="12" t="s">
        <v>17</v>
      </c>
      <c r="G547" s="12" t="s">
        <v>19</v>
      </c>
      <c r="H547" s="12" t="s">
        <v>35</v>
      </c>
      <c r="I547" s="12">
        <v>230</v>
      </c>
      <c r="J547" s="12">
        <v>197.71299999999999</v>
      </c>
      <c r="K547" s="12">
        <v>4.0999999999999996</v>
      </c>
    </row>
    <row r="548" spans="1:12" ht="13.9" x14ac:dyDescent="0.25">
      <c r="A548" s="12">
        <v>6827</v>
      </c>
      <c r="B548" s="12">
        <v>1008679</v>
      </c>
      <c r="C548" s="12" t="s">
        <v>13</v>
      </c>
      <c r="D548" s="12" t="s">
        <v>14</v>
      </c>
      <c r="E548" s="14">
        <v>44621</v>
      </c>
      <c r="F548" s="12" t="s">
        <v>17</v>
      </c>
      <c r="G548" s="12" t="s">
        <v>19</v>
      </c>
      <c r="H548" s="12" t="s">
        <v>35</v>
      </c>
      <c r="I548" s="12">
        <v>230.00299999999999</v>
      </c>
      <c r="J548" s="12">
        <v>194.506</v>
      </c>
      <c r="K548" s="12">
        <v>3.6</v>
      </c>
      <c r="L548" s="12">
        <v>13.9</v>
      </c>
    </row>
    <row r="549" spans="1:12" ht="13.9" hidden="1" x14ac:dyDescent="0.25">
      <c r="A549" s="12">
        <v>6828</v>
      </c>
      <c r="B549" s="12">
        <v>1008698</v>
      </c>
      <c r="C549" s="12" t="s">
        <v>13</v>
      </c>
      <c r="D549" s="12" t="s">
        <v>14</v>
      </c>
      <c r="E549" s="14">
        <v>44622</v>
      </c>
      <c r="F549" s="12" t="s">
        <v>17</v>
      </c>
      <c r="G549" s="12" t="s">
        <v>19</v>
      </c>
      <c r="H549" s="12" t="s">
        <v>35</v>
      </c>
      <c r="I549" s="12">
        <v>229.999</v>
      </c>
      <c r="J549" s="12">
        <v>184.95599999999999</v>
      </c>
      <c r="K549" s="12">
        <v>3.7</v>
      </c>
    </row>
    <row r="550" spans="1:12" ht="13.9" hidden="1" x14ac:dyDescent="0.25">
      <c r="A550" s="12">
        <v>6829</v>
      </c>
      <c r="B550" s="12">
        <v>1008813</v>
      </c>
      <c r="C550" s="12" t="s">
        <v>13</v>
      </c>
      <c r="D550" s="12" t="s">
        <v>14</v>
      </c>
      <c r="E550" s="14">
        <v>44623</v>
      </c>
      <c r="F550" s="12" t="s">
        <v>17</v>
      </c>
      <c r="G550" s="12" t="s">
        <v>19</v>
      </c>
      <c r="H550" s="12" t="s">
        <v>35</v>
      </c>
      <c r="I550" s="12">
        <v>230</v>
      </c>
      <c r="J550" s="12">
        <v>206.054</v>
      </c>
      <c r="K550" s="12">
        <v>4.0999999999999996</v>
      </c>
    </row>
    <row r="551" spans="1:12" ht="13.9" hidden="1" x14ac:dyDescent="0.25">
      <c r="A551" s="12">
        <v>6830</v>
      </c>
      <c r="B551" s="12">
        <v>1008880</v>
      </c>
      <c r="C551" s="12" t="s">
        <v>13</v>
      </c>
      <c r="D551" s="12" t="s">
        <v>14</v>
      </c>
      <c r="E551" s="14">
        <v>44624</v>
      </c>
      <c r="F551" s="12" t="s">
        <v>18</v>
      </c>
      <c r="G551" s="12" t="s">
        <v>19</v>
      </c>
      <c r="H551" s="12" t="s">
        <v>40</v>
      </c>
      <c r="I551" s="12">
        <v>230</v>
      </c>
      <c r="J551" s="12">
        <v>179.93100000000001</v>
      </c>
      <c r="K551" s="12">
        <v>4.5</v>
      </c>
    </row>
    <row r="552" spans="1:12" ht="13.9" hidden="1" x14ac:dyDescent="0.25">
      <c r="A552" s="12">
        <v>6831</v>
      </c>
      <c r="B552" s="12">
        <v>1008946</v>
      </c>
      <c r="C552" s="12" t="s">
        <v>13</v>
      </c>
      <c r="D552" s="12" t="s">
        <v>14</v>
      </c>
      <c r="E552" s="14">
        <v>44625</v>
      </c>
      <c r="F552" s="12" t="s">
        <v>18</v>
      </c>
      <c r="G552" s="12" t="s">
        <v>19</v>
      </c>
      <c r="H552" s="12" t="s">
        <v>40</v>
      </c>
      <c r="I552" s="12">
        <v>230</v>
      </c>
      <c r="J552" s="12">
        <v>209</v>
      </c>
      <c r="K552" s="12">
        <v>3.8</v>
      </c>
    </row>
    <row r="553" spans="1:12" ht="13.9" x14ac:dyDescent="0.25">
      <c r="A553" s="12">
        <v>6832</v>
      </c>
      <c r="B553" s="12">
        <v>1009047</v>
      </c>
      <c r="C553" s="12" t="s">
        <v>13</v>
      </c>
      <c r="D553" s="12" t="s">
        <v>14</v>
      </c>
      <c r="E553" s="14">
        <v>44626</v>
      </c>
      <c r="F553" s="12" t="s">
        <v>18</v>
      </c>
      <c r="G553" s="12" t="s">
        <v>19</v>
      </c>
      <c r="H553" s="12" t="s">
        <v>40</v>
      </c>
      <c r="I553" s="12">
        <v>230</v>
      </c>
      <c r="J553" s="12">
        <v>195.333</v>
      </c>
      <c r="K553" s="12">
        <v>3.7</v>
      </c>
      <c r="L553" s="12">
        <v>14.2</v>
      </c>
    </row>
    <row r="554" spans="1:12" ht="13.9" hidden="1" x14ac:dyDescent="0.25">
      <c r="A554" s="12">
        <v>6833</v>
      </c>
      <c r="B554" s="12">
        <v>1009121</v>
      </c>
      <c r="C554" s="12" t="s">
        <v>13</v>
      </c>
      <c r="D554" s="12" t="s">
        <v>14</v>
      </c>
      <c r="E554" s="14">
        <v>44627</v>
      </c>
      <c r="F554" s="12" t="s">
        <v>18</v>
      </c>
      <c r="G554" s="12" t="s">
        <v>19</v>
      </c>
      <c r="H554" s="12" t="s">
        <v>40</v>
      </c>
      <c r="I554" s="12">
        <v>230.02199999999999</v>
      </c>
      <c r="J554" s="12">
        <v>193.13200000000001</v>
      </c>
      <c r="K554" s="12">
        <v>3.5</v>
      </c>
    </row>
    <row r="555" spans="1:12" ht="13.9" hidden="1" x14ac:dyDescent="0.25">
      <c r="A555" s="12">
        <v>6834</v>
      </c>
      <c r="B555" s="12">
        <v>1009123</v>
      </c>
      <c r="C555" s="12" t="s">
        <v>13</v>
      </c>
      <c r="D555" s="12" t="s">
        <v>14</v>
      </c>
      <c r="E555" s="14">
        <v>44628</v>
      </c>
      <c r="F555" s="12" t="s">
        <v>18</v>
      </c>
      <c r="G555" s="12" t="s">
        <v>19</v>
      </c>
      <c r="H555" s="12" t="s">
        <v>40</v>
      </c>
      <c r="I555" s="12">
        <v>230.02199999999999</v>
      </c>
      <c r="J555" s="12">
        <v>199.24</v>
      </c>
      <c r="K555" s="12">
        <v>3.8</v>
      </c>
    </row>
    <row r="556" spans="1:12" ht="13.9" hidden="1" x14ac:dyDescent="0.25">
      <c r="A556" s="12">
        <v>6835</v>
      </c>
      <c r="B556" s="12">
        <v>1009125</v>
      </c>
      <c r="C556" s="12" t="s">
        <v>13</v>
      </c>
      <c r="D556" s="12" t="s">
        <v>14</v>
      </c>
      <c r="E556" s="14">
        <v>44629</v>
      </c>
      <c r="F556" s="12" t="s">
        <v>37</v>
      </c>
      <c r="G556" s="12" t="s">
        <v>20</v>
      </c>
      <c r="H556" s="12" t="s">
        <v>45</v>
      </c>
      <c r="I556" s="12">
        <v>230.00200000000001</v>
      </c>
      <c r="J556" s="12">
        <v>192.59399999999999</v>
      </c>
      <c r="K556" s="12">
        <v>4.4000000000000004</v>
      </c>
    </row>
    <row r="557" spans="1:12" ht="13.9" hidden="1" x14ac:dyDescent="0.25">
      <c r="A557" s="12">
        <v>6836</v>
      </c>
      <c r="B557" s="12">
        <v>1009269</v>
      </c>
      <c r="C557" s="12" t="s">
        <v>13</v>
      </c>
      <c r="D557" s="12" t="s">
        <v>14</v>
      </c>
      <c r="E557" s="14">
        <v>44630</v>
      </c>
      <c r="F557" s="12" t="s">
        <v>37</v>
      </c>
      <c r="G557" s="12" t="s">
        <v>20</v>
      </c>
      <c r="H557" s="12" t="s">
        <v>45</v>
      </c>
      <c r="I557" s="12">
        <v>230.00200000000001</v>
      </c>
      <c r="J557" s="12">
        <v>199.29499999999999</v>
      </c>
      <c r="K557" s="12">
        <v>6.6</v>
      </c>
    </row>
    <row r="558" spans="1:12" ht="13.9" hidden="1" x14ac:dyDescent="0.25">
      <c r="A558" s="12">
        <v>6837</v>
      </c>
      <c r="B558" s="12">
        <v>1009321</v>
      </c>
      <c r="C558" s="12" t="s">
        <v>13</v>
      </c>
      <c r="D558" s="12" t="s">
        <v>14</v>
      </c>
      <c r="E558" s="14">
        <v>44631</v>
      </c>
      <c r="F558" s="12" t="s">
        <v>37</v>
      </c>
      <c r="G558" s="12" t="s">
        <v>20</v>
      </c>
      <c r="H558" s="12" t="s">
        <v>42</v>
      </c>
      <c r="I558" s="12">
        <v>230.00200000000001</v>
      </c>
      <c r="J558" s="12">
        <v>187.94399999999999</v>
      </c>
      <c r="K558" s="12">
        <v>5.3</v>
      </c>
    </row>
    <row r="559" spans="1:12" ht="13.9" hidden="1" x14ac:dyDescent="0.25">
      <c r="A559" s="12">
        <v>6838</v>
      </c>
      <c r="B559" s="12">
        <v>1009395</v>
      </c>
      <c r="C559" s="12" t="s">
        <v>13</v>
      </c>
      <c r="D559" s="12" t="s">
        <v>14</v>
      </c>
      <c r="E559" s="14">
        <v>44632</v>
      </c>
      <c r="F559" s="12" t="s">
        <v>37</v>
      </c>
      <c r="G559" s="12" t="s">
        <v>20</v>
      </c>
      <c r="H559" s="12" t="s">
        <v>42</v>
      </c>
      <c r="I559" s="12">
        <v>230.00299999999999</v>
      </c>
      <c r="J559" s="12">
        <v>195.27</v>
      </c>
      <c r="K559" s="12">
        <v>5.5</v>
      </c>
    </row>
    <row r="560" spans="1:12" ht="13.9" x14ac:dyDescent="0.25">
      <c r="A560" s="12">
        <v>6839</v>
      </c>
      <c r="B560" s="12">
        <v>1009478</v>
      </c>
      <c r="C560" s="12" t="s">
        <v>13</v>
      </c>
      <c r="D560" s="12" t="s">
        <v>14</v>
      </c>
      <c r="E560" s="14">
        <v>44633</v>
      </c>
      <c r="F560" s="12" t="s">
        <v>18</v>
      </c>
      <c r="G560" s="12" t="s">
        <v>19</v>
      </c>
      <c r="H560" s="12" t="s">
        <v>40</v>
      </c>
      <c r="I560" s="12">
        <v>230.03</v>
      </c>
      <c r="J560" s="12">
        <v>195.126</v>
      </c>
      <c r="K560" s="12">
        <v>3.5</v>
      </c>
      <c r="L560" s="12">
        <v>14.2</v>
      </c>
    </row>
    <row r="561" spans="1:12" ht="13.9" hidden="1" x14ac:dyDescent="0.25">
      <c r="A561" s="12">
        <v>6840</v>
      </c>
      <c r="B561" s="12">
        <v>1009564</v>
      </c>
      <c r="C561" s="12" t="s">
        <v>13</v>
      </c>
      <c r="D561" s="12" t="s">
        <v>14</v>
      </c>
      <c r="E561" s="14">
        <v>44634</v>
      </c>
      <c r="F561" s="12" t="s">
        <v>18</v>
      </c>
      <c r="G561" s="12" t="s">
        <v>19</v>
      </c>
      <c r="H561" s="12" t="s">
        <v>40</v>
      </c>
      <c r="I561" s="12">
        <v>230.03800000000001</v>
      </c>
      <c r="J561" s="12">
        <v>192.67</v>
      </c>
      <c r="K561" s="12">
        <v>4.3</v>
      </c>
    </row>
    <row r="562" spans="1:12" ht="13.9" hidden="1" x14ac:dyDescent="0.25">
      <c r="A562" s="12">
        <v>6841</v>
      </c>
      <c r="B562" s="12">
        <v>1009565</v>
      </c>
      <c r="C562" s="12" t="s">
        <v>13</v>
      </c>
      <c r="D562" s="12" t="s">
        <v>14</v>
      </c>
      <c r="E562" s="14">
        <v>44635</v>
      </c>
      <c r="F562" s="12" t="s">
        <v>18</v>
      </c>
      <c r="G562" s="12" t="s">
        <v>19</v>
      </c>
      <c r="H562" s="12" t="s">
        <v>40</v>
      </c>
      <c r="I562" s="12">
        <v>230.03700000000001</v>
      </c>
      <c r="J562" s="12">
        <v>200.631</v>
      </c>
      <c r="K562" s="12">
        <v>3.7</v>
      </c>
    </row>
    <row r="563" spans="1:12" ht="13.9" hidden="1" x14ac:dyDescent="0.25">
      <c r="A563" s="12">
        <v>6842</v>
      </c>
      <c r="B563" s="12">
        <v>1009568</v>
      </c>
      <c r="C563" s="12" t="s">
        <v>13</v>
      </c>
      <c r="D563" s="12" t="s">
        <v>14</v>
      </c>
      <c r="E563" s="14">
        <v>44636</v>
      </c>
      <c r="F563" s="12" t="s">
        <v>18</v>
      </c>
      <c r="G563" s="12" t="s">
        <v>19</v>
      </c>
      <c r="H563" s="12" t="s">
        <v>40</v>
      </c>
      <c r="I563" s="12">
        <v>230.001</v>
      </c>
      <c r="J563" s="12">
        <v>193.23400000000001</v>
      </c>
      <c r="K563" s="12">
        <v>4.8</v>
      </c>
    </row>
    <row r="564" spans="1:12" ht="13.9" hidden="1" x14ac:dyDescent="0.25">
      <c r="A564" s="12">
        <v>6843</v>
      </c>
      <c r="B564" s="12">
        <v>1009697</v>
      </c>
      <c r="C564" s="12" t="s">
        <v>13</v>
      </c>
      <c r="D564" s="12" t="s">
        <v>14</v>
      </c>
      <c r="E564" s="14">
        <v>44637</v>
      </c>
      <c r="F564" s="12" t="s">
        <v>18</v>
      </c>
      <c r="G564" s="12" t="s">
        <v>19</v>
      </c>
      <c r="H564" s="12" t="s">
        <v>40</v>
      </c>
      <c r="I564" s="12">
        <v>230</v>
      </c>
      <c r="J564" s="12">
        <v>197.61099999999999</v>
      </c>
      <c r="K564" s="12">
        <v>3.5</v>
      </c>
    </row>
    <row r="565" spans="1:12" ht="13.9" hidden="1" x14ac:dyDescent="0.25">
      <c r="A565" s="12">
        <v>6844</v>
      </c>
      <c r="B565" s="12">
        <v>1009751</v>
      </c>
      <c r="C565" s="12" t="s">
        <v>13</v>
      </c>
      <c r="D565" s="12" t="s">
        <v>14</v>
      </c>
      <c r="E565" s="14">
        <v>44638</v>
      </c>
      <c r="F565" s="12" t="s">
        <v>37</v>
      </c>
      <c r="G565" s="12" t="s">
        <v>20</v>
      </c>
      <c r="H565" s="12" t="s">
        <v>45</v>
      </c>
      <c r="I565" s="12">
        <v>230.00399999999999</v>
      </c>
      <c r="J565" s="12">
        <v>194.61699999999999</v>
      </c>
      <c r="K565" s="12">
        <v>4.4000000000000004</v>
      </c>
    </row>
    <row r="566" spans="1:12" ht="13.9" hidden="1" x14ac:dyDescent="0.25">
      <c r="A566" s="12">
        <v>6845</v>
      </c>
      <c r="B566" s="12">
        <v>1009827</v>
      </c>
      <c r="C566" s="12" t="s">
        <v>13</v>
      </c>
      <c r="D566" s="12" t="s">
        <v>14</v>
      </c>
      <c r="E566" s="14">
        <v>44639</v>
      </c>
      <c r="F566" s="12" t="s">
        <v>37</v>
      </c>
      <c r="G566" s="12" t="s">
        <v>20</v>
      </c>
      <c r="H566" s="12" t="s">
        <v>45</v>
      </c>
      <c r="I566" s="12">
        <v>230.00399999999999</v>
      </c>
      <c r="J566" s="12">
        <v>197.268</v>
      </c>
      <c r="K566" s="12">
        <v>4.5</v>
      </c>
    </row>
    <row r="567" spans="1:12" ht="13.9" hidden="1" x14ac:dyDescent="0.25">
      <c r="A567" s="12">
        <v>6846</v>
      </c>
      <c r="B567" s="12">
        <v>1009925</v>
      </c>
      <c r="C567" s="12" t="s">
        <v>13</v>
      </c>
      <c r="D567" s="12" t="s">
        <v>14</v>
      </c>
      <c r="E567" s="14">
        <v>44640</v>
      </c>
      <c r="F567" s="12" t="s">
        <v>37</v>
      </c>
      <c r="G567" s="12" t="s">
        <v>20</v>
      </c>
      <c r="H567" s="12" t="s">
        <v>42</v>
      </c>
      <c r="I567" s="12">
        <v>230.005</v>
      </c>
      <c r="J567" s="12">
        <v>192.72300000000001</v>
      </c>
      <c r="K567" s="12">
        <v>4.0999999999999996</v>
      </c>
    </row>
    <row r="568" spans="1:12" ht="13.9" hidden="1" x14ac:dyDescent="0.25">
      <c r="A568" s="12">
        <v>6847</v>
      </c>
      <c r="B568" s="12">
        <v>1009993</v>
      </c>
      <c r="C568" s="12" t="s">
        <v>13</v>
      </c>
      <c r="D568" s="12" t="s">
        <v>14</v>
      </c>
      <c r="E568" s="14">
        <v>44641</v>
      </c>
      <c r="F568" s="12" t="s">
        <v>37</v>
      </c>
      <c r="G568" s="12" t="s">
        <v>20</v>
      </c>
      <c r="H568" s="12" t="s">
        <v>42</v>
      </c>
      <c r="I568" s="12">
        <v>230.005</v>
      </c>
      <c r="J568" s="12">
        <v>197.91800000000001</v>
      </c>
      <c r="K568" s="12">
        <v>4.4000000000000004</v>
      </c>
    </row>
    <row r="569" spans="1:12" x14ac:dyDescent="0.25">
      <c r="A569" s="12">
        <v>6848</v>
      </c>
      <c r="B569" s="12">
        <v>1009995</v>
      </c>
      <c r="C569" s="12" t="s">
        <v>13</v>
      </c>
      <c r="D569" s="12" t="s">
        <v>14</v>
      </c>
      <c r="E569" s="14">
        <v>44642</v>
      </c>
      <c r="F569" s="12" t="s">
        <v>17</v>
      </c>
      <c r="G569" s="12" t="s">
        <v>19</v>
      </c>
      <c r="H569" s="12" t="s">
        <v>49</v>
      </c>
      <c r="I569" s="12">
        <v>230.011</v>
      </c>
      <c r="J569" s="12">
        <v>193.92500000000001</v>
      </c>
      <c r="K569" s="12">
        <v>3.8</v>
      </c>
      <c r="L569" s="12">
        <v>13.9</v>
      </c>
    </row>
    <row r="570" spans="1:12" ht="13.9" hidden="1" x14ac:dyDescent="0.25">
      <c r="A570" s="12">
        <v>6849</v>
      </c>
      <c r="B570" s="12">
        <v>1010009</v>
      </c>
      <c r="C570" s="12" t="s">
        <v>13</v>
      </c>
      <c r="D570" s="12" t="s">
        <v>14</v>
      </c>
      <c r="E570" s="14">
        <v>44643</v>
      </c>
      <c r="F570" s="12" t="s">
        <v>18</v>
      </c>
      <c r="G570" s="12" t="s">
        <v>19</v>
      </c>
      <c r="H570" s="12" t="s">
        <v>40</v>
      </c>
      <c r="I570" s="12">
        <v>229.999</v>
      </c>
      <c r="J570" s="12">
        <v>190.98699999999999</v>
      </c>
      <c r="K570" s="12">
        <v>3.5</v>
      </c>
    </row>
    <row r="571" spans="1:12" ht="13.9" hidden="1" x14ac:dyDescent="0.25">
      <c r="A571" s="12">
        <v>6850</v>
      </c>
      <c r="B571" s="12">
        <v>1010145</v>
      </c>
      <c r="C571" s="12" t="s">
        <v>13</v>
      </c>
      <c r="D571" s="12" t="s">
        <v>14</v>
      </c>
      <c r="E571" s="14">
        <v>44644</v>
      </c>
      <c r="F571" s="12" t="s">
        <v>18</v>
      </c>
      <c r="G571" s="12" t="s">
        <v>19</v>
      </c>
      <c r="H571" s="12" t="s">
        <v>40</v>
      </c>
      <c r="I571" s="12">
        <v>230</v>
      </c>
      <c r="J571" s="12">
        <v>200.703</v>
      </c>
      <c r="K571" s="12">
        <v>4.5</v>
      </c>
    </row>
    <row r="572" spans="1:12" ht="13.9" hidden="1" x14ac:dyDescent="0.25">
      <c r="A572" s="12">
        <v>6851</v>
      </c>
      <c r="B572" s="12">
        <v>1010205</v>
      </c>
      <c r="C572" s="12" t="s">
        <v>13</v>
      </c>
      <c r="D572" s="12" t="s">
        <v>14</v>
      </c>
      <c r="E572" s="14">
        <v>44645</v>
      </c>
      <c r="F572" s="12" t="s">
        <v>18</v>
      </c>
      <c r="G572" s="12" t="s">
        <v>19</v>
      </c>
      <c r="H572" s="12" t="s">
        <v>40</v>
      </c>
      <c r="I572" s="12">
        <v>230.00200000000001</v>
      </c>
      <c r="J572" s="12">
        <v>186.36699999999999</v>
      </c>
      <c r="K572" s="12">
        <v>3.4</v>
      </c>
    </row>
    <row r="573" spans="1:12" ht="13.9" hidden="1" x14ac:dyDescent="0.25">
      <c r="A573" s="12">
        <v>6852</v>
      </c>
      <c r="B573" s="12">
        <v>1010292</v>
      </c>
      <c r="C573" s="12" t="s">
        <v>13</v>
      </c>
      <c r="D573" s="12" t="s">
        <v>14</v>
      </c>
      <c r="E573" s="14">
        <v>44646</v>
      </c>
      <c r="F573" s="12" t="s">
        <v>18</v>
      </c>
      <c r="G573" s="12" t="s">
        <v>19</v>
      </c>
      <c r="H573" s="12" t="s">
        <v>40</v>
      </c>
      <c r="I573" s="12">
        <v>230.001</v>
      </c>
      <c r="J573" s="12">
        <v>204.27799999999999</v>
      </c>
      <c r="K573" s="12">
        <v>4</v>
      </c>
    </row>
    <row r="574" spans="1:12" ht="13.9" x14ac:dyDescent="0.25">
      <c r="A574" s="12">
        <v>6853</v>
      </c>
      <c r="B574" s="12">
        <v>1010372</v>
      </c>
      <c r="C574" s="12" t="s">
        <v>13</v>
      </c>
      <c r="D574" s="12" t="s">
        <v>14</v>
      </c>
      <c r="E574" s="14">
        <v>44647</v>
      </c>
      <c r="F574" s="12" t="s">
        <v>18</v>
      </c>
      <c r="G574" s="12" t="s">
        <v>19</v>
      </c>
      <c r="H574" s="12" t="s">
        <v>40</v>
      </c>
      <c r="I574" s="12">
        <v>230.018</v>
      </c>
      <c r="J574" s="12">
        <v>191.596</v>
      </c>
      <c r="K574" s="12">
        <v>3.1</v>
      </c>
      <c r="L574" s="12">
        <v>13.5</v>
      </c>
    </row>
    <row r="575" spans="1:12" ht="13.9" hidden="1" x14ac:dyDescent="0.25">
      <c r="A575" s="12">
        <v>6854</v>
      </c>
      <c r="B575" s="12">
        <v>1010444</v>
      </c>
      <c r="C575" s="12" t="s">
        <v>13</v>
      </c>
      <c r="D575" s="12" t="s">
        <v>14</v>
      </c>
      <c r="E575" s="14">
        <v>44648</v>
      </c>
      <c r="F575" s="12" t="s">
        <v>18</v>
      </c>
      <c r="G575" s="12" t="s">
        <v>19</v>
      </c>
      <c r="H575" s="12" t="s">
        <v>40</v>
      </c>
      <c r="I575" s="12">
        <v>230.00899999999999</v>
      </c>
      <c r="J575" s="12">
        <v>191.36</v>
      </c>
      <c r="K575" s="12">
        <v>4.0999999999999996</v>
      </c>
    </row>
    <row r="576" spans="1:12" ht="13.9" hidden="1" x14ac:dyDescent="0.25">
      <c r="A576" s="12">
        <v>6855</v>
      </c>
      <c r="B576" s="12">
        <v>1010445</v>
      </c>
      <c r="C576" s="12" t="s">
        <v>13</v>
      </c>
      <c r="D576" s="12" t="s">
        <v>14</v>
      </c>
      <c r="E576" s="14">
        <v>44649</v>
      </c>
      <c r="F576" s="12" t="s">
        <v>18</v>
      </c>
      <c r="G576" s="12" t="s">
        <v>19</v>
      </c>
      <c r="H576" s="12" t="s">
        <v>40</v>
      </c>
      <c r="I576" s="12">
        <v>230.00899999999999</v>
      </c>
      <c r="J576" s="12">
        <v>199.58099999999999</v>
      </c>
      <c r="K576" s="12">
        <v>3.6</v>
      </c>
    </row>
    <row r="577" spans="1:12" ht="13.9" hidden="1" x14ac:dyDescent="0.25">
      <c r="A577" s="12">
        <v>6856</v>
      </c>
      <c r="B577" s="12">
        <v>1010446</v>
      </c>
      <c r="C577" s="12" t="s">
        <v>13</v>
      </c>
      <c r="D577" s="12" t="s">
        <v>14</v>
      </c>
      <c r="E577" s="14">
        <v>44650</v>
      </c>
      <c r="F577" s="12" t="s">
        <v>18</v>
      </c>
      <c r="G577" s="12" t="s">
        <v>19</v>
      </c>
      <c r="H577" s="12" t="s">
        <v>40</v>
      </c>
      <c r="I577" s="12">
        <v>230.00800000000001</v>
      </c>
      <c r="J577" s="12">
        <v>193.05699999999999</v>
      </c>
      <c r="K577" s="12">
        <v>4.0999999999999996</v>
      </c>
    </row>
    <row r="578" spans="1:12" ht="13.9" hidden="1" x14ac:dyDescent="0.25">
      <c r="A578" s="12">
        <v>6857</v>
      </c>
      <c r="B578" s="12">
        <v>1010572</v>
      </c>
      <c r="C578" s="12" t="s">
        <v>13</v>
      </c>
      <c r="D578" s="12" t="s">
        <v>14</v>
      </c>
      <c r="E578" s="14">
        <v>44651</v>
      </c>
      <c r="F578" s="12" t="s">
        <v>18</v>
      </c>
      <c r="G578" s="12" t="s">
        <v>19</v>
      </c>
      <c r="H578" s="12" t="s">
        <v>40</v>
      </c>
      <c r="I578" s="12">
        <v>230.00800000000001</v>
      </c>
      <c r="J578" s="12">
        <v>197.006</v>
      </c>
      <c r="K578" s="12">
        <v>3.9</v>
      </c>
    </row>
    <row r="579" spans="1:12" ht="13.9" x14ac:dyDescent="0.25">
      <c r="A579" s="12">
        <v>6858</v>
      </c>
      <c r="B579" s="12">
        <v>1010703</v>
      </c>
      <c r="C579" s="12" t="s">
        <v>13</v>
      </c>
      <c r="D579" s="12" t="s">
        <v>14</v>
      </c>
      <c r="E579" s="14">
        <v>44652</v>
      </c>
      <c r="F579" s="12" t="s">
        <v>18</v>
      </c>
      <c r="G579" s="12" t="s">
        <v>19</v>
      </c>
      <c r="H579" s="12" t="s">
        <v>40</v>
      </c>
      <c r="I579" s="12">
        <v>230.005</v>
      </c>
      <c r="J579" s="12">
        <v>195.34800000000001</v>
      </c>
      <c r="K579" s="12">
        <v>4.9000000000000004</v>
      </c>
      <c r="L579" s="12">
        <v>13.3</v>
      </c>
    </row>
    <row r="580" spans="1:12" ht="13.9" hidden="1" x14ac:dyDescent="0.25">
      <c r="A580" s="12">
        <v>6859</v>
      </c>
      <c r="B580" s="12">
        <v>1010782</v>
      </c>
      <c r="C580" s="12" t="s">
        <v>13</v>
      </c>
      <c r="D580" s="12" t="s">
        <v>14</v>
      </c>
      <c r="E580" s="14">
        <v>44653</v>
      </c>
      <c r="F580" s="12" t="s">
        <v>18</v>
      </c>
      <c r="G580" s="12" t="s">
        <v>19</v>
      </c>
      <c r="H580" s="12" t="s">
        <v>40</v>
      </c>
      <c r="I580" s="12">
        <v>230.01</v>
      </c>
      <c r="J580" s="12">
        <v>194.49600000000001</v>
      </c>
      <c r="K580" s="12">
        <v>3.7</v>
      </c>
    </row>
    <row r="581" spans="1:12" ht="13.9" hidden="1" x14ac:dyDescent="0.25">
      <c r="A581" s="12">
        <v>6860</v>
      </c>
      <c r="B581" s="12">
        <v>1010886</v>
      </c>
      <c r="C581" s="12" t="s">
        <v>13</v>
      </c>
      <c r="D581" s="12" t="s">
        <v>14</v>
      </c>
      <c r="E581" s="14">
        <v>44654</v>
      </c>
      <c r="F581" s="12" t="s">
        <v>18</v>
      </c>
      <c r="G581" s="12" t="s">
        <v>19</v>
      </c>
      <c r="H581" s="12" t="s">
        <v>40</v>
      </c>
      <c r="I581" s="12">
        <v>230.01</v>
      </c>
      <c r="J581" s="12">
        <v>193.476</v>
      </c>
      <c r="K581" s="12">
        <v>3.9</v>
      </c>
    </row>
    <row r="582" spans="1:12" ht="13.9" hidden="1" x14ac:dyDescent="0.25">
      <c r="A582" s="12">
        <v>6861</v>
      </c>
      <c r="B582" s="12">
        <v>1010952</v>
      </c>
      <c r="C582" s="12" t="s">
        <v>13</v>
      </c>
      <c r="D582" s="12" t="s">
        <v>14</v>
      </c>
      <c r="E582" s="14">
        <v>44655</v>
      </c>
      <c r="F582" s="12" t="s">
        <v>18</v>
      </c>
      <c r="G582" s="12" t="s">
        <v>19</v>
      </c>
      <c r="H582" s="12" t="s">
        <v>40</v>
      </c>
      <c r="I582" s="12">
        <v>230.00700000000001</v>
      </c>
      <c r="J582" s="12">
        <v>194.459</v>
      </c>
      <c r="K582" s="12">
        <v>3.2</v>
      </c>
    </row>
    <row r="583" spans="1:12" ht="13.9" hidden="1" x14ac:dyDescent="0.25">
      <c r="A583" s="12">
        <v>6862</v>
      </c>
      <c r="B583" s="12">
        <v>1010953</v>
      </c>
      <c r="C583" s="12" t="s">
        <v>13</v>
      </c>
      <c r="D583" s="12" t="s">
        <v>14</v>
      </c>
      <c r="E583" s="14">
        <v>44656</v>
      </c>
      <c r="F583" s="12" t="s">
        <v>18</v>
      </c>
      <c r="G583" s="12" t="s">
        <v>19</v>
      </c>
      <c r="H583" s="12" t="s">
        <v>40</v>
      </c>
      <c r="I583" s="12">
        <v>230.006</v>
      </c>
      <c r="J583" s="12">
        <v>192.5</v>
      </c>
      <c r="K583" s="12">
        <v>3.8</v>
      </c>
    </row>
    <row r="584" spans="1:12" ht="13.9" x14ac:dyDescent="0.25">
      <c r="A584" s="12">
        <v>6863</v>
      </c>
      <c r="B584" s="12">
        <v>1010979</v>
      </c>
      <c r="C584" s="12" t="s">
        <v>13</v>
      </c>
      <c r="D584" s="12" t="s">
        <v>14</v>
      </c>
      <c r="E584" s="14">
        <v>44657</v>
      </c>
      <c r="F584" s="12" t="s">
        <v>18</v>
      </c>
      <c r="G584" s="12" t="s">
        <v>19</v>
      </c>
      <c r="H584" s="12" t="s">
        <v>40</v>
      </c>
      <c r="I584" s="12">
        <v>229.99100000000001</v>
      </c>
      <c r="J584" s="12">
        <v>192.99</v>
      </c>
      <c r="K584" s="12">
        <v>4.4000000000000004</v>
      </c>
      <c r="L584" s="12">
        <v>13.9</v>
      </c>
    </row>
    <row r="585" spans="1:12" ht="13.9" hidden="1" x14ac:dyDescent="0.25">
      <c r="A585" s="12">
        <v>6864</v>
      </c>
      <c r="B585" s="12">
        <v>1011115</v>
      </c>
      <c r="C585" s="12" t="s">
        <v>13</v>
      </c>
      <c r="D585" s="12" t="s">
        <v>14</v>
      </c>
      <c r="E585" s="14">
        <v>44658</v>
      </c>
      <c r="F585" s="12" t="s">
        <v>18</v>
      </c>
      <c r="G585" s="12" t="s">
        <v>20</v>
      </c>
      <c r="H585" s="12" t="s">
        <v>42</v>
      </c>
      <c r="I585" s="12">
        <v>230.00200000000001</v>
      </c>
      <c r="J585" s="12">
        <v>192.03100000000001</v>
      </c>
      <c r="K585" s="12">
        <v>4.9000000000000004</v>
      </c>
    </row>
    <row r="586" spans="1:12" ht="13.9" hidden="1" x14ac:dyDescent="0.25">
      <c r="A586" s="12">
        <v>6865</v>
      </c>
      <c r="B586" s="12">
        <v>1011178</v>
      </c>
      <c r="C586" s="12" t="s">
        <v>13</v>
      </c>
      <c r="D586" s="12" t="s">
        <v>14</v>
      </c>
      <c r="E586" s="14">
        <v>44659</v>
      </c>
      <c r="F586" s="12" t="s">
        <v>18</v>
      </c>
      <c r="G586" s="12" t="s">
        <v>20</v>
      </c>
      <c r="H586" s="12" t="s">
        <v>42</v>
      </c>
      <c r="I586" s="12">
        <v>230.00299999999999</v>
      </c>
      <c r="J586" s="12">
        <v>194.334</v>
      </c>
      <c r="K586" s="12">
        <v>4.8</v>
      </c>
    </row>
    <row r="587" spans="1:12" ht="13.9" hidden="1" x14ac:dyDescent="0.25">
      <c r="A587" s="12">
        <v>6866</v>
      </c>
      <c r="B587" s="12">
        <v>1011246</v>
      </c>
      <c r="C587" s="12" t="s">
        <v>13</v>
      </c>
      <c r="D587" s="12" t="s">
        <v>14</v>
      </c>
      <c r="E587" s="14">
        <v>44660</v>
      </c>
      <c r="F587" s="12" t="s">
        <v>51</v>
      </c>
      <c r="G587" s="12" t="s">
        <v>19</v>
      </c>
      <c r="H587" s="12" t="s">
        <v>41</v>
      </c>
      <c r="I587" s="12">
        <v>230.00299999999999</v>
      </c>
      <c r="J587" s="12">
        <v>194.459</v>
      </c>
      <c r="K587" s="12">
        <v>3.7</v>
      </c>
    </row>
    <row r="588" spans="1:12" ht="13.9" hidden="1" x14ac:dyDescent="0.25">
      <c r="A588" s="12">
        <v>6867</v>
      </c>
      <c r="B588" s="12">
        <v>1011348</v>
      </c>
      <c r="C588" s="12" t="s">
        <v>13</v>
      </c>
      <c r="D588" s="12" t="s">
        <v>14</v>
      </c>
      <c r="E588" s="14">
        <v>44661</v>
      </c>
      <c r="F588" s="12" t="s">
        <v>51</v>
      </c>
      <c r="G588" s="12" t="s">
        <v>19</v>
      </c>
      <c r="H588" s="12" t="s">
        <v>41</v>
      </c>
      <c r="I588" s="12">
        <v>230.00200000000001</v>
      </c>
      <c r="J588" s="12">
        <v>192.143</v>
      </c>
      <c r="K588" s="12">
        <v>3.4</v>
      </c>
    </row>
    <row r="589" spans="1:12" ht="13.9" hidden="1" x14ac:dyDescent="0.25">
      <c r="A589" s="12">
        <v>6868</v>
      </c>
      <c r="B589" s="20">
        <v>1011459</v>
      </c>
      <c r="C589" s="12" t="s">
        <v>13</v>
      </c>
      <c r="D589" s="12" t="s">
        <v>14</v>
      </c>
      <c r="E589" s="14">
        <v>44662</v>
      </c>
      <c r="F589" s="12" t="s">
        <v>51</v>
      </c>
      <c r="G589" s="12" t="s">
        <v>19</v>
      </c>
      <c r="H589" s="12" t="s">
        <v>35</v>
      </c>
      <c r="I589" s="12">
        <v>230.001</v>
      </c>
      <c r="J589" s="12">
        <v>189.65700000000001</v>
      </c>
    </row>
    <row r="590" spans="1:12" ht="13.9" hidden="1" x14ac:dyDescent="0.25">
      <c r="A590" s="12">
        <v>6869</v>
      </c>
      <c r="B590" s="20">
        <v>1011461</v>
      </c>
      <c r="C590" s="12" t="s">
        <v>13</v>
      </c>
      <c r="D590" s="12" t="s">
        <v>14</v>
      </c>
      <c r="E590" s="14">
        <v>44663</v>
      </c>
      <c r="F590" s="12" t="s">
        <v>51</v>
      </c>
      <c r="G590" s="12" t="s">
        <v>19</v>
      </c>
      <c r="H590" s="12" t="s">
        <v>35</v>
      </c>
      <c r="I590" s="12">
        <v>230.001</v>
      </c>
      <c r="J590" s="12">
        <v>196.37799999999999</v>
      </c>
    </row>
    <row r="591" spans="1:12" ht="13.9" hidden="1" x14ac:dyDescent="0.25">
      <c r="A591" s="12">
        <v>6870</v>
      </c>
      <c r="B591" s="12">
        <v>1011422</v>
      </c>
      <c r="C591" s="12" t="s">
        <v>13</v>
      </c>
      <c r="D591" s="12" t="s">
        <v>14</v>
      </c>
      <c r="E591" s="14">
        <v>44664</v>
      </c>
      <c r="F591" s="12" t="s">
        <v>18</v>
      </c>
      <c r="G591" s="12" t="s">
        <v>19</v>
      </c>
      <c r="H591" s="12" t="s">
        <v>40</v>
      </c>
      <c r="I591" s="12">
        <v>229.98500000000001</v>
      </c>
      <c r="J591" s="12">
        <v>194.70500000000001</v>
      </c>
      <c r="K591" s="12">
        <v>4.3</v>
      </c>
    </row>
    <row r="592" spans="1:12" ht="13.9" hidden="1" x14ac:dyDescent="0.25">
      <c r="A592" s="12">
        <v>6871</v>
      </c>
      <c r="B592" s="12">
        <v>1011559</v>
      </c>
      <c r="C592" s="12" t="s">
        <v>13</v>
      </c>
      <c r="D592" s="12" t="s">
        <v>14</v>
      </c>
      <c r="E592" s="14">
        <v>44665</v>
      </c>
      <c r="F592" s="12" t="s">
        <v>18</v>
      </c>
      <c r="G592" s="12" t="s">
        <v>19</v>
      </c>
      <c r="H592" s="12" t="s">
        <v>40</v>
      </c>
      <c r="I592" s="12">
        <v>229.98599999999999</v>
      </c>
      <c r="J592" s="12">
        <v>192.26400000000001</v>
      </c>
      <c r="K592" s="12">
        <v>3.5</v>
      </c>
    </row>
    <row r="593" spans="1:12" ht="13.9" x14ac:dyDescent="0.25">
      <c r="A593" s="12">
        <v>6872</v>
      </c>
      <c r="B593" s="12">
        <v>1011644</v>
      </c>
      <c r="C593" s="12" t="s">
        <v>13</v>
      </c>
      <c r="D593" s="12" t="s">
        <v>14</v>
      </c>
      <c r="E593" s="14">
        <v>44666</v>
      </c>
      <c r="F593" s="12" t="s">
        <v>18</v>
      </c>
      <c r="G593" s="12" t="s">
        <v>19</v>
      </c>
      <c r="H593" s="12" t="s">
        <v>40</v>
      </c>
      <c r="I593" s="12">
        <v>230.02099999999999</v>
      </c>
      <c r="J593" s="12">
        <v>194.45099999999999</v>
      </c>
      <c r="K593" s="12">
        <v>3.9</v>
      </c>
      <c r="L593" s="12">
        <v>13.6</v>
      </c>
    </row>
    <row r="594" spans="1:12" ht="13.9" hidden="1" x14ac:dyDescent="0.25">
      <c r="A594" s="12">
        <v>6873</v>
      </c>
      <c r="B594" s="12">
        <v>1011688</v>
      </c>
      <c r="C594" s="12" t="s">
        <v>13</v>
      </c>
      <c r="D594" s="12" t="s">
        <v>14</v>
      </c>
      <c r="E594" s="14">
        <v>44667</v>
      </c>
      <c r="F594" s="12" t="s">
        <v>18</v>
      </c>
      <c r="G594" s="12" t="s">
        <v>19</v>
      </c>
      <c r="H594" s="12" t="s">
        <v>40</v>
      </c>
      <c r="I594" s="12">
        <v>230.00200000000001</v>
      </c>
      <c r="J594" s="12">
        <v>196.17699999999999</v>
      </c>
      <c r="K594" s="12">
        <v>3.5</v>
      </c>
    </row>
    <row r="595" spans="1:12" ht="13.9" hidden="1" x14ac:dyDescent="0.25">
      <c r="A595" s="12">
        <v>6874</v>
      </c>
      <c r="B595" s="12">
        <v>1011794</v>
      </c>
      <c r="C595" s="12" t="s">
        <v>13</v>
      </c>
      <c r="D595" s="12" t="s">
        <v>14</v>
      </c>
      <c r="E595" s="14">
        <v>44668</v>
      </c>
      <c r="F595" s="12" t="s">
        <v>18</v>
      </c>
      <c r="G595" s="12" t="s">
        <v>19</v>
      </c>
      <c r="H595" s="12" t="s">
        <v>40</v>
      </c>
      <c r="I595" s="12">
        <v>230.00200000000001</v>
      </c>
      <c r="J595" s="12">
        <v>194.63</v>
      </c>
      <c r="K595" s="12">
        <v>3.6</v>
      </c>
    </row>
    <row r="596" spans="1:12" ht="13.9" hidden="1" x14ac:dyDescent="0.25">
      <c r="A596" s="12">
        <v>6875</v>
      </c>
      <c r="B596" s="12">
        <v>1011883</v>
      </c>
      <c r="C596" s="12" t="s">
        <v>13</v>
      </c>
      <c r="D596" s="12" t="s">
        <v>14</v>
      </c>
      <c r="E596" s="14">
        <v>44669</v>
      </c>
      <c r="F596" s="12" t="s">
        <v>17</v>
      </c>
      <c r="G596" s="12" t="s">
        <v>19</v>
      </c>
      <c r="H596" s="12" t="s">
        <v>43</v>
      </c>
      <c r="I596" s="12">
        <v>230.001</v>
      </c>
      <c r="J596" s="12">
        <v>191.87799999999999</v>
      </c>
      <c r="K596" s="12">
        <v>3.4</v>
      </c>
    </row>
    <row r="597" spans="1:12" ht="13.9" hidden="1" x14ac:dyDescent="0.25">
      <c r="A597" s="12">
        <v>6876</v>
      </c>
      <c r="B597" s="12">
        <v>1011884</v>
      </c>
      <c r="C597" s="12" t="s">
        <v>13</v>
      </c>
      <c r="D597" s="12" t="s">
        <v>14</v>
      </c>
      <c r="E597" s="14">
        <v>44670</v>
      </c>
      <c r="F597" s="12" t="s">
        <v>17</v>
      </c>
      <c r="G597" s="12" t="s">
        <v>19</v>
      </c>
      <c r="H597" s="12" t="s">
        <v>43</v>
      </c>
      <c r="I597" s="12">
        <v>230.001</v>
      </c>
      <c r="J597" s="12">
        <v>195.81</v>
      </c>
      <c r="K597" s="12">
        <v>4</v>
      </c>
    </row>
    <row r="598" spans="1:12" ht="13.9" hidden="1" x14ac:dyDescent="0.25">
      <c r="A598" s="12">
        <v>6877</v>
      </c>
      <c r="B598" s="12">
        <v>1011885</v>
      </c>
      <c r="C598" s="12" t="s">
        <v>13</v>
      </c>
      <c r="D598" s="12" t="s">
        <v>14</v>
      </c>
      <c r="E598" s="14">
        <v>44671</v>
      </c>
      <c r="F598" s="12" t="s">
        <v>17</v>
      </c>
      <c r="G598" s="12" t="s">
        <v>19</v>
      </c>
      <c r="H598" s="12" t="s">
        <v>43</v>
      </c>
      <c r="I598" s="12">
        <v>230.001</v>
      </c>
      <c r="J598" s="12">
        <v>197.285</v>
      </c>
      <c r="K598" s="12">
        <v>3.9</v>
      </c>
    </row>
    <row r="599" spans="1:12" ht="13.9" hidden="1" x14ac:dyDescent="0.25">
      <c r="A599" s="12">
        <v>6878</v>
      </c>
      <c r="B599" s="12">
        <v>1011994</v>
      </c>
      <c r="C599" s="12" t="s">
        <v>13</v>
      </c>
      <c r="D599" s="12" t="s">
        <v>14</v>
      </c>
      <c r="E599" s="14">
        <v>44672</v>
      </c>
      <c r="F599" s="12" t="s">
        <v>17</v>
      </c>
      <c r="G599" s="12" t="s">
        <v>19</v>
      </c>
      <c r="H599" s="12" t="s">
        <v>43</v>
      </c>
      <c r="I599" s="12">
        <v>230</v>
      </c>
      <c r="J599" s="12">
        <v>192.792</v>
      </c>
      <c r="K599" s="12">
        <v>3.9</v>
      </c>
    </row>
    <row r="600" spans="1:12" x14ac:dyDescent="0.25">
      <c r="A600" s="12">
        <v>6879</v>
      </c>
      <c r="B600" s="12">
        <v>1012096</v>
      </c>
      <c r="C600" s="12" t="s">
        <v>13</v>
      </c>
      <c r="D600" s="12" t="s">
        <v>14</v>
      </c>
      <c r="E600" s="14">
        <v>44673</v>
      </c>
      <c r="F600" s="12" t="s">
        <v>18</v>
      </c>
      <c r="G600" s="12" t="s">
        <v>19</v>
      </c>
      <c r="H600" s="12" t="s">
        <v>40</v>
      </c>
      <c r="I600" s="12">
        <v>230</v>
      </c>
      <c r="J600" s="12">
        <v>200.30199999999999</v>
      </c>
      <c r="K600" s="12">
        <v>3.5</v>
      </c>
      <c r="L600" s="12">
        <v>13.6</v>
      </c>
    </row>
    <row r="601" spans="1:12" x14ac:dyDescent="0.25">
      <c r="A601" s="12">
        <v>6880</v>
      </c>
      <c r="B601" s="12">
        <v>1012139</v>
      </c>
      <c r="C601" s="12" t="s">
        <v>13</v>
      </c>
      <c r="D601" s="12" t="s">
        <v>14</v>
      </c>
      <c r="E601" s="14">
        <v>44674</v>
      </c>
      <c r="F601" s="12" t="s">
        <v>18</v>
      </c>
      <c r="G601" s="12" t="s">
        <v>19</v>
      </c>
      <c r="H601" s="12" t="s">
        <v>40</v>
      </c>
      <c r="I601" s="12">
        <v>230</v>
      </c>
      <c r="J601" s="12">
        <v>198.39500000000001</v>
      </c>
      <c r="K601" s="12">
        <v>4.3</v>
      </c>
      <c r="L601" s="12">
        <v>13.6</v>
      </c>
    </row>
    <row r="602" spans="1:12" ht="13.9" hidden="1" x14ac:dyDescent="0.25">
      <c r="A602" s="12">
        <v>6881</v>
      </c>
      <c r="B602" s="12">
        <v>1012284</v>
      </c>
      <c r="C602" s="12" t="s">
        <v>13</v>
      </c>
      <c r="D602" s="12" t="s">
        <v>14</v>
      </c>
      <c r="E602" s="14">
        <v>44675</v>
      </c>
      <c r="F602" s="12" t="s">
        <v>18</v>
      </c>
      <c r="G602" s="12" t="s">
        <v>19</v>
      </c>
      <c r="H602" s="12" t="s">
        <v>40</v>
      </c>
      <c r="I602" s="12">
        <v>230.001</v>
      </c>
      <c r="J602" s="12">
        <v>193.352</v>
      </c>
      <c r="K602" s="12">
        <v>0</v>
      </c>
      <c r="L602" s="12">
        <v>13.6</v>
      </c>
    </row>
    <row r="603" spans="1:12" ht="13.9" hidden="1" x14ac:dyDescent="0.25">
      <c r="A603" s="12">
        <v>6882</v>
      </c>
      <c r="B603" s="12">
        <v>1012342</v>
      </c>
      <c r="C603" s="12" t="s">
        <v>13</v>
      </c>
      <c r="D603" s="12" t="s">
        <v>14</v>
      </c>
      <c r="E603" s="14">
        <v>44676</v>
      </c>
      <c r="F603" s="12" t="s">
        <v>18</v>
      </c>
      <c r="G603" s="12" t="s">
        <v>19</v>
      </c>
      <c r="H603" s="12" t="s">
        <v>40</v>
      </c>
      <c r="I603" s="12">
        <v>230</v>
      </c>
      <c r="J603" s="12">
        <v>198.50899999999999</v>
      </c>
      <c r="K603" s="12">
        <v>3.8</v>
      </c>
    </row>
    <row r="604" spans="1:12" ht="13.9" hidden="1" x14ac:dyDescent="0.25">
      <c r="A604" s="12">
        <v>6883</v>
      </c>
      <c r="B604" s="12">
        <v>1012344</v>
      </c>
      <c r="C604" s="12" t="s">
        <v>13</v>
      </c>
      <c r="D604" s="12" t="s">
        <v>14</v>
      </c>
      <c r="E604" s="14">
        <v>44677</v>
      </c>
      <c r="F604" s="12" t="s">
        <v>18</v>
      </c>
      <c r="G604" s="12" t="s">
        <v>19</v>
      </c>
      <c r="H604" s="12" t="s">
        <v>40</v>
      </c>
      <c r="I604" s="12">
        <v>230</v>
      </c>
      <c r="J604" s="12">
        <v>190.24199999999999</v>
      </c>
      <c r="K604" s="12">
        <v>3.5</v>
      </c>
    </row>
    <row r="605" spans="1:12" ht="13.9" hidden="1" x14ac:dyDescent="0.25">
      <c r="A605" s="12">
        <v>6884</v>
      </c>
      <c r="B605" s="12">
        <v>1012346</v>
      </c>
      <c r="C605" s="12" t="s">
        <v>13</v>
      </c>
      <c r="D605" s="12" t="s">
        <v>14</v>
      </c>
      <c r="E605" s="14">
        <v>44678</v>
      </c>
      <c r="F605" s="12" t="s">
        <v>37</v>
      </c>
      <c r="G605" s="12" t="s">
        <v>20</v>
      </c>
      <c r="H605" s="12" t="s">
        <v>45</v>
      </c>
      <c r="I605" s="12">
        <v>229.999</v>
      </c>
      <c r="J605" s="12">
        <v>199.09399999999999</v>
      </c>
      <c r="K605" s="12">
        <v>4.8</v>
      </c>
    </row>
    <row r="606" spans="1:12" ht="13.9" hidden="1" x14ac:dyDescent="0.25">
      <c r="A606" s="12">
        <v>6885</v>
      </c>
      <c r="B606" s="12">
        <v>1012347</v>
      </c>
      <c r="C606" s="12" t="s">
        <v>13</v>
      </c>
      <c r="D606" s="12" t="s">
        <v>14</v>
      </c>
      <c r="E606" s="14">
        <v>44679</v>
      </c>
      <c r="F606" s="12" t="s">
        <v>37</v>
      </c>
      <c r="G606" s="12" t="s">
        <v>20</v>
      </c>
      <c r="H606" s="12" t="s">
        <v>45</v>
      </c>
      <c r="I606" s="12">
        <v>229.999</v>
      </c>
      <c r="J606" s="12">
        <v>186.55600000000001</v>
      </c>
      <c r="K606" s="12">
        <v>4.0999999999999996</v>
      </c>
    </row>
    <row r="607" spans="1:12" ht="13.9" hidden="1" x14ac:dyDescent="0.25">
      <c r="A607" s="12">
        <v>6886</v>
      </c>
      <c r="B607" s="12">
        <v>1012537</v>
      </c>
      <c r="C607" s="12" t="s">
        <v>13</v>
      </c>
      <c r="D607" s="12" t="s">
        <v>14</v>
      </c>
      <c r="E607" s="14">
        <v>44680</v>
      </c>
      <c r="F607" s="12" t="s">
        <v>46</v>
      </c>
      <c r="G607" s="12" t="s">
        <v>20</v>
      </c>
      <c r="H607" s="12" t="s">
        <v>50</v>
      </c>
      <c r="I607" s="12">
        <v>225.001</v>
      </c>
      <c r="J607" s="12">
        <v>185.858</v>
      </c>
      <c r="K607" s="12">
        <v>0</v>
      </c>
      <c r="L607" s="12">
        <v>13.6</v>
      </c>
    </row>
    <row r="608" spans="1:12" ht="13.9" hidden="1" x14ac:dyDescent="0.25">
      <c r="A608" s="12">
        <v>6887</v>
      </c>
      <c r="B608" s="12">
        <v>1012549</v>
      </c>
      <c r="C608" s="12" t="s">
        <v>13</v>
      </c>
      <c r="D608" s="12" t="s">
        <v>14</v>
      </c>
      <c r="E608" s="14">
        <v>44681</v>
      </c>
      <c r="F608" s="12" t="s">
        <v>37</v>
      </c>
      <c r="G608" s="12" t="s">
        <v>19</v>
      </c>
      <c r="H608" s="12" t="s">
        <v>41</v>
      </c>
      <c r="I608" s="12">
        <v>230.006</v>
      </c>
      <c r="J608" s="12">
        <v>193</v>
      </c>
      <c r="K608" s="12">
        <v>4.0999999999999996</v>
      </c>
    </row>
    <row r="609" spans="1:12" ht="13.9" hidden="1" x14ac:dyDescent="0.25">
      <c r="A609" s="12">
        <v>6888</v>
      </c>
      <c r="B609" s="12">
        <v>1012627</v>
      </c>
      <c r="C609" s="12" t="s">
        <v>13</v>
      </c>
      <c r="D609" s="12" t="s">
        <v>14</v>
      </c>
      <c r="E609" s="14">
        <v>44682</v>
      </c>
      <c r="F609" s="12" t="s">
        <v>37</v>
      </c>
      <c r="G609" s="12" t="s">
        <v>19</v>
      </c>
      <c r="H609" s="12" t="s">
        <v>41</v>
      </c>
      <c r="I609" s="12">
        <v>230.006</v>
      </c>
      <c r="J609" s="12">
        <v>185.643</v>
      </c>
      <c r="K609" s="12">
        <v>3.7</v>
      </c>
    </row>
    <row r="610" spans="1:12" ht="13.9" hidden="1" x14ac:dyDescent="0.25">
      <c r="A610" s="12">
        <v>6889</v>
      </c>
      <c r="B610" s="12">
        <v>1012716</v>
      </c>
      <c r="C610" s="12" t="s">
        <v>13</v>
      </c>
      <c r="D610" s="12" t="s">
        <v>14</v>
      </c>
      <c r="E610" s="14">
        <v>44683</v>
      </c>
      <c r="F610" s="12" t="s">
        <v>37</v>
      </c>
      <c r="G610" s="12" t="s">
        <v>19</v>
      </c>
      <c r="H610" s="12" t="s">
        <v>41</v>
      </c>
      <c r="I610" s="12">
        <v>230.006</v>
      </c>
      <c r="J610" s="12">
        <v>196.971</v>
      </c>
      <c r="K610" s="12">
        <v>3.4</v>
      </c>
    </row>
    <row r="611" spans="1:12" ht="13.9" hidden="1" x14ac:dyDescent="0.25">
      <c r="A611" s="12">
        <v>6890</v>
      </c>
      <c r="B611" s="12">
        <v>1012717</v>
      </c>
      <c r="C611" s="12" t="s">
        <v>13</v>
      </c>
      <c r="D611" s="12" t="s">
        <v>14</v>
      </c>
      <c r="E611" s="14">
        <v>44684</v>
      </c>
      <c r="F611" s="12" t="s">
        <v>37</v>
      </c>
      <c r="G611" s="12" t="s">
        <v>19</v>
      </c>
      <c r="H611" s="12" t="s">
        <v>41</v>
      </c>
      <c r="I611" s="12">
        <v>230.006</v>
      </c>
      <c r="J611" s="12">
        <v>187.089</v>
      </c>
      <c r="K611" s="12">
        <v>3.7</v>
      </c>
    </row>
    <row r="612" spans="1:12" x14ac:dyDescent="0.25">
      <c r="A612" s="12">
        <v>6891</v>
      </c>
      <c r="B612" s="12">
        <v>1012718</v>
      </c>
      <c r="C612" s="12" t="s">
        <v>13</v>
      </c>
      <c r="D612" s="12" t="s">
        <v>14</v>
      </c>
      <c r="E612" s="14">
        <v>44685</v>
      </c>
      <c r="F612" s="12" t="s">
        <v>37</v>
      </c>
      <c r="G612" s="12" t="s">
        <v>19</v>
      </c>
      <c r="H612" s="12" t="s">
        <v>41</v>
      </c>
      <c r="I612" s="12">
        <v>230.00899999999999</v>
      </c>
      <c r="J612" s="12">
        <v>192.37</v>
      </c>
      <c r="K612" s="12">
        <v>3.7</v>
      </c>
      <c r="L612" s="12">
        <v>13.7</v>
      </c>
    </row>
    <row r="613" spans="1:12" ht="13.9" hidden="1" x14ac:dyDescent="0.25">
      <c r="A613" s="12">
        <v>6892</v>
      </c>
      <c r="B613" s="12">
        <v>1012847</v>
      </c>
      <c r="C613" s="12" t="s">
        <v>13</v>
      </c>
      <c r="D613" s="12" t="s">
        <v>14</v>
      </c>
      <c r="E613" s="14">
        <v>44686</v>
      </c>
      <c r="F613" s="12" t="s">
        <v>18</v>
      </c>
      <c r="G613" s="12" t="s">
        <v>19</v>
      </c>
      <c r="H613" s="12" t="s">
        <v>40</v>
      </c>
      <c r="I613" s="12">
        <v>230.00700000000001</v>
      </c>
      <c r="J613" s="12">
        <v>192.71</v>
      </c>
      <c r="K613" s="12">
        <v>3.8</v>
      </c>
    </row>
    <row r="614" spans="1:12" ht="13.9" hidden="1" x14ac:dyDescent="0.25">
      <c r="A614" s="12">
        <v>6893</v>
      </c>
      <c r="B614" s="12">
        <v>1012886</v>
      </c>
      <c r="C614" s="12" t="s">
        <v>13</v>
      </c>
      <c r="D614" s="12" t="s">
        <v>14</v>
      </c>
      <c r="E614" s="14">
        <v>44687</v>
      </c>
      <c r="F614" s="12" t="s">
        <v>18</v>
      </c>
      <c r="G614" s="12" t="s">
        <v>19</v>
      </c>
      <c r="H614" s="12" t="s">
        <v>40</v>
      </c>
      <c r="I614" s="12">
        <v>230.00800000000001</v>
      </c>
      <c r="J614" s="12">
        <v>193.36699999999999</v>
      </c>
      <c r="K614" s="12">
        <v>3.5</v>
      </c>
    </row>
    <row r="615" spans="1:12" ht="13.9" hidden="1" x14ac:dyDescent="0.25">
      <c r="A615" s="12">
        <v>6894</v>
      </c>
      <c r="B615" s="12">
        <v>1012968</v>
      </c>
      <c r="C615" s="12" t="s">
        <v>13</v>
      </c>
      <c r="D615" s="12" t="s">
        <v>14</v>
      </c>
      <c r="E615" s="14">
        <v>44688</v>
      </c>
      <c r="F615" s="12" t="s">
        <v>18</v>
      </c>
      <c r="G615" s="12" t="s">
        <v>19</v>
      </c>
      <c r="H615" s="12" t="s">
        <v>40</v>
      </c>
      <c r="I615" s="12">
        <v>230.00200000000001</v>
      </c>
      <c r="J615" s="12">
        <v>199.07</v>
      </c>
      <c r="K615" s="12">
        <v>4.3</v>
      </c>
    </row>
    <row r="616" spans="1:12" ht="13.9" hidden="1" x14ac:dyDescent="0.25">
      <c r="A616" s="12">
        <v>6895</v>
      </c>
      <c r="B616" s="12">
        <v>1013127</v>
      </c>
      <c r="C616" s="12" t="s">
        <v>13</v>
      </c>
      <c r="D616" s="12" t="s">
        <v>14</v>
      </c>
      <c r="E616" s="14">
        <v>44689</v>
      </c>
      <c r="F616" s="12" t="s">
        <v>18</v>
      </c>
      <c r="G616" s="12" t="s">
        <v>19</v>
      </c>
      <c r="H616" s="12" t="s">
        <v>40</v>
      </c>
      <c r="I616" s="12">
        <v>230.001</v>
      </c>
      <c r="J616" s="12">
        <v>196.917</v>
      </c>
      <c r="K616" s="12">
        <v>4.8</v>
      </c>
    </row>
    <row r="617" spans="1:12" x14ac:dyDescent="0.25">
      <c r="A617" s="12">
        <v>6896</v>
      </c>
      <c r="B617" s="12">
        <v>1013155</v>
      </c>
      <c r="C617" s="12" t="s">
        <v>13</v>
      </c>
      <c r="D617" s="12" t="s">
        <v>14</v>
      </c>
      <c r="E617" s="14">
        <v>44690</v>
      </c>
      <c r="F617" s="12" t="s">
        <v>18</v>
      </c>
      <c r="G617" s="12" t="s">
        <v>19</v>
      </c>
      <c r="H617" s="12" t="s">
        <v>40</v>
      </c>
      <c r="I617" s="12">
        <v>230.005</v>
      </c>
      <c r="J617" s="12">
        <v>193.42699999999999</v>
      </c>
      <c r="K617" s="12">
        <v>4.7</v>
      </c>
      <c r="L617" s="12">
        <v>13.9</v>
      </c>
    </row>
    <row r="618" spans="1:12" ht="13.9" hidden="1" x14ac:dyDescent="0.25">
      <c r="A618" s="12">
        <v>6897</v>
      </c>
      <c r="B618" s="21">
        <v>1013204</v>
      </c>
      <c r="C618" s="12" t="s">
        <v>13</v>
      </c>
      <c r="D618" s="12" t="s">
        <v>14</v>
      </c>
      <c r="E618" s="12"/>
      <c r="F618" s="14">
        <v>44691</v>
      </c>
      <c r="G618" s="12" t="s">
        <v>51</v>
      </c>
      <c r="H618" s="12" t="s">
        <v>19</v>
      </c>
      <c r="I618" s="12" t="s">
        <v>35</v>
      </c>
      <c r="J618" s="12">
        <v>229.999</v>
      </c>
    </row>
    <row r="619" spans="1:12" ht="13.9" hidden="1" x14ac:dyDescent="0.25">
      <c r="A619" s="12">
        <v>6898</v>
      </c>
      <c r="B619" s="21">
        <v>1013206</v>
      </c>
      <c r="C619" s="12" t="s">
        <v>13</v>
      </c>
      <c r="D619" s="12" t="s">
        <v>14</v>
      </c>
      <c r="E619" s="14">
        <v>44692</v>
      </c>
      <c r="F619" s="12" t="s">
        <v>51</v>
      </c>
      <c r="G619" s="12" t="s">
        <v>19</v>
      </c>
      <c r="H619" s="12" t="s">
        <v>35</v>
      </c>
      <c r="I619" s="12">
        <v>229.999</v>
      </c>
      <c r="J619" s="12">
        <v>186.595</v>
      </c>
    </row>
    <row r="620" spans="1:12" ht="13.9" hidden="1" x14ac:dyDescent="0.25">
      <c r="A620" s="12">
        <v>6899</v>
      </c>
      <c r="B620" s="12">
        <v>1013318</v>
      </c>
      <c r="C620" s="12" t="s">
        <v>13</v>
      </c>
      <c r="D620" s="12" t="s">
        <v>14</v>
      </c>
      <c r="E620" s="14">
        <v>44693</v>
      </c>
      <c r="F620" s="12" t="s">
        <v>17</v>
      </c>
      <c r="G620" s="12" t="s">
        <v>19</v>
      </c>
      <c r="H620" s="12" t="s">
        <v>49</v>
      </c>
      <c r="I620" s="12">
        <v>230.00399999999999</v>
      </c>
      <c r="J620" s="12">
        <v>195.28200000000001</v>
      </c>
      <c r="K620" s="12">
        <v>3.8</v>
      </c>
    </row>
    <row r="621" spans="1:12" ht="13.9" hidden="1" x14ac:dyDescent="0.25">
      <c r="A621" s="12">
        <v>6900</v>
      </c>
      <c r="B621" s="12">
        <v>1013433</v>
      </c>
      <c r="C621" s="12" t="s">
        <v>13</v>
      </c>
      <c r="D621" s="12" t="s">
        <v>14</v>
      </c>
      <c r="E621" s="14">
        <v>44694</v>
      </c>
      <c r="F621" s="12" t="s">
        <v>17</v>
      </c>
      <c r="G621" s="12" t="s">
        <v>19</v>
      </c>
      <c r="H621" s="12" t="s">
        <v>49</v>
      </c>
      <c r="I621" s="12">
        <v>230.00399999999999</v>
      </c>
      <c r="J621" s="12">
        <v>182.43199999999999</v>
      </c>
      <c r="K621" s="12">
        <v>4.0999999999999996</v>
      </c>
    </row>
    <row r="622" spans="1:12" x14ac:dyDescent="0.25">
      <c r="A622" s="12">
        <v>6901</v>
      </c>
      <c r="B622" s="12">
        <v>1013484</v>
      </c>
      <c r="C622" s="12" t="s">
        <v>13</v>
      </c>
      <c r="D622" s="12" t="s">
        <v>14</v>
      </c>
      <c r="E622" s="14">
        <v>44695</v>
      </c>
      <c r="F622" s="12" t="s">
        <v>18</v>
      </c>
      <c r="G622" s="12" t="s">
        <v>19</v>
      </c>
      <c r="H622" s="12" t="s">
        <v>40</v>
      </c>
      <c r="I622" s="12">
        <v>230.02099999999999</v>
      </c>
      <c r="J622" s="12">
        <v>199.999</v>
      </c>
      <c r="K622" s="12">
        <v>3.9</v>
      </c>
      <c r="L622" s="12">
        <v>13.7</v>
      </c>
    </row>
    <row r="623" spans="1:12" ht="13.9" hidden="1" x14ac:dyDescent="0.25">
      <c r="A623" s="12">
        <v>6902</v>
      </c>
      <c r="B623" s="12">
        <v>1013593</v>
      </c>
      <c r="C623" s="12" t="s">
        <v>13</v>
      </c>
      <c r="D623" s="12" t="s">
        <v>14</v>
      </c>
      <c r="E623" s="14">
        <v>44696</v>
      </c>
      <c r="F623" s="12" t="s">
        <v>18</v>
      </c>
      <c r="G623" s="12" t="s">
        <v>19</v>
      </c>
      <c r="H623" s="12" t="s">
        <v>40</v>
      </c>
      <c r="I623" s="12">
        <v>230.02600000000001</v>
      </c>
      <c r="J623" s="12">
        <v>195.14500000000001</v>
      </c>
      <c r="K623" s="12">
        <v>4.4000000000000004</v>
      </c>
    </row>
    <row r="624" spans="1:12" ht="13.9" hidden="1" x14ac:dyDescent="0.25">
      <c r="A624" s="12">
        <v>6903</v>
      </c>
      <c r="B624" s="12">
        <v>1013666</v>
      </c>
      <c r="C624" s="12" t="s">
        <v>13</v>
      </c>
      <c r="D624" s="12" t="s">
        <v>14</v>
      </c>
      <c r="E624" s="14">
        <v>44697</v>
      </c>
      <c r="F624" s="12" t="s">
        <v>18</v>
      </c>
      <c r="G624" s="12" t="s">
        <v>19</v>
      </c>
      <c r="H624" s="12" t="s">
        <v>40</v>
      </c>
      <c r="I624" s="12">
        <v>230.02699999999999</v>
      </c>
      <c r="J624" s="12">
        <v>191.38300000000001</v>
      </c>
      <c r="K624" s="12">
        <v>4.2</v>
      </c>
    </row>
    <row r="625" spans="1:12" ht="13.9" hidden="1" x14ac:dyDescent="0.25">
      <c r="A625" s="12">
        <v>6904</v>
      </c>
      <c r="B625" s="12">
        <v>1013668</v>
      </c>
      <c r="C625" s="12" t="s">
        <v>13</v>
      </c>
      <c r="D625" s="12" t="s">
        <v>14</v>
      </c>
      <c r="E625" s="14">
        <v>44698</v>
      </c>
      <c r="F625" s="12" t="s">
        <v>18</v>
      </c>
      <c r="G625" s="12" t="s">
        <v>19</v>
      </c>
      <c r="H625" s="12" t="s">
        <v>40</v>
      </c>
      <c r="I625" s="12">
        <v>230.00700000000001</v>
      </c>
      <c r="J625" s="12">
        <v>198.12299999999999</v>
      </c>
      <c r="K625" s="12">
        <v>5.0999999999999996</v>
      </c>
    </row>
    <row r="626" spans="1:12" ht="13.9" hidden="1" x14ac:dyDescent="0.25">
      <c r="A626" s="12">
        <v>6905</v>
      </c>
      <c r="B626" s="12">
        <v>1013694</v>
      </c>
      <c r="C626" s="12" t="s">
        <v>13</v>
      </c>
      <c r="D626" s="12" t="s">
        <v>14</v>
      </c>
      <c r="E626" s="14">
        <v>44699</v>
      </c>
      <c r="F626" s="12" t="s">
        <v>18</v>
      </c>
      <c r="G626" s="12" t="s">
        <v>19</v>
      </c>
      <c r="H626" s="12" t="s">
        <v>40</v>
      </c>
      <c r="I626" s="12">
        <v>230.00700000000001</v>
      </c>
      <c r="J626" s="12">
        <v>190.03100000000001</v>
      </c>
      <c r="K626" s="12">
        <v>4.3</v>
      </c>
    </row>
    <row r="627" spans="1:12" x14ac:dyDescent="0.25">
      <c r="A627" s="12">
        <v>6906</v>
      </c>
      <c r="B627" s="12">
        <v>1013773</v>
      </c>
      <c r="C627" s="12" t="s">
        <v>13</v>
      </c>
      <c r="D627" s="12" t="s">
        <v>14</v>
      </c>
      <c r="E627" s="14">
        <v>44700</v>
      </c>
      <c r="F627" s="12" t="s">
        <v>18</v>
      </c>
      <c r="G627" s="12" t="s">
        <v>20</v>
      </c>
      <c r="H627" s="12" t="s">
        <v>45</v>
      </c>
      <c r="I627" s="12">
        <v>230.03299999999999</v>
      </c>
      <c r="J627" s="12">
        <v>196.76300000000001</v>
      </c>
      <c r="K627" s="12">
        <v>5</v>
      </c>
      <c r="L627" s="12">
        <v>13.8</v>
      </c>
    </row>
    <row r="628" spans="1:12" ht="13.9" hidden="1" x14ac:dyDescent="0.25">
      <c r="A628" s="12">
        <v>6907</v>
      </c>
      <c r="B628" s="12">
        <v>1013856</v>
      </c>
      <c r="C628" s="12" t="s">
        <v>13</v>
      </c>
      <c r="D628" s="12" t="s">
        <v>14</v>
      </c>
      <c r="E628" s="14">
        <v>44701</v>
      </c>
      <c r="F628" s="12" t="s">
        <v>18</v>
      </c>
      <c r="G628" s="12" t="s">
        <v>20</v>
      </c>
      <c r="H628" s="12" t="s">
        <v>42</v>
      </c>
      <c r="I628" s="12">
        <v>230.00700000000001</v>
      </c>
      <c r="J628" s="12">
        <v>186</v>
      </c>
      <c r="K628" s="12">
        <v>4.0999999999999996</v>
      </c>
    </row>
    <row r="629" spans="1:12" ht="13.9" hidden="1" x14ac:dyDescent="0.25">
      <c r="A629" s="12">
        <v>6908</v>
      </c>
      <c r="B629" s="12">
        <v>1013926</v>
      </c>
      <c r="C629" s="12" t="s">
        <v>13</v>
      </c>
      <c r="D629" s="12" t="s">
        <v>14</v>
      </c>
      <c r="E629" s="14">
        <v>44702</v>
      </c>
      <c r="F629" s="12" t="s">
        <v>18</v>
      </c>
      <c r="G629" s="12" t="s">
        <v>20</v>
      </c>
      <c r="H629" s="12" t="s">
        <v>42</v>
      </c>
      <c r="I629" s="12">
        <v>230.006</v>
      </c>
      <c r="J629" s="12">
        <v>182.58500000000001</v>
      </c>
      <c r="K629" s="12">
        <v>4.9000000000000004</v>
      </c>
    </row>
    <row r="630" spans="1:12" ht="13.9" hidden="1" x14ac:dyDescent="0.25">
      <c r="A630" s="12">
        <v>6909</v>
      </c>
      <c r="B630" s="12">
        <v>1014025</v>
      </c>
      <c r="C630" s="12" t="s">
        <v>13</v>
      </c>
      <c r="D630" s="12" t="s">
        <v>14</v>
      </c>
      <c r="E630" s="14">
        <v>44703</v>
      </c>
      <c r="F630" s="12" t="s">
        <v>18</v>
      </c>
      <c r="G630" s="12" t="s">
        <v>19</v>
      </c>
      <c r="H630" s="12" t="s">
        <v>40</v>
      </c>
      <c r="I630" s="12">
        <v>230.04300000000001</v>
      </c>
      <c r="J630" s="12">
        <v>195.67400000000001</v>
      </c>
      <c r="K630" s="12">
        <v>4.5999999999999996</v>
      </c>
    </row>
    <row r="631" spans="1:12" ht="13.9" hidden="1" x14ac:dyDescent="0.25">
      <c r="A631" s="12">
        <v>6910</v>
      </c>
      <c r="B631" s="12">
        <v>1014128</v>
      </c>
      <c r="C631" s="12" t="s">
        <v>13</v>
      </c>
      <c r="D631" s="12" t="s">
        <v>14</v>
      </c>
      <c r="E631" s="14">
        <v>44704</v>
      </c>
      <c r="F631" s="12" t="s">
        <v>18</v>
      </c>
      <c r="G631" s="12" t="s">
        <v>19</v>
      </c>
      <c r="H631" s="12" t="s">
        <v>40</v>
      </c>
      <c r="I631" s="12">
        <v>230.04300000000001</v>
      </c>
      <c r="J631" s="12">
        <v>183.82300000000001</v>
      </c>
      <c r="K631" s="12">
        <v>4.2</v>
      </c>
    </row>
    <row r="632" spans="1:12" x14ac:dyDescent="0.25">
      <c r="A632" s="12">
        <v>6911</v>
      </c>
      <c r="B632" s="12">
        <v>1014129</v>
      </c>
      <c r="C632" s="12" t="s">
        <v>13</v>
      </c>
      <c r="D632" s="12" t="s">
        <v>14</v>
      </c>
      <c r="E632" s="14">
        <v>44705</v>
      </c>
      <c r="F632" s="12" t="s">
        <v>18</v>
      </c>
      <c r="G632" s="12" t="s">
        <v>19</v>
      </c>
      <c r="H632" s="12" t="s">
        <v>40</v>
      </c>
      <c r="I632" s="12">
        <v>230.01599999999999</v>
      </c>
      <c r="J632" s="12">
        <v>190.90799999999999</v>
      </c>
      <c r="K632" s="12">
        <v>4.2</v>
      </c>
      <c r="L632" s="12">
        <v>14</v>
      </c>
    </row>
    <row r="633" spans="1:12" ht="13.9" hidden="1" x14ac:dyDescent="0.25">
      <c r="A633" s="12">
        <v>6912</v>
      </c>
      <c r="B633" s="12">
        <v>1014133</v>
      </c>
      <c r="C633" s="12" t="s">
        <v>13</v>
      </c>
      <c r="D633" s="12" t="s">
        <v>14</v>
      </c>
      <c r="E633" s="14">
        <v>44706</v>
      </c>
      <c r="F633" s="12" t="s">
        <v>18</v>
      </c>
      <c r="G633" s="12" t="s">
        <v>19</v>
      </c>
      <c r="H633" s="12" t="s">
        <v>40</v>
      </c>
      <c r="I633" s="12">
        <v>230.00700000000001</v>
      </c>
      <c r="J633" s="12">
        <v>194.952</v>
      </c>
      <c r="K633" s="12">
        <v>3.8</v>
      </c>
    </row>
    <row r="634" spans="1:12" ht="13.9" hidden="1" x14ac:dyDescent="0.25">
      <c r="A634" s="12">
        <v>6913</v>
      </c>
      <c r="B634" s="12">
        <v>1014215</v>
      </c>
      <c r="C634" s="12" t="s">
        <v>13</v>
      </c>
      <c r="D634" s="12" t="s">
        <v>14</v>
      </c>
      <c r="E634" s="14">
        <v>44707</v>
      </c>
      <c r="F634" s="12" t="s">
        <v>18</v>
      </c>
      <c r="G634" s="12" t="s">
        <v>19</v>
      </c>
      <c r="H634" s="12" t="s">
        <v>40</v>
      </c>
      <c r="I634" s="12">
        <v>230.00800000000001</v>
      </c>
      <c r="J634" s="12">
        <v>186.101</v>
      </c>
      <c r="K634" s="12">
        <v>4.2</v>
      </c>
    </row>
    <row r="635" spans="1:12" ht="13.9" hidden="1" x14ac:dyDescent="0.25">
      <c r="A635" s="12">
        <v>6914</v>
      </c>
      <c r="B635" s="12">
        <v>1014315</v>
      </c>
      <c r="C635" s="12" t="s">
        <v>13</v>
      </c>
      <c r="D635" s="12" t="s">
        <v>14</v>
      </c>
      <c r="E635" s="14">
        <v>44708</v>
      </c>
      <c r="F635" s="12" t="s">
        <v>18</v>
      </c>
      <c r="G635" s="12" t="s">
        <v>19</v>
      </c>
      <c r="H635" s="12" t="s">
        <v>40</v>
      </c>
      <c r="I635" s="12">
        <v>229.99799999999999</v>
      </c>
      <c r="J635" s="12">
        <v>197.751</v>
      </c>
      <c r="K635" s="12">
        <v>4.5999999999999996</v>
      </c>
    </row>
    <row r="636" spans="1:12" ht="13.9" hidden="1" x14ac:dyDescent="0.25">
      <c r="A636" s="12">
        <v>6915</v>
      </c>
      <c r="B636" s="12">
        <v>1014361</v>
      </c>
      <c r="C636" s="12" t="s">
        <v>13</v>
      </c>
      <c r="D636" s="12" t="s">
        <v>14</v>
      </c>
      <c r="E636" s="14">
        <v>44709</v>
      </c>
      <c r="F636" s="12" t="s">
        <v>18</v>
      </c>
      <c r="G636" s="12" t="s">
        <v>19</v>
      </c>
      <c r="H636" s="12" t="s">
        <v>40</v>
      </c>
      <c r="I636" s="12">
        <v>229.97900000000001</v>
      </c>
      <c r="J636" s="12">
        <v>189.066</v>
      </c>
      <c r="K636" s="12">
        <v>3.5</v>
      </c>
    </row>
    <row r="637" spans="1:12" x14ac:dyDescent="0.25">
      <c r="A637" s="12">
        <v>6916</v>
      </c>
      <c r="B637" s="12">
        <v>1014488</v>
      </c>
      <c r="C637" s="12" t="s">
        <v>13</v>
      </c>
      <c r="D637" s="12" t="s">
        <v>14</v>
      </c>
      <c r="E637" s="14">
        <v>44710</v>
      </c>
      <c r="F637" s="12" t="s">
        <v>18</v>
      </c>
      <c r="G637" s="12" t="s">
        <v>19</v>
      </c>
      <c r="H637" s="12" t="s">
        <v>40</v>
      </c>
      <c r="I637" s="12">
        <v>230.005</v>
      </c>
      <c r="J637" s="12">
        <v>194.11</v>
      </c>
      <c r="K637" s="12">
        <v>4.5999999999999996</v>
      </c>
      <c r="L637" s="12">
        <v>13.9</v>
      </c>
    </row>
    <row r="638" spans="1:12" ht="13.9" hidden="1" x14ac:dyDescent="0.25">
      <c r="A638" s="12">
        <v>6917</v>
      </c>
      <c r="B638" s="12">
        <v>1014562</v>
      </c>
      <c r="C638" s="12" t="s">
        <v>13</v>
      </c>
      <c r="D638" s="12" t="s">
        <v>14</v>
      </c>
      <c r="E638" s="14">
        <v>44711</v>
      </c>
      <c r="F638" s="12" t="s">
        <v>18</v>
      </c>
      <c r="G638" s="12" t="s">
        <v>19</v>
      </c>
      <c r="H638" s="12" t="s">
        <v>40</v>
      </c>
      <c r="I638" s="12">
        <v>230.001</v>
      </c>
      <c r="J638" s="12">
        <v>192.86199999999999</v>
      </c>
      <c r="K638" s="12">
        <v>3.8</v>
      </c>
    </row>
    <row r="639" spans="1:12" ht="13.9" hidden="1" x14ac:dyDescent="0.25">
      <c r="A639" s="12">
        <v>6918</v>
      </c>
      <c r="B639" s="12">
        <v>1014563</v>
      </c>
      <c r="C639" s="12" t="s">
        <v>13</v>
      </c>
      <c r="D639" s="12" t="s">
        <v>14</v>
      </c>
      <c r="E639" s="14">
        <v>44712</v>
      </c>
      <c r="F639" s="12" t="s">
        <v>18</v>
      </c>
      <c r="G639" s="12" t="s">
        <v>19</v>
      </c>
      <c r="H639" s="12" t="s">
        <v>40</v>
      </c>
      <c r="I639" s="12">
        <v>230.001</v>
      </c>
      <c r="J639" s="12">
        <v>193.898</v>
      </c>
      <c r="K639" s="12">
        <v>4.3</v>
      </c>
    </row>
    <row r="640" spans="1:12" ht="13.9" hidden="1" x14ac:dyDescent="0.25">
      <c r="A640" s="12">
        <v>6919</v>
      </c>
      <c r="B640" s="12">
        <v>1014566</v>
      </c>
      <c r="C640" s="12" t="s">
        <v>13</v>
      </c>
      <c r="D640" s="12" t="s">
        <v>14</v>
      </c>
      <c r="E640" s="14">
        <v>44713</v>
      </c>
      <c r="F640" s="12" t="s">
        <v>18</v>
      </c>
      <c r="G640" s="12" t="s">
        <v>20</v>
      </c>
      <c r="H640" s="12" t="s">
        <v>42</v>
      </c>
      <c r="I640" s="12">
        <v>230.001</v>
      </c>
      <c r="J640" s="12">
        <v>190.95099999999999</v>
      </c>
      <c r="K640" s="12">
        <v>4</v>
      </c>
    </row>
    <row r="641" spans="1:12" ht="13.9" hidden="1" x14ac:dyDescent="0.25">
      <c r="A641" s="12">
        <v>6920</v>
      </c>
      <c r="B641" s="12">
        <v>1014667</v>
      </c>
      <c r="C641" s="12" t="s">
        <v>13</v>
      </c>
      <c r="D641" s="12" t="s">
        <v>14</v>
      </c>
      <c r="E641" s="14">
        <v>44714</v>
      </c>
      <c r="F641" s="12" t="s">
        <v>18</v>
      </c>
      <c r="G641" s="12" t="s">
        <v>20</v>
      </c>
      <c r="H641" s="12" t="s">
        <v>42</v>
      </c>
      <c r="I641" s="12">
        <v>230</v>
      </c>
      <c r="J641" s="12">
        <v>193.251</v>
      </c>
      <c r="K641" s="12">
        <v>4</v>
      </c>
    </row>
    <row r="642" spans="1:12" ht="13.9" hidden="1" x14ac:dyDescent="0.25">
      <c r="A642" s="12">
        <v>6921</v>
      </c>
      <c r="B642" s="12">
        <v>1014729</v>
      </c>
      <c r="C642" s="12" t="s">
        <v>13</v>
      </c>
      <c r="D642" s="12" t="s">
        <v>14</v>
      </c>
      <c r="E642" s="14">
        <v>44715</v>
      </c>
      <c r="F642" s="12" t="s">
        <v>18</v>
      </c>
      <c r="G642" s="12" t="s">
        <v>20</v>
      </c>
      <c r="H642" s="12" t="s">
        <v>42</v>
      </c>
      <c r="I642" s="12">
        <v>230.00200000000001</v>
      </c>
      <c r="J642" s="12">
        <v>197.82300000000001</v>
      </c>
      <c r="K642" s="12">
        <v>4.7</v>
      </c>
    </row>
    <row r="643" spans="1:12" ht="13.9" hidden="1" x14ac:dyDescent="0.25">
      <c r="A643" s="12">
        <v>6922</v>
      </c>
      <c r="B643" s="12">
        <v>1014800</v>
      </c>
      <c r="C643" s="12" t="s">
        <v>13</v>
      </c>
      <c r="D643" s="12" t="s">
        <v>14</v>
      </c>
      <c r="E643" s="14">
        <v>44716</v>
      </c>
      <c r="F643" s="12" t="s">
        <v>18</v>
      </c>
      <c r="G643" s="12" t="s">
        <v>20</v>
      </c>
      <c r="H643" s="12" t="s">
        <v>42</v>
      </c>
      <c r="I643" s="12">
        <v>230.00200000000001</v>
      </c>
      <c r="J643" s="12">
        <v>193.43799999999999</v>
      </c>
      <c r="K643" s="12">
        <v>5</v>
      </c>
    </row>
    <row r="644" spans="1:12" x14ac:dyDescent="0.25">
      <c r="A644" s="12">
        <v>6923</v>
      </c>
      <c r="B644" s="12">
        <v>1014808</v>
      </c>
      <c r="C644" s="12" t="s">
        <v>13</v>
      </c>
      <c r="D644" s="12" t="s">
        <v>14</v>
      </c>
      <c r="E644" s="14">
        <v>44717</v>
      </c>
      <c r="F644" s="12" t="s">
        <v>18</v>
      </c>
      <c r="G644" s="12" t="s">
        <v>19</v>
      </c>
      <c r="H644" s="12" t="s">
        <v>40</v>
      </c>
      <c r="I644" s="12">
        <v>230.001</v>
      </c>
      <c r="J644" s="12">
        <v>194.32900000000001</v>
      </c>
      <c r="K644" s="12">
        <v>4.0999999999999996</v>
      </c>
      <c r="L644" s="12">
        <v>14</v>
      </c>
    </row>
    <row r="645" spans="1:12" ht="13.9" hidden="1" x14ac:dyDescent="0.25">
      <c r="A645" s="12">
        <v>6924</v>
      </c>
      <c r="B645" s="12">
        <v>1014896</v>
      </c>
      <c r="C645" s="12" t="s">
        <v>13</v>
      </c>
      <c r="D645" s="12" t="s">
        <v>14</v>
      </c>
      <c r="E645" s="14">
        <v>44718</v>
      </c>
      <c r="F645" s="12" t="s">
        <v>18</v>
      </c>
      <c r="G645" s="12" t="s">
        <v>19</v>
      </c>
      <c r="H645" s="12" t="s">
        <v>40</v>
      </c>
      <c r="I645" s="12">
        <v>230</v>
      </c>
      <c r="J645" s="12">
        <v>196.41800000000001</v>
      </c>
      <c r="K645" s="12">
        <v>5.5</v>
      </c>
    </row>
    <row r="646" spans="1:12" ht="13.9" hidden="1" x14ac:dyDescent="0.25">
      <c r="A646" s="12">
        <v>6925</v>
      </c>
      <c r="B646" s="12">
        <v>1014900</v>
      </c>
      <c r="C646" s="12" t="s">
        <v>13</v>
      </c>
      <c r="D646" s="12" t="s">
        <v>14</v>
      </c>
      <c r="E646" s="14">
        <v>44719</v>
      </c>
      <c r="F646" s="12" t="s">
        <v>18</v>
      </c>
      <c r="G646" s="12" t="s">
        <v>19</v>
      </c>
      <c r="H646" s="12" t="s">
        <v>40</v>
      </c>
      <c r="I646" s="12">
        <v>230</v>
      </c>
      <c r="J646" s="12">
        <v>186.06399999999999</v>
      </c>
      <c r="K646" s="12">
        <v>3.8</v>
      </c>
    </row>
    <row r="647" spans="1:12" ht="13.9" hidden="1" x14ac:dyDescent="0.25">
      <c r="A647" s="12">
        <v>6926</v>
      </c>
      <c r="B647" s="12">
        <v>1014903</v>
      </c>
      <c r="C647" s="12" t="s">
        <v>13</v>
      </c>
      <c r="D647" s="12" t="s">
        <v>14</v>
      </c>
      <c r="E647" s="14">
        <v>44720</v>
      </c>
      <c r="F647" s="12" t="s">
        <v>18</v>
      </c>
      <c r="G647" s="12" t="s">
        <v>19</v>
      </c>
      <c r="H647" s="12" t="s">
        <v>40</v>
      </c>
      <c r="I647" s="12">
        <v>230.00700000000001</v>
      </c>
      <c r="J647" s="12">
        <v>195.18899999999999</v>
      </c>
      <c r="K647" s="12">
        <v>4.5</v>
      </c>
    </row>
    <row r="648" spans="1:12" ht="13.9" hidden="1" x14ac:dyDescent="0.25">
      <c r="A648" s="12">
        <v>6927</v>
      </c>
      <c r="B648" s="12">
        <v>1015029</v>
      </c>
      <c r="C648" s="12" t="s">
        <v>13</v>
      </c>
      <c r="D648" s="12" t="s">
        <v>14</v>
      </c>
      <c r="E648" s="14">
        <v>44721</v>
      </c>
      <c r="F648" s="12" t="s">
        <v>18</v>
      </c>
      <c r="G648" s="12" t="s">
        <v>19</v>
      </c>
      <c r="H648" s="12" t="s">
        <v>40</v>
      </c>
      <c r="I648" s="12">
        <v>230.00700000000001</v>
      </c>
      <c r="J648" s="12">
        <v>187.36</v>
      </c>
      <c r="K648" s="12">
        <v>3.8</v>
      </c>
    </row>
    <row r="649" spans="1:12" x14ac:dyDescent="0.25">
      <c r="A649" s="12">
        <v>6928</v>
      </c>
      <c r="B649" s="12">
        <v>1015139</v>
      </c>
      <c r="C649" s="12" t="s">
        <v>13</v>
      </c>
      <c r="D649" s="12" t="s">
        <v>14</v>
      </c>
      <c r="E649" s="14">
        <v>44722</v>
      </c>
      <c r="F649" s="12" t="s">
        <v>38</v>
      </c>
      <c r="G649" s="12" t="s">
        <v>19</v>
      </c>
      <c r="H649" s="12" t="s">
        <v>40</v>
      </c>
      <c r="I649" s="12">
        <v>230.00899999999999</v>
      </c>
      <c r="J649" s="12">
        <v>189.22300000000001</v>
      </c>
      <c r="K649" s="12">
        <v>4</v>
      </c>
      <c r="L649" s="12">
        <v>14.3</v>
      </c>
    </row>
    <row r="650" spans="1:12" ht="13.9" hidden="1" x14ac:dyDescent="0.25">
      <c r="A650" s="12">
        <v>6929</v>
      </c>
      <c r="B650" s="12">
        <v>1015228</v>
      </c>
      <c r="C650" s="12" t="s">
        <v>13</v>
      </c>
      <c r="D650" s="12" t="s">
        <v>14</v>
      </c>
      <c r="E650" s="14">
        <v>44723</v>
      </c>
      <c r="F650" s="12" t="s">
        <v>38</v>
      </c>
      <c r="G650" s="12" t="s">
        <v>19</v>
      </c>
      <c r="H650" s="12" t="s">
        <v>40</v>
      </c>
      <c r="I650" s="12">
        <v>230.00899999999999</v>
      </c>
      <c r="J650" s="12">
        <v>196.68600000000001</v>
      </c>
      <c r="K650" s="12">
        <v>4</v>
      </c>
    </row>
    <row r="651" spans="1:12" ht="13.9" hidden="1" x14ac:dyDescent="0.25">
      <c r="A651" s="12">
        <v>6930</v>
      </c>
      <c r="B651" s="12">
        <v>1015307</v>
      </c>
      <c r="C651" s="12" t="s">
        <v>13</v>
      </c>
      <c r="D651" s="12" t="s">
        <v>14</v>
      </c>
      <c r="E651" s="14">
        <v>44724</v>
      </c>
      <c r="F651" s="12" t="s">
        <v>38</v>
      </c>
      <c r="G651" s="12" t="s">
        <v>19</v>
      </c>
      <c r="H651" s="12" t="s">
        <v>40</v>
      </c>
      <c r="I651" s="12">
        <v>230.00800000000001</v>
      </c>
      <c r="J651" s="12">
        <v>183.25</v>
      </c>
      <c r="K651" s="12">
        <v>4.3</v>
      </c>
    </row>
    <row r="652" spans="1:12" ht="13.9" hidden="1" x14ac:dyDescent="0.25">
      <c r="A652" s="12">
        <v>6931</v>
      </c>
      <c r="B652" s="12">
        <v>1015361</v>
      </c>
      <c r="C652" s="12" t="s">
        <v>13</v>
      </c>
      <c r="D652" s="12" t="s">
        <v>14</v>
      </c>
      <c r="E652" s="14">
        <v>44725</v>
      </c>
      <c r="F652" s="12" t="s">
        <v>38</v>
      </c>
      <c r="G652" s="12" t="s">
        <v>19</v>
      </c>
      <c r="H652" s="12" t="s">
        <v>40</v>
      </c>
      <c r="I652" s="12">
        <v>230.006</v>
      </c>
      <c r="J652" s="12">
        <v>185.93299999999999</v>
      </c>
      <c r="K652" s="12">
        <v>3.8</v>
      </c>
    </row>
    <row r="653" spans="1:12" ht="13.9" hidden="1" x14ac:dyDescent="0.25">
      <c r="A653" s="12">
        <v>6932</v>
      </c>
      <c r="B653" s="12">
        <v>1015362</v>
      </c>
      <c r="C653" s="12" t="s">
        <v>13</v>
      </c>
      <c r="D653" s="12" t="s">
        <v>14</v>
      </c>
      <c r="E653" s="14">
        <v>44726</v>
      </c>
      <c r="F653" s="12" t="s">
        <v>38</v>
      </c>
      <c r="G653" s="12" t="s">
        <v>19</v>
      </c>
      <c r="H653" s="12" t="s">
        <v>40</v>
      </c>
      <c r="I653" s="12">
        <v>230.00700000000001</v>
      </c>
      <c r="J653" s="12">
        <v>188.73</v>
      </c>
      <c r="K653" s="12">
        <v>3.8</v>
      </c>
    </row>
    <row r="654" spans="1:12" ht="13.9" hidden="1" x14ac:dyDescent="0.25">
      <c r="A654" s="12">
        <v>6933</v>
      </c>
      <c r="B654" s="20">
        <v>1015364</v>
      </c>
      <c r="C654" s="12" t="s">
        <v>13</v>
      </c>
      <c r="D654" s="12" t="s">
        <v>14</v>
      </c>
      <c r="E654" s="14">
        <v>44727</v>
      </c>
      <c r="F654" s="12" t="s">
        <v>51</v>
      </c>
      <c r="G654" s="12" t="s">
        <v>19</v>
      </c>
      <c r="H654" s="12" t="s">
        <v>35</v>
      </c>
      <c r="I654" s="12">
        <v>230.01</v>
      </c>
      <c r="J654" s="12">
        <v>189.64599999999999</v>
      </c>
    </row>
    <row r="655" spans="1:12" ht="13.9" hidden="1" x14ac:dyDescent="0.25">
      <c r="A655" s="12">
        <v>6934</v>
      </c>
      <c r="B655" s="20">
        <v>1015451</v>
      </c>
      <c r="C655" s="12" t="s">
        <v>13</v>
      </c>
      <c r="D655" s="12" t="s">
        <v>14</v>
      </c>
      <c r="E655" s="14">
        <v>44728</v>
      </c>
      <c r="F655" s="12" t="s">
        <v>51</v>
      </c>
      <c r="G655" s="12" t="s">
        <v>19</v>
      </c>
      <c r="H655" s="12" t="s">
        <v>35</v>
      </c>
      <c r="I655" s="12">
        <v>230.01</v>
      </c>
      <c r="J655" s="12">
        <v>193.90899999999999</v>
      </c>
    </row>
    <row r="656" spans="1:12" ht="13.9" hidden="1" x14ac:dyDescent="0.25">
      <c r="A656" s="12">
        <v>6935</v>
      </c>
      <c r="B656" s="12">
        <v>1015585</v>
      </c>
      <c r="C656" s="12" t="s">
        <v>13</v>
      </c>
      <c r="D656" s="12" t="s">
        <v>14</v>
      </c>
      <c r="E656" s="14">
        <v>44729</v>
      </c>
      <c r="F656" s="12" t="s">
        <v>51</v>
      </c>
      <c r="G656" s="12" t="s">
        <v>19</v>
      </c>
      <c r="H656" s="12" t="s">
        <v>41</v>
      </c>
      <c r="I656" s="12">
        <v>229.988</v>
      </c>
      <c r="J656" s="12">
        <v>195.232</v>
      </c>
      <c r="K656" s="12">
        <v>3.8</v>
      </c>
    </row>
    <row r="657" spans="1:12" ht="13.9" hidden="1" x14ac:dyDescent="0.25">
      <c r="A657" s="12">
        <v>6936</v>
      </c>
      <c r="B657" s="12">
        <v>1015626</v>
      </c>
      <c r="C657" s="12" t="s">
        <v>13</v>
      </c>
      <c r="D657" s="12" t="s">
        <v>14</v>
      </c>
      <c r="E657" s="14">
        <v>44730</v>
      </c>
      <c r="F657" s="12" t="s">
        <v>51</v>
      </c>
      <c r="G657" s="12" t="s">
        <v>19</v>
      </c>
      <c r="H657" s="12" t="s">
        <v>41</v>
      </c>
      <c r="I657" s="12">
        <v>229.989</v>
      </c>
      <c r="J657" s="12">
        <v>189.75</v>
      </c>
      <c r="K657" s="12">
        <v>4.4000000000000004</v>
      </c>
    </row>
    <row r="658" spans="1:12" x14ac:dyDescent="0.25">
      <c r="A658" s="12">
        <v>6937</v>
      </c>
      <c r="B658" s="12">
        <v>1015706</v>
      </c>
      <c r="C658" s="12" t="s">
        <v>13</v>
      </c>
      <c r="D658" s="12" t="s">
        <v>14</v>
      </c>
      <c r="E658" s="14">
        <v>44731</v>
      </c>
      <c r="F658" s="12" t="s">
        <v>18</v>
      </c>
      <c r="G658" s="12" t="s">
        <v>19</v>
      </c>
      <c r="H658" s="12" t="s">
        <v>40</v>
      </c>
      <c r="I658" s="12">
        <v>230.00200000000001</v>
      </c>
      <c r="J658" s="12">
        <v>188.15</v>
      </c>
      <c r="K658" s="12">
        <v>3.5</v>
      </c>
      <c r="L658" s="12">
        <v>13.9</v>
      </c>
    </row>
    <row r="659" spans="1:12" ht="13.9" hidden="1" x14ac:dyDescent="0.25">
      <c r="A659" s="12">
        <v>6938</v>
      </c>
      <c r="B659" s="12">
        <v>1015814</v>
      </c>
      <c r="C659" s="12" t="s">
        <v>13</v>
      </c>
      <c r="D659" s="12" t="s">
        <v>14</v>
      </c>
      <c r="E659" s="14">
        <v>44732</v>
      </c>
      <c r="F659" s="12" t="s">
        <v>18</v>
      </c>
      <c r="G659" s="12" t="s">
        <v>19</v>
      </c>
      <c r="H659" s="12" t="s">
        <v>40</v>
      </c>
      <c r="I659" s="12">
        <v>230.005</v>
      </c>
      <c r="J659" s="12">
        <v>193.41</v>
      </c>
      <c r="K659" s="12">
        <v>4.4000000000000004</v>
      </c>
    </row>
    <row r="660" spans="1:12" ht="13.9" hidden="1" x14ac:dyDescent="0.25">
      <c r="A660" s="12">
        <v>6939</v>
      </c>
      <c r="B660" s="12">
        <v>1015816</v>
      </c>
      <c r="C660" s="12" t="s">
        <v>13</v>
      </c>
      <c r="D660" s="12" t="s">
        <v>14</v>
      </c>
      <c r="E660" s="14">
        <v>44733</v>
      </c>
      <c r="F660" s="12" t="s">
        <v>18</v>
      </c>
      <c r="G660" s="12" t="s">
        <v>19</v>
      </c>
      <c r="H660" s="12" t="s">
        <v>40</v>
      </c>
      <c r="I660" s="12">
        <v>230.006</v>
      </c>
      <c r="J660" s="12">
        <v>180.34800000000001</v>
      </c>
      <c r="K660" s="12">
        <v>3.6</v>
      </c>
    </row>
    <row r="661" spans="1:12" ht="13.9" hidden="1" x14ac:dyDescent="0.25">
      <c r="A661" s="12">
        <v>6940</v>
      </c>
      <c r="B661" s="12">
        <v>1015819</v>
      </c>
      <c r="C661" s="12" t="s">
        <v>13</v>
      </c>
      <c r="D661" s="12" t="s">
        <v>14</v>
      </c>
      <c r="E661" s="14">
        <v>44734</v>
      </c>
      <c r="F661" s="12" t="s">
        <v>18</v>
      </c>
      <c r="G661" s="12" t="s">
        <v>19</v>
      </c>
      <c r="H661" s="12" t="s">
        <v>40</v>
      </c>
      <c r="I661" s="12">
        <v>230.00399999999999</v>
      </c>
      <c r="J661" s="12">
        <v>191.47300000000001</v>
      </c>
      <c r="K661" s="12">
        <v>4.2</v>
      </c>
    </row>
    <row r="662" spans="1:12" ht="13.9" hidden="1" x14ac:dyDescent="0.25">
      <c r="A662" s="12">
        <v>6941</v>
      </c>
      <c r="B662" s="12">
        <v>1015928</v>
      </c>
      <c r="C662" s="12" t="s">
        <v>13</v>
      </c>
      <c r="D662" s="12" t="s">
        <v>14</v>
      </c>
      <c r="E662" s="14">
        <v>44735</v>
      </c>
      <c r="F662" s="12" t="s">
        <v>18</v>
      </c>
      <c r="G662" s="12" t="s">
        <v>19</v>
      </c>
      <c r="H662" s="12" t="s">
        <v>40</v>
      </c>
      <c r="I662" s="12">
        <v>230.005</v>
      </c>
      <c r="J662" s="12">
        <v>183.68199999999999</v>
      </c>
      <c r="K662" s="12">
        <v>4.0999999999999996</v>
      </c>
    </row>
    <row r="663" spans="1:12" x14ac:dyDescent="0.25">
      <c r="A663" s="12">
        <v>6942</v>
      </c>
      <c r="B663" s="12">
        <v>1016009</v>
      </c>
      <c r="C663" s="12" t="s">
        <v>13</v>
      </c>
      <c r="D663" s="12" t="s">
        <v>14</v>
      </c>
      <c r="E663" s="14">
        <v>44736</v>
      </c>
      <c r="F663" s="12" t="s">
        <v>36</v>
      </c>
      <c r="G663" s="12" t="s">
        <v>20</v>
      </c>
      <c r="H663" s="12" t="s">
        <v>42</v>
      </c>
      <c r="I663" s="12">
        <v>230</v>
      </c>
      <c r="J663" s="12">
        <v>183.75800000000001</v>
      </c>
      <c r="K663" s="12">
        <v>4.8</v>
      </c>
      <c r="L663" s="12">
        <v>13.6</v>
      </c>
    </row>
    <row r="664" spans="1:12" ht="13.9" hidden="1" x14ac:dyDescent="0.25">
      <c r="A664" s="12">
        <v>6943</v>
      </c>
      <c r="B664" s="12">
        <v>1016067</v>
      </c>
      <c r="C664" s="12" t="s">
        <v>13</v>
      </c>
      <c r="D664" s="12" t="s">
        <v>14</v>
      </c>
      <c r="E664" s="14">
        <v>44737</v>
      </c>
      <c r="F664" s="12" t="s">
        <v>36</v>
      </c>
      <c r="G664" s="12" t="s">
        <v>20</v>
      </c>
      <c r="H664" s="12" t="s">
        <v>42</v>
      </c>
      <c r="I664" s="12">
        <v>230</v>
      </c>
      <c r="J664" s="12">
        <v>181.05199999999999</v>
      </c>
      <c r="K664" s="12">
        <v>4</v>
      </c>
    </row>
    <row r="665" spans="1:12" ht="13.9" hidden="1" x14ac:dyDescent="0.25">
      <c r="A665" s="12">
        <v>6944</v>
      </c>
      <c r="B665" s="12">
        <v>1016163</v>
      </c>
      <c r="C665" s="12" t="s">
        <v>13</v>
      </c>
      <c r="D665" s="12" t="s">
        <v>14</v>
      </c>
      <c r="E665" s="14">
        <v>44738</v>
      </c>
      <c r="F665" s="12" t="s">
        <v>18</v>
      </c>
      <c r="G665" s="12" t="s">
        <v>19</v>
      </c>
      <c r="H665" s="12" t="s">
        <v>40</v>
      </c>
      <c r="I665" s="12">
        <v>230.01400000000001</v>
      </c>
      <c r="J665" s="12">
        <v>190.31399999999999</v>
      </c>
      <c r="K665" s="12">
        <v>4.2</v>
      </c>
    </row>
    <row r="666" spans="1:12" ht="13.9" hidden="1" x14ac:dyDescent="0.25">
      <c r="A666" s="12">
        <v>6945</v>
      </c>
      <c r="B666" s="12">
        <v>1016234</v>
      </c>
      <c r="C666" s="12" t="s">
        <v>13</v>
      </c>
      <c r="D666" s="12" t="s">
        <v>14</v>
      </c>
      <c r="E666" s="14">
        <v>44739</v>
      </c>
      <c r="F666" s="12" t="s">
        <v>18</v>
      </c>
      <c r="G666" s="12" t="s">
        <v>19</v>
      </c>
      <c r="H666" s="12" t="s">
        <v>40</v>
      </c>
      <c r="I666" s="12">
        <v>230.00899999999999</v>
      </c>
      <c r="J666" s="12">
        <v>187.55500000000001</v>
      </c>
      <c r="K666" s="12">
        <v>4.2</v>
      </c>
    </row>
    <row r="667" spans="1:12" ht="13.9" hidden="1" x14ac:dyDescent="0.25">
      <c r="A667" s="12">
        <v>6946</v>
      </c>
      <c r="B667" s="12">
        <v>1016236</v>
      </c>
      <c r="C667" s="12" t="s">
        <v>13</v>
      </c>
      <c r="D667" s="12" t="s">
        <v>14</v>
      </c>
      <c r="E667" s="14">
        <v>44740</v>
      </c>
      <c r="F667" s="12" t="s">
        <v>18</v>
      </c>
      <c r="G667" s="12" t="s">
        <v>19</v>
      </c>
      <c r="H667" s="12" t="s">
        <v>40</v>
      </c>
      <c r="I667" s="12">
        <v>230.00899999999999</v>
      </c>
      <c r="J667" s="12">
        <v>186.113</v>
      </c>
      <c r="K667" s="12">
        <v>4.9000000000000004</v>
      </c>
    </row>
    <row r="668" spans="1:12" ht="13.9" hidden="1" x14ac:dyDescent="0.25">
      <c r="A668" s="12">
        <v>6947</v>
      </c>
      <c r="B668" s="12">
        <v>1016238</v>
      </c>
      <c r="C668" s="12" t="s">
        <v>13</v>
      </c>
      <c r="D668" s="12" t="s">
        <v>14</v>
      </c>
      <c r="E668" s="14">
        <v>44741</v>
      </c>
      <c r="F668" s="12" t="s">
        <v>18</v>
      </c>
      <c r="G668" s="12" t="s">
        <v>19</v>
      </c>
      <c r="H668" s="12" t="s">
        <v>40</v>
      </c>
      <c r="I668" s="12">
        <v>230.00299999999999</v>
      </c>
      <c r="J668" s="12">
        <v>190.416</v>
      </c>
      <c r="K668" s="12">
        <v>4.5999999999999996</v>
      </c>
    </row>
    <row r="669" spans="1:12" ht="13.9" hidden="1" x14ac:dyDescent="0.25">
      <c r="A669" s="12">
        <v>6948</v>
      </c>
      <c r="B669" s="12">
        <v>1016340</v>
      </c>
      <c r="C669" s="12" t="s">
        <v>13</v>
      </c>
      <c r="D669" s="12" t="s">
        <v>14</v>
      </c>
      <c r="E669" s="14">
        <v>44742</v>
      </c>
      <c r="F669" s="12" t="s">
        <v>18</v>
      </c>
      <c r="G669" s="12" t="s">
        <v>19</v>
      </c>
      <c r="H669" s="12" t="s">
        <v>40</v>
      </c>
      <c r="I669" s="12">
        <v>230.00200000000001</v>
      </c>
      <c r="J669" s="12">
        <v>183.14</v>
      </c>
      <c r="K669" s="12">
        <v>4.4000000000000004</v>
      </c>
    </row>
    <row r="670" spans="1:12" ht="13.9" hidden="1" x14ac:dyDescent="0.25">
      <c r="A670" s="12">
        <v>6949</v>
      </c>
      <c r="B670" s="20">
        <v>1016413</v>
      </c>
      <c r="C670" s="12" t="s">
        <v>13</v>
      </c>
      <c r="D670" s="12" t="s">
        <v>14</v>
      </c>
      <c r="E670" s="14">
        <v>44743</v>
      </c>
      <c r="F670" s="12" t="s">
        <v>51</v>
      </c>
      <c r="G670" s="12" t="s">
        <v>19</v>
      </c>
      <c r="H670" s="12" t="s">
        <v>35</v>
      </c>
      <c r="I670" s="12">
        <v>230.00299999999999</v>
      </c>
      <c r="J670" s="12">
        <v>194.715</v>
      </c>
    </row>
    <row r="671" spans="1:12" ht="13.9" hidden="1" x14ac:dyDescent="0.25">
      <c r="A671" s="12">
        <v>6950</v>
      </c>
      <c r="B671" s="20">
        <v>1016536</v>
      </c>
      <c r="C671" s="12" t="s">
        <v>13</v>
      </c>
      <c r="D671" s="12" t="s">
        <v>14</v>
      </c>
      <c r="E671" s="14">
        <v>44744</v>
      </c>
      <c r="F671" s="12" t="s">
        <v>51</v>
      </c>
      <c r="G671" s="12" t="s">
        <v>19</v>
      </c>
      <c r="H671" s="12" t="s">
        <v>35</v>
      </c>
      <c r="I671" s="12">
        <v>230.00200000000001</v>
      </c>
      <c r="J671" s="12">
        <v>186.31</v>
      </c>
    </row>
    <row r="672" spans="1:12" ht="13.9" hidden="1" x14ac:dyDescent="0.25">
      <c r="A672" s="12">
        <v>6951</v>
      </c>
      <c r="B672" s="20">
        <v>1016613</v>
      </c>
      <c r="C672" s="12" t="s">
        <v>13</v>
      </c>
      <c r="D672" s="12" t="s">
        <v>14</v>
      </c>
      <c r="E672" s="14">
        <v>44745</v>
      </c>
      <c r="F672" s="12" t="s">
        <v>51</v>
      </c>
      <c r="G672" s="12" t="s">
        <v>19</v>
      </c>
      <c r="H672" s="12" t="s">
        <v>35</v>
      </c>
      <c r="I672" s="12">
        <v>230.005</v>
      </c>
      <c r="J672" s="12">
        <v>194.90299999999999</v>
      </c>
    </row>
    <row r="673" spans="1:12" ht="13.9" hidden="1" x14ac:dyDescent="0.25">
      <c r="A673" s="12">
        <v>6952</v>
      </c>
      <c r="B673" s="20">
        <v>1016670</v>
      </c>
      <c r="C673" s="12" t="s">
        <v>13</v>
      </c>
      <c r="D673" s="12" t="s">
        <v>14</v>
      </c>
      <c r="E673" s="14">
        <v>44746</v>
      </c>
      <c r="F673" s="12" t="s">
        <v>51</v>
      </c>
      <c r="G673" s="12" t="s">
        <v>19</v>
      </c>
      <c r="H673" s="12" t="s">
        <v>35</v>
      </c>
      <c r="I673" s="12">
        <v>230.006</v>
      </c>
      <c r="J673" s="12">
        <v>186.68100000000001</v>
      </c>
    </row>
    <row r="674" spans="1:12" x14ac:dyDescent="0.25">
      <c r="A674" s="12">
        <v>6953</v>
      </c>
      <c r="B674" s="12">
        <v>1016672</v>
      </c>
      <c r="C674" s="12" t="s">
        <v>13</v>
      </c>
      <c r="D674" s="12" t="s">
        <v>14</v>
      </c>
      <c r="E674" s="14">
        <v>44747</v>
      </c>
      <c r="F674" s="12" t="s">
        <v>18</v>
      </c>
      <c r="G674" s="12" t="s">
        <v>19</v>
      </c>
      <c r="H674" s="12" t="s">
        <v>40</v>
      </c>
      <c r="I674" s="12">
        <v>230.00200000000001</v>
      </c>
      <c r="J674" s="12">
        <v>186.6</v>
      </c>
      <c r="K674" s="12">
        <v>3.6</v>
      </c>
      <c r="L674" s="12">
        <v>14.2</v>
      </c>
    </row>
    <row r="675" spans="1:12" ht="13.9" hidden="1" x14ac:dyDescent="0.25">
      <c r="A675" s="12">
        <v>6954</v>
      </c>
      <c r="B675" s="12">
        <v>1016701</v>
      </c>
      <c r="C675" s="12" t="s">
        <v>13</v>
      </c>
      <c r="D675" s="12" t="s">
        <v>14</v>
      </c>
      <c r="E675" s="14">
        <v>44748</v>
      </c>
      <c r="F675" s="12" t="s">
        <v>18</v>
      </c>
      <c r="G675" s="12" t="s">
        <v>19</v>
      </c>
      <c r="H675" s="12" t="s">
        <v>40</v>
      </c>
      <c r="I675" s="12">
        <v>230.00299999999999</v>
      </c>
      <c r="J675" s="12">
        <v>195.17400000000001</v>
      </c>
      <c r="K675" s="12">
        <v>5</v>
      </c>
    </row>
    <row r="676" spans="1:12" ht="13.9" hidden="1" x14ac:dyDescent="0.25">
      <c r="A676" s="12">
        <v>6955</v>
      </c>
      <c r="B676" s="12">
        <v>1016795</v>
      </c>
      <c r="C676" s="12" t="s">
        <v>13</v>
      </c>
      <c r="D676" s="12" t="s">
        <v>14</v>
      </c>
      <c r="E676" s="14">
        <v>44749</v>
      </c>
      <c r="F676" s="12" t="s">
        <v>18</v>
      </c>
      <c r="G676" s="12" t="s">
        <v>19</v>
      </c>
      <c r="H676" s="12" t="s">
        <v>40</v>
      </c>
      <c r="I676" s="12">
        <v>230.00299999999999</v>
      </c>
      <c r="J676" s="12">
        <v>186.39599999999999</v>
      </c>
      <c r="K676" s="12">
        <v>4.0999999999999996</v>
      </c>
    </row>
    <row r="677" spans="1:12" ht="13.9" hidden="1" x14ac:dyDescent="0.25">
      <c r="A677" s="12">
        <v>6956</v>
      </c>
      <c r="B677" s="12">
        <v>1016895</v>
      </c>
      <c r="C677" s="12" t="s">
        <v>13</v>
      </c>
      <c r="D677" s="12" t="s">
        <v>14</v>
      </c>
      <c r="E677" s="14">
        <v>44750</v>
      </c>
      <c r="F677" s="12" t="s">
        <v>18</v>
      </c>
      <c r="G677" s="12" t="s">
        <v>19</v>
      </c>
      <c r="H677" s="12" t="s">
        <v>40</v>
      </c>
      <c r="I677" s="12">
        <v>229.994</v>
      </c>
      <c r="J677" s="12">
        <v>185.435</v>
      </c>
      <c r="K677" s="12">
        <v>4.5999999999999996</v>
      </c>
    </row>
    <row r="678" spans="1:12" ht="13.9" hidden="1" x14ac:dyDescent="0.25">
      <c r="A678" s="12">
        <v>6957</v>
      </c>
      <c r="B678" s="12">
        <v>1016952</v>
      </c>
      <c r="C678" s="12" t="s">
        <v>13</v>
      </c>
      <c r="D678" s="12" t="s">
        <v>14</v>
      </c>
      <c r="E678" s="14">
        <v>44751</v>
      </c>
      <c r="F678" s="12" t="s">
        <v>18</v>
      </c>
      <c r="G678" s="12" t="s">
        <v>19</v>
      </c>
      <c r="H678" s="12" t="s">
        <v>40</v>
      </c>
      <c r="I678" s="12">
        <v>229.995</v>
      </c>
      <c r="J678" s="12">
        <v>196.70400000000001</v>
      </c>
      <c r="K678" s="12">
        <v>3.9</v>
      </c>
    </row>
    <row r="679" spans="1:12" x14ac:dyDescent="0.25">
      <c r="A679" s="12">
        <v>6958</v>
      </c>
      <c r="B679" s="12">
        <v>1017063</v>
      </c>
      <c r="C679" s="12" t="s">
        <v>13</v>
      </c>
      <c r="D679" s="12" t="s">
        <v>14</v>
      </c>
      <c r="E679" s="14">
        <v>44752</v>
      </c>
      <c r="F679" s="12" t="s">
        <v>52</v>
      </c>
      <c r="G679" s="12" t="s">
        <v>20</v>
      </c>
      <c r="H679" s="12" t="s">
        <v>44</v>
      </c>
      <c r="I679" s="12">
        <v>225.00399999999999</v>
      </c>
      <c r="J679" s="12">
        <v>183.51400000000001</v>
      </c>
      <c r="K679" s="12">
        <v>4.4000000000000004</v>
      </c>
      <c r="L679" s="12">
        <v>13.7</v>
      </c>
    </row>
    <row r="680" spans="1:12" x14ac:dyDescent="0.25">
      <c r="A680" s="12">
        <v>6959</v>
      </c>
      <c r="B680" s="12">
        <v>1017283</v>
      </c>
      <c r="C680" s="12" t="s">
        <v>13</v>
      </c>
      <c r="D680" s="12" t="s">
        <v>14</v>
      </c>
      <c r="E680" s="14">
        <v>44753</v>
      </c>
      <c r="F680" s="12" t="s">
        <v>52</v>
      </c>
      <c r="G680" s="12" t="s">
        <v>20</v>
      </c>
      <c r="H680" s="12" t="s">
        <v>42</v>
      </c>
      <c r="I680" s="12">
        <v>224.99600000000001</v>
      </c>
      <c r="J680" s="12">
        <v>184.83199999999999</v>
      </c>
      <c r="K680" s="12">
        <v>3.7</v>
      </c>
      <c r="L680" s="12">
        <v>13.2</v>
      </c>
    </row>
    <row r="681" spans="1:12" ht="13.9" hidden="1" x14ac:dyDescent="0.25">
      <c r="A681" s="12">
        <v>6960</v>
      </c>
      <c r="B681" s="12">
        <v>1017181</v>
      </c>
      <c r="C681" s="12" t="s">
        <v>13</v>
      </c>
      <c r="D681" s="12" t="s">
        <v>14</v>
      </c>
      <c r="E681" s="14">
        <v>44754</v>
      </c>
      <c r="F681" s="12" t="s">
        <v>18</v>
      </c>
      <c r="G681" s="12" t="s">
        <v>19</v>
      </c>
      <c r="H681" s="12" t="s">
        <v>40</v>
      </c>
      <c r="I681" s="12">
        <v>230.00899999999999</v>
      </c>
      <c r="J681" s="12">
        <v>195.01499999999999</v>
      </c>
      <c r="K681" s="12">
        <v>4.8</v>
      </c>
    </row>
    <row r="682" spans="1:12" ht="13.9" hidden="1" x14ac:dyDescent="0.25">
      <c r="A682" s="12">
        <v>6961</v>
      </c>
      <c r="B682" s="12">
        <v>1017182</v>
      </c>
      <c r="C682" s="12" t="s">
        <v>13</v>
      </c>
      <c r="D682" s="12" t="s">
        <v>14</v>
      </c>
      <c r="E682" s="14">
        <v>44755</v>
      </c>
      <c r="F682" s="12" t="s">
        <v>18</v>
      </c>
      <c r="G682" s="12" t="s">
        <v>19</v>
      </c>
      <c r="H682" s="12" t="s">
        <v>40</v>
      </c>
      <c r="I682" s="12">
        <v>230.00899999999999</v>
      </c>
      <c r="J682" s="12">
        <v>182.38</v>
      </c>
      <c r="K682" s="12">
        <v>4.2</v>
      </c>
    </row>
    <row r="683" spans="1:12" ht="13.9" hidden="1" x14ac:dyDescent="0.25">
      <c r="A683" s="12">
        <v>6962</v>
      </c>
      <c r="B683" s="12">
        <v>1017261</v>
      </c>
      <c r="C683" s="12" t="s">
        <v>13</v>
      </c>
      <c r="D683" s="12" t="s">
        <v>14</v>
      </c>
      <c r="E683" s="14">
        <v>44756</v>
      </c>
      <c r="F683" s="12" t="s">
        <v>18</v>
      </c>
      <c r="G683" s="12" t="s">
        <v>19</v>
      </c>
      <c r="H683" s="12" t="s">
        <v>40</v>
      </c>
      <c r="I683" s="12">
        <v>230.01300000000001</v>
      </c>
      <c r="J683" s="12">
        <v>189.774</v>
      </c>
      <c r="K683" s="12">
        <v>4.0999999999999996</v>
      </c>
    </row>
    <row r="684" spans="1:12" x14ac:dyDescent="0.25">
      <c r="A684" s="12">
        <v>6963</v>
      </c>
      <c r="B684" s="12">
        <v>1017298</v>
      </c>
      <c r="C684" s="12" t="s">
        <v>13</v>
      </c>
      <c r="D684" s="12" t="s">
        <v>14</v>
      </c>
      <c r="E684" s="14">
        <v>44757</v>
      </c>
      <c r="F684" s="12" t="s">
        <v>18</v>
      </c>
      <c r="G684" s="12" t="s">
        <v>19</v>
      </c>
      <c r="H684" s="12" t="s">
        <v>40</v>
      </c>
      <c r="I684" s="12">
        <v>229.99600000000001</v>
      </c>
      <c r="J684" s="12">
        <v>193.483</v>
      </c>
      <c r="K684" s="12">
        <v>3.6</v>
      </c>
      <c r="L684" s="12">
        <v>13.8</v>
      </c>
    </row>
    <row r="685" spans="1:12" x14ac:dyDescent="0.25">
      <c r="A685" s="12">
        <v>6964</v>
      </c>
      <c r="B685" s="12">
        <v>1017409</v>
      </c>
      <c r="C685" s="12" t="s">
        <v>13</v>
      </c>
      <c r="D685" s="12" t="s">
        <v>14</v>
      </c>
      <c r="E685" s="14">
        <v>44758</v>
      </c>
      <c r="F685" s="12" t="s">
        <v>18</v>
      </c>
      <c r="G685" s="12" t="s">
        <v>19</v>
      </c>
      <c r="H685" s="12" t="s">
        <v>40</v>
      </c>
      <c r="I685" s="12">
        <v>229.99600000000001</v>
      </c>
      <c r="J685" s="12">
        <v>183.834</v>
      </c>
      <c r="K685" s="12">
        <v>4.2</v>
      </c>
      <c r="L685" s="12">
        <v>13.8</v>
      </c>
    </row>
    <row r="686" spans="1:12" ht="13.9" hidden="1" x14ac:dyDescent="0.25">
      <c r="A686" s="12">
        <v>6965</v>
      </c>
      <c r="B686" s="12">
        <v>1017529</v>
      </c>
      <c r="C686" s="12" t="s">
        <v>13</v>
      </c>
      <c r="D686" s="12" t="s">
        <v>14</v>
      </c>
      <c r="E686" s="14">
        <v>44759</v>
      </c>
      <c r="F686" s="12" t="s">
        <v>18</v>
      </c>
      <c r="G686" s="12" t="s">
        <v>20</v>
      </c>
      <c r="H686" s="12" t="s">
        <v>42</v>
      </c>
      <c r="I686" s="12">
        <v>225.00800000000001</v>
      </c>
      <c r="J686" s="12">
        <v>186.667</v>
      </c>
      <c r="K686" s="12">
        <v>4.0999999999999996</v>
      </c>
    </row>
    <row r="687" spans="1:12" ht="13.9" hidden="1" x14ac:dyDescent="0.25">
      <c r="A687" s="12">
        <v>6966</v>
      </c>
      <c r="B687" s="12">
        <v>1017532</v>
      </c>
      <c r="C687" s="12" t="s">
        <v>13</v>
      </c>
      <c r="D687" s="12" t="s">
        <v>14</v>
      </c>
      <c r="E687" s="14">
        <v>44760</v>
      </c>
      <c r="F687" s="12" t="s">
        <v>18</v>
      </c>
      <c r="G687" s="12" t="s">
        <v>20</v>
      </c>
      <c r="H687" s="12" t="s">
        <v>42</v>
      </c>
      <c r="I687" s="12">
        <v>225.00700000000001</v>
      </c>
      <c r="J687" s="12">
        <v>183.45500000000001</v>
      </c>
      <c r="K687" s="12">
        <v>4</v>
      </c>
    </row>
    <row r="688" spans="1:12" x14ac:dyDescent="0.25">
      <c r="A688" s="12">
        <v>6967</v>
      </c>
      <c r="B688" s="12">
        <v>1017544</v>
      </c>
      <c r="C688" s="12" t="s">
        <v>13</v>
      </c>
      <c r="D688" s="12" t="s">
        <v>14</v>
      </c>
      <c r="E688" s="14">
        <v>44761</v>
      </c>
      <c r="F688" s="12" t="s">
        <v>18</v>
      </c>
      <c r="G688" s="12" t="s">
        <v>19</v>
      </c>
      <c r="H688" s="12" t="s">
        <v>40</v>
      </c>
      <c r="I688" s="12">
        <v>230.01400000000001</v>
      </c>
      <c r="J688" s="12">
        <v>186.58199999999999</v>
      </c>
      <c r="K688" s="12">
        <v>3.6</v>
      </c>
      <c r="L688" s="12">
        <v>14</v>
      </c>
    </row>
    <row r="689" spans="1:12" ht="13.9" hidden="1" x14ac:dyDescent="0.25">
      <c r="A689" s="12">
        <v>6968</v>
      </c>
      <c r="B689" s="12">
        <v>1017593</v>
      </c>
      <c r="C689" s="12" t="s">
        <v>13</v>
      </c>
      <c r="D689" s="12" t="s">
        <v>14</v>
      </c>
      <c r="E689" s="14">
        <v>44762</v>
      </c>
      <c r="F689" s="12" t="s">
        <v>18</v>
      </c>
      <c r="G689" s="12" t="s">
        <v>19</v>
      </c>
      <c r="H689" s="12" t="s">
        <v>40</v>
      </c>
      <c r="I689" s="12">
        <v>230.00800000000001</v>
      </c>
      <c r="J689" s="12">
        <v>194.15700000000001</v>
      </c>
      <c r="K689" s="12">
        <v>4.0999999999999996</v>
      </c>
    </row>
    <row r="690" spans="1:12" x14ac:dyDescent="0.25">
      <c r="A690" s="12">
        <v>6969</v>
      </c>
      <c r="B690" s="12">
        <v>1017681</v>
      </c>
      <c r="C690" s="12" t="s">
        <v>13</v>
      </c>
      <c r="D690" s="12" t="s">
        <v>14</v>
      </c>
      <c r="E690" s="14">
        <v>44763</v>
      </c>
      <c r="F690" s="12" t="s">
        <v>18</v>
      </c>
      <c r="G690" s="12" t="s">
        <v>19</v>
      </c>
      <c r="H690" s="12" t="s">
        <v>40</v>
      </c>
      <c r="I690" s="12">
        <v>230.00700000000001</v>
      </c>
      <c r="J690" s="12">
        <v>185.42599999999999</v>
      </c>
      <c r="K690" s="12">
        <v>4.0999999999999996</v>
      </c>
      <c r="L690" s="12">
        <v>14.1</v>
      </c>
    </row>
    <row r="691" spans="1:12" ht="13.9" hidden="1" x14ac:dyDescent="0.25">
      <c r="A691" s="12">
        <v>6970</v>
      </c>
      <c r="B691" s="12">
        <v>1017769</v>
      </c>
      <c r="C691" s="12" t="s">
        <v>13</v>
      </c>
      <c r="D691" s="12" t="s">
        <v>14</v>
      </c>
      <c r="E691" s="14">
        <v>44764</v>
      </c>
      <c r="F691" s="12" t="s">
        <v>18</v>
      </c>
      <c r="G691" s="12" t="s">
        <v>19</v>
      </c>
      <c r="H691" s="12" t="s">
        <v>40</v>
      </c>
      <c r="I691" s="12">
        <v>230.006</v>
      </c>
      <c r="J691" s="12">
        <v>191.833</v>
      </c>
      <c r="K691" s="12">
        <v>4.5999999999999996</v>
      </c>
    </row>
    <row r="692" spans="1:12" ht="13.9" hidden="1" x14ac:dyDescent="0.25">
      <c r="A692" s="12">
        <v>6971</v>
      </c>
      <c r="B692" s="12">
        <v>1017809</v>
      </c>
      <c r="C692" s="12" t="s">
        <v>13</v>
      </c>
      <c r="D692" s="12" t="s">
        <v>14</v>
      </c>
      <c r="E692" s="14">
        <v>44765</v>
      </c>
      <c r="F692" s="12" t="s">
        <v>18</v>
      </c>
      <c r="G692" s="12" t="s">
        <v>19</v>
      </c>
      <c r="H692" s="12" t="s">
        <v>40</v>
      </c>
      <c r="I692" s="12">
        <v>230.005</v>
      </c>
      <c r="J692" s="12">
        <v>177.143</v>
      </c>
      <c r="K692" s="12">
        <v>4.2</v>
      </c>
    </row>
    <row r="693" spans="1:12" ht="13.9" hidden="1" x14ac:dyDescent="0.25">
      <c r="A693" s="12">
        <v>6972</v>
      </c>
      <c r="B693" s="12">
        <v>1017811</v>
      </c>
      <c r="C693" s="12" t="s">
        <v>13</v>
      </c>
      <c r="D693" s="12" t="s">
        <v>14</v>
      </c>
      <c r="E693" s="14">
        <v>44766</v>
      </c>
      <c r="F693" s="12" t="s">
        <v>18</v>
      </c>
      <c r="G693" s="12" t="s">
        <v>20</v>
      </c>
      <c r="H693" s="12" t="s">
        <v>42</v>
      </c>
      <c r="I693" s="12">
        <v>225.00200000000001</v>
      </c>
      <c r="J693" s="12">
        <v>188.46899999999999</v>
      </c>
      <c r="K693" s="12">
        <v>4.8</v>
      </c>
    </row>
    <row r="694" spans="1:12" ht="13.9" hidden="1" x14ac:dyDescent="0.25">
      <c r="A694" s="12">
        <v>6973</v>
      </c>
      <c r="B694" s="12">
        <v>1017812</v>
      </c>
      <c r="C694" s="12" t="s">
        <v>13</v>
      </c>
      <c r="D694" s="12" t="s">
        <v>14</v>
      </c>
      <c r="E694" s="14">
        <v>44767</v>
      </c>
      <c r="F694" s="12" t="s">
        <v>18</v>
      </c>
      <c r="G694" s="12" t="s">
        <v>20</v>
      </c>
      <c r="H694" s="12" t="s">
        <v>42</v>
      </c>
      <c r="I694" s="12">
        <v>225.001</v>
      </c>
      <c r="J694" s="12">
        <v>183.673</v>
      </c>
      <c r="K694" s="12">
        <v>4</v>
      </c>
    </row>
    <row r="695" spans="1:12" ht="13.9" hidden="1" x14ac:dyDescent="0.25">
      <c r="A695" s="12">
        <v>6974</v>
      </c>
      <c r="B695" s="12">
        <v>1017920</v>
      </c>
      <c r="C695" s="12" t="s">
        <v>13</v>
      </c>
      <c r="D695" s="12" t="s">
        <v>14</v>
      </c>
      <c r="E695" s="14">
        <v>44768</v>
      </c>
      <c r="F695" s="12" t="s">
        <v>18</v>
      </c>
      <c r="G695" s="12" t="s">
        <v>20</v>
      </c>
      <c r="H695" s="12" t="s">
        <v>42</v>
      </c>
      <c r="I695" s="12">
        <v>225.00299999999999</v>
      </c>
      <c r="J695" s="12">
        <v>187.18100000000001</v>
      </c>
      <c r="K695" s="12">
        <v>4.5999999999999996</v>
      </c>
    </row>
    <row r="696" spans="1:12" ht="13.9" hidden="1" x14ac:dyDescent="0.25">
      <c r="A696" s="12">
        <v>6975</v>
      </c>
      <c r="B696" s="12">
        <v>1017922</v>
      </c>
      <c r="C696" s="12" t="s">
        <v>13</v>
      </c>
      <c r="D696" s="12" t="s">
        <v>14</v>
      </c>
      <c r="E696" s="14">
        <v>44769</v>
      </c>
      <c r="F696" s="12" t="s">
        <v>18</v>
      </c>
      <c r="G696" s="12" t="s">
        <v>20</v>
      </c>
      <c r="H696" s="12" t="s">
        <v>42</v>
      </c>
      <c r="I696" s="12">
        <v>225.00299999999999</v>
      </c>
      <c r="J696" s="12">
        <v>185.46600000000001</v>
      </c>
      <c r="K696" s="12">
        <v>4.0999999999999996</v>
      </c>
    </row>
    <row r="697" spans="1:12" x14ac:dyDescent="0.25">
      <c r="A697" s="12">
        <v>6976</v>
      </c>
      <c r="B697" s="12">
        <v>1017946</v>
      </c>
      <c r="C697" s="12" t="s">
        <v>13</v>
      </c>
      <c r="D697" s="12" t="s">
        <v>14</v>
      </c>
      <c r="E697" s="14">
        <v>44770</v>
      </c>
      <c r="F697" s="12" t="s">
        <v>18</v>
      </c>
      <c r="G697" s="12" t="s">
        <v>19</v>
      </c>
      <c r="H697" s="12" t="s">
        <v>40</v>
      </c>
      <c r="I697" s="12">
        <v>229.999</v>
      </c>
      <c r="J697" s="12">
        <v>187.86199999999999</v>
      </c>
      <c r="K697" s="12">
        <v>3.7</v>
      </c>
      <c r="L697" s="12">
        <v>14.4</v>
      </c>
    </row>
    <row r="698" spans="1:12" ht="13.9" hidden="1" x14ac:dyDescent="0.25">
      <c r="A698" s="12">
        <v>6977</v>
      </c>
      <c r="B698" s="12">
        <v>1018041</v>
      </c>
      <c r="C698" s="12" t="s">
        <v>13</v>
      </c>
      <c r="D698" s="12" t="s">
        <v>14</v>
      </c>
      <c r="E698" s="14">
        <v>44771</v>
      </c>
      <c r="F698" s="12" t="s">
        <v>18</v>
      </c>
      <c r="G698" s="12" t="s">
        <v>19</v>
      </c>
      <c r="H698" s="12" t="s">
        <v>40</v>
      </c>
      <c r="I698" s="12">
        <v>230.01</v>
      </c>
      <c r="J698" s="12">
        <v>193.62100000000001</v>
      </c>
      <c r="K698" s="12">
        <v>4</v>
      </c>
    </row>
    <row r="699" spans="1:12" ht="13.9" hidden="1" x14ac:dyDescent="0.25">
      <c r="A699" s="12">
        <v>6978</v>
      </c>
      <c r="B699" s="12">
        <v>1018105</v>
      </c>
      <c r="C699" s="12" t="s">
        <v>13</v>
      </c>
      <c r="D699" s="12" t="s">
        <v>14</v>
      </c>
      <c r="E699" s="14">
        <v>44772</v>
      </c>
      <c r="F699" s="12" t="s">
        <v>18</v>
      </c>
      <c r="G699" s="12" t="s">
        <v>19</v>
      </c>
      <c r="H699" s="12" t="s">
        <v>40</v>
      </c>
      <c r="I699" s="12">
        <v>230.011</v>
      </c>
      <c r="J699" s="12">
        <v>189</v>
      </c>
      <c r="K699" s="12">
        <v>3.9</v>
      </c>
    </row>
    <row r="700" spans="1:12" ht="13.9" hidden="1" x14ac:dyDescent="0.25">
      <c r="A700" s="12">
        <v>6979</v>
      </c>
      <c r="B700" s="12">
        <v>1018153</v>
      </c>
      <c r="C700" s="12" t="s">
        <v>13</v>
      </c>
      <c r="D700" s="12" t="s">
        <v>14</v>
      </c>
      <c r="E700" s="14">
        <v>44773</v>
      </c>
      <c r="F700" s="12" t="s">
        <v>18</v>
      </c>
      <c r="G700" s="12" t="s">
        <v>19</v>
      </c>
      <c r="H700" s="12" t="s">
        <v>40</v>
      </c>
      <c r="I700" s="12">
        <v>230.006</v>
      </c>
      <c r="J700" s="12">
        <v>189</v>
      </c>
      <c r="K700" s="12">
        <v>4.5999999999999996</v>
      </c>
    </row>
    <row r="701" spans="1:12" ht="13.9" hidden="1" x14ac:dyDescent="0.25">
      <c r="A701" s="12">
        <v>6980</v>
      </c>
      <c r="B701" s="12">
        <v>1018378</v>
      </c>
      <c r="C701" s="12" t="s">
        <v>13</v>
      </c>
      <c r="D701" s="12" t="s">
        <v>14</v>
      </c>
      <c r="E701" s="14">
        <v>44774</v>
      </c>
      <c r="F701" s="12" t="s">
        <v>18</v>
      </c>
      <c r="G701" s="12" t="s">
        <v>19</v>
      </c>
      <c r="H701" s="12" t="s">
        <v>40</v>
      </c>
      <c r="I701" s="12">
        <v>230.006</v>
      </c>
      <c r="J701" s="12">
        <v>188.536</v>
      </c>
      <c r="K701" s="12">
        <v>4.0999999999999996</v>
      </c>
    </row>
    <row r="702" spans="1:12" x14ac:dyDescent="0.25">
      <c r="A702" s="12">
        <v>6981</v>
      </c>
      <c r="B702" s="12">
        <v>1018390</v>
      </c>
      <c r="C702" s="12" t="s">
        <v>13</v>
      </c>
      <c r="D702" s="12" t="s">
        <v>14</v>
      </c>
      <c r="E702" s="14">
        <v>44775</v>
      </c>
      <c r="F702" s="12" t="s">
        <v>18</v>
      </c>
      <c r="G702" s="12" t="s">
        <v>19</v>
      </c>
      <c r="H702" s="12" t="s">
        <v>40</v>
      </c>
      <c r="I702" s="12">
        <v>230.005</v>
      </c>
      <c r="J702" s="12">
        <v>191.41800000000001</v>
      </c>
      <c r="K702" s="12">
        <v>3.7</v>
      </c>
      <c r="L702" s="12">
        <v>12.9</v>
      </c>
    </row>
    <row r="703" spans="1:12" ht="13.9" hidden="1" x14ac:dyDescent="0.25">
      <c r="A703" s="12">
        <v>6982</v>
      </c>
      <c r="B703" s="12">
        <v>1018394</v>
      </c>
      <c r="C703" s="12" t="s">
        <v>13</v>
      </c>
      <c r="D703" s="12" t="s">
        <v>14</v>
      </c>
      <c r="E703" s="14">
        <v>44776</v>
      </c>
      <c r="F703" s="12" t="s">
        <v>18</v>
      </c>
      <c r="G703" s="12" t="s">
        <v>19</v>
      </c>
      <c r="H703" s="12" t="s">
        <v>40</v>
      </c>
      <c r="I703" s="12">
        <v>230.00299999999999</v>
      </c>
      <c r="J703" s="12">
        <v>194.56399999999999</v>
      </c>
      <c r="K703" s="12">
        <v>4.5999999999999996</v>
      </c>
    </row>
    <row r="704" spans="1:12" ht="13.9" hidden="1" x14ac:dyDescent="0.25">
      <c r="A704" s="12">
        <v>6983</v>
      </c>
      <c r="B704" s="12">
        <v>1018486</v>
      </c>
      <c r="C704" s="12" t="s">
        <v>13</v>
      </c>
      <c r="D704" s="12" t="s">
        <v>14</v>
      </c>
      <c r="E704" s="14">
        <v>44777</v>
      </c>
      <c r="F704" s="12" t="s">
        <v>18</v>
      </c>
      <c r="G704" s="12" t="s">
        <v>19</v>
      </c>
      <c r="H704" s="12" t="s">
        <v>40</v>
      </c>
      <c r="I704" s="12">
        <v>230.00200000000001</v>
      </c>
      <c r="J704" s="12">
        <v>186.69900000000001</v>
      </c>
      <c r="K704" s="12">
        <v>4.0999999999999996</v>
      </c>
    </row>
    <row r="705" spans="1:12" ht="13.9" hidden="1" x14ac:dyDescent="0.25">
      <c r="A705" s="12">
        <v>6984</v>
      </c>
      <c r="B705" s="12">
        <v>1018556</v>
      </c>
      <c r="C705" s="12" t="s">
        <v>13</v>
      </c>
      <c r="D705" s="12" t="s">
        <v>14</v>
      </c>
      <c r="E705" s="14">
        <v>44778</v>
      </c>
      <c r="F705" s="12" t="s">
        <v>18</v>
      </c>
      <c r="G705" s="12" t="s">
        <v>19</v>
      </c>
      <c r="H705" s="12" t="s">
        <v>40</v>
      </c>
      <c r="I705" s="12">
        <v>230.001</v>
      </c>
      <c r="J705" s="12">
        <v>188.352</v>
      </c>
      <c r="K705" s="12">
        <v>4.7</v>
      </c>
    </row>
    <row r="706" spans="1:12" ht="13.9" hidden="1" x14ac:dyDescent="0.25">
      <c r="A706" s="12">
        <v>6985</v>
      </c>
      <c r="B706" s="12">
        <v>1018664</v>
      </c>
      <c r="C706" s="12" t="s">
        <v>13</v>
      </c>
      <c r="D706" s="12" t="s">
        <v>14</v>
      </c>
      <c r="E706" s="14">
        <v>44779</v>
      </c>
      <c r="F706" s="12" t="s">
        <v>18</v>
      </c>
      <c r="G706" s="12" t="s">
        <v>19</v>
      </c>
      <c r="H706" s="12" t="s">
        <v>40</v>
      </c>
      <c r="I706" s="12">
        <v>230.001</v>
      </c>
      <c r="J706" s="12">
        <v>185.34299999999999</v>
      </c>
      <c r="K706" s="12">
        <v>3.8</v>
      </c>
    </row>
    <row r="707" spans="1:12" x14ac:dyDescent="0.25">
      <c r="A707" s="12">
        <v>6986</v>
      </c>
      <c r="B707" s="12">
        <v>1018761</v>
      </c>
      <c r="C707" s="12" t="s">
        <v>13</v>
      </c>
      <c r="D707" s="12" t="s">
        <v>14</v>
      </c>
      <c r="E707" s="14">
        <v>44780</v>
      </c>
      <c r="F707" s="12" t="s">
        <v>52</v>
      </c>
      <c r="G707" s="12" t="s">
        <v>20</v>
      </c>
      <c r="H707" s="12" t="s">
        <v>53</v>
      </c>
      <c r="I707" s="12">
        <v>225.001</v>
      </c>
      <c r="J707" s="12">
        <v>197.21700000000001</v>
      </c>
      <c r="K707" s="12">
        <v>4.7</v>
      </c>
      <c r="L707" s="12">
        <v>12.3</v>
      </c>
    </row>
    <row r="708" spans="1:12" x14ac:dyDescent="0.25">
      <c r="A708" s="12">
        <v>6987</v>
      </c>
      <c r="B708" s="12">
        <v>1018764</v>
      </c>
      <c r="C708" s="12" t="s">
        <v>13</v>
      </c>
      <c r="D708" s="12" t="s">
        <v>14</v>
      </c>
      <c r="E708" s="14">
        <v>44781</v>
      </c>
      <c r="F708" s="12" t="s">
        <v>52</v>
      </c>
      <c r="G708" s="12" t="s">
        <v>20</v>
      </c>
      <c r="H708" s="12" t="s">
        <v>42</v>
      </c>
      <c r="I708" s="12">
        <v>225.00899999999999</v>
      </c>
      <c r="J708" s="12">
        <v>181.08600000000001</v>
      </c>
      <c r="K708" s="12">
        <v>5</v>
      </c>
      <c r="L708" s="12">
        <v>13.5</v>
      </c>
    </row>
    <row r="709" spans="1:12" ht="13.9" hidden="1" x14ac:dyDescent="0.25">
      <c r="A709" s="12">
        <v>6988</v>
      </c>
      <c r="B709" s="12">
        <v>1018765</v>
      </c>
      <c r="C709" s="12" t="s">
        <v>13</v>
      </c>
      <c r="D709" s="12" t="s">
        <v>14</v>
      </c>
      <c r="E709" s="14">
        <v>44782</v>
      </c>
      <c r="F709" s="12" t="s">
        <v>18</v>
      </c>
      <c r="G709" s="12" t="s">
        <v>19</v>
      </c>
      <c r="H709" s="12" t="s">
        <v>40</v>
      </c>
      <c r="I709" s="12">
        <v>229.97300000000001</v>
      </c>
      <c r="J709" s="12">
        <v>189.93600000000001</v>
      </c>
      <c r="K709" s="12">
        <v>3.8</v>
      </c>
    </row>
    <row r="710" spans="1:12" ht="13.9" hidden="1" x14ac:dyDescent="0.25">
      <c r="A710" s="12">
        <v>6989</v>
      </c>
      <c r="B710" s="12">
        <v>1018864</v>
      </c>
      <c r="C710" s="12" t="s">
        <v>13</v>
      </c>
      <c r="D710" s="12" t="s">
        <v>14</v>
      </c>
      <c r="E710" s="14">
        <v>44783</v>
      </c>
      <c r="F710" s="12" t="s">
        <v>18</v>
      </c>
      <c r="G710" s="12" t="s">
        <v>19</v>
      </c>
      <c r="H710" s="12" t="s">
        <v>40</v>
      </c>
      <c r="I710" s="12">
        <v>229.97300000000001</v>
      </c>
      <c r="J710" s="12">
        <v>178.958</v>
      </c>
      <c r="K710" s="12">
        <v>3.4</v>
      </c>
    </row>
    <row r="711" spans="1:12" x14ac:dyDescent="0.25">
      <c r="A711" s="12">
        <v>6990</v>
      </c>
      <c r="B711" s="12">
        <v>1018951</v>
      </c>
      <c r="C711" s="12" t="s">
        <v>13</v>
      </c>
      <c r="D711" s="12" t="s">
        <v>14</v>
      </c>
      <c r="E711" s="14">
        <v>44784</v>
      </c>
      <c r="F711" s="12" t="s">
        <v>18</v>
      </c>
      <c r="G711" s="12" t="s">
        <v>19</v>
      </c>
      <c r="H711" s="12" t="s">
        <v>40</v>
      </c>
      <c r="I711" s="12">
        <v>230.01400000000001</v>
      </c>
      <c r="J711" s="12">
        <v>191.124</v>
      </c>
      <c r="K711" s="12">
        <v>4</v>
      </c>
      <c r="L711" s="12">
        <v>13.8</v>
      </c>
    </row>
    <row r="712" spans="1:12" ht="13.9" hidden="1" x14ac:dyDescent="0.25">
      <c r="A712" s="12">
        <v>6991</v>
      </c>
      <c r="B712" s="12">
        <v>1019036</v>
      </c>
      <c r="C712" s="12" t="s">
        <v>13</v>
      </c>
      <c r="D712" s="12" t="s">
        <v>14</v>
      </c>
      <c r="E712" s="14">
        <v>44785</v>
      </c>
      <c r="F712" s="12" t="s">
        <v>18</v>
      </c>
      <c r="G712" s="12" t="s">
        <v>19</v>
      </c>
      <c r="H712" s="12" t="s">
        <v>40</v>
      </c>
      <c r="I712" s="12">
        <v>229.999</v>
      </c>
      <c r="J712" s="12">
        <v>193.32499999999999</v>
      </c>
      <c r="K712" s="12">
        <v>3.8</v>
      </c>
    </row>
    <row r="713" spans="1:12" ht="13.9" hidden="1" x14ac:dyDescent="0.25">
      <c r="A713" s="12">
        <v>6992</v>
      </c>
      <c r="B713" s="12">
        <v>1019099</v>
      </c>
      <c r="C713" s="12" t="s">
        <v>13</v>
      </c>
      <c r="D713" s="12" t="s">
        <v>14</v>
      </c>
      <c r="E713" s="14">
        <v>44786</v>
      </c>
      <c r="F713" s="12" t="s">
        <v>18</v>
      </c>
      <c r="G713" s="12" t="s">
        <v>19</v>
      </c>
      <c r="H713" s="12" t="s">
        <v>40</v>
      </c>
      <c r="I713" s="12">
        <v>230</v>
      </c>
      <c r="J713" s="12">
        <v>187.303</v>
      </c>
      <c r="K713" s="12">
        <v>3.8</v>
      </c>
    </row>
    <row r="714" spans="1:12" ht="13.9" hidden="1" x14ac:dyDescent="0.25">
      <c r="A714" s="12">
        <v>6993</v>
      </c>
      <c r="B714" s="12">
        <v>1019167</v>
      </c>
      <c r="C714" s="12" t="s">
        <v>13</v>
      </c>
      <c r="D714" s="12" t="s">
        <v>14</v>
      </c>
      <c r="E714" s="14">
        <v>44787</v>
      </c>
      <c r="F714" s="12" t="s">
        <v>18</v>
      </c>
      <c r="G714" s="12" t="s">
        <v>20</v>
      </c>
      <c r="H714" s="12" t="s">
        <v>42</v>
      </c>
      <c r="I714" s="12">
        <v>225.00299999999999</v>
      </c>
      <c r="J714" s="12">
        <v>181.91499999999999</v>
      </c>
      <c r="K714" s="12">
        <v>3.6</v>
      </c>
    </row>
    <row r="715" spans="1:12" ht="13.9" hidden="1" x14ac:dyDescent="0.25">
      <c r="A715" s="12">
        <v>6994</v>
      </c>
      <c r="B715" s="12">
        <v>1019252</v>
      </c>
      <c r="C715" s="12" t="s">
        <v>13</v>
      </c>
      <c r="D715" s="12" t="s">
        <v>14</v>
      </c>
      <c r="E715" s="14">
        <v>44788</v>
      </c>
      <c r="F715" s="12" t="s">
        <v>18</v>
      </c>
      <c r="G715" s="12" t="s">
        <v>20</v>
      </c>
      <c r="H715" s="12" t="s">
        <v>42</v>
      </c>
      <c r="I715" s="12">
        <v>225.00299999999999</v>
      </c>
      <c r="J715" s="12">
        <v>179.364</v>
      </c>
      <c r="K715" s="12">
        <v>4.8</v>
      </c>
    </row>
    <row r="716" spans="1:12" x14ac:dyDescent="0.25">
      <c r="A716" s="12">
        <v>6995</v>
      </c>
      <c r="B716" s="12">
        <v>1019254</v>
      </c>
      <c r="C716" s="12" t="s">
        <v>13</v>
      </c>
      <c r="D716" s="12" t="s">
        <v>14</v>
      </c>
      <c r="E716" s="14">
        <v>44789</v>
      </c>
      <c r="F716" s="12" t="s">
        <v>18</v>
      </c>
      <c r="G716" s="12" t="s">
        <v>19</v>
      </c>
      <c r="H716" s="12" t="s">
        <v>40</v>
      </c>
      <c r="I716" s="12">
        <v>229.98699999999999</v>
      </c>
      <c r="J716" s="12">
        <v>184.26599999999999</v>
      </c>
      <c r="K716" s="12">
        <v>4</v>
      </c>
      <c r="L716" s="12">
        <v>14</v>
      </c>
    </row>
    <row r="717" spans="1:12" x14ac:dyDescent="0.25">
      <c r="A717" s="12">
        <v>6996</v>
      </c>
      <c r="B717" s="12">
        <v>1019264</v>
      </c>
      <c r="C717" s="12" t="s">
        <v>13</v>
      </c>
      <c r="D717" s="12" t="s">
        <v>14</v>
      </c>
      <c r="E717" s="14">
        <v>44790</v>
      </c>
      <c r="F717" s="12" t="s">
        <v>18</v>
      </c>
      <c r="G717" s="12" t="s">
        <v>19</v>
      </c>
      <c r="H717" s="12" t="s">
        <v>40</v>
      </c>
      <c r="I717" s="12">
        <v>230.00299999999999</v>
      </c>
      <c r="J717" s="12">
        <v>193.93700000000001</v>
      </c>
      <c r="K717" s="12">
        <v>4.4000000000000004</v>
      </c>
      <c r="L717" s="12">
        <v>13</v>
      </c>
    </row>
    <row r="718" spans="1:12" ht="13.9" hidden="1" x14ac:dyDescent="0.25">
      <c r="A718" s="12">
        <v>6997</v>
      </c>
      <c r="B718" s="12">
        <v>1019372</v>
      </c>
      <c r="C718" s="12" t="s">
        <v>13</v>
      </c>
      <c r="D718" s="12" t="s">
        <v>14</v>
      </c>
      <c r="E718" s="14">
        <v>44791</v>
      </c>
      <c r="F718" s="12" t="s">
        <v>18</v>
      </c>
      <c r="G718" s="12" t="s">
        <v>19</v>
      </c>
      <c r="H718" s="12" t="s">
        <v>40</v>
      </c>
      <c r="I718" s="12">
        <v>230.00299999999999</v>
      </c>
      <c r="J718" s="12">
        <v>187.01900000000001</v>
      </c>
      <c r="K718" s="12">
        <v>3.8</v>
      </c>
    </row>
    <row r="719" spans="1:12" ht="13.9" hidden="1" x14ac:dyDescent="0.25">
      <c r="A719" s="12">
        <v>6998</v>
      </c>
      <c r="B719" s="12">
        <v>1019431</v>
      </c>
      <c r="C719" s="12" t="s">
        <v>13</v>
      </c>
      <c r="D719" s="12" t="s">
        <v>14</v>
      </c>
      <c r="E719" s="14">
        <v>44792</v>
      </c>
      <c r="F719" s="12" t="s">
        <v>18</v>
      </c>
      <c r="G719" s="12" t="s">
        <v>19</v>
      </c>
      <c r="H719" s="12" t="s">
        <v>40</v>
      </c>
      <c r="I719" s="12">
        <v>230.00200000000001</v>
      </c>
      <c r="J719" s="12">
        <v>192.14</v>
      </c>
      <c r="K719" s="12">
        <v>4.5</v>
      </c>
    </row>
    <row r="720" spans="1:12" ht="13.9" hidden="1" x14ac:dyDescent="0.25">
      <c r="A720" s="12">
        <v>6999</v>
      </c>
      <c r="B720" s="12">
        <v>1019505</v>
      </c>
      <c r="C720" s="12" t="s">
        <v>13</v>
      </c>
      <c r="D720" s="12" t="s">
        <v>14</v>
      </c>
      <c r="E720" s="14">
        <v>44793</v>
      </c>
      <c r="F720" s="12" t="s">
        <v>18</v>
      </c>
      <c r="G720" s="12" t="s">
        <v>19</v>
      </c>
      <c r="H720" s="12" t="s">
        <v>40</v>
      </c>
      <c r="I720" s="12">
        <v>230.00200000000001</v>
      </c>
      <c r="J720" s="12">
        <v>186.54900000000001</v>
      </c>
      <c r="K720" s="12">
        <v>4</v>
      </c>
    </row>
    <row r="721" spans="1:12" x14ac:dyDescent="0.25">
      <c r="A721" s="12">
        <v>7000</v>
      </c>
      <c r="B721" s="12">
        <v>1019590</v>
      </c>
      <c r="C721" s="12" t="s">
        <v>13</v>
      </c>
      <c r="D721" s="12" t="s">
        <v>14</v>
      </c>
      <c r="E721" s="14">
        <v>44794</v>
      </c>
      <c r="F721" s="12" t="s">
        <v>37</v>
      </c>
      <c r="G721" s="12" t="s">
        <v>20</v>
      </c>
      <c r="H721" s="12" t="s">
        <v>44</v>
      </c>
      <c r="I721" s="12">
        <v>224.999</v>
      </c>
      <c r="J721" s="12">
        <v>182.53700000000001</v>
      </c>
      <c r="K721" s="12">
        <v>4.2</v>
      </c>
      <c r="L721" s="12">
        <v>13</v>
      </c>
    </row>
    <row r="722" spans="1:12" ht="13.9" hidden="1" x14ac:dyDescent="0.25">
      <c r="A722" s="12">
        <v>7001</v>
      </c>
      <c r="B722" s="12">
        <v>1019658</v>
      </c>
      <c r="C722" s="12" t="s">
        <v>13</v>
      </c>
      <c r="D722" s="12" t="s">
        <v>14</v>
      </c>
      <c r="E722" s="14">
        <v>44795</v>
      </c>
      <c r="F722" s="12" t="s">
        <v>37</v>
      </c>
      <c r="G722" s="12" t="s">
        <v>20</v>
      </c>
      <c r="H722" s="12" t="s">
        <v>42</v>
      </c>
      <c r="I722" s="12">
        <v>229.99700000000001</v>
      </c>
      <c r="J722" s="12">
        <v>182.773</v>
      </c>
      <c r="K722" s="12">
        <v>4.4000000000000004</v>
      </c>
    </row>
    <row r="723" spans="1:12" x14ac:dyDescent="0.25">
      <c r="A723" s="12">
        <v>7002</v>
      </c>
      <c r="B723" s="12">
        <v>1019659</v>
      </c>
      <c r="C723" s="12" t="s">
        <v>13</v>
      </c>
      <c r="D723" s="12" t="s">
        <v>14</v>
      </c>
      <c r="E723" s="14">
        <v>44796</v>
      </c>
      <c r="F723" s="12" t="s">
        <v>17</v>
      </c>
      <c r="G723" s="12" t="s">
        <v>19</v>
      </c>
      <c r="H723" s="12" t="s">
        <v>54</v>
      </c>
      <c r="I723" s="12">
        <v>229.99299999999999</v>
      </c>
      <c r="J723" s="12">
        <v>192.40899999999999</v>
      </c>
      <c r="K723" s="12">
        <v>5.0999999999999996</v>
      </c>
      <c r="L723" s="12">
        <v>12.3</v>
      </c>
    </row>
    <row r="724" spans="1:12" ht="13.9" hidden="1" x14ac:dyDescent="0.25">
      <c r="A724" s="12">
        <v>7003</v>
      </c>
      <c r="B724" s="12">
        <v>1019660</v>
      </c>
      <c r="C724" s="12" t="s">
        <v>13</v>
      </c>
      <c r="D724" s="12" t="s">
        <v>14</v>
      </c>
      <c r="E724" s="14">
        <v>44797</v>
      </c>
      <c r="F724" s="12" t="s">
        <v>18</v>
      </c>
      <c r="G724" s="12" t="s">
        <v>20</v>
      </c>
      <c r="H724" s="12" t="s">
        <v>42</v>
      </c>
      <c r="I724" s="12">
        <v>229.99600000000001</v>
      </c>
      <c r="J724" s="12">
        <v>176.518</v>
      </c>
      <c r="K724" s="12">
        <v>4.0999999999999996</v>
      </c>
    </row>
    <row r="725" spans="1:12" ht="13.9" hidden="1" x14ac:dyDescent="0.25">
      <c r="A725" s="12">
        <v>7004</v>
      </c>
      <c r="B725" s="12">
        <v>1019667</v>
      </c>
      <c r="C725" s="12" t="s">
        <v>13</v>
      </c>
      <c r="D725" s="12" t="s">
        <v>14</v>
      </c>
      <c r="E725" s="14">
        <v>44798</v>
      </c>
      <c r="F725" s="12" t="s">
        <v>18</v>
      </c>
      <c r="G725" s="12" t="s">
        <v>20</v>
      </c>
      <c r="H725" s="12" t="s">
        <v>42</v>
      </c>
      <c r="I725" s="12">
        <v>225.001</v>
      </c>
      <c r="J725" s="12">
        <v>184.376</v>
      </c>
      <c r="K725" s="12">
        <v>4.5</v>
      </c>
    </row>
    <row r="726" spans="1:12" ht="13.9" hidden="1" x14ac:dyDescent="0.25">
      <c r="A726" s="12">
        <v>7005</v>
      </c>
      <c r="B726" s="12">
        <v>1019745</v>
      </c>
      <c r="C726" s="12" t="s">
        <v>13</v>
      </c>
      <c r="D726" s="12" t="s">
        <v>14</v>
      </c>
      <c r="E726" s="14">
        <v>44799</v>
      </c>
      <c r="F726" s="12" t="s">
        <v>18</v>
      </c>
      <c r="G726" s="12" t="s">
        <v>20</v>
      </c>
      <c r="H726" s="12" t="s">
        <v>42</v>
      </c>
      <c r="I726" s="12">
        <v>225.00200000000001</v>
      </c>
      <c r="J726" s="12">
        <v>180.17</v>
      </c>
      <c r="K726" s="12">
        <v>4.5999999999999996</v>
      </c>
    </row>
    <row r="727" spans="1:12" ht="13.9" hidden="1" x14ac:dyDescent="0.25">
      <c r="A727" s="12">
        <v>7006</v>
      </c>
      <c r="B727" s="12">
        <v>1019838</v>
      </c>
      <c r="C727" s="12" t="s">
        <v>13</v>
      </c>
      <c r="D727" s="12" t="s">
        <v>14</v>
      </c>
      <c r="E727" s="14">
        <v>44800</v>
      </c>
      <c r="F727" s="12" t="s">
        <v>18</v>
      </c>
      <c r="G727" s="12" t="s">
        <v>20</v>
      </c>
      <c r="H727" s="12" t="s">
        <v>42</v>
      </c>
      <c r="I727" s="12">
        <v>225.00700000000001</v>
      </c>
      <c r="J727" s="12">
        <v>177.15299999999999</v>
      </c>
      <c r="K727" s="12">
        <v>4.8</v>
      </c>
    </row>
    <row r="728" spans="1:12" ht="13.9" hidden="1" x14ac:dyDescent="0.25">
      <c r="A728" s="12">
        <v>7007</v>
      </c>
      <c r="B728" s="12">
        <v>1019941</v>
      </c>
      <c r="C728" s="12" t="s">
        <v>13</v>
      </c>
      <c r="D728" s="12" t="s">
        <v>14</v>
      </c>
      <c r="E728" s="14">
        <v>44801</v>
      </c>
      <c r="F728" s="12" t="s">
        <v>18</v>
      </c>
      <c r="G728" s="12" t="s">
        <v>20</v>
      </c>
      <c r="H728" s="12" t="s">
        <v>42</v>
      </c>
      <c r="I728" s="12">
        <v>225.00700000000001</v>
      </c>
      <c r="J728" s="12">
        <v>188.56899999999999</v>
      </c>
      <c r="K728" s="12">
        <v>4.3</v>
      </c>
    </row>
    <row r="729" spans="1:12" x14ac:dyDescent="0.25">
      <c r="A729" s="12">
        <v>7008</v>
      </c>
      <c r="B729" s="12">
        <v>1020028</v>
      </c>
      <c r="C729" s="12" t="s">
        <v>13</v>
      </c>
      <c r="D729" s="12" t="s">
        <v>14</v>
      </c>
      <c r="E729" s="14">
        <v>44802</v>
      </c>
      <c r="F729" s="12" t="s">
        <v>18</v>
      </c>
      <c r="G729" s="12" t="s">
        <v>19</v>
      </c>
      <c r="H729" s="12" t="s">
        <v>40</v>
      </c>
      <c r="I729" s="12">
        <v>230.00899999999999</v>
      </c>
      <c r="J729" s="12">
        <v>186.65299999999999</v>
      </c>
      <c r="K729" s="12">
        <v>3.8</v>
      </c>
      <c r="L729" s="12">
        <v>13.7</v>
      </c>
    </row>
    <row r="730" spans="1:12" ht="13.9" hidden="1" x14ac:dyDescent="0.25">
      <c r="A730" s="12">
        <v>7009</v>
      </c>
      <c r="B730" s="12">
        <v>1020043</v>
      </c>
      <c r="C730" s="12" t="s">
        <v>13</v>
      </c>
      <c r="D730" s="12" t="s">
        <v>14</v>
      </c>
      <c r="E730" s="14">
        <v>44803</v>
      </c>
      <c r="F730" s="12" t="s">
        <v>18</v>
      </c>
      <c r="G730" s="12" t="s">
        <v>19</v>
      </c>
      <c r="H730" s="12" t="s">
        <v>40</v>
      </c>
      <c r="I730" s="12">
        <v>229.999</v>
      </c>
      <c r="J730" s="12">
        <v>192.476</v>
      </c>
      <c r="K730" s="12">
        <v>3.6</v>
      </c>
    </row>
    <row r="731" spans="1:12" ht="13.9" hidden="1" x14ac:dyDescent="0.25">
      <c r="A731" s="15">
        <v>7010</v>
      </c>
      <c r="B731" s="12">
        <v>1020050</v>
      </c>
      <c r="C731" s="12" t="s">
        <v>13</v>
      </c>
      <c r="D731" s="12" t="s">
        <v>14</v>
      </c>
      <c r="E731" s="14">
        <v>44804</v>
      </c>
      <c r="F731" s="12" t="s">
        <v>18</v>
      </c>
      <c r="G731" s="12" t="s">
        <v>19</v>
      </c>
      <c r="H731" s="12" t="s">
        <v>40</v>
      </c>
      <c r="I731" s="12">
        <v>229.999</v>
      </c>
      <c r="J731" s="12">
        <v>185.54900000000001</v>
      </c>
      <c r="K731" s="12">
        <v>4.2</v>
      </c>
    </row>
    <row r="732" spans="1:12" ht="13.9" hidden="1" x14ac:dyDescent="0.25">
      <c r="A732" s="12">
        <v>7011</v>
      </c>
      <c r="B732" s="12">
        <v>1020153</v>
      </c>
      <c r="C732" s="12" t="s">
        <v>13</v>
      </c>
      <c r="D732" s="12" t="s">
        <v>14</v>
      </c>
      <c r="E732" s="14">
        <v>44805</v>
      </c>
      <c r="F732" s="12" t="s">
        <v>18</v>
      </c>
      <c r="G732" s="12" t="s">
        <v>19</v>
      </c>
      <c r="H732" s="12" t="s">
        <v>40</v>
      </c>
      <c r="I732" s="12">
        <v>229.99799999999999</v>
      </c>
      <c r="J732" s="12">
        <v>191.62</v>
      </c>
      <c r="K732" s="12">
        <v>3.9</v>
      </c>
    </row>
    <row r="733" spans="1:12" ht="13.9" hidden="1" x14ac:dyDescent="0.25">
      <c r="A733" s="12">
        <v>7012</v>
      </c>
      <c r="B733" s="12">
        <v>1020210</v>
      </c>
      <c r="C733" s="12" t="s">
        <v>13</v>
      </c>
      <c r="D733" s="12" t="s">
        <v>14</v>
      </c>
      <c r="E733" s="14">
        <v>44806</v>
      </c>
      <c r="F733" s="12" t="s">
        <v>18</v>
      </c>
      <c r="G733" s="12" t="s">
        <v>19</v>
      </c>
      <c r="H733" s="12" t="s">
        <v>40</v>
      </c>
      <c r="I733" s="12">
        <v>229.99799999999999</v>
      </c>
      <c r="J733" s="12">
        <v>181.25299999999999</v>
      </c>
      <c r="K733" s="12">
        <v>4.4000000000000004</v>
      </c>
    </row>
    <row r="734" spans="1:12" x14ac:dyDescent="0.25">
      <c r="A734" s="12">
        <v>7013</v>
      </c>
      <c r="B734" s="12">
        <v>1020290</v>
      </c>
      <c r="C734" s="12" t="s">
        <v>13</v>
      </c>
      <c r="D734" s="12" t="s">
        <v>14</v>
      </c>
      <c r="E734" s="14">
        <v>44807</v>
      </c>
      <c r="F734" s="12" t="s">
        <v>17</v>
      </c>
      <c r="G734" s="12" t="s">
        <v>20</v>
      </c>
      <c r="H734" s="12" t="s">
        <v>44</v>
      </c>
      <c r="I734" s="12">
        <v>230.00800000000001</v>
      </c>
      <c r="J734" s="12">
        <v>182.7</v>
      </c>
      <c r="K734" s="12">
        <v>4.3</v>
      </c>
      <c r="L734" s="12">
        <v>12.9</v>
      </c>
    </row>
    <row r="735" spans="1:12" ht="13.9" hidden="1" x14ac:dyDescent="0.25">
      <c r="A735" s="12">
        <v>7014</v>
      </c>
      <c r="B735" s="12">
        <v>1020362</v>
      </c>
      <c r="C735" s="12" t="s">
        <v>13</v>
      </c>
      <c r="D735" s="12" t="s">
        <v>14</v>
      </c>
      <c r="E735" s="14">
        <v>44808</v>
      </c>
      <c r="F735" s="12" t="s">
        <v>18</v>
      </c>
      <c r="G735" s="12" t="s">
        <v>19</v>
      </c>
      <c r="H735" s="12" t="s">
        <v>40</v>
      </c>
      <c r="I735" s="12">
        <v>230.005</v>
      </c>
      <c r="J735" s="12">
        <v>190.23400000000001</v>
      </c>
      <c r="K735" s="12">
        <v>4.2</v>
      </c>
    </row>
    <row r="736" spans="1:12" ht="13.9" hidden="1" x14ac:dyDescent="0.25">
      <c r="A736" s="12">
        <v>7015</v>
      </c>
      <c r="B736" s="12">
        <v>1020439</v>
      </c>
      <c r="C736" s="12" t="s">
        <v>13</v>
      </c>
      <c r="D736" s="12" t="s">
        <v>14</v>
      </c>
      <c r="E736" s="14">
        <v>44809</v>
      </c>
      <c r="F736" s="12" t="s">
        <v>18</v>
      </c>
      <c r="G736" s="12" t="s">
        <v>19</v>
      </c>
      <c r="H736" s="12" t="s">
        <v>40</v>
      </c>
      <c r="I736" s="12">
        <v>230.006</v>
      </c>
      <c r="J736" s="12">
        <v>189.21899999999999</v>
      </c>
      <c r="K736" s="12">
        <v>3.7</v>
      </c>
    </row>
    <row r="737" spans="1:12" ht="13.9" hidden="1" x14ac:dyDescent="0.25">
      <c r="A737" s="12">
        <v>7016</v>
      </c>
      <c r="B737" s="12">
        <v>1020455</v>
      </c>
      <c r="C737" s="12" t="s">
        <v>13</v>
      </c>
      <c r="D737" s="12" t="s">
        <v>14</v>
      </c>
      <c r="E737" s="14">
        <v>44810</v>
      </c>
      <c r="F737" s="12" t="s">
        <v>18</v>
      </c>
      <c r="G737" s="12" t="s">
        <v>19</v>
      </c>
      <c r="H737" s="12" t="s">
        <v>40</v>
      </c>
      <c r="I737" s="12">
        <v>230</v>
      </c>
      <c r="J737" s="12">
        <v>193.83099999999999</v>
      </c>
      <c r="K737" s="12">
        <v>4.5999999999999996</v>
      </c>
    </row>
    <row r="738" spans="1:12" ht="13.9" hidden="1" x14ac:dyDescent="0.25">
      <c r="A738" s="12">
        <v>7017</v>
      </c>
      <c r="B738" s="12">
        <v>1020458</v>
      </c>
      <c r="C738" s="12" t="s">
        <v>13</v>
      </c>
      <c r="D738" s="12" t="s">
        <v>14</v>
      </c>
      <c r="E738" s="14">
        <v>44811</v>
      </c>
      <c r="F738" s="12" t="s">
        <v>18</v>
      </c>
      <c r="G738" s="12" t="s">
        <v>19</v>
      </c>
      <c r="H738" s="12" t="s">
        <v>40</v>
      </c>
      <c r="I738" s="12">
        <v>230</v>
      </c>
      <c r="J738" s="12">
        <v>187.744</v>
      </c>
      <c r="K738" s="12">
        <v>3.7</v>
      </c>
    </row>
    <row r="739" spans="1:12" x14ac:dyDescent="0.25">
      <c r="A739" s="12">
        <v>7018</v>
      </c>
      <c r="B739" s="12">
        <v>1020535</v>
      </c>
      <c r="C739" s="12" t="s">
        <v>13</v>
      </c>
      <c r="D739" s="12" t="s">
        <v>14</v>
      </c>
      <c r="E739" s="14">
        <v>44812</v>
      </c>
      <c r="F739" s="12" t="s">
        <v>18</v>
      </c>
      <c r="G739" s="12" t="s">
        <v>19</v>
      </c>
      <c r="H739" s="12" t="s">
        <v>40</v>
      </c>
      <c r="I739" s="12">
        <v>229.994</v>
      </c>
      <c r="J739" s="12">
        <v>186.20699999999999</v>
      </c>
      <c r="K739" s="12">
        <v>4.0999999999999996</v>
      </c>
      <c r="L739" s="12">
        <v>13.6</v>
      </c>
    </row>
    <row r="740" spans="1:12" ht="13.9" hidden="1" x14ac:dyDescent="0.25">
      <c r="A740" s="12">
        <v>7019</v>
      </c>
      <c r="B740" s="12">
        <v>1020588</v>
      </c>
      <c r="C740" s="12" t="s">
        <v>13</v>
      </c>
      <c r="D740" s="12" t="s">
        <v>14</v>
      </c>
      <c r="E740" s="14">
        <v>44813</v>
      </c>
      <c r="F740" s="12" t="s">
        <v>18</v>
      </c>
      <c r="G740" s="12" t="s">
        <v>20</v>
      </c>
      <c r="H740" s="12" t="s">
        <v>42</v>
      </c>
      <c r="I740" s="12">
        <v>229.99299999999999</v>
      </c>
      <c r="J740" s="12">
        <v>177.238</v>
      </c>
      <c r="K740" s="12">
        <v>4</v>
      </c>
    </row>
    <row r="741" spans="1:12" ht="13.9" hidden="1" x14ac:dyDescent="0.25">
      <c r="A741" s="12">
        <v>7020</v>
      </c>
      <c r="B741" s="12">
        <v>1020679</v>
      </c>
      <c r="C741" s="12" t="s">
        <v>13</v>
      </c>
      <c r="D741" s="12" t="s">
        <v>14</v>
      </c>
      <c r="E741" s="14">
        <v>44814</v>
      </c>
      <c r="F741" s="12" t="s">
        <v>18</v>
      </c>
      <c r="G741" s="12" t="s">
        <v>20</v>
      </c>
      <c r="H741" s="12" t="s">
        <v>42</v>
      </c>
      <c r="I741" s="12">
        <v>229.994</v>
      </c>
      <c r="J741" s="12">
        <v>187.88800000000001</v>
      </c>
      <c r="K741" s="12">
        <v>4.5999999999999996</v>
      </c>
    </row>
    <row r="742" spans="1:12" ht="13.9" hidden="1" x14ac:dyDescent="0.25">
      <c r="A742" s="12">
        <v>7021</v>
      </c>
      <c r="B742" s="12">
        <v>1020725</v>
      </c>
      <c r="C742" s="12" t="s">
        <v>13</v>
      </c>
      <c r="D742" s="12" t="s">
        <v>14</v>
      </c>
      <c r="E742" s="14">
        <v>44815</v>
      </c>
      <c r="F742" s="12" t="s">
        <v>17</v>
      </c>
      <c r="G742" s="12" t="s">
        <v>20</v>
      </c>
      <c r="H742" s="12" t="s">
        <v>56</v>
      </c>
      <c r="I742" s="12">
        <v>230.001</v>
      </c>
      <c r="J742" s="12">
        <v>187.32900000000001</v>
      </c>
      <c r="K742" s="12">
        <v>5.3</v>
      </c>
    </row>
    <row r="743" spans="1:12" x14ac:dyDescent="0.25">
      <c r="A743" s="12">
        <v>7022</v>
      </c>
      <c r="B743" s="12">
        <v>1020778</v>
      </c>
      <c r="C743" s="12" t="s">
        <v>13</v>
      </c>
      <c r="D743" s="12" t="s">
        <v>14</v>
      </c>
      <c r="E743" s="14">
        <v>44816</v>
      </c>
      <c r="F743" s="12" t="s">
        <v>18</v>
      </c>
      <c r="G743" s="12" t="s">
        <v>20</v>
      </c>
      <c r="H743" s="12" t="s">
        <v>42</v>
      </c>
      <c r="I743" s="12">
        <v>229.99799999999999</v>
      </c>
      <c r="J743" s="12">
        <v>197.32900000000001</v>
      </c>
      <c r="K743" s="12">
        <v>4.7</v>
      </c>
      <c r="L743" s="12">
        <v>10.8</v>
      </c>
    </row>
    <row r="744" spans="1:12" ht="13.9" hidden="1" x14ac:dyDescent="0.25">
      <c r="A744" s="12">
        <v>7023</v>
      </c>
      <c r="B744" s="12">
        <v>1020779</v>
      </c>
      <c r="C744" s="12" t="s">
        <v>13</v>
      </c>
      <c r="D744" s="12" t="s">
        <v>14</v>
      </c>
      <c r="E744" s="14">
        <v>44817</v>
      </c>
      <c r="F744" s="12" t="s">
        <v>18</v>
      </c>
      <c r="G744" s="12" t="s">
        <v>20</v>
      </c>
      <c r="H744" s="12" t="s">
        <v>42</v>
      </c>
      <c r="I744" s="12">
        <v>230.00899999999999</v>
      </c>
      <c r="J744" s="12">
        <v>184.25</v>
      </c>
      <c r="K744" s="12">
        <v>4.3</v>
      </c>
    </row>
    <row r="745" spans="1:12" ht="13.9" hidden="1" x14ac:dyDescent="0.25">
      <c r="A745" s="12">
        <v>7024</v>
      </c>
      <c r="B745" s="12">
        <v>1020809</v>
      </c>
      <c r="C745" s="12" t="s">
        <v>13</v>
      </c>
      <c r="D745" s="12" t="s">
        <v>14</v>
      </c>
      <c r="E745" s="14">
        <v>44818</v>
      </c>
      <c r="F745" s="12" t="s">
        <v>18</v>
      </c>
      <c r="G745" s="12" t="s">
        <v>20</v>
      </c>
      <c r="H745" s="12" t="s">
        <v>42</v>
      </c>
      <c r="I745" s="12">
        <v>230.00899999999999</v>
      </c>
      <c r="J745" s="12">
        <v>185.64</v>
      </c>
      <c r="K745" s="12">
        <v>4.7</v>
      </c>
    </row>
    <row r="746" spans="1:12" ht="13.9" hidden="1" x14ac:dyDescent="0.25">
      <c r="A746" s="12">
        <v>7025</v>
      </c>
      <c r="B746" s="12">
        <v>1020871</v>
      </c>
      <c r="C746" s="12" t="s">
        <v>13</v>
      </c>
      <c r="D746" s="12" t="s">
        <v>14</v>
      </c>
      <c r="E746" s="14">
        <v>44819</v>
      </c>
      <c r="F746" s="12" t="s">
        <v>18</v>
      </c>
      <c r="G746" s="12" t="s">
        <v>19</v>
      </c>
      <c r="H746" s="12" t="s">
        <v>40</v>
      </c>
      <c r="I746" s="12">
        <v>230.00700000000001</v>
      </c>
      <c r="J746" s="12">
        <v>190.87899999999999</v>
      </c>
      <c r="K746" s="12">
        <v>3.9</v>
      </c>
    </row>
    <row r="747" spans="1:12" ht="13.9" hidden="1" x14ac:dyDescent="0.25">
      <c r="A747" s="12">
        <v>7026</v>
      </c>
      <c r="B747" s="12">
        <v>1020920</v>
      </c>
      <c r="C747" s="12" t="s">
        <v>13</v>
      </c>
      <c r="D747" s="12" t="s">
        <v>14</v>
      </c>
      <c r="E747" s="14">
        <v>44820</v>
      </c>
      <c r="F747" s="12" t="s">
        <v>18</v>
      </c>
      <c r="G747" s="12" t="s">
        <v>19</v>
      </c>
      <c r="H747" s="12" t="s">
        <v>40</v>
      </c>
      <c r="I747" s="12">
        <v>230.00800000000001</v>
      </c>
      <c r="J747" s="12">
        <v>185.90799999999999</v>
      </c>
      <c r="K747" s="12">
        <v>4.5</v>
      </c>
    </row>
    <row r="748" spans="1:12" ht="13.9" hidden="1" x14ac:dyDescent="0.25">
      <c r="A748" s="12">
        <v>7027</v>
      </c>
      <c r="B748" s="12">
        <v>1020963</v>
      </c>
      <c r="C748" s="12" t="s">
        <v>13</v>
      </c>
      <c r="D748" s="12" t="s">
        <v>14</v>
      </c>
      <c r="E748" s="14">
        <v>44821</v>
      </c>
      <c r="F748" s="12" t="s">
        <v>18</v>
      </c>
      <c r="G748" s="12" t="s">
        <v>19</v>
      </c>
      <c r="H748" s="12" t="s">
        <v>40</v>
      </c>
      <c r="I748" s="12">
        <v>230.006</v>
      </c>
      <c r="J748" s="12">
        <v>189.53299999999999</v>
      </c>
      <c r="K748" s="12">
        <v>4.2</v>
      </c>
    </row>
    <row r="749" spans="1:12" ht="13.9" hidden="1" x14ac:dyDescent="0.25">
      <c r="A749" s="12">
        <v>7028</v>
      </c>
      <c r="B749" s="12">
        <v>1021035</v>
      </c>
      <c r="C749" s="12" t="s">
        <v>13</v>
      </c>
      <c r="D749" s="12" t="s">
        <v>14</v>
      </c>
      <c r="E749" s="14">
        <v>44822</v>
      </c>
      <c r="F749" s="12" t="s">
        <v>18</v>
      </c>
      <c r="G749" s="12" t="s">
        <v>19</v>
      </c>
      <c r="H749" s="12" t="s">
        <v>40</v>
      </c>
      <c r="I749" s="12">
        <v>230.006</v>
      </c>
      <c r="J749" s="12">
        <v>184.15899999999999</v>
      </c>
      <c r="K749" s="12">
        <v>4.4000000000000004</v>
      </c>
    </row>
    <row r="750" spans="1:12" ht="13.9" hidden="1" x14ac:dyDescent="0.25">
      <c r="A750" s="12">
        <v>7029</v>
      </c>
      <c r="B750" s="12">
        <v>1021036</v>
      </c>
      <c r="C750" s="12" t="s">
        <v>13</v>
      </c>
      <c r="D750" s="12" t="s">
        <v>14</v>
      </c>
      <c r="E750" s="14">
        <v>44823</v>
      </c>
      <c r="F750" s="12" t="s">
        <v>37</v>
      </c>
      <c r="G750" s="12" t="s">
        <v>19</v>
      </c>
      <c r="H750" s="12" t="s">
        <v>40</v>
      </c>
      <c r="I750" s="12">
        <v>230.00700000000001</v>
      </c>
      <c r="J750" s="12">
        <v>191.32400000000001</v>
      </c>
      <c r="K750" s="12">
        <v>3.5</v>
      </c>
    </row>
    <row r="751" spans="1:12" ht="13.9" hidden="1" x14ac:dyDescent="0.25">
      <c r="A751" s="12">
        <v>7030</v>
      </c>
      <c r="B751" s="12">
        <v>1021037</v>
      </c>
      <c r="C751" s="12" t="s">
        <v>13</v>
      </c>
      <c r="D751" s="12" t="s">
        <v>14</v>
      </c>
      <c r="E751" s="14">
        <v>44824</v>
      </c>
      <c r="F751" s="12" t="s">
        <v>37</v>
      </c>
      <c r="G751" s="12" t="s">
        <v>19</v>
      </c>
      <c r="H751" s="12" t="s">
        <v>40</v>
      </c>
      <c r="I751" s="12">
        <v>230.00700000000001</v>
      </c>
      <c r="J751" s="12">
        <v>187.852</v>
      </c>
      <c r="K751" s="12">
        <v>4.0999999999999996</v>
      </c>
    </row>
    <row r="752" spans="1:12" ht="13.9" hidden="1" x14ac:dyDescent="0.25">
      <c r="A752" s="12">
        <v>7031</v>
      </c>
      <c r="B752" s="12">
        <v>1021117</v>
      </c>
      <c r="C752" s="12" t="s">
        <v>13</v>
      </c>
      <c r="D752" s="12" t="s">
        <v>14</v>
      </c>
      <c r="E752" s="14">
        <v>44825</v>
      </c>
      <c r="F752" s="12" t="s">
        <v>37</v>
      </c>
      <c r="G752" s="12" t="s">
        <v>19</v>
      </c>
      <c r="H752" s="12" t="s">
        <v>40</v>
      </c>
      <c r="I752" s="12">
        <v>230.005</v>
      </c>
      <c r="J752" s="12">
        <v>183.15600000000001</v>
      </c>
      <c r="K752" s="12">
        <v>4.2</v>
      </c>
    </row>
    <row r="753" spans="1:12" ht="13.9" hidden="1" x14ac:dyDescent="0.25">
      <c r="A753" s="12">
        <v>7032</v>
      </c>
      <c r="B753" s="12">
        <v>1021215</v>
      </c>
      <c r="C753" s="12" t="s">
        <v>13</v>
      </c>
      <c r="D753" s="12" t="s">
        <v>14</v>
      </c>
      <c r="E753" s="14">
        <v>44826</v>
      </c>
      <c r="F753" s="12" t="s">
        <v>37</v>
      </c>
      <c r="G753" s="12" t="s">
        <v>19</v>
      </c>
      <c r="H753" s="12" t="s">
        <v>40</v>
      </c>
      <c r="I753" s="12">
        <v>230.00399999999999</v>
      </c>
      <c r="J753" s="12">
        <v>195.542</v>
      </c>
      <c r="K753" s="12">
        <v>4.3</v>
      </c>
    </row>
    <row r="754" spans="1:12" x14ac:dyDescent="0.25">
      <c r="A754" s="12">
        <v>7033</v>
      </c>
      <c r="B754" s="12">
        <v>1021314</v>
      </c>
      <c r="C754" s="12" t="s">
        <v>13</v>
      </c>
      <c r="D754" s="12" t="s">
        <v>14</v>
      </c>
      <c r="E754" s="14">
        <v>44827</v>
      </c>
      <c r="F754" s="12" t="s">
        <v>17</v>
      </c>
      <c r="G754" s="12" t="s">
        <v>19</v>
      </c>
      <c r="H754" s="12" t="s">
        <v>54</v>
      </c>
      <c r="I754" s="12">
        <v>229.99700000000001</v>
      </c>
      <c r="J754" s="12">
        <v>195.53100000000001</v>
      </c>
      <c r="K754" s="12">
        <v>3.9</v>
      </c>
      <c r="L754" s="12">
        <v>12</v>
      </c>
    </row>
    <row r="755" spans="1:12" ht="13.9" hidden="1" x14ac:dyDescent="0.25">
      <c r="A755" s="12">
        <v>7034</v>
      </c>
      <c r="B755" s="12">
        <v>1021379</v>
      </c>
      <c r="C755" s="12" t="s">
        <v>13</v>
      </c>
      <c r="D755" s="12" t="s">
        <v>14</v>
      </c>
      <c r="E755" s="14">
        <v>44828</v>
      </c>
      <c r="F755" s="12" t="s">
        <v>17</v>
      </c>
      <c r="G755" s="12" t="s">
        <v>20</v>
      </c>
      <c r="H755" s="12" t="s">
        <v>56</v>
      </c>
      <c r="I755" s="12">
        <v>230.00299999999999</v>
      </c>
      <c r="J755" s="12">
        <v>196.52500000000001</v>
      </c>
      <c r="K755" s="12">
        <v>4.5999999999999996</v>
      </c>
    </row>
    <row r="756" spans="1:12" ht="13.9" hidden="1" x14ac:dyDescent="0.25">
      <c r="A756" s="12">
        <v>7035</v>
      </c>
      <c r="B756" s="12">
        <v>1021453</v>
      </c>
      <c r="C756" s="12" t="s">
        <v>13</v>
      </c>
      <c r="D756" s="12" t="s">
        <v>14</v>
      </c>
      <c r="E756" s="14">
        <v>44829</v>
      </c>
      <c r="F756" s="12" t="s">
        <v>17</v>
      </c>
      <c r="G756" s="12" t="s">
        <v>20</v>
      </c>
      <c r="H756" s="12" t="s">
        <v>56</v>
      </c>
      <c r="I756" s="12">
        <v>230.00200000000001</v>
      </c>
      <c r="J756" s="12">
        <v>199.01300000000001</v>
      </c>
      <c r="K756" s="12">
        <v>4.5</v>
      </c>
    </row>
    <row r="757" spans="1:12" x14ac:dyDescent="0.25">
      <c r="A757" s="12">
        <v>7036</v>
      </c>
      <c r="B757" s="12">
        <v>1021532</v>
      </c>
      <c r="C757" s="12" t="s">
        <v>13</v>
      </c>
      <c r="D757" s="12" t="s">
        <v>14</v>
      </c>
      <c r="E757" s="14">
        <v>44830</v>
      </c>
      <c r="F757" s="12" t="s">
        <v>18</v>
      </c>
      <c r="G757" s="12" t="s">
        <v>19</v>
      </c>
      <c r="H757" s="12" t="s">
        <v>40</v>
      </c>
      <c r="I757" s="12">
        <v>229.995</v>
      </c>
      <c r="J757" s="12">
        <v>191.22900000000001</v>
      </c>
      <c r="K757" s="12">
        <v>4.3</v>
      </c>
      <c r="L757" s="12">
        <v>13.7</v>
      </c>
    </row>
    <row r="758" spans="1:12" x14ac:dyDescent="0.25">
      <c r="A758" s="12">
        <v>7037</v>
      </c>
      <c r="B758" s="12">
        <v>1021533</v>
      </c>
      <c r="C758" s="12" t="s">
        <v>13</v>
      </c>
      <c r="D758" s="12" t="s">
        <v>14</v>
      </c>
      <c r="E758" s="14">
        <v>44831</v>
      </c>
      <c r="F758" s="12" t="s">
        <v>18</v>
      </c>
      <c r="G758" s="12" t="s">
        <v>19</v>
      </c>
      <c r="H758" s="12" t="s">
        <v>40</v>
      </c>
      <c r="I758" s="12">
        <v>230.00399999999999</v>
      </c>
      <c r="J758" s="12">
        <v>189.994</v>
      </c>
      <c r="K758" s="12">
        <v>3.9</v>
      </c>
      <c r="L758" s="12">
        <v>13.9</v>
      </c>
    </row>
    <row r="759" spans="1:12" x14ac:dyDescent="0.25">
      <c r="A759" s="12">
        <v>7038</v>
      </c>
      <c r="B759" s="12">
        <v>1021545</v>
      </c>
      <c r="C759" s="12" t="s">
        <v>13</v>
      </c>
      <c r="D759" s="12" t="s">
        <v>14</v>
      </c>
      <c r="E759" s="14">
        <v>44832</v>
      </c>
      <c r="F759" s="12" t="s">
        <v>18</v>
      </c>
      <c r="G759" s="12" t="s">
        <v>19</v>
      </c>
      <c r="H759" s="12" t="s">
        <v>40</v>
      </c>
      <c r="I759" s="12">
        <v>230.00299999999999</v>
      </c>
      <c r="J759" s="12">
        <v>192.19900000000001</v>
      </c>
      <c r="K759" s="12">
        <v>4.0999999999999996</v>
      </c>
      <c r="L759" s="12">
        <v>13.9</v>
      </c>
    </row>
    <row r="760" spans="1:12" ht="13.9" hidden="1" x14ac:dyDescent="0.25">
      <c r="A760" s="12">
        <v>7039</v>
      </c>
      <c r="B760" s="12">
        <v>1021652</v>
      </c>
      <c r="C760" s="12" t="s">
        <v>13</v>
      </c>
      <c r="D760" s="12" t="s">
        <v>14</v>
      </c>
      <c r="E760" s="14">
        <v>44833</v>
      </c>
      <c r="F760" s="12" t="s">
        <v>18</v>
      </c>
      <c r="G760" s="12" t="s">
        <v>19</v>
      </c>
      <c r="H760" s="12" t="s">
        <v>40</v>
      </c>
      <c r="I760" s="12">
        <v>230</v>
      </c>
      <c r="J760" s="12">
        <v>191.904</v>
      </c>
      <c r="K760" s="12">
        <v>4.0999999999999996</v>
      </c>
    </row>
    <row r="761" spans="1:12" ht="13.9" hidden="1" x14ac:dyDescent="0.25">
      <c r="A761" s="12">
        <v>7040</v>
      </c>
      <c r="B761" s="12">
        <v>1021762</v>
      </c>
      <c r="C761" s="12" t="s">
        <v>13</v>
      </c>
      <c r="D761" s="12" t="s">
        <v>14</v>
      </c>
      <c r="E761" s="14">
        <v>44834</v>
      </c>
      <c r="F761" s="12" t="s">
        <v>18</v>
      </c>
      <c r="G761" s="12" t="s">
        <v>19</v>
      </c>
      <c r="H761" s="12" t="s">
        <v>40</v>
      </c>
      <c r="I761" s="12">
        <v>230.001</v>
      </c>
      <c r="J761" s="12">
        <v>189.059</v>
      </c>
      <c r="K761" s="12">
        <v>4.0999999999999996</v>
      </c>
    </row>
    <row r="762" spans="1:12" x14ac:dyDescent="0.25">
      <c r="A762" s="12">
        <v>7041</v>
      </c>
      <c r="B762" s="12">
        <v>1021807</v>
      </c>
      <c r="C762" s="12" t="s">
        <v>13</v>
      </c>
      <c r="D762" s="12" t="s">
        <v>14</v>
      </c>
      <c r="E762" s="14">
        <v>44835</v>
      </c>
      <c r="F762" s="12" t="s">
        <v>17</v>
      </c>
      <c r="G762" s="12" t="s">
        <v>19</v>
      </c>
      <c r="H762" s="12" t="s">
        <v>55</v>
      </c>
      <c r="I762" s="12">
        <v>230.02500000000001</v>
      </c>
      <c r="J762" s="12">
        <v>195.571</v>
      </c>
      <c r="K762" s="12">
        <v>4.3</v>
      </c>
      <c r="L762" s="12">
        <v>12</v>
      </c>
    </row>
    <row r="763" spans="1:12" ht="13.9" hidden="1" x14ac:dyDescent="0.25">
      <c r="A763" s="12">
        <v>7042</v>
      </c>
      <c r="B763" s="12">
        <v>1021896</v>
      </c>
      <c r="C763" s="12" t="s">
        <v>13</v>
      </c>
      <c r="D763" s="12" t="s">
        <v>14</v>
      </c>
      <c r="E763" s="14">
        <v>44836</v>
      </c>
      <c r="F763" s="12" t="s">
        <v>18</v>
      </c>
      <c r="G763" s="12" t="s">
        <v>19</v>
      </c>
      <c r="H763" s="12" t="s">
        <v>40</v>
      </c>
      <c r="I763" s="12">
        <v>229.999</v>
      </c>
      <c r="J763" s="12">
        <v>190.751</v>
      </c>
      <c r="K763" s="12">
        <v>4.3</v>
      </c>
    </row>
    <row r="764" spans="1:12" ht="13.9" hidden="1" x14ac:dyDescent="0.25">
      <c r="A764" s="12">
        <v>7043</v>
      </c>
      <c r="B764" s="12">
        <v>1021997</v>
      </c>
      <c r="C764" s="12" t="s">
        <v>13</v>
      </c>
      <c r="D764" s="12" t="s">
        <v>14</v>
      </c>
      <c r="E764" s="14">
        <v>44837</v>
      </c>
      <c r="F764" s="12" t="s">
        <v>18</v>
      </c>
      <c r="G764" s="12" t="s">
        <v>19</v>
      </c>
      <c r="H764" s="12" t="s">
        <v>40</v>
      </c>
      <c r="I764" s="12">
        <v>229.99799999999999</v>
      </c>
      <c r="J764" s="12">
        <v>188.602</v>
      </c>
      <c r="K764" s="12">
        <v>4.2</v>
      </c>
    </row>
    <row r="765" spans="1:12" x14ac:dyDescent="0.25">
      <c r="A765" s="12">
        <v>7044</v>
      </c>
      <c r="B765" s="12">
        <v>1021999</v>
      </c>
      <c r="C765" s="12" t="s">
        <v>13</v>
      </c>
      <c r="D765" s="12" t="s">
        <v>14</v>
      </c>
      <c r="E765" s="14">
        <v>44838</v>
      </c>
      <c r="F765" s="12" t="s">
        <v>18</v>
      </c>
      <c r="G765" s="12" t="s">
        <v>19</v>
      </c>
      <c r="H765" s="12" t="s">
        <v>40</v>
      </c>
      <c r="I765" s="12">
        <v>230.00399999999999</v>
      </c>
      <c r="J765" s="12">
        <v>192.571</v>
      </c>
      <c r="K765" s="12">
        <v>4.4000000000000004</v>
      </c>
      <c r="L765" s="12">
        <v>13.6</v>
      </c>
    </row>
    <row r="766" spans="1:12" ht="13.9" hidden="1" x14ac:dyDescent="0.25">
      <c r="A766" s="12">
        <v>7045</v>
      </c>
      <c r="B766" s="12">
        <v>1022008</v>
      </c>
      <c r="C766" s="12" t="s">
        <v>13</v>
      </c>
      <c r="D766" s="12" t="s">
        <v>14</v>
      </c>
      <c r="E766" s="14">
        <v>44839</v>
      </c>
      <c r="F766" s="12" t="s">
        <v>18</v>
      </c>
      <c r="G766" s="12" t="s">
        <v>19</v>
      </c>
      <c r="H766" s="12" t="s">
        <v>40</v>
      </c>
      <c r="I766" s="12">
        <v>230.00399999999999</v>
      </c>
      <c r="J766" s="12">
        <v>188.203</v>
      </c>
      <c r="K766" s="12">
        <v>3.8</v>
      </c>
    </row>
    <row r="767" spans="1:12" x14ac:dyDescent="0.25">
      <c r="A767" s="12">
        <v>7046</v>
      </c>
      <c r="B767" s="12">
        <v>1022144</v>
      </c>
      <c r="C767" s="12" t="s">
        <v>13</v>
      </c>
      <c r="D767" s="12" t="s">
        <v>14</v>
      </c>
      <c r="E767" s="14">
        <v>44840</v>
      </c>
      <c r="F767" s="12" t="s">
        <v>18</v>
      </c>
      <c r="G767" s="12" t="s">
        <v>19</v>
      </c>
      <c r="H767" s="12" t="s">
        <v>40</v>
      </c>
      <c r="I767" s="12">
        <v>230.005</v>
      </c>
      <c r="J767" s="12">
        <v>189.00200000000001</v>
      </c>
      <c r="K767" s="12">
        <v>3.9</v>
      </c>
      <c r="L767" s="12">
        <v>14</v>
      </c>
    </row>
    <row r="768" spans="1:12" x14ac:dyDescent="0.25">
      <c r="A768" s="12">
        <v>7047</v>
      </c>
      <c r="B768" s="12">
        <v>1022223</v>
      </c>
      <c r="C768" s="12" t="s">
        <v>13</v>
      </c>
      <c r="D768" s="12" t="s">
        <v>14</v>
      </c>
      <c r="E768" s="14">
        <v>44841</v>
      </c>
      <c r="F768" s="12" t="s">
        <v>17</v>
      </c>
      <c r="G768" s="12" t="s">
        <v>19</v>
      </c>
      <c r="H768" s="12" t="s">
        <v>78</v>
      </c>
      <c r="I768" s="12">
        <v>230.02500000000001</v>
      </c>
      <c r="J768" s="12">
        <v>192.78800000000001</v>
      </c>
      <c r="K768" s="12">
        <v>3.8</v>
      </c>
      <c r="L768" s="12">
        <v>11.7</v>
      </c>
    </row>
    <row r="769" spans="1:12" x14ac:dyDescent="0.25">
      <c r="A769" s="12">
        <v>7048</v>
      </c>
      <c r="B769" s="12">
        <v>1022331</v>
      </c>
      <c r="C769" s="12" t="s">
        <v>13</v>
      </c>
      <c r="D769" s="12" t="s">
        <v>14</v>
      </c>
      <c r="E769" s="14">
        <v>44842</v>
      </c>
      <c r="F769" s="12" t="s">
        <v>17</v>
      </c>
      <c r="G769" s="12" t="s">
        <v>19</v>
      </c>
      <c r="H769" s="12" t="s">
        <v>41</v>
      </c>
      <c r="I769" s="12">
        <v>230.006</v>
      </c>
      <c r="J769" s="12">
        <v>188.601</v>
      </c>
      <c r="K769" s="12">
        <v>3.7</v>
      </c>
      <c r="L769" s="12">
        <v>13.9</v>
      </c>
    </row>
    <row r="770" spans="1:12" x14ac:dyDescent="0.25">
      <c r="A770" s="12">
        <v>7049</v>
      </c>
      <c r="B770" s="12">
        <v>1023530</v>
      </c>
      <c r="C770" s="12" t="s">
        <v>13</v>
      </c>
      <c r="D770" s="12" t="s">
        <v>14</v>
      </c>
      <c r="E770" s="14">
        <v>44856</v>
      </c>
      <c r="F770" s="12" t="s">
        <v>18</v>
      </c>
      <c r="G770" s="12" t="s">
        <v>20</v>
      </c>
      <c r="H770" s="12" t="s">
        <v>53</v>
      </c>
      <c r="I770" s="12">
        <v>230</v>
      </c>
      <c r="J770" s="12">
        <v>198.874</v>
      </c>
      <c r="K770" s="12">
        <v>3.6</v>
      </c>
      <c r="L770" s="12">
        <v>14.2</v>
      </c>
    </row>
    <row r="771" spans="1:12" ht="13.9" hidden="1" x14ac:dyDescent="0.25">
      <c r="A771" s="12">
        <v>7050</v>
      </c>
      <c r="B771" s="12">
        <v>1022509</v>
      </c>
      <c r="C771" s="12" t="s">
        <v>13</v>
      </c>
      <c r="D771" s="12" t="s">
        <v>14</v>
      </c>
      <c r="E771" s="14">
        <v>44844</v>
      </c>
      <c r="F771" s="12" t="s">
        <v>18</v>
      </c>
      <c r="G771" s="12" t="s">
        <v>19</v>
      </c>
      <c r="H771" s="12" t="s">
        <v>40</v>
      </c>
      <c r="I771" s="12">
        <v>230.005</v>
      </c>
      <c r="J771" s="12">
        <v>179.62200000000001</v>
      </c>
      <c r="K771" s="12">
        <v>4.3</v>
      </c>
    </row>
    <row r="772" spans="1:12" ht="13.9" hidden="1" x14ac:dyDescent="0.25">
      <c r="A772" s="12">
        <v>7051</v>
      </c>
      <c r="B772" s="12">
        <v>1022511</v>
      </c>
      <c r="C772" s="12" t="s">
        <v>13</v>
      </c>
      <c r="D772" s="12" t="s">
        <v>14</v>
      </c>
      <c r="E772" s="14">
        <v>44845</v>
      </c>
      <c r="F772" s="12" t="s">
        <v>18</v>
      </c>
      <c r="G772" s="12" t="s">
        <v>19</v>
      </c>
      <c r="H772" s="12" t="s">
        <v>40</v>
      </c>
      <c r="I772" s="12">
        <v>230.00399999999999</v>
      </c>
      <c r="J772" s="12">
        <v>202.07499999999999</v>
      </c>
      <c r="K772" s="12">
        <v>3.9</v>
      </c>
    </row>
    <row r="773" spans="1:12" ht="13.9" hidden="1" x14ac:dyDescent="0.25">
      <c r="A773" s="12">
        <v>7052</v>
      </c>
      <c r="B773" s="12">
        <v>1022514</v>
      </c>
      <c r="C773" s="12" t="s">
        <v>13</v>
      </c>
      <c r="D773" s="12" t="s">
        <v>14</v>
      </c>
      <c r="E773" s="14">
        <v>44846</v>
      </c>
      <c r="F773" s="12" t="s">
        <v>18</v>
      </c>
      <c r="G773" s="12" t="s">
        <v>19</v>
      </c>
      <c r="H773" s="12" t="s">
        <v>40</v>
      </c>
      <c r="I773" s="12">
        <v>230.01</v>
      </c>
      <c r="J773" s="12">
        <v>189.691</v>
      </c>
      <c r="K773" s="12">
        <v>3.9</v>
      </c>
    </row>
    <row r="774" spans="1:12" ht="13.9" hidden="1" x14ac:dyDescent="0.25">
      <c r="A774" s="12">
        <v>7053</v>
      </c>
      <c r="B774" s="12">
        <v>1022670</v>
      </c>
      <c r="C774" s="12" t="s">
        <v>13</v>
      </c>
      <c r="D774" s="12" t="s">
        <v>14</v>
      </c>
      <c r="E774" s="14">
        <v>44847</v>
      </c>
      <c r="F774" s="12" t="s">
        <v>18</v>
      </c>
      <c r="G774" s="12" t="s">
        <v>19</v>
      </c>
      <c r="H774" s="12" t="s">
        <v>40</v>
      </c>
      <c r="I774" s="12">
        <v>230.01</v>
      </c>
      <c r="J774" s="12">
        <v>192.87</v>
      </c>
      <c r="K774" s="12">
        <v>3.6</v>
      </c>
    </row>
    <row r="775" spans="1:12" x14ac:dyDescent="0.25">
      <c r="A775" s="12">
        <v>7054</v>
      </c>
      <c r="B775" s="12">
        <v>1022832</v>
      </c>
      <c r="C775" s="12" t="s">
        <v>13</v>
      </c>
      <c r="D775" s="12" t="s">
        <v>14</v>
      </c>
      <c r="E775" s="14">
        <v>44848</v>
      </c>
      <c r="F775" s="12" t="s">
        <v>17</v>
      </c>
      <c r="G775" s="12" t="s">
        <v>19</v>
      </c>
      <c r="H775" s="12" t="s">
        <v>58</v>
      </c>
      <c r="I775" s="12">
        <v>232</v>
      </c>
      <c r="J775" s="12">
        <v>197.88300000000001</v>
      </c>
      <c r="K775" s="12">
        <v>4.4000000000000004</v>
      </c>
      <c r="L775" s="12">
        <v>12</v>
      </c>
    </row>
    <row r="776" spans="1:12" ht="13.9" hidden="1" x14ac:dyDescent="0.25">
      <c r="A776" s="12">
        <v>7055</v>
      </c>
      <c r="B776" s="12">
        <v>1022947</v>
      </c>
      <c r="C776" s="12" t="s">
        <v>13</v>
      </c>
      <c r="D776" s="12" t="s">
        <v>14</v>
      </c>
      <c r="E776" s="14">
        <v>44849</v>
      </c>
      <c r="F776" s="12" t="s">
        <v>18</v>
      </c>
      <c r="G776" s="12" t="s">
        <v>20</v>
      </c>
      <c r="H776" s="12" t="s">
        <v>56</v>
      </c>
      <c r="I776" s="12">
        <v>234.99799999999999</v>
      </c>
      <c r="J776" s="12">
        <v>196.27600000000001</v>
      </c>
      <c r="K776" s="12">
        <v>4.7</v>
      </c>
    </row>
    <row r="777" spans="1:12" ht="13.9" hidden="1" x14ac:dyDescent="0.25">
      <c r="A777" s="12">
        <v>7056</v>
      </c>
      <c r="B777" s="12">
        <v>1023057</v>
      </c>
      <c r="C777" s="12" t="s">
        <v>13</v>
      </c>
      <c r="D777" s="12" t="s">
        <v>14</v>
      </c>
      <c r="E777" s="14">
        <v>44850</v>
      </c>
      <c r="F777" s="12" t="s">
        <v>18</v>
      </c>
      <c r="G777" s="12" t="s">
        <v>20</v>
      </c>
      <c r="H777" s="12" t="s">
        <v>56</v>
      </c>
      <c r="I777" s="12">
        <v>234.99799999999999</v>
      </c>
      <c r="J777" s="12">
        <v>203.21700000000001</v>
      </c>
      <c r="K777" s="12">
        <v>4.8</v>
      </c>
    </row>
    <row r="778" spans="1:12" ht="13.9" hidden="1" x14ac:dyDescent="0.25">
      <c r="A778" s="12">
        <v>7057</v>
      </c>
      <c r="B778" s="12">
        <v>1023181</v>
      </c>
      <c r="C778" s="12" t="s">
        <v>13</v>
      </c>
      <c r="D778" s="12" t="s">
        <v>14</v>
      </c>
      <c r="E778" s="14">
        <v>44851</v>
      </c>
      <c r="F778" s="12" t="s">
        <v>17</v>
      </c>
      <c r="G778" s="12" t="s">
        <v>19</v>
      </c>
      <c r="H778" s="12" t="s">
        <v>55</v>
      </c>
      <c r="I778" s="12">
        <v>232.005</v>
      </c>
      <c r="J778" s="12">
        <v>195.09200000000001</v>
      </c>
      <c r="K778" s="12">
        <v>4.3</v>
      </c>
    </row>
    <row r="779" spans="1:12" ht="13.9" hidden="1" x14ac:dyDescent="0.25">
      <c r="A779" s="12">
        <v>7058</v>
      </c>
      <c r="B779" s="12">
        <v>1023196</v>
      </c>
      <c r="C779" s="12" t="s">
        <v>13</v>
      </c>
      <c r="D779" s="12" t="s">
        <v>14</v>
      </c>
      <c r="E779" s="14">
        <v>44852</v>
      </c>
      <c r="F779" s="12" t="s">
        <v>18</v>
      </c>
      <c r="G779" s="12" t="s">
        <v>19</v>
      </c>
      <c r="H779" s="12" t="s">
        <v>40</v>
      </c>
      <c r="I779" s="12">
        <v>230.00700000000001</v>
      </c>
      <c r="J779" s="12">
        <v>189.846</v>
      </c>
      <c r="K779" s="12">
        <v>4.2</v>
      </c>
    </row>
    <row r="780" spans="1:12" ht="13.9" hidden="1" x14ac:dyDescent="0.25">
      <c r="A780" s="12">
        <v>7059</v>
      </c>
      <c r="B780" s="12">
        <v>1023242</v>
      </c>
      <c r="C780" s="12" t="s">
        <v>13</v>
      </c>
      <c r="D780" s="12" t="s">
        <v>14</v>
      </c>
      <c r="E780" s="14">
        <v>44853</v>
      </c>
      <c r="F780" s="12" t="s">
        <v>18</v>
      </c>
      <c r="G780" s="12" t="s">
        <v>19</v>
      </c>
      <c r="H780" s="12" t="s">
        <v>40</v>
      </c>
      <c r="I780" s="12">
        <v>230.00700000000001</v>
      </c>
      <c r="J780" s="12">
        <v>190.75</v>
      </c>
      <c r="K780" s="12">
        <v>4.0999999999999996</v>
      </c>
    </row>
    <row r="781" spans="1:12" ht="13.9" hidden="1" x14ac:dyDescent="0.25">
      <c r="A781" s="12">
        <v>7060</v>
      </c>
      <c r="B781" s="12">
        <v>1023366</v>
      </c>
      <c r="C781" s="12" t="s">
        <v>13</v>
      </c>
      <c r="D781" s="12" t="s">
        <v>14</v>
      </c>
      <c r="E781" s="14">
        <v>44854</v>
      </c>
      <c r="F781" s="12" t="s">
        <v>18</v>
      </c>
      <c r="G781" s="12" t="s">
        <v>19</v>
      </c>
      <c r="H781" s="12" t="s">
        <v>40</v>
      </c>
      <c r="I781" s="12">
        <v>230.005</v>
      </c>
      <c r="J781" s="12">
        <v>192.15199999999999</v>
      </c>
      <c r="K781" s="12">
        <v>4.2</v>
      </c>
    </row>
    <row r="782" spans="1:12" ht="13.9" hidden="1" x14ac:dyDescent="0.25">
      <c r="A782" s="12">
        <v>7061</v>
      </c>
      <c r="B782" s="12">
        <v>1023484</v>
      </c>
      <c r="C782" s="12" t="s">
        <v>13</v>
      </c>
      <c r="D782" s="12" t="s">
        <v>14</v>
      </c>
      <c r="E782" s="14">
        <v>44855</v>
      </c>
      <c r="F782" s="12" t="s">
        <v>18</v>
      </c>
      <c r="G782" s="12" t="s">
        <v>19</v>
      </c>
      <c r="H782" s="12" t="s">
        <v>40</v>
      </c>
      <c r="I782" s="12">
        <v>230.006</v>
      </c>
      <c r="J782" s="12">
        <v>189.43799999999999</v>
      </c>
      <c r="K782" s="12">
        <v>4.0999999999999996</v>
      </c>
    </row>
    <row r="783" spans="1:12" ht="13.9" hidden="1" x14ac:dyDescent="0.25">
      <c r="A783" s="12">
        <v>7062</v>
      </c>
      <c r="B783" s="12">
        <v>1023607</v>
      </c>
      <c r="C783" s="12" t="s">
        <v>13</v>
      </c>
      <c r="D783" s="12" t="s">
        <v>14</v>
      </c>
      <c r="E783" s="14">
        <v>44857</v>
      </c>
      <c r="F783" s="12" t="s">
        <v>18</v>
      </c>
      <c r="G783" s="12" t="s">
        <v>20</v>
      </c>
      <c r="H783" s="12" t="s">
        <v>53</v>
      </c>
      <c r="I783" s="12">
        <v>229.999</v>
      </c>
      <c r="J783" s="12">
        <v>196.98699999999999</v>
      </c>
      <c r="K783" s="12">
        <v>4.9000000000000004</v>
      </c>
    </row>
    <row r="784" spans="1:12" ht="13.9" hidden="1" x14ac:dyDescent="0.25">
      <c r="A784" s="12">
        <v>7063</v>
      </c>
      <c r="B784" s="12">
        <v>1023754</v>
      </c>
      <c r="C784" s="12" t="s">
        <v>13</v>
      </c>
      <c r="D784" s="12" t="s">
        <v>14</v>
      </c>
      <c r="E784" s="14">
        <v>44858</v>
      </c>
      <c r="F784" s="12" t="s">
        <v>18</v>
      </c>
      <c r="G784" s="12" t="s">
        <v>19</v>
      </c>
      <c r="H784" s="12" t="s">
        <v>40</v>
      </c>
      <c r="I784" s="12">
        <v>229.98500000000001</v>
      </c>
      <c r="J784" s="12">
        <v>190.767</v>
      </c>
      <c r="K784" s="12">
        <v>5.4</v>
      </c>
    </row>
    <row r="785" spans="1:12" x14ac:dyDescent="0.25">
      <c r="A785" s="12">
        <v>7064</v>
      </c>
      <c r="B785" s="12">
        <v>1023864</v>
      </c>
      <c r="C785" s="12" t="s">
        <v>13</v>
      </c>
      <c r="D785" s="12" t="s">
        <v>14</v>
      </c>
      <c r="E785" s="14">
        <v>44859</v>
      </c>
      <c r="F785" s="12" t="s">
        <v>18</v>
      </c>
      <c r="G785" s="12" t="s">
        <v>19</v>
      </c>
      <c r="H785" s="12" t="s">
        <v>40</v>
      </c>
      <c r="I785" s="12">
        <v>230.006</v>
      </c>
      <c r="J785" s="12">
        <v>185.45400000000001</v>
      </c>
      <c r="K785" s="12">
        <v>4.3</v>
      </c>
      <c r="L785" s="12">
        <v>13.8</v>
      </c>
    </row>
    <row r="786" spans="1:12" ht="13.9" hidden="1" x14ac:dyDescent="0.25">
      <c r="A786" s="12">
        <v>7065</v>
      </c>
      <c r="B786" s="12">
        <v>1023866</v>
      </c>
      <c r="C786" s="12" t="s">
        <v>13</v>
      </c>
      <c r="D786" s="12" t="s">
        <v>14</v>
      </c>
      <c r="E786" s="14">
        <v>44860</v>
      </c>
      <c r="F786" s="12" t="s">
        <v>18</v>
      </c>
      <c r="G786" s="12" t="s">
        <v>19</v>
      </c>
      <c r="H786" s="12" t="s">
        <v>40</v>
      </c>
      <c r="I786" s="12">
        <v>230.005</v>
      </c>
      <c r="J786" s="12">
        <v>195.07499999999999</v>
      </c>
      <c r="K786" s="12">
        <v>4.3</v>
      </c>
    </row>
    <row r="787" spans="1:12" ht="13.9" hidden="1" x14ac:dyDescent="0.25">
      <c r="A787" s="12">
        <v>7066</v>
      </c>
      <c r="B787" s="12">
        <v>1023869</v>
      </c>
      <c r="C787" s="12" t="s">
        <v>13</v>
      </c>
      <c r="D787" s="12" t="s">
        <v>14</v>
      </c>
      <c r="E787" s="14">
        <v>44861</v>
      </c>
      <c r="F787" s="12" t="s">
        <v>18</v>
      </c>
      <c r="G787" s="12" t="s">
        <v>19</v>
      </c>
      <c r="H787" s="12" t="s">
        <v>40</v>
      </c>
      <c r="I787" s="12">
        <v>230.005</v>
      </c>
      <c r="J787" s="12">
        <v>185.70099999999999</v>
      </c>
      <c r="K787" s="12">
        <v>3.9</v>
      </c>
    </row>
    <row r="788" spans="1:12" ht="13.9" hidden="1" x14ac:dyDescent="0.25">
      <c r="A788" s="12">
        <v>7067</v>
      </c>
      <c r="B788" s="12">
        <v>1024047</v>
      </c>
      <c r="C788" s="12" t="s">
        <v>13</v>
      </c>
      <c r="D788" s="12" t="s">
        <v>14</v>
      </c>
      <c r="E788" s="14">
        <v>44862</v>
      </c>
      <c r="F788" s="12" t="s">
        <v>18</v>
      </c>
      <c r="G788" s="12" t="s">
        <v>19</v>
      </c>
      <c r="H788" s="12" t="s">
        <v>40</v>
      </c>
      <c r="I788" s="12">
        <v>230.00399999999999</v>
      </c>
      <c r="J788" s="12">
        <v>189.077</v>
      </c>
      <c r="K788" s="12">
        <v>3.8</v>
      </c>
    </row>
    <row r="789" spans="1:12" ht="13.9" hidden="1" x14ac:dyDescent="0.25">
      <c r="A789" s="12">
        <v>7068</v>
      </c>
      <c r="B789" s="12">
        <v>1024203</v>
      </c>
      <c r="C789" s="12" t="s">
        <v>13</v>
      </c>
      <c r="D789" s="12" t="s">
        <v>14</v>
      </c>
      <c r="E789" s="14">
        <v>44863</v>
      </c>
      <c r="F789" s="12" t="s">
        <v>18</v>
      </c>
      <c r="G789" s="12" t="s">
        <v>19</v>
      </c>
      <c r="H789" s="12" t="s">
        <v>55</v>
      </c>
      <c r="I789" s="12">
        <v>231.97900000000001</v>
      </c>
      <c r="J789" s="12">
        <v>191.76499999999999</v>
      </c>
      <c r="K789" s="12">
        <v>4</v>
      </c>
    </row>
    <row r="790" spans="1:12" ht="13.9" hidden="1" x14ac:dyDescent="0.25">
      <c r="A790" s="12">
        <v>7069</v>
      </c>
      <c r="B790" s="12">
        <v>1024325</v>
      </c>
      <c r="C790" s="12" t="s">
        <v>13</v>
      </c>
      <c r="D790" s="12" t="s">
        <v>14</v>
      </c>
      <c r="E790" s="14">
        <v>44864</v>
      </c>
      <c r="F790" s="12" t="s">
        <v>18</v>
      </c>
      <c r="G790" s="12" t="s">
        <v>19</v>
      </c>
      <c r="H790" s="12" t="s">
        <v>40</v>
      </c>
      <c r="I790" s="12">
        <v>230</v>
      </c>
      <c r="J790" s="12">
        <v>186.18600000000001</v>
      </c>
      <c r="K790" s="12">
        <v>4</v>
      </c>
    </row>
    <row r="791" spans="1:12" ht="13.9" hidden="1" x14ac:dyDescent="0.25">
      <c r="A791" s="12">
        <v>7070</v>
      </c>
      <c r="B791" s="12">
        <v>1024441</v>
      </c>
      <c r="C791" s="12" t="s">
        <v>13</v>
      </c>
      <c r="D791" s="12" t="s">
        <v>14</v>
      </c>
      <c r="E791" s="14">
        <v>44865</v>
      </c>
      <c r="F791" s="12" t="s">
        <v>18</v>
      </c>
      <c r="G791" s="12" t="s">
        <v>19</v>
      </c>
      <c r="H791" s="12" t="s">
        <v>40</v>
      </c>
      <c r="I791" s="12">
        <v>230</v>
      </c>
      <c r="J791" s="12">
        <v>192.89599999999999</v>
      </c>
      <c r="K791" s="12">
        <v>4</v>
      </c>
    </row>
    <row r="792" spans="1:12" ht="13.9" hidden="1" x14ac:dyDescent="0.25">
      <c r="A792" s="12">
        <v>7071</v>
      </c>
      <c r="B792" s="12">
        <v>1024564</v>
      </c>
      <c r="C792" s="12" t="s">
        <v>13</v>
      </c>
      <c r="D792" s="12" t="s">
        <v>14</v>
      </c>
      <c r="E792" s="14">
        <v>44866</v>
      </c>
      <c r="F792" s="12" t="s">
        <v>18</v>
      </c>
      <c r="G792" s="12" t="s">
        <v>20</v>
      </c>
      <c r="H792" s="12" t="s">
        <v>56</v>
      </c>
      <c r="I792" s="12">
        <v>235.03399999999999</v>
      </c>
      <c r="J792" s="12">
        <v>194.87</v>
      </c>
      <c r="K792" s="12">
        <v>5.8</v>
      </c>
    </row>
    <row r="793" spans="1:12" ht="13.9" hidden="1" x14ac:dyDescent="0.25">
      <c r="A793" s="12">
        <v>7072</v>
      </c>
      <c r="B793" s="12">
        <v>1024567</v>
      </c>
      <c r="C793" s="12" t="s">
        <v>13</v>
      </c>
      <c r="D793" s="12" t="s">
        <v>14</v>
      </c>
      <c r="E793" s="14">
        <v>44867</v>
      </c>
      <c r="F793" s="12" t="s">
        <v>18</v>
      </c>
      <c r="G793" s="12" t="s">
        <v>20</v>
      </c>
      <c r="H793" s="12" t="s">
        <v>56</v>
      </c>
      <c r="I793" s="12">
        <v>235.03399999999999</v>
      </c>
      <c r="J793" s="12">
        <v>188.35400000000001</v>
      </c>
      <c r="K793" s="12">
        <v>4.8</v>
      </c>
    </row>
    <row r="794" spans="1:12" ht="13.9" hidden="1" x14ac:dyDescent="0.25">
      <c r="A794" s="12">
        <v>7073</v>
      </c>
      <c r="B794" s="12">
        <v>1024600</v>
      </c>
      <c r="C794" s="12" t="s">
        <v>13</v>
      </c>
      <c r="D794" s="12" t="s">
        <v>14</v>
      </c>
      <c r="E794" s="14">
        <v>44868</v>
      </c>
      <c r="F794" s="12" t="s">
        <v>18</v>
      </c>
      <c r="G794" s="12" t="s">
        <v>20</v>
      </c>
      <c r="H794" s="12" t="s">
        <v>56</v>
      </c>
      <c r="I794" s="12">
        <v>234.999</v>
      </c>
      <c r="J794" s="12">
        <v>195.96199999999999</v>
      </c>
      <c r="K794" s="12">
        <v>3.9</v>
      </c>
    </row>
    <row r="795" spans="1:12" x14ac:dyDescent="0.25">
      <c r="A795" s="12">
        <v>7074</v>
      </c>
      <c r="B795" s="12">
        <v>1024796</v>
      </c>
      <c r="C795" s="12" t="s">
        <v>13</v>
      </c>
      <c r="D795" s="12" t="s">
        <v>14</v>
      </c>
      <c r="E795" s="14">
        <v>44869</v>
      </c>
      <c r="F795" s="12" t="s">
        <v>18</v>
      </c>
      <c r="G795" s="12" t="s">
        <v>20</v>
      </c>
      <c r="H795" s="12" t="s">
        <v>56</v>
      </c>
      <c r="I795" s="12">
        <v>235.01400000000001</v>
      </c>
      <c r="J795" s="12">
        <v>198.38200000000001</v>
      </c>
      <c r="K795" s="12">
        <v>5.7</v>
      </c>
      <c r="L795" s="12">
        <v>11.6</v>
      </c>
    </row>
    <row r="796" spans="1:12" ht="13.9" hidden="1" x14ac:dyDescent="0.25">
      <c r="A796" s="12">
        <v>7075</v>
      </c>
      <c r="B796" s="12">
        <v>1025001</v>
      </c>
      <c r="C796" s="12" t="s">
        <v>13</v>
      </c>
      <c r="D796" s="12" t="s">
        <v>14</v>
      </c>
      <c r="E796" s="14">
        <v>44870</v>
      </c>
      <c r="F796" s="12" t="s">
        <v>18</v>
      </c>
      <c r="G796" s="12" t="s">
        <v>20</v>
      </c>
      <c r="H796" s="12" t="s">
        <v>56</v>
      </c>
      <c r="I796" s="12">
        <v>235.01499999999999</v>
      </c>
      <c r="J796" s="12">
        <v>193.08199999999999</v>
      </c>
      <c r="K796" s="12">
        <v>5</v>
      </c>
    </row>
    <row r="797" spans="1:12" ht="13.9" hidden="1" x14ac:dyDescent="0.25">
      <c r="A797" s="12">
        <v>7076</v>
      </c>
      <c r="B797" s="12">
        <v>1025056</v>
      </c>
      <c r="C797" s="12" t="s">
        <v>13</v>
      </c>
      <c r="D797" s="12" t="s">
        <v>14</v>
      </c>
      <c r="E797" s="14">
        <v>44871</v>
      </c>
      <c r="F797" s="12" t="s">
        <v>18</v>
      </c>
      <c r="G797" s="12" t="s">
        <v>19</v>
      </c>
      <c r="H797" s="12" t="s">
        <v>55</v>
      </c>
      <c r="I797" s="12">
        <v>232.00800000000001</v>
      </c>
      <c r="J797" s="12">
        <v>194.23400000000001</v>
      </c>
      <c r="K797" s="12">
        <v>4.8</v>
      </c>
    </row>
    <row r="798" spans="1:12" ht="13.9" hidden="1" x14ac:dyDescent="0.25">
      <c r="A798" s="12">
        <v>7077</v>
      </c>
      <c r="B798" s="12">
        <v>1025203</v>
      </c>
      <c r="C798" s="12" t="s">
        <v>13</v>
      </c>
      <c r="D798" s="12" t="s">
        <v>14</v>
      </c>
      <c r="E798" s="14">
        <v>44872</v>
      </c>
      <c r="F798" s="12" t="s">
        <v>18</v>
      </c>
      <c r="G798" s="12" t="s">
        <v>19</v>
      </c>
      <c r="H798" s="12" t="s">
        <v>55</v>
      </c>
      <c r="I798" s="12">
        <v>232.00800000000001</v>
      </c>
      <c r="J798" s="12">
        <v>191.54499999999999</v>
      </c>
      <c r="K798" s="12">
        <v>4.0999999999999996</v>
      </c>
    </row>
    <row r="799" spans="1:12" ht="13.9" hidden="1" x14ac:dyDescent="0.25">
      <c r="A799" s="12">
        <v>7078</v>
      </c>
      <c r="B799" s="12">
        <v>1025300</v>
      </c>
      <c r="C799" s="12" t="s">
        <v>13</v>
      </c>
      <c r="D799" s="12" t="s">
        <v>14</v>
      </c>
      <c r="E799" s="14">
        <v>44873</v>
      </c>
      <c r="F799" s="12" t="s">
        <v>18</v>
      </c>
      <c r="G799" s="12" t="s">
        <v>19</v>
      </c>
      <c r="H799" s="12" t="s">
        <v>55</v>
      </c>
      <c r="I799" s="12">
        <v>231.97499999999999</v>
      </c>
      <c r="J799" s="12">
        <v>191.654</v>
      </c>
      <c r="K799" s="12">
        <v>4.0999999999999996</v>
      </c>
    </row>
    <row r="800" spans="1:12" x14ac:dyDescent="0.25">
      <c r="A800" s="12">
        <v>7079</v>
      </c>
      <c r="B800" s="12">
        <v>1025302</v>
      </c>
      <c r="C800" s="12" t="s">
        <v>13</v>
      </c>
      <c r="D800" s="12" t="s">
        <v>14</v>
      </c>
      <c r="E800" s="14">
        <v>44874</v>
      </c>
      <c r="F800" s="12" t="s">
        <v>18</v>
      </c>
      <c r="G800" s="12" t="s">
        <v>19</v>
      </c>
      <c r="H800" s="12" t="s">
        <v>55</v>
      </c>
      <c r="I800" s="12">
        <v>231.99700000000001</v>
      </c>
      <c r="J800" s="12">
        <v>201.74199999999999</v>
      </c>
      <c r="K800" s="12">
        <v>3.5</v>
      </c>
      <c r="L800" s="12">
        <v>12.1</v>
      </c>
    </row>
    <row r="801" spans="1:12" ht="13.9" hidden="1" x14ac:dyDescent="0.25">
      <c r="A801" s="12">
        <v>7080</v>
      </c>
      <c r="B801" s="12">
        <v>1025382</v>
      </c>
      <c r="C801" s="12" t="s">
        <v>13</v>
      </c>
      <c r="D801" s="12" t="s">
        <v>14</v>
      </c>
      <c r="E801" s="14">
        <v>44875</v>
      </c>
      <c r="F801" s="12" t="s">
        <v>18</v>
      </c>
      <c r="G801" s="12" t="s">
        <v>19</v>
      </c>
      <c r="H801" s="12" t="s">
        <v>55</v>
      </c>
      <c r="I801" s="12">
        <v>231.99600000000001</v>
      </c>
      <c r="J801" s="12">
        <v>191.374</v>
      </c>
      <c r="K801" s="12">
        <v>4.3</v>
      </c>
    </row>
    <row r="802" spans="1:12" ht="13.9" hidden="1" x14ac:dyDescent="0.25">
      <c r="A802" s="12">
        <v>7081</v>
      </c>
      <c r="B802" s="12">
        <v>1025388</v>
      </c>
      <c r="C802" s="12" t="s">
        <v>13</v>
      </c>
      <c r="D802" s="12" t="s">
        <v>14</v>
      </c>
      <c r="E802" s="14">
        <v>44876</v>
      </c>
      <c r="F802" s="12" t="s">
        <v>18</v>
      </c>
      <c r="G802" s="12" t="s">
        <v>20</v>
      </c>
      <c r="H802" s="12" t="s">
        <v>53</v>
      </c>
      <c r="I802" s="12">
        <v>235.02199999999999</v>
      </c>
      <c r="J802" s="12">
        <v>201.798</v>
      </c>
      <c r="K802" s="12">
        <v>3.7</v>
      </c>
    </row>
    <row r="803" spans="1:12" ht="13.9" hidden="1" x14ac:dyDescent="0.25">
      <c r="A803" s="12">
        <v>7082</v>
      </c>
      <c r="B803" s="12">
        <v>1025392</v>
      </c>
      <c r="C803" s="12" t="s">
        <v>13</v>
      </c>
      <c r="D803" s="12" t="s">
        <v>14</v>
      </c>
      <c r="E803" s="14">
        <v>44877</v>
      </c>
      <c r="F803" s="12" t="s">
        <v>18</v>
      </c>
      <c r="G803" s="12" t="s">
        <v>20</v>
      </c>
      <c r="H803" s="12" t="s">
        <v>53</v>
      </c>
      <c r="I803" s="12">
        <v>235.02099999999999</v>
      </c>
      <c r="J803" s="12">
        <v>193.245</v>
      </c>
      <c r="K803" s="12">
        <v>0</v>
      </c>
    </row>
    <row r="804" spans="1:12" ht="13.9" hidden="1" x14ac:dyDescent="0.25">
      <c r="A804" s="12">
        <v>7083</v>
      </c>
      <c r="B804" s="12">
        <v>1025719</v>
      </c>
      <c r="C804" s="12" t="s">
        <v>13</v>
      </c>
      <c r="D804" s="12" t="s">
        <v>14</v>
      </c>
      <c r="E804" s="14">
        <v>44878</v>
      </c>
      <c r="F804" s="12" t="s">
        <v>18</v>
      </c>
      <c r="G804" s="12" t="s">
        <v>20</v>
      </c>
      <c r="H804" s="12" t="s">
        <v>53</v>
      </c>
      <c r="I804" s="12">
        <v>235.00200000000001</v>
      </c>
      <c r="J804" s="12">
        <v>193.91499999999999</v>
      </c>
      <c r="K804" s="12">
        <v>4.0999999999999996</v>
      </c>
    </row>
    <row r="805" spans="1:12" x14ac:dyDescent="0.25">
      <c r="A805" s="12">
        <v>7084</v>
      </c>
      <c r="B805" s="12">
        <v>1025851</v>
      </c>
      <c r="C805" s="12" t="s">
        <v>13</v>
      </c>
      <c r="D805" s="12" t="s">
        <v>14</v>
      </c>
      <c r="E805" s="14">
        <v>44879</v>
      </c>
      <c r="F805" s="12" t="s">
        <v>18</v>
      </c>
      <c r="G805" s="12" t="s">
        <v>20</v>
      </c>
      <c r="H805" s="12" t="s">
        <v>53</v>
      </c>
      <c r="I805" s="12">
        <v>234.999</v>
      </c>
      <c r="J805" s="12">
        <v>201.46299999999999</v>
      </c>
      <c r="K805" s="12">
        <v>4.5</v>
      </c>
      <c r="L805" s="12">
        <v>11.2</v>
      </c>
    </row>
    <row r="806" spans="1:12" ht="13.9" hidden="1" x14ac:dyDescent="0.25">
      <c r="A806" s="12">
        <v>7085</v>
      </c>
      <c r="B806" s="12">
        <v>1025863</v>
      </c>
      <c r="C806" s="12" t="s">
        <v>13</v>
      </c>
      <c r="D806" s="12" t="s">
        <v>14</v>
      </c>
      <c r="E806" s="14">
        <v>44880</v>
      </c>
      <c r="F806" s="12" t="s">
        <v>18</v>
      </c>
      <c r="G806" s="12" t="s">
        <v>20</v>
      </c>
      <c r="H806" s="12" t="s">
        <v>53</v>
      </c>
      <c r="I806" s="12">
        <v>234.999</v>
      </c>
      <c r="J806" s="12">
        <v>199.30199999999999</v>
      </c>
      <c r="K806" s="12">
        <v>4.5999999999999996</v>
      </c>
    </row>
    <row r="807" spans="1:12" ht="13.9" hidden="1" x14ac:dyDescent="0.25">
      <c r="A807" s="12">
        <v>7086</v>
      </c>
      <c r="B807" s="12">
        <v>1025864</v>
      </c>
      <c r="C807" s="12" t="s">
        <v>13</v>
      </c>
      <c r="D807" s="12" t="s">
        <v>14</v>
      </c>
      <c r="E807" s="14">
        <v>44881</v>
      </c>
      <c r="F807" s="12" t="s">
        <v>18</v>
      </c>
      <c r="G807" s="12" t="s">
        <v>19</v>
      </c>
      <c r="H807" s="12" t="s">
        <v>55</v>
      </c>
      <c r="I807" s="12">
        <v>232.005</v>
      </c>
      <c r="J807" s="12">
        <v>197.28700000000001</v>
      </c>
      <c r="K807" s="12">
        <v>5.0999999999999996</v>
      </c>
    </row>
    <row r="808" spans="1:12" ht="13.9" hidden="1" x14ac:dyDescent="0.25">
      <c r="A808" s="12">
        <v>7087</v>
      </c>
      <c r="B808" s="12">
        <v>1025869</v>
      </c>
      <c r="C808" s="12" t="s">
        <v>13</v>
      </c>
      <c r="D808" s="12" t="s">
        <v>14</v>
      </c>
      <c r="E808" s="14">
        <v>44882</v>
      </c>
      <c r="F808" s="12" t="s">
        <v>18</v>
      </c>
      <c r="G808" s="12" t="s">
        <v>19</v>
      </c>
      <c r="H808" s="12" t="s">
        <v>55</v>
      </c>
      <c r="I808" s="12">
        <v>232.005</v>
      </c>
      <c r="J808" s="12">
        <v>194.98599999999999</v>
      </c>
      <c r="K808" s="12">
        <v>4.8</v>
      </c>
    </row>
    <row r="809" spans="1:12" ht="13.9" hidden="1" x14ac:dyDescent="0.25">
      <c r="A809" s="12">
        <v>7088</v>
      </c>
      <c r="B809" s="12">
        <v>1026149</v>
      </c>
      <c r="C809" s="12" t="s">
        <v>13</v>
      </c>
      <c r="D809" s="12" t="s">
        <v>14</v>
      </c>
      <c r="E809" s="14">
        <v>44883</v>
      </c>
      <c r="F809" s="12" t="s">
        <v>18</v>
      </c>
      <c r="G809" s="12" t="s">
        <v>19</v>
      </c>
      <c r="H809" s="12" t="s">
        <v>55</v>
      </c>
      <c r="I809" s="12">
        <v>231.99700000000001</v>
      </c>
      <c r="J809" s="12">
        <v>190.48099999999999</v>
      </c>
      <c r="K809" s="12">
        <v>5.2</v>
      </c>
    </row>
    <row r="810" spans="1:12" x14ac:dyDescent="0.25">
      <c r="A810" s="12">
        <v>7089</v>
      </c>
      <c r="B810" s="12">
        <v>1026263</v>
      </c>
      <c r="C810" s="12" t="s">
        <v>13</v>
      </c>
      <c r="D810" s="12" t="s">
        <v>14</v>
      </c>
      <c r="E810" s="14">
        <v>44884</v>
      </c>
      <c r="F810" s="12" t="s">
        <v>18</v>
      </c>
      <c r="G810" s="12" t="s">
        <v>19</v>
      </c>
      <c r="H810" s="12" t="s">
        <v>55</v>
      </c>
      <c r="I810" s="12">
        <v>232</v>
      </c>
      <c r="J810" s="12">
        <v>199.21299999999999</v>
      </c>
      <c r="K810" s="12">
        <v>3.8</v>
      </c>
      <c r="L810" s="12">
        <v>12.7</v>
      </c>
    </row>
    <row r="811" spans="1:12" ht="13.9" hidden="1" x14ac:dyDescent="0.25">
      <c r="A811" s="12">
        <v>7090</v>
      </c>
      <c r="B811" s="12">
        <v>1026422</v>
      </c>
      <c r="C811" s="12" t="s">
        <v>13</v>
      </c>
      <c r="D811" s="12" t="s">
        <v>14</v>
      </c>
      <c r="E811" s="14">
        <v>44885</v>
      </c>
      <c r="F811" s="12" t="s">
        <v>18</v>
      </c>
      <c r="G811" s="12" t="s">
        <v>19</v>
      </c>
      <c r="H811" s="12" t="s">
        <v>55</v>
      </c>
      <c r="I811" s="12">
        <v>232.001</v>
      </c>
      <c r="J811" s="12">
        <v>178.16</v>
      </c>
      <c r="K811" s="12">
        <v>5</v>
      </c>
    </row>
    <row r="812" spans="1:12" ht="13.9" hidden="1" x14ac:dyDescent="0.25">
      <c r="A812" s="12">
        <v>7091</v>
      </c>
      <c r="B812" s="12">
        <v>1026526</v>
      </c>
      <c r="C812" s="12" t="s">
        <v>13</v>
      </c>
      <c r="D812" s="12" t="s">
        <v>14</v>
      </c>
      <c r="E812" s="14">
        <v>44886</v>
      </c>
      <c r="F812" s="12" t="s">
        <v>18</v>
      </c>
      <c r="G812" s="12" t="s">
        <v>19</v>
      </c>
      <c r="H812" s="12" t="s">
        <v>55</v>
      </c>
      <c r="I812" s="12">
        <v>232.00200000000001</v>
      </c>
      <c r="J812" s="12">
        <v>197.11699999999999</v>
      </c>
      <c r="K812" s="12">
        <v>4</v>
      </c>
    </row>
    <row r="813" spans="1:12" ht="13.9" hidden="1" x14ac:dyDescent="0.25">
      <c r="A813" s="12">
        <v>7092</v>
      </c>
      <c r="B813" s="12">
        <v>1026531</v>
      </c>
      <c r="C813" s="12" t="s">
        <v>13</v>
      </c>
      <c r="D813" s="12" t="s">
        <v>14</v>
      </c>
      <c r="E813" s="14">
        <v>44887</v>
      </c>
      <c r="F813" s="12" t="s">
        <v>18</v>
      </c>
      <c r="G813" s="12" t="s">
        <v>19</v>
      </c>
      <c r="H813" s="12" t="s">
        <v>55</v>
      </c>
      <c r="I813" s="12">
        <v>232.001</v>
      </c>
      <c r="J813" s="12">
        <v>189.089</v>
      </c>
      <c r="K813" s="12">
        <v>4.5</v>
      </c>
    </row>
    <row r="814" spans="1:12" ht="13.9" hidden="1" x14ac:dyDescent="0.25">
      <c r="A814" s="12">
        <v>7093</v>
      </c>
      <c r="B814" s="12">
        <v>1026537</v>
      </c>
      <c r="C814" s="12" t="s">
        <v>13</v>
      </c>
      <c r="D814" s="12" t="s">
        <v>14</v>
      </c>
      <c r="E814" s="14">
        <v>44888</v>
      </c>
      <c r="F814" s="12" t="s">
        <v>18</v>
      </c>
      <c r="G814" s="12" t="s">
        <v>19</v>
      </c>
      <c r="H814" s="12" t="s">
        <v>55</v>
      </c>
      <c r="I814" s="12">
        <v>232.01599999999999</v>
      </c>
      <c r="J814" s="12">
        <v>191.684</v>
      </c>
      <c r="K814" s="12">
        <v>3.9</v>
      </c>
    </row>
    <row r="815" spans="1:12" x14ac:dyDescent="0.25">
      <c r="A815" s="12">
        <v>7094</v>
      </c>
      <c r="B815" s="12">
        <v>1026593</v>
      </c>
      <c r="C815" s="12" t="s">
        <v>13</v>
      </c>
      <c r="D815" s="12" t="s">
        <v>14</v>
      </c>
      <c r="E815" s="14">
        <v>44889</v>
      </c>
      <c r="F815" s="12" t="s">
        <v>18</v>
      </c>
      <c r="G815" s="12" t="s">
        <v>19</v>
      </c>
      <c r="H815" s="12" t="s">
        <v>55</v>
      </c>
      <c r="I815" s="12">
        <v>232.006</v>
      </c>
      <c r="J815" s="12">
        <v>197.65100000000001</v>
      </c>
      <c r="K815" s="12">
        <v>4.0999999999999996</v>
      </c>
      <c r="L815" s="12">
        <v>12.3</v>
      </c>
    </row>
    <row r="816" spans="1:12" ht="13.9" hidden="1" x14ac:dyDescent="0.25">
      <c r="A816" s="12">
        <v>7095</v>
      </c>
      <c r="B816" s="12">
        <v>1026777</v>
      </c>
      <c r="C816" s="12" t="s">
        <v>13</v>
      </c>
      <c r="D816" s="12" t="s">
        <v>14</v>
      </c>
      <c r="E816" s="14">
        <v>44890</v>
      </c>
      <c r="F816" s="12" t="s">
        <v>18</v>
      </c>
      <c r="G816" s="12" t="s">
        <v>19</v>
      </c>
      <c r="H816" s="12" t="s">
        <v>55</v>
      </c>
      <c r="I816" s="12">
        <v>232.006</v>
      </c>
      <c r="J816" s="12">
        <v>189.904</v>
      </c>
      <c r="K816" s="12">
        <v>3.6</v>
      </c>
    </row>
    <row r="817" spans="1:12" ht="13.9" hidden="1" x14ac:dyDescent="0.25">
      <c r="A817" s="12">
        <v>7096</v>
      </c>
      <c r="B817" s="12">
        <v>1026931</v>
      </c>
      <c r="C817" s="12" t="s">
        <v>13</v>
      </c>
      <c r="D817" s="12" t="s">
        <v>14</v>
      </c>
      <c r="E817" s="14">
        <v>44891</v>
      </c>
      <c r="F817" s="12" t="s">
        <v>18</v>
      </c>
      <c r="G817" s="12" t="s">
        <v>20</v>
      </c>
      <c r="H817" s="12" t="s">
        <v>56</v>
      </c>
      <c r="I817" s="12">
        <v>235.001</v>
      </c>
      <c r="J817" s="12">
        <v>200.64699999999999</v>
      </c>
      <c r="K817" s="12">
        <v>5.6</v>
      </c>
    </row>
    <row r="818" spans="1:12" ht="13.9" hidden="1" x14ac:dyDescent="0.25">
      <c r="A818" s="12">
        <v>7097</v>
      </c>
      <c r="B818" s="12">
        <v>1027033</v>
      </c>
      <c r="C818" s="12" t="s">
        <v>13</v>
      </c>
      <c r="D818" s="12" t="s">
        <v>14</v>
      </c>
      <c r="E818" s="14">
        <v>44892</v>
      </c>
      <c r="F818" s="12" t="s">
        <v>18</v>
      </c>
      <c r="G818" s="12" t="s">
        <v>20</v>
      </c>
      <c r="H818" s="12" t="s">
        <v>56</v>
      </c>
      <c r="I818" s="12">
        <v>235.001</v>
      </c>
      <c r="J818" s="12">
        <v>193.911</v>
      </c>
      <c r="K818" s="12">
        <v>4.5</v>
      </c>
    </row>
    <row r="819" spans="1:12" ht="13.9" hidden="1" x14ac:dyDescent="0.25">
      <c r="A819" s="12">
        <v>7098</v>
      </c>
      <c r="B819" s="12">
        <v>1027162</v>
      </c>
      <c r="C819" s="12" t="s">
        <v>13</v>
      </c>
      <c r="D819" s="12" t="s">
        <v>14</v>
      </c>
      <c r="E819" s="14">
        <v>44893</v>
      </c>
      <c r="F819" s="12" t="s">
        <v>17</v>
      </c>
      <c r="G819" s="12" t="s">
        <v>19</v>
      </c>
      <c r="H819" s="12" t="s">
        <v>78</v>
      </c>
      <c r="I819" s="12">
        <v>232.017</v>
      </c>
      <c r="J819" s="12">
        <v>191.977</v>
      </c>
      <c r="K819" s="12">
        <v>4.5</v>
      </c>
    </row>
    <row r="820" spans="1:12" x14ac:dyDescent="0.25">
      <c r="A820" s="12">
        <v>7099</v>
      </c>
      <c r="B820" s="12">
        <v>1027257</v>
      </c>
      <c r="C820" s="12" t="s">
        <v>13</v>
      </c>
      <c r="D820" s="12" t="s">
        <v>14</v>
      </c>
      <c r="E820" s="14">
        <v>44894</v>
      </c>
      <c r="F820" s="12" t="s">
        <v>18</v>
      </c>
      <c r="G820" s="12" t="s">
        <v>19</v>
      </c>
      <c r="H820" s="12" t="s">
        <v>54</v>
      </c>
      <c r="I820" s="12">
        <v>231.99600000000001</v>
      </c>
      <c r="J820" s="12">
        <v>196.41900000000001</v>
      </c>
      <c r="K820" s="12">
        <v>4.3</v>
      </c>
      <c r="L820" s="12">
        <v>10.8</v>
      </c>
    </row>
    <row r="821" spans="1:12" ht="13.9" hidden="1" x14ac:dyDescent="0.25">
      <c r="A821" s="12">
        <v>7100</v>
      </c>
      <c r="B821" s="12">
        <v>1027259</v>
      </c>
      <c r="C821" s="12" t="s">
        <v>13</v>
      </c>
      <c r="D821" s="12" t="s">
        <v>14</v>
      </c>
      <c r="E821" s="14">
        <v>44895</v>
      </c>
      <c r="F821" s="12" t="s">
        <v>18</v>
      </c>
      <c r="G821" s="12" t="s">
        <v>19</v>
      </c>
      <c r="H821" s="12" t="s">
        <v>54</v>
      </c>
      <c r="I821" s="12">
        <v>231.99600000000001</v>
      </c>
      <c r="J821" s="12">
        <v>195.67500000000001</v>
      </c>
      <c r="K821" s="12">
        <v>5.4</v>
      </c>
    </row>
    <row r="822" spans="1:12" ht="13.9" hidden="1" x14ac:dyDescent="0.25">
      <c r="A822" s="12">
        <v>7101</v>
      </c>
      <c r="B822" s="12">
        <v>1027260</v>
      </c>
      <c r="C822" s="12" t="s">
        <v>13</v>
      </c>
      <c r="D822" s="12" t="s">
        <v>14</v>
      </c>
      <c r="E822" s="14">
        <v>44896</v>
      </c>
      <c r="F822" s="12" t="s">
        <v>18</v>
      </c>
      <c r="G822" s="12" t="s">
        <v>19</v>
      </c>
      <c r="H822" s="12" t="s">
        <v>55</v>
      </c>
      <c r="I822" s="12">
        <v>231.999</v>
      </c>
      <c r="J822" s="12">
        <v>194.61799999999999</v>
      </c>
      <c r="K822" s="12">
        <v>3.6</v>
      </c>
    </row>
    <row r="823" spans="1:12" ht="13.9" hidden="1" x14ac:dyDescent="0.25">
      <c r="A823" s="12">
        <v>7102</v>
      </c>
      <c r="B823" s="12">
        <v>1027483</v>
      </c>
      <c r="C823" s="12" t="s">
        <v>13</v>
      </c>
      <c r="D823" s="12" t="s">
        <v>14</v>
      </c>
      <c r="E823" s="14">
        <v>44897</v>
      </c>
      <c r="F823" s="12" t="s">
        <v>18</v>
      </c>
      <c r="G823" s="12" t="s">
        <v>19</v>
      </c>
      <c r="H823" s="12" t="s">
        <v>55</v>
      </c>
      <c r="I823" s="12">
        <v>231.999</v>
      </c>
      <c r="J823" s="12">
        <v>190.92</v>
      </c>
      <c r="K823" s="12">
        <v>4.5999999999999996</v>
      </c>
    </row>
    <row r="824" spans="1:12" ht="13.9" hidden="1" x14ac:dyDescent="0.25">
      <c r="A824" s="12">
        <v>7103</v>
      </c>
      <c r="B824" s="12">
        <v>1027634</v>
      </c>
      <c r="C824" s="12" t="s">
        <v>13</v>
      </c>
      <c r="D824" s="12" t="s">
        <v>14</v>
      </c>
      <c r="E824" s="14">
        <v>44898</v>
      </c>
      <c r="F824" s="12" t="s">
        <v>18</v>
      </c>
      <c r="G824" s="12" t="s">
        <v>19</v>
      </c>
      <c r="H824" s="12" t="s">
        <v>55</v>
      </c>
      <c r="I824" s="12">
        <v>232.00299999999999</v>
      </c>
      <c r="J824" s="12">
        <v>193.25</v>
      </c>
      <c r="K824" s="12">
        <v>3.7</v>
      </c>
    </row>
    <row r="825" spans="1:12" x14ac:dyDescent="0.25">
      <c r="A825" s="12">
        <v>7104</v>
      </c>
      <c r="B825" s="12">
        <v>1027834</v>
      </c>
      <c r="C825" s="12" t="s">
        <v>13</v>
      </c>
      <c r="D825" s="12" t="s">
        <v>14</v>
      </c>
      <c r="E825" s="14">
        <v>44899</v>
      </c>
      <c r="F825" s="12" t="s">
        <v>18</v>
      </c>
      <c r="G825" s="12" t="s">
        <v>19</v>
      </c>
      <c r="H825" s="12" t="s">
        <v>55</v>
      </c>
      <c r="I825" s="12">
        <v>232.01400000000001</v>
      </c>
      <c r="J825" s="12">
        <v>196.75200000000001</v>
      </c>
      <c r="K825" s="12">
        <v>4.4000000000000004</v>
      </c>
      <c r="L825" s="12">
        <v>12.8</v>
      </c>
    </row>
    <row r="826" spans="1:12" ht="13.9" hidden="1" x14ac:dyDescent="0.25">
      <c r="A826" s="12">
        <v>7105</v>
      </c>
      <c r="B826" s="12">
        <v>1027887</v>
      </c>
      <c r="C826" s="12" t="s">
        <v>13</v>
      </c>
      <c r="D826" s="12" t="s">
        <v>14</v>
      </c>
      <c r="E826" s="14">
        <v>44900</v>
      </c>
      <c r="F826" s="12" t="s">
        <v>18</v>
      </c>
      <c r="G826" s="12" t="s">
        <v>19</v>
      </c>
      <c r="H826" s="12" t="s">
        <v>55</v>
      </c>
      <c r="I826" s="12">
        <v>232.01300000000001</v>
      </c>
      <c r="J826" s="12">
        <v>191.11699999999999</v>
      </c>
      <c r="K826" s="12">
        <v>3.7</v>
      </c>
    </row>
    <row r="827" spans="1:12" ht="13.9" hidden="1" x14ac:dyDescent="0.25">
      <c r="A827" s="12">
        <v>7106</v>
      </c>
      <c r="B827" s="12">
        <v>1027888</v>
      </c>
      <c r="C827" s="12" t="s">
        <v>13</v>
      </c>
      <c r="D827" s="12" t="s">
        <v>14</v>
      </c>
      <c r="E827" s="14">
        <v>44901</v>
      </c>
      <c r="F827" s="12" t="s">
        <v>18</v>
      </c>
      <c r="G827" s="12" t="s">
        <v>19</v>
      </c>
      <c r="H827" s="12" t="s">
        <v>54</v>
      </c>
      <c r="I827" s="12">
        <v>232.03700000000001</v>
      </c>
      <c r="J827" s="12">
        <v>194.453</v>
      </c>
      <c r="K827" s="12">
        <v>3.8</v>
      </c>
    </row>
    <row r="828" spans="1:12" ht="13.9" hidden="1" x14ac:dyDescent="0.25">
      <c r="A828" s="12">
        <v>7107</v>
      </c>
      <c r="B828" s="12">
        <v>1027890</v>
      </c>
      <c r="C828" s="12" t="s">
        <v>13</v>
      </c>
      <c r="D828" s="12" t="s">
        <v>14</v>
      </c>
      <c r="E828" s="14">
        <v>44902</v>
      </c>
      <c r="F828" s="12" t="s">
        <v>18</v>
      </c>
      <c r="G828" s="12" t="s">
        <v>19</v>
      </c>
      <c r="H828" s="12" t="s">
        <v>54</v>
      </c>
      <c r="I828" s="12">
        <v>232.03700000000001</v>
      </c>
      <c r="J828" s="12">
        <v>188.542</v>
      </c>
      <c r="K828" s="12">
        <v>3.5</v>
      </c>
    </row>
    <row r="829" spans="1:12" ht="13.9" hidden="1" x14ac:dyDescent="0.25">
      <c r="A829" s="12">
        <v>7108</v>
      </c>
      <c r="B829" s="12">
        <v>1028058</v>
      </c>
      <c r="C829" s="12" t="s">
        <v>13</v>
      </c>
      <c r="D829" s="12" t="s">
        <v>14</v>
      </c>
      <c r="E829" s="14">
        <v>44903</v>
      </c>
      <c r="F829" s="12" t="s">
        <v>18</v>
      </c>
      <c r="G829" s="12" t="s">
        <v>20</v>
      </c>
      <c r="H829" s="12" t="s">
        <v>53</v>
      </c>
      <c r="I829" s="12">
        <v>235.00200000000001</v>
      </c>
      <c r="J829" s="12">
        <v>197.55600000000001</v>
      </c>
      <c r="K829" s="12">
        <v>3.8</v>
      </c>
    </row>
    <row r="830" spans="1:12" ht="13.9" hidden="1" x14ac:dyDescent="0.25">
      <c r="A830" s="12">
        <v>7109</v>
      </c>
      <c r="B830" s="12">
        <v>1028219</v>
      </c>
      <c r="C830" s="12" t="s">
        <v>13</v>
      </c>
      <c r="D830" s="12" t="s">
        <v>14</v>
      </c>
      <c r="E830" s="14">
        <v>44904</v>
      </c>
      <c r="F830" s="12" t="s">
        <v>18</v>
      </c>
      <c r="G830" s="12" t="s">
        <v>20</v>
      </c>
      <c r="H830" s="12" t="s">
        <v>53</v>
      </c>
      <c r="I830" s="12">
        <v>235.00299999999999</v>
      </c>
      <c r="J830" s="12">
        <v>193.04</v>
      </c>
      <c r="K830" s="12">
        <v>4.9000000000000004</v>
      </c>
    </row>
    <row r="831" spans="1:12" ht="13.9" hidden="1" x14ac:dyDescent="0.25">
      <c r="A831" s="12">
        <v>7110</v>
      </c>
      <c r="B831" s="12">
        <v>1028350</v>
      </c>
      <c r="C831" s="12" t="s">
        <v>13</v>
      </c>
      <c r="D831" s="12" t="s">
        <v>14</v>
      </c>
      <c r="E831" s="14">
        <v>44905</v>
      </c>
      <c r="F831" s="12" t="s">
        <v>18</v>
      </c>
      <c r="G831" s="12" t="s">
        <v>20</v>
      </c>
      <c r="H831" s="12" t="s">
        <v>53</v>
      </c>
      <c r="I831" s="12">
        <v>235.02</v>
      </c>
      <c r="J831" s="12">
        <v>199.155</v>
      </c>
      <c r="K831" s="12">
        <v>5</v>
      </c>
    </row>
    <row r="832" spans="1:12" ht="13.9" hidden="1" x14ac:dyDescent="0.25">
      <c r="A832" s="12">
        <v>7111</v>
      </c>
      <c r="B832" s="12">
        <v>1028513</v>
      </c>
      <c r="C832" s="12" t="s">
        <v>13</v>
      </c>
      <c r="D832" s="12" t="s">
        <v>14</v>
      </c>
      <c r="E832" s="14">
        <v>44906</v>
      </c>
      <c r="F832" s="12" t="s">
        <v>18</v>
      </c>
      <c r="G832" s="12" t="s">
        <v>20</v>
      </c>
      <c r="H832" s="12" t="s">
        <v>53</v>
      </c>
      <c r="I832" s="12">
        <v>235.01900000000001</v>
      </c>
      <c r="J832" s="12">
        <v>193.94800000000001</v>
      </c>
      <c r="K832" s="12">
        <v>4.4000000000000004</v>
      </c>
    </row>
    <row r="833" spans="1:12" ht="13.9" hidden="1" x14ac:dyDescent="0.25">
      <c r="A833" s="12">
        <v>7112</v>
      </c>
      <c r="B833" s="12">
        <v>1028598</v>
      </c>
      <c r="C833" s="12" t="s">
        <v>13</v>
      </c>
      <c r="D833" s="12" t="s">
        <v>14</v>
      </c>
      <c r="E833" s="14">
        <v>44907</v>
      </c>
      <c r="F833" s="12" t="s">
        <v>37</v>
      </c>
      <c r="G833" s="12" t="s">
        <v>20</v>
      </c>
      <c r="H833" s="12" t="s">
        <v>53</v>
      </c>
      <c r="I833" s="12">
        <v>235.00299999999999</v>
      </c>
      <c r="J833" s="12">
        <v>181.90899999999999</v>
      </c>
      <c r="K833" s="12">
        <v>4.3</v>
      </c>
    </row>
    <row r="834" spans="1:12" ht="13.9" hidden="1" x14ac:dyDescent="0.25">
      <c r="A834" s="12">
        <v>7113</v>
      </c>
      <c r="B834" s="12">
        <v>1028676</v>
      </c>
      <c r="C834" s="12" t="s">
        <v>13</v>
      </c>
      <c r="D834" s="12" t="s">
        <v>14</v>
      </c>
      <c r="E834" s="14">
        <v>44908</v>
      </c>
      <c r="F834" s="12" t="s">
        <v>37</v>
      </c>
      <c r="G834" s="12" t="s">
        <v>20</v>
      </c>
      <c r="H834" s="12" t="s">
        <v>53</v>
      </c>
      <c r="I834" s="12">
        <v>235.00200000000001</v>
      </c>
      <c r="J834" s="12">
        <v>206.76</v>
      </c>
      <c r="K834" s="12">
        <v>4.0999999999999996</v>
      </c>
    </row>
    <row r="835" spans="1:12" ht="13.9" hidden="1" x14ac:dyDescent="0.25">
      <c r="A835" s="12">
        <v>7114</v>
      </c>
      <c r="B835" s="12">
        <v>1028677</v>
      </c>
      <c r="C835" s="12" t="s">
        <v>13</v>
      </c>
      <c r="D835" s="12" t="s">
        <v>14</v>
      </c>
      <c r="E835" s="14">
        <v>44909</v>
      </c>
      <c r="F835" s="12" t="s">
        <v>17</v>
      </c>
      <c r="G835" s="12" t="s">
        <v>19</v>
      </c>
      <c r="H835" s="12" t="s">
        <v>58</v>
      </c>
      <c r="I835" s="12">
        <v>232</v>
      </c>
      <c r="J835" s="12">
        <v>209.011</v>
      </c>
      <c r="K835" s="12">
        <v>4.5</v>
      </c>
    </row>
    <row r="836" spans="1:12" x14ac:dyDescent="0.25">
      <c r="A836" s="12">
        <v>7115</v>
      </c>
      <c r="B836" s="12">
        <v>1028738</v>
      </c>
      <c r="C836" s="12" t="s">
        <v>13</v>
      </c>
      <c r="D836" s="12" t="s">
        <v>14</v>
      </c>
      <c r="E836" s="14">
        <v>44910</v>
      </c>
      <c r="F836" s="12" t="s">
        <v>18</v>
      </c>
      <c r="G836" s="12" t="s">
        <v>20</v>
      </c>
      <c r="H836" s="12" t="s">
        <v>79</v>
      </c>
      <c r="I836" s="12">
        <v>234.98699999999999</v>
      </c>
      <c r="J836" s="12">
        <v>202.5</v>
      </c>
      <c r="K836" s="12">
        <v>3.3</v>
      </c>
      <c r="L836" s="12">
        <v>11.4</v>
      </c>
    </row>
    <row r="837" spans="1:12" x14ac:dyDescent="0.25">
      <c r="A837" s="12">
        <v>7116</v>
      </c>
      <c r="B837" s="12">
        <v>1028892</v>
      </c>
      <c r="C837" s="12" t="s">
        <v>13</v>
      </c>
      <c r="D837" s="12" t="s">
        <v>14</v>
      </c>
      <c r="E837" s="14">
        <v>44911</v>
      </c>
      <c r="F837" s="12" t="s">
        <v>18</v>
      </c>
      <c r="G837" s="12" t="s">
        <v>19</v>
      </c>
      <c r="H837" s="12" t="s">
        <v>55</v>
      </c>
      <c r="I837" s="12">
        <v>232.999</v>
      </c>
      <c r="J837" s="12">
        <v>194.351</v>
      </c>
      <c r="K837" s="12">
        <v>4.0999999999999996</v>
      </c>
      <c r="L837" s="12">
        <v>10.9</v>
      </c>
    </row>
    <row r="838" spans="1:12" ht="13.9" hidden="1" x14ac:dyDescent="0.25">
      <c r="A838" s="12">
        <v>7117</v>
      </c>
      <c r="B838" s="12">
        <v>1029051</v>
      </c>
      <c r="C838" s="12" t="s">
        <v>13</v>
      </c>
      <c r="D838" s="12" t="s">
        <v>14</v>
      </c>
      <c r="E838" s="14">
        <v>44912</v>
      </c>
      <c r="F838" s="12" t="s">
        <v>18</v>
      </c>
      <c r="G838" s="12" t="s">
        <v>19</v>
      </c>
      <c r="H838" s="12" t="s">
        <v>55</v>
      </c>
      <c r="I838" s="12">
        <v>232.999</v>
      </c>
      <c r="J838" s="12">
        <v>196.36799999999999</v>
      </c>
      <c r="K838" s="12">
        <v>3.6</v>
      </c>
    </row>
    <row r="839" spans="1:12" ht="13.9" hidden="1" x14ac:dyDescent="0.25">
      <c r="A839" s="12">
        <v>7118</v>
      </c>
      <c r="B839" s="12">
        <v>1029130</v>
      </c>
      <c r="C839" s="12" t="s">
        <v>13</v>
      </c>
      <c r="D839" s="12" t="s">
        <v>14</v>
      </c>
      <c r="E839" s="14">
        <v>44913</v>
      </c>
      <c r="F839" s="12" t="s">
        <v>18</v>
      </c>
      <c r="G839" s="12" t="s">
        <v>19</v>
      </c>
      <c r="H839" s="12" t="s">
        <v>55</v>
      </c>
      <c r="I839" s="12">
        <v>232.995</v>
      </c>
      <c r="J839" s="12">
        <v>194.87799999999999</v>
      </c>
      <c r="K839" s="12">
        <v>3.9</v>
      </c>
    </row>
    <row r="840" spans="1:12" x14ac:dyDescent="0.25">
      <c r="A840" s="12">
        <v>7119</v>
      </c>
      <c r="B840" s="12">
        <v>1029248</v>
      </c>
      <c r="C840" s="12" t="s">
        <v>13</v>
      </c>
      <c r="D840" s="12" t="s">
        <v>14</v>
      </c>
      <c r="E840" s="14">
        <v>44914</v>
      </c>
      <c r="F840" s="12" t="s">
        <v>18</v>
      </c>
      <c r="G840" s="12" t="s">
        <v>19</v>
      </c>
      <c r="H840" s="12" t="s">
        <v>55</v>
      </c>
      <c r="I840" s="12">
        <v>233.00399999999999</v>
      </c>
      <c r="J840" s="12">
        <v>198.21199999999999</v>
      </c>
      <c r="K840" s="12">
        <v>3.6</v>
      </c>
      <c r="L840" s="12">
        <v>12.4</v>
      </c>
    </row>
    <row r="841" spans="1:12" ht="13.9" hidden="1" x14ac:dyDescent="0.25">
      <c r="A841" s="12">
        <v>7120</v>
      </c>
      <c r="B841" s="12">
        <v>1029349</v>
      </c>
      <c r="C841" s="12" t="s">
        <v>13</v>
      </c>
      <c r="D841" s="12" t="s">
        <v>14</v>
      </c>
      <c r="E841" s="14">
        <v>44915</v>
      </c>
      <c r="F841" s="12" t="s">
        <v>18</v>
      </c>
      <c r="G841" s="12" t="s">
        <v>19</v>
      </c>
      <c r="H841" s="12" t="s">
        <v>55</v>
      </c>
      <c r="I841" s="12">
        <v>233.005</v>
      </c>
      <c r="J841" s="12">
        <v>195.19499999999999</v>
      </c>
      <c r="K841" s="12">
        <v>4.3</v>
      </c>
    </row>
    <row r="842" spans="1:12" ht="13.9" hidden="1" x14ac:dyDescent="0.25">
      <c r="A842" s="12">
        <v>7121</v>
      </c>
      <c r="B842" s="12">
        <v>1029350</v>
      </c>
      <c r="C842" s="12" t="s">
        <v>13</v>
      </c>
      <c r="D842" s="12" t="s">
        <v>14</v>
      </c>
      <c r="E842" s="14">
        <v>44916</v>
      </c>
      <c r="F842" s="12" t="s">
        <v>37</v>
      </c>
      <c r="G842" s="12" t="s">
        <v>20</v>
      </c>
      <c r="H842" s="12" t="s">
        <v>53</v>
      </c>
      <c r="I842" s="12">
        <v>235.042</v>
      </c>
      <c r="J842" s="12">
        <v>192.33600000000001</v>
      </c>
      <c r="K842" s="12">
        <v>3.4</v>
      </c>
    </row>
    <row r="843" spans="1:12" ht="13.9" hidden="1" x14ac:dyDescent="0.25">
      <c r="A843" s="12">
        <v>7122</v>
      </c>
      <c r="B843" s="12">
        <v>1029351</v>
      </c>
      <c r="C843" s="12" t="s">
        <v>13</v>
      </c>
      <c r="D843" s="12" t="s">
        <v>14</v>
      </c>
      <c r="E843" s="14">
        <v>44917</v>
      </c>
      <c r="F843" s="12" t="s">
        <v>37</v>
      </c>
      <c r="G843" s="12" t="s">
        <v>20</v>
      </c>
      <c r="H843" s="12" t="s">
        <v>53</v>
      </c>
      <c r="I843" s="12">
        <v>235.04300000000001</v>
      </c>
      <c r="J843" s="12">
        <v>209.30099999999999</v>
      </c>
      <c r="K843" s="12">
        <v>4.5999999999999996</v>
      </c>
    </row>
    <row r="844" spans="1:12" ht="13.9" hidden="1" x14ac:dyDescent="0.25">
      <c r="A844" s="12">
        <v>7123</v>
      </c>
      <c r="B844" s="12">
        <v>1029533</v>
      </c>
      <c r="C844" s="12" t="s">
        <v>13</v>
      </c>
      <c r="D844" s="12" t="s">
        <v>14</v>
      </c>
      <c r="E844" s="14">
        <v>44918</v>
      </c>
      <c r="F844" s="12" t="s">
        <v>17</v>
      </c>
      <c r="G844" s="12" t="s">
        <v>19</v>
      </c>
      <c r="H844" s="12" t="s">
        <v>78</v>
      </c>
      <c r="I844" s="12">
        <v>233</v>
      </c>
      <c r="J844" s="12">
        <v>199.72900000000001</v>
      </c>
      <c r="K844" s="12">
        <v>5.2</v>
      </c>
    </row>
    <row r="845" spans="1:12" x14ac:dyDescent="0.25">
      <c r="A845" s="12">
        <v>7124</v>
      </c>
      <c r="B845" s="12">
        <v>1029665</v>
      </c>
      <c r="C845" s="12" t="s">
        <v>13</v>
      </c>
      <c r="D845" s="12" t="s">
        <v>14</v>
      </c>
      <c r="E845" s="14">
        <v>44919</v>
      </c>
      <c r="F845" s="12" t="s">
        <v>17</v>
      </c>
      <c r="G845" s="12" t="s">
        <v>19</v>
      </c>
      <c r="H845" s="12" t="s">
        <v>58</v>
      </c>
      <c r="I845" s="12">
        <v>232.00299999999999</v>
      </c>
      <c r="J845" s="12">
        <v>194.89</v>
      </c>
      <c r="K845" s="12">
        <v>5.6</v>
      </c>
      <c r="L845" s="12">
        <v>11.9</v>
      </c>
    </row>
    <row r="846" spans="1:12" ht="13.9" hidden="1" x14ac:dyDescent="0.25">
      <c r="A846" s="12">
        <v>7125</v>
      </c>
      <c r="B846" s="12">
        <v>1029775</v>
      </c>
      <c r="C846" s="12" t="s">
        <v>13</v>
      </c>
      <c r="D846" s="12" t="s">
        <v>14</v>
      </c>
      <c r="E846" s="14">
        <v>44920</v>
      </c>
      <c r="F846" s="12" t="s">
        <v>17</v>
      </c>
      <c r="G846" s="12" t="s">
        <v>19</v>
      </c>
      <c r="H846" s="12" t="s">
        <v>58</v>
      </c>
      <c r="I846" s="12">
        <v>232.00299999999999</v>
      </c>
      <c r="J846" s="12">
        <v>196.33699999999999</v>
      </c>
      <c r="K846" s="12">
        <v>4.0999999999999996</v>
      </c>
    </row>
    <row r="847" spans="1:12" ht="13.9" hidden="1" x14ac:dyDescent="0.25">
      <c r="A847" s="12">
        <v>7126</v>
      </c>
      <c r="B847" s="12">
        <v>1029852</v>
      </c>
      <c r="C847" s="12" t="s">
        <v>13</v>
      </c>
      <c r="D847" s="12" t="s">
        <v>14</v>
      </c>
      <c r="E847" s="14">
        <v>44921</v>
      </c>
      <c r="F847" s="12" t="s">
        <v>18</v>
      </c>
      <c r="G847" s="12" t="s">
        <v>20</v>
      </c>
      <c r="H847" s="12" t="s">
        <v>79</v>
      </c>
      <c r="I847" s="12">
        <v>235.023</v>
      </c>
      <c r="J847" s="12">
        <v>199.02</v>
      </c>
      <c r="K847" s="12">
        <v>3.8</v>
      </c>
    </row>
    <row r="848" spans="1:12" ht="13.9" hidden="1" x14ac:dyDescent="0.25">
      <c r="A848" s="12">
        <v>7127</v>
      </c>
      <c r="B848" s="12">
        <v>1030017</v>
      </c>
      <c r="C848" s="12" t="s">
        <v>13</v>
      </c>
      <c r="D848" s="12" t="s">
        <v>14</v>
      </c>
      <c r="E848" s="14">
        <v>44922</v>
      </c>
      <c r="F848" s="12" t="s">
        <v>18</v>
      </c>
      <c r="G848" s="12" t="s">
        <v>20</v>
      </c>
      <c r="H848" s="12" t="s">
        <v>79</v>
      </c>
      <c r="I848" s="12">
        <v>235.023</v>
      </c>
      <c r="J848" s="12">
        <v>204.40899999999999</v>
      </c>
      <c r="K848" s="12">
        <v>3.9</v>
      </c>
    </row>
    <row r="849" spans="1:12" ht="13.9" hidden="1" x14ac:dyDescent="0.25">
      <c r="A849" s="12">
        <v>7128</v>
      </c>
      <c r="B849" s="12">
        <v>1030018</v>
      </c>
      <c r="C849" s="12" t="s">
        <v>13</v>
      </c>
      <c r="D849" s="12" t="s">
        <v>14</v>
      </c>
      <c r="E849" s="14">
        <v>44923</v>
      </c>
      <c r="F849" s="12" t="s">
        <v>18</v>
      </c>
      <c r="G849" s="12" t="s">
        <v>19</v>
      </c>
      <c r="H849" s="12" t="s">
        <v>55</v>
      </c>
      <c r="I849" s="12">
        <v>233.10499999999999</v>
      </c>
      <c r="J849" s="12">
        <v>194.435</v>
      </c>
      <c r="K849" s="12">
        <v>4</v>
      </c>
    </row>
    <row r="850" spans="1:12" x14ac:dyDescent="0.25">
      <c r="A850" s="12">
        <v>7129</v>
      </c>
      <c r="B850" s="12">
        <v>1030064</v>
      </c>
      <c r="C850" s="12" t="s">
        <v>13</v>
      </c>
      <c r="D850" s="12" t="s">
        <v>14</v>
      </c>
      <c r="E850" s="14">
        <v>44924</v>
      </c>
      <c r="F850" s="12" t="s">
        <v>18</v>
      </c>
      <c r="G850" s="12" t="s">
        <v>19</v>
      </c>
      <c r="H850" s="12" t="s">
        <v>55</v>
      </c>
      <c r="I850" s="12">
        <v>232.999</v>
      </c>
      <c r="J850" s="12">
        <v>196.38900000000001</v>
      </c>
      <c r="K850" s="12">
        <v>3.7</v>
      </c>
      <c r="L850" s="12">
        <v>12.4</v>
      </c>
    </row>
    <row r="851" spans="1:12" ht="13.9" hidden="1" x14ac:dyDescent="0.25">
      <c r="A851" s="12">
        <v>7130</v>
      </c>
      <c r="B851" s="12">
        <v>1030195</v>
      </c>
      <c r="C851" s="12" t="s">
        <v>13</v>
      </c>
      <c r="D851" s="12" t="s">
        <v>14</v>
      </c>
      <c r="E851" s="14">
        <v>44925</v>
      </c>
      <c r="F851" s="12" t="s">
        <v>18</v>
      </c>
      <c r="G851" s="12" t="s">
        <v>19</v>
      </c>
      <c r="H851" s="12" t="s">
        <v>55</v>
      </c>
      <c r="I851" s="12">
        <v>232.999</v>
      </c>
      <c r="J851" s="12">
        <v>193.37</v>
      </c>
      <c r="K851" s="12">
        <v>3.9</v>
      </c>
    </row>
    <row r="852" spans="1:12" ht="13.9" hidden="1" x14ac:dyDescent="0.25">
      <c r="A852" s="12">
        <v>7131</v>
      </c>
      <c r="B852" s="12">
        <v>1030353</v>
      </c>
      <c r="C852" s="12" t="s">
        <v>13</v>
      </c>
      <c r="D852" s="12" t="s">
        <v>14</v>
      </c>
      <c r="E852" s="14">
        <v>44926</v>
      </c>
      <c r="F852" s="12" t="s">
        <v>18</v>
      </c>
      <c r="G852" s="12" t="s">
        <v>19</v>
      </c>
      <c r="H852" s="12" t="s">
        <v>55</v>
      </c>
      <c r="I852" s="12">
        <v>233.04400000000001</v>
      </c>
      <c r="J852" s="12">
        <v>195.2</v>
      </c>
      <c r="K852" s="12">
        <v>3.2</v>
      </c>
    </row>
    <row r="853" spans="1:12" ht="13.9" hidden="1" x14ac:dyDescent="0.25">
      <c r="A853" s="12">
        <v>7132</v>
      </c>
      <c r="B853" s="12">
        <v>1030458</v>
      </c>
      <c r="C853" s="12" t="s">
        <v>13</v>
      </c>
      <c r="D853" s="12" t="s">
        <v>14</v>
      </c>
      <c r="E853" s="14">
        <v>45291</v>
      </c>
      <c r="F853" s="12" t="s">
        <v>18</v>
      </c>
      <c r="G853" s="12" t="s">
        <v>19</v>
      </c>
      <c r="H853" s="12" t="s">
        <v>55</v>
      </c>
      <c r="I853" s="33">
        <v>233.04499999999999</v>
      </c>
      <c r="J853" s="33">
        <v>206.90799999999999</v>
      </c>
      <c r="K853" s="12">
        <v>4.2</v>
      </c>
    </row>
    <row r="854" spans="1:12" ht="13.9" hidden="1" x14ac:dyDescent="0.25">
      <c r="A854" s="12">
        <v>7133</v>
      </c>
      <c r="B854" s="12">
        <v>1030561</v>
      </c>
      <c r="C854" s="12" t="s">
        <v>13</v>
      </c>
      <c r="D854" s="12" t="s">
        <v>14</v>
      </c>
      <c r="E854" s="14">
        <v>44927</v>
      </c>
      <c r="F854" s="12" t="s">
        <v>18</v>
      </c>
      <c r="G854" s="12" t="s">
        <v>19</v>
      </c>
      <c r="H854" s="12" t="s">
        <v>54</v>
      </c>
      <c r="I854" s="12">
        <v>233.04499999999999</v>
      </c>
      <c r="J854" s="12">
        <v>206.90799999999999</v>
      </c>
      <c r="K854" s="12">
        <v>3.4</v>
      </c>
    </row>
    <row r="855" spans="1:12" ht="13.9" hidden="1" x14ac:dyDescent="0.25">
      <c r="A855" s="12">
        <v>7134</v>
      </c>
      <c r="B855" s="12">
        <v>1030562</v>
      </c>
      <c r="C855" s="12" t="s">
        <v>13</v>
      </c>
      <c r="D855" s="12" t="s">
        <v>14</v>
      </c>
      <c r="E855" s="14">
        <v>44928</v>
      </c>
      <c r="F855" s="12" t="s">
        <v>18</v>
      </c>
      <c r="G855" s="12" t="s">
        <v>19</v>
      </c>
      <c r="H855" s="12" t="s">
        <v>54</v>
      </c>
      <c r="I855" s="12">
        <v>233.01300000000001</v>
      </c>
      <c r="J855" s="12">
        <v>196.61199999999999</v>
      </c>
      <c r="K855" s="12">
        <v>4.5</v>
      </c>
    </row>
    <row r="856" spans="1:12" ht="13.9" hidden="1" x14ac:dyDescent="0.25">
      <c r="A856" s="12">
        <v>7135</v>
      </c>
      <c r="B856" s="12">
        <v>1030563</v>
      </c>
      <c r="C856" s="12" t="s">
        <v>13</v>
      </c>
      <c r="D856" s="12" t="s">
        <v>14</v>
      </c>
      <c r="E856" s="14">
        <v>44929</v>
      </c>
      <c r="F856" s="12" t="s">
        <v>18</v>
      </c>
      <c r="G856" s="12" t="s">
        <v>19</v>
      </c>
      <c r="H856" s="12" t="s">
        <v>55</v>
      </c>
      <c r="I856" s="12">
        <v>233.012</v>
      </c>
      <c r="J856" s="12">
        <v>200.88900000000001</v>
      </c>
      <c r="K856" s="12">
        <v>3.7</v>
      </c>
    </row>
    <row r="857" spans="1:12" x14ac:dyDescent="0.25">
      <c r="A857" s="12">
        <v>7136</v>
      </c>
      <c r="B857" s="12">
        <v>1030568</v>
      </c>
      <c r="C857" s="12" t="s">
        <v>13</v>
      </c>
      <c r="D857" s="12" t="s">
        <v>14</v>
      </c>
      <c r="E857" s="14">
        <v>44930</v>
      </c>
      <c r="F857" s="12" t="s">
        <v>18</v>
      </c>
      <c r="G857" s="12" t="s">
        <v>19</v>
      </c>
      <c r="H857" s="12" t="s">
        <v>55</v>
      </c>
      <c r="I857" s="12">
        <v>233.012</v>
      </c>
      <c r="J857" s="12">
        <v>178.84100000000001</v>
      </c>
      <c r="K857" s="12">
        <v>3.9</v>
      </c>
      <c r="L857" s="12">
        <v>12.6</v>
      </c>
    </row>
    <row r="858" spans="1:12" ht="13.9" hidden="1" x14ac:dyDescent="0.25">
      <c r="A858" s="12">
        <v>7137</v>
      </c>
      <c r="B858" s="12">
        <v>1030708</v>
      </c>
      <c r="C858" s="12" t="s">
        <v>13</v>
      </c>
      <c r="D858" s="12" t="s">
        <v>14</v>
      </c>
      <c r="E858" s="14">
        <v>44931</v>
      </c>
      <c r="F858" s="12" t="s">
        <v>18</v>
      </c>
      <c r="G858" s="12" t="s">
        <v>19</v>
      </c>
      <c r="H858" s="12" t="s">
        <v>55</v>
      </c>
      <c r="I858" s="12">
        <v>233</v>
      </c>
      <c r="J858" s="12">
        <v>190.59800000000001</v>
      </c>
      <c r="K858" s="12">
        <v>3.9</v>
      </c>
    </row>
    <row r="859" spans="1:12" ht="13.9" hidden="1" x14ac:dyDescent="0.25">
      <c r="A859" s="12">
        <v>7138</v>
      </c>
      <c r="B859" s="12">
        <v>1030812</v>
      </c>
      <c r="C859" s="12" t="s">
        <v>13</v>
      </c>
      <c r="D859" s="12" t="s">
        <v>14</v>
      </c>
      <c r="E859" s="14">
        <v>44932</v>
      </c>
      <c r="F859" s="12" t="s">
        <v>18</v>
      </c>
      <c r="G859" s="12" t="s">
        <v>19</v>
      </c>
      <c r="H859" s="12" t="s">
        <v>55</v>
      </c>
      <c r="I859" s="12">
        <v>233.001</v>
      </c>
      <c r="J859" s="12">
        <v>199.548</v>
      </c>
      <c r="K859" s="12">
        <v>3.9</v>
      </c>
    </row>
    <row r="860" spans="1:12" ht="13.9" hidden="1" x14ac:dyDescent="0.25">
      <c r="A860" s="12">
        <v>7139</v>
      </c>
      <c r="B860" s="12">
        <v>1030938</v>
      </c>
      <c r="C860" s="12" t="s">
        <v>13</v>
      </c>
      <c r="D860" s="12" t="s">
        <v>14</v>
      </c>
      <c r="E860" s="14">
        <v>44933</v>
      </c>
      <c r="F860" s="12" t="s">
        <v>18</v>
      </c>
      <c r="G860" s="12" t="s">
        <v>19</v>
      </c>
      <c r="H860" s="12" t="s">
        <v>55</v>
      </c>
      <c r="I860" s="12">
        <v>233.00700000000001</v>
      </c>
      <c r="J860" s="12">
        <v>192.40700000000001</v>
      </c>
      <c r="K860" s="12">
        <v>4</v>
      </c>
    </row>
    <row r="861" spans="1:12" ht="13.9" hidden="1" x14ac:dyDescent="0.25">
      <c r="A861" s="12">
        <v>7140</v>
      </c>
      <c r="B861" s="12">
        <v>1030943</v>
      </c>
      <c r="C861" s="12" t="s">
        <v>13</v>
      </c>
      <c r="D861" s="12" t="s">
        <v>14</v>
      </c>
      <c r="E861" s="14">
        <v>44934</v>
      </c>
      <c r="F861" s="12" t="s">
        <v>17</v>
      </c>
      <c r="G861" s="12" t="s">
        <v>19</v>
      </c>
      <c r="H861" s="12" t="s">
        <v>58</v>
      </c>
      <c r="I861" s="12">
        <v>233.006</v>
      </c>
      <c r="J861" s="12">
        <v>195.22300000000001</v>
      </c>
      <c r="K861" s="12">
        <v>4.2</v>
      </c>
    </row>
    <row r="862" spans="1:12" x14ac:dyDescent="0.25">
      <c r="A862" s="12">
        <v>7141</v>
      </c>
      <c r="B862" s="12">
        <v>1030946</v>
      </c>
      <c r="C862" s="12" t="s">
        <v>13</v>
      </c>
      <c r="D862" s="12" t="s">
        <v>14</v>
      </c>
      <c r="E862" s="14">
        <v>44935</v>
      </c>
      <c r="F862" s="12" t="s">
        <v>18</v>
      </c>
      <c r="G862" s="12" t="s">
        <v>20</v>
      </c>
      <c r="H862" s="12" t="s">
        <v>79</v>
      </c>
      <c r="I862" s="12">
        <v>232.999</v>
      </c>
      <c r="J862" s="12">
        <v>196.304</v>
      </c>
      <c r="K862" s="12">
        <v>3.4</v>
      </c>
      <c r="L862" s="12">
        <v>11.5</v>
      </c>
    </row>
    <row r="863" spans="1:12" ht="13.9" hidden="1" x14ac:dyDescent="0.25">
      <c r="A863" s="12">
        <v>7142</v>
      </c>
      <c r="B863" s="12">
        <v>1030948</v>
      </c>
      <c r="C863" s="12" t="s">
        <v>13</v>
      </c>
      <c r="D863" s="12" t="s">
        <v>14</v>
      </c>
      <c r="E863" s="14">
        <v>44936</v>
      </c>
      <c r="F863" s="12" t="s">
        <v>18</v>
      </c>
      <c r="G863" s="12" t="s">
        <v>20</v>
      </c>
      <c r="H863" s="12" t="s">
        <v>79</v>
      </c>
      <c r="I863" s="12">
        <v>235.00700000000001</v>
      </c>
      <c r="J863" s="12">
        <v>206.22399999999999</v>
      </c>
      <c r="K863" s="12">
        <v>4</v>
      </c>
    </row>
    <row r="864" spans="1:12" ht="13.9" hidden="1" x14ac:dyDescent="0.25">
      <c r="A864" s="12">
        <v>7143</v>
      </c>
      <c r="B864" s="12">
        <v>1031151</v>
      </c>
      <c r="C864" s="12" t="s">
        <v>13</v>
      </c>
      <c r="D864" s="12" t="s">
        <v>14</v>
      </c>
      <c r="E864" s="14">
        <v>44937</v>
      </c>
      <c r="F864" s="12" t="s">
        <v>18</v>
      </c>
      <c r="G864" s="12" t="s">
        <v>20</v>
      </c>
      <c r="H864" s="12" t="s">
        <v>53</v>
      </c>
      <c r="I864" s="12">
        <v>235.00800000000001</v>
      </c>
      <c r="J864" s="12">
        <v>197.999</v>
      </c>
      <c r="K864" s="12">
        <v>4.2</v>
      </c>
    </row>
    <row r="865" spans="1:12" ht="13.9" hidden="1" x14ac:dyDescent="0.25">
      <c r="A865" s="12">
        <v>7144</v>
      </c>
      <c r="B865" s="12">
        <v>1031269</v>
      </c>
      <c r="C865" s="12" t="s">
        <v>13</v>
      </c>
      <c r="D865" s="12" t="s">
        <v>14</v>
      </c>
      <c r="E865" s="14">
        <v>44938</v>
      </c>
      <c r="F865" s="12" t="s">
        <v>18</v>
      </c>
      <c r="G865" s="12" t="s">
        <v>20</v>
      </c>
      <c r="H865" s="12" t="s">
        <v>53</v>
      </c>
      <c r="I865" s="12">
        <v>234.999</v>
      </c>
      <c r="J865" s="12">
        <v>195.94</v>
      </c>
      <c r="K865" s="12">
        <v>4</v>
      </c>
    </row>
    <row r="866" spans="1:12" ht="13.9" hidden="1" x14ac:dyDescent="0.25">
      <c r="A866" s="12">
        <v>7145</v>
      </c>
      <c r="B866" s="12">
        <v>1031378</v>
      </c>
      <c r="C866" s="12" t="s">
        <v>13</v>
      </c>
      <c r="D866" s="12" t="s">
        <v>14</v>
      </c>
      <c r="E866" s="14">
        <v>44939</v>
      </c>
      <c r="F866" s="12" t="s">
        <v>18</v>
      </c>
      <c r="G866" s="12" t="s">
        <v>19</v>
      </c>
      <c r="H866" s="12" t="s">
        <v>55</v>
      </c>
      <c r="I866" s="12">
        <v>235</v>
      </c>
      <c r="J866" s="12">
        <v>202.86</v>
      </c>
      <c r="K866" s="12">
        <v>4.3</v>
      </c>
    </row>
    <row r="867" spans="1:12" x14ac:dyDescent="0.25">
      <c r="A867" s="12">
        <v>7146</v>
      </c>
      <c r="B867" s="12">
        <v>1031485</v>
      </c>
      <c r="C867" s="12" t="s">
        <v>13</v>
      </c>
      <c r="D867" s="12" t="s">
        <v>14</v>
      </c>
      <c r="E867" s="14">
        <v>44940</v>
      </c>
      <c r="F867" s="12" t="s">
        <v>18</v>
      </c>
      <c r="G867" s="12" t="s">
        <v>19</v>
      </c>
      <c r="H867" s="12" t="s">
        <v>55</v>
      </c>
      <c r="I867" s="12">
        <v>233.00399999999999</v>
      </c>
      <c r="J867" s="12">
        <v>195.434</v>
      </c>
      <c r="K867" s="12">
        <v>3.9</v>
      </c>
      <c r="L867" s="12">
        <v>12.5</v>
      </c>
    </row>
    <row r="868" spans="1:12" ht="13.9" hidden="1" x14ac:dyDescent="0.25">
      <c r="A868" s="12">
        <v>7147</v>
      </c>
      <c r="B868" s="12">
        <v>1031587</v>
      </c>
      <c r="C868" s="12" t="s">
        <v>13</v>
      </c>
      <c r="D868" s="12" t="s">
        <v>14</v>
      </c>
      <c r="E868" s="14">
        <v>44941</v>
      </c>
      <c r="F868" s="12" t="s">
        <v>18</v>
      </c>
      <c r="G868" s="12" t="s">
        <v>19</v>
      </c>
      <c r="H868" s="12" t="s">
        <v>55</v>
      </c>
      <c r="I868" s="12">
        <v>233</v>
      </c>
      <c r="J868" s="12">
        <v>191.30099999999999</v>
      </c>
      <c r="K868" s="12">
        <v>3.9</v>
      </c>
    </row>
    <row r="869" spans="1:12" ht="13.9" hidden="1" x14ac:dyDescent="0.25">
      <c r="A869" s="12">
        <v>7148</v>
      </c>
      <c r="B869" s="12">
        <v>1031670</v>
      </c>
      <c r="C869" s="12" t="s">
        <v>13</v>
      </c>
      <c r="D869" s="12" t="s">
        <v>14</v>
      </c>
      <c r="E869" s="14">
        <v>44942</v>
      </c>
      <c r="F869" s="12" t="s">
        <v>18</v>
      </c>
      <c r="G869" s="12" t="s">
        <v>19</v>
      </c>
      <c r="H869" s="12" t="s">
        <v>55</v>
      </c>
      <c r="I869" s="12">
        <v>233</v>
      </c>
      <c r="J869" s="12">
        <v>197.3</v>
      </c>
      <c r="K869" s="12">
        <v>3.8</v>
      </c>
    </row>
    <row r="870" spans="1:12" ht="13.9" hidden="1" x14ac:dyDescent="0.25">
      <c r="A870" s="12">
        <v>7149</v>
      </c>
      <c r="B870" s="12">
        <v>1031672</v>
      </c>
      <c r="C870" s="12" t="s">
        <v>13</v>
      </c>
      <c r="D870" s="12" t="s">
        <v>14</v>
      </c>
      <c r="E870" s="14">
        <v>44943</v>
      </c>
      <c r="F870" s="12" t="s">
        <v>18</v>
      </c>
      <c r="G870" s="12" t="s">
        <v>19</v>
      </c>
      <c r="H870" s="12" t="s">
        <v>55</v>
      </c>
      <c r="I870" s="12">
        <v>232.97800000000001</v>
      </c>
      <c r="J870" s="12">
        <v>197.92699999999999</v>
      </c>
      <c r="K870" s="12">
        <v>3.3</v>
      </c>
    </row>
    <row r="871" spans="1:12" ht="13.9" hidden="1" x14ac:dyDescent="0.25">
      <c r="A871" s="12">
        <v>7150</v>
      </c>
      <c r="B871" s="12">
        <v>1031709</v>
      </c>
      <c r="C871" s="12" t="s">
        <v>13</v>
      </c>
      <c r="D871" s="12" t="s">
        <v>14</v>
      </c>
      <c r="E871" s="14">
        <v>44944</v>
      </c>
      <c r="F871" s="12" t="s">
        <v>37</v>
      </c>
      <c r="G871" s="12" t="s">
        <v>20</v>
      </c>
      <c r="H871" s="12" t="s">
        <v>56</v>
      </c>
      <c r="I871" s="12">
        <v>232.97900000000001</v>
      </c>
      <c r="J871" s="12">
        <v>200.26499999999999</v>
      </c>
      <c r="K871" s="12">
        <v>3.8</v>
      </c>
    </row>
    <row r="872" spans="1:12" ht="13.9" hidden="1" x14ac:dyDescent="0.25">
      <c r="A872" s="12">
        <v>7151</v>
      </c>
      <c r="B872" s="12">
        <v>1031900</v>
      </c>
      <c r="C872" s="12" t="s">
        <v>13</v>
      </c>
      <c r="D872" s="12" t="s">
        <v>14</v>
      </c>
      <c r="E872" s="14">
        <v>44945</v>
      </c>
      <c r="F872" s="12" t="s">
        <v>37</v>
      </c>
      <c r="G872" s="12" t="s">
        <v>20</v>
      </c>
      <c r="H872" s="12" t="s">
        <v>56</v>
      </c>
      <c r="I872" s="12">
        <v>235.048</v>
      </c>
      <c r="J872" s="12">
        <v>199.09</v>
      </c>
      <c r="K872" s="12">
        <v>4.9000000000000004</v>
      </c>
    </row>
    <row r="873" spans="1:12" ht="13.9" hidden="1" x14ac:dyDescent="0.25">
      <c r="A873" s="12">
        <v>7152</v>
      </c>
      <c r="B873" s="12">
        <v>1032006</v>
      </c>
      <c r="C873" s="12" t="s">
        <v>13</v>
      </c>
      <c r="D873" s="12" t="s">
        <v>14</v>
      </c>
      <c r="E873" s="14">
        <v>44946</v>
      </c>
      <c r="F873" s="12" t="s">
        <v>18</v>
      </c>
      <c r="G873" s="12" t="s">
        <v>19</v>
      </c>
      <c r="H873" s="12" t="s">
        <v>55</v>
      </c>
      <c r="I873" s="12">
        <v>235.04900000000001</v>
      </c>
      <c r="J873" s="12">
        <v>204.59100000000001</v>
      </c>
      <c r="K873" s="12">
        <v>5.2</v>
      </c>
    </row>
    <row r="874" spans="1:12" ht="13.9" hidden="1" x14ac:dyDescent="0.25">
      <c r="A874" s="12">
        <v>7153</v>
      </c>
      <c r="B874" s="12">
        <v>1032166</v>
      </c>
      <c r="C874" s="12" t="s">
        <v>13</v>
      </c>
      <c r="D874" s="12" t="s">
        <v>14</v>
      </c>
      <c r="E874" s="14">
        <v>44947</v>
      </c>
      <c r="F874" s="12" t="s">
        <v>18</v>
      </c>
      <c r="G874" s="12" t="s">
        <v>19</v>
      </c>
      <c r="H874" s="12" t="s">
        <v>55</v>
      </c>
      <c r="I874" s="12">
        <v>232.999</v>
      </c>
      <c r="J874" s="12">
        <v>196.38499999999999</v>
      </c>
      <c r="K874" s="12">
        <v>3.2</v>
      </c>
    </row>
    <row r="875" spans="1:12" x14ac:dyDescent="0.25">
      <c r="A875" s="12">
        <v>7154</v>
      </c>
      <c r="B875" s="12">
        <v>1032302</v>
      </c>
      <c r="C875" s="12" t="s">
        <v>13</v>
      </c>
      <c r="D875" s="12" t="s">
        <v>14</v>
      </c>
      <c r="E875" s="14">
        <v>44948</v>
      </c>
      <c r="F875" s="12" t="s">
        <v>18</v>
      </c>
      <c r="G875" s="12" t="s">
        <v>19</v>
      </c>
      <c r="H875" s="12" t="s">
        <v>55</v>
      </c>
      <c r="I875" s="12">
        <v>233</v>
      </c>
      <c r="J875" s="12">
        <v>197.81299999999999</v>
      </c>
      <c r="K875" s="12">
        <v>4.3</v>
      </c>
      <c r="L875" s="12">
        <v>11.9</v>
      </c>
    </row>
    <row r="876" spans="1:12" ht="13.9" hidden="1" x14ac:dyDescent="0.25">
      <c r="A876" s="12">
        <v>7155</v>
      </c>
      <c r="B876" s="12">
        <v>1032344</v>
      </c>
      <c r="C876" s="12" t="s">
        <v>13</v>
      </c>
      <c r="D876" s="12" t="s">
        <v>14</v>
      </c>
      <c r="E876" s="14">
        <v>44949</v>
      </c>
      <c r="F876" s="12" t="s">
        <v>18</v>
      </c>
      <c r="G876" s="12" t="s">
        <v>19</v>
      </c>
      <c r="H876" s="12" t="s">
        <v>55</v>
      </c>
      <c r="I876" s="12">
        <v>233.006</v>
      </c>
      <c r="J876" s="12">
        <v>196.941</v>
      </c>
      <c r="K876" s="12">
        <v>3.6</v>
      </c>
    </row>
    <row r="877" spans="1:12" ht="13.9" hidden="1" x14ac:dyDescent="0.25">
      <c r="A877" s="12">
        <v>7156</v>
      </c>
      <c r="B877" s="12">
        <v>1032345</v>
      </c>
      <c r="C877" s="12" t="s">
        <v>13</v>
      </c>
      <c r="D877" s="12" t="s">
        <v>14</v>
      </c>
      <c r="E877" s="14">
        <v>44950</v>
      </c>
      <c r="F877" s="12" t="s">
        <v>18</v>
      </c>
      <c r="G877" s="12" t="s">
        <v>20</v>
      </c>
      <c r="H877" s="12" t="s">
        <v>79</v>
      </c>
      <c r="I877" s="12">
        <v>233.006</v>
      </c>
      <c r="J877" s="12">
        <v>201.31299999999999</v>
      </c>
      <c r="K877" s="12">
        <v>3.8</v>
      </c>
    </row>
    <row r="878" spans="1:12" ht="13.9" hidden="1" x14ac:dyDescent="0.25">
      <c r="A878" s="12">
        <v>7157</v>
      </c>
      <c r="B878" s="12">
        <v>1032347</v>
      </c>
      <c r="C878" s="12" t="s">
        <v>13</v>
      </c>
      <c r="D878" s="12" t="s">
        <v>14</v>
      </c>
      <c r="E878" s="14">
        <v>44951</v>
      </c>
      <c r="F878" s="12" t="s">
        <v>18</v>
      </c>
      <c r="G878" s="12" t="s">
        <v>20</v>
      </c>
      <c r="H878" s="12" t="s">
        <v>79</v>
      </c>
      <c r="I878" s="12">
        <v>235.00299999999999</v>
      </c>
      <c r="J878" s="12">
        <v>199.69200000000001</v>
      </c>
      <c r="K878" s="12">
        <v>3.4</v>
      </c>
    </row>
    <row r="879" spans="1:12" ht="13.9" hidden="1" x14ac:dyDescent="0.25">
      <c r="A879" s="12">
        <v>7158</v>
      </c>
      <c r="B879" s="12">
        <v>1032556</v>
      </c>
      <c r="C879" s="12" t="s">
        <v>13</v>
      </c>
      <c r="D879" s="12" t="s">
        <v>14</v>
      </c>
      <c r="E879" s="14">
        <v>44952</v>
      </c>
      <c r="F879" s="12" t="s">
        <v>18</v>
      </c>
      <c r="G879" s="12" t="s">
        <v>19</v>
      </c>
      <c r="H879" s="12" t="s">
        <v>55</v>
      </c>
      <c r="I879" s="12">
        <v>235.00299999999999</v>
      </c>
      <c r="J879" s="12">
        <v>203.572</v>
      </c>
      <c r="K879" s="12">
        <v>4</v>
      </c>
    </row>
    <row r="880" spans="1:12" x14ac:dyDescent="0.25">
      <c r="A880" s="12">
        <v>7159</v>
      </c>
      <c r="B880" s="12">
        <v>1032696</v>
      </c>
      <c r="C880" s="12" t="s">
        <v>13</v>
      </c>
      <c r="D880" s="12" t="s">
        <v>14</v>
      </c>
      <c r="E880" s="14">
        <v>44953</v>
      </c>
      <c r="F880" s="12" t="s">
        <v>18</v>
      </c>
      <c r="G880" s="12" t="s">
        <v>19</v>
      </c>
      <c r="H880" s="12" t="s">
        <v>55</v>
      </c>
      <c r="I880" s="12">
        <v>235.01599999999999</v>
      </c>
      <c r="J880" s="12">
        <v>198.23599999999999</v>
      </c>
      <c r="K880" s="12">
        <v>3.4</v>
      </c>
      <c r="L880" s="12">
        <v>12</v>
      </c>
    </row>
    <row r="881" spans="1:12" ht="13.9" hidden="1" x14ac:dyDescent="0.25">
      <c r="A881" s="12">
        <v>7160</v>
      </c>
      <c r="B881" s="12">
        <v>1032820</v>
      </c>
      <c r="C881" s="12" t="s">
        <v>13</v>
      </c>
      <c r="D881" s="12" t="s">
        <v>14</v>
      </c>
      <c r="E881" s="14">
        <v>44954</v>
      </c>
      <c r="F881" s="12" t="s">
        <v>18</v>
      </c>
      <c r="G881" s="12" t="s">
        <v>19</v>
      </c>
      <c r="H881" s="12" t="s">
        <v>55</v>
      </c>
      <c r="I881" s="12">
        <v>234.999</v>
      </c>
      <c r="J881" s="12">
        <v>197.52199999999999</v>
      </c>
      <c r="K881" s="12">
        <v>3.9</v>
      </c>
    </row>
    <row r="882" spans="1:12" ht="13.9" hidden="1" x14ac:dyDescent="0.25">
      <c r="A882" s="12">
        <v>7161</v>
      </c>
      <c r="B882" s="12">
        <v>1032981</v>
      </c>
      <c r="C882" s="12" t="s">
        <v>13</v>
      </c>
      <c r="D882" s="12" t="s">
        <v>14</v>
      </c>
      <c r="E882" s="14">
        <v>44955</v>
      </c>
      <c r="F882" s="12" t="s">
        <v>18</v>
      </c>
      <c r="G882" s="12" t="s">
        <v>19</v>
      </c>
      <c r="H882" s="12" t="s">
        <v>55</v>
      </c>
      <c r="I882" s="12">
        <v>235</v>
      </c>
      <c r="J882" s="12">
        <v>199.16900000000001</v>
      </c>
      <c r="K882" s="12">
        <v>3.7</v>
      </c>
    </row>
    <row r="883" spans="1:12" ht="13.9" hidden="1" x14ac:dyDescent="0.25">
      <c r="A883" s="12">
        <v>7162</v>
      </c>
      <c r="B883" s="12">
        <v>1033091</v>
      </c>
      <c r="C883" s="12" t="s">
        <v>13</v>
      </c>
      <c r="D883" s="12" t="s">
        <v>14</v>
      </c>
      <c r="E883" s="14">
        <v>44956</v>
      </c>
      <c r="F883" s="12" t="s">
        <v>18</v>
      </c>
      <c r="G883" s="12" t="s">
        <v>19</v>
      </c>
      <c r="H883" s="12" t="s">
        <v>55</v>
      </c>
      <c r="I883" s="12">
        <v>235.00200000000001</v>
      </c>
      <c r="J883" s="12">
        <v>193.85300000000001</v>
      </c>
      <c r="K883" s="12">
        <v>3.7</v>
      </c>
    </row>
    <row r="884" spans="1:12" ht="13.9" hidden="1" x14ac:dyDescent="0.25">
      <c r="A884" s="12">
        <v>7163</v>
      </c>
      <c r="B884" s="12">
        <v>1033092</v>
      </c>
      <c r="C884" s="12" t="s">
        <v>13</v>
      </c>
      <c r="D884" s="12" t="s">
        <v>14</v>
      </c>
      <c r="E884" s="14">
        <v>44957</v>
      </c>
      <c r="F884" s="12" t="s">
        <v>46</v>
      </c>
      <c r="G884" s="12" t="s">
        <v>20</v>
      </c>
      <c r="H884" s="12" t="s">
        <v>48</v>
      </c>
      <c r="I884" s="12">
        <v>235.001</v>
      </c>
      <c r="J884" s="12">
        <v>201.35599999999999</v>
      </c>
      <c r="K884" s="12">
        <v>3.4</v>
      </c>
    </row>
    <row r="885" spans="1:12" ht="13.9" hidden="1" x14ac:dyDescent="0.25">
      <c r="A885" s="12">
        <v>7164</v>
      </c>
      <c r="B885" s="12">
        <v>1033121</v>
      </c>
      <c r="C885" s="12" t="s">
        <v>13</v>
      </c>
      <c r="D885" s="12" t="s">
        <v>14</v>
      </c>
      <c r="E885" s="14">
        <v>44958</v>
      </c>
      <c r="F885" s="12" t="s">
        <v>18</v>
      </c>
      <c r="G885" s="12" t="s">
        <v>20</v>
      </c>
      <c r="H885" s="12" t="s">
        <v>53</v>
      </c>
      <c r="I885" s="12">
        <v>230.03299999999999</v>
      </c>
      <c r="J885" s="12">
        <v>195.446</v>
      </c>
      <c r="K885" s="12">
        <v>4.2</v>
      </c>
    </row>
    <row r="886" spans="1:12" ht="13.9" hidden="1" x14ac:dyDescent="0.25">
      <c r="A886" s="12">
        <v>7165</v>
      </c>
      <c r="B886" s="12">
        <v>1033336</v>
      </c>
      <c r="C886" s="12" t="s">
        <v>13</v>
      </c>
      <c r="D886" s="12" t="s">
        <v>14</v>
      </c>
      <c r="E886" s="14">
        <v>44959</v>
      </c>
      <c r="F886" s="12" t="s">
        <v>18</v>
      </c>
      <c r="G886" s="12" t="s">
        <v>20</v>
      </c>
      <c r="H886" s="12" t="s">
        <v>53</v>
      </c>
      <c r="I886" s="12">
        <v>235.00700000000001</v>
      </c>
      <c r="J886" s="12">
        <v>197.43199999999999</v>
      </c>
      <c r="K886" s="12">
        <v>3.9</v>
      </c>
    </row>
    <row r="887" spans="1:12" ht="13.9" hidden="1" x14ac:dyDescent="0.25">
      <c r="A887" s="12">
        <v>7166</v>
      </c>
      <c r="B887" s="12">
        <v>1033414</v>
      </c>
      <c r="C887" s="12" t="s">
        <v>13</v>
      </c>
      <c r="D887" s="12" t="s">
        <v>14</v>
      </c>
      <c r="E887" s="14">
        <v>44960</v>
      </c>
      <c r="F887" s="12" t="s">
        <v>18</v>
      </c>
      <c r="G887" s="12" t="s">
        <v>19</v>
      </c>
      <c r="H887" s="12" t="s">
        <v>55</v>
      </c>
      <c r="I887" s="12">
        <v>235.00700000000001</v>
      </c>
      <c r="J887" s="12">
        <v>203.40899999999999</v>
      </c>
      <c r="K887" s="12">
        <v>4.5</v>
      </c>
    </row>
    <row r="888" spans="1:12" ht="13.9" hidden="1" x14ac:dyDescent="0.25">
      <c r="A888" s="12">
        <v>7167</v>
      </c>
      <c r="B888" s="12">
        <v>1033513</v>
      </c>
      <c r="C888" s="12" t="s">
        <v>13</v>
      </c>
      <c r="D888" s="12" t="s">
        <v>14</v>
      </c>
      <c r="E888" s="14">
        <v>44961</v>
      </c>
      <c r="F888" s="12" t="s">
        <v>18</v>
      </c>
      <c r="G888" s="12" t="s">
        <v>19</v>
      </c>
      <c r="H888" s="12" t="s">
        <v>55</v>
      </c>
      <c r="I888" s="12">
        <v>235.00800000000001</v>
      </c>
      <c r="J888" s="12">
        <v>197.99700000000001</v>
      </c>
      <c r="K888" s="12">
        <v>3.6</v>
      </c>
    </row>
    <row r="889" spans="1:12" ht="13.9" hidden="1" x14ac:dyDescent="0.25">
      <c r="A889" s="12">
        <v>7168</v>
      </c>
      <c r="B889" s="12">
        <v>1033601</v>
      </c>
      <c r="C889" s="12" t="s">
        <v>13</v>
      </c>
      <c r="D889" s="12" t="s">
        <v>14</v>
      </c>
      <c r="E889" s="14">
        <v>44962</v>
      </c>
      <c r="F889" s="12" t="s">
        <v>18</v>
      </c>
      <c r="G889" s="12" t="s">
        <v>19</v>
      </c>
      <c r="H889" s="12" t="s">
        <v>55</v>
      </c>
      <c r="I889" s="12">
        <v>235</v>
      </c>
      <c r="J889" s="12">
        <v>194.24100000000001</v>
      </c>
      <c r="K889" s="12">
        <v>4</v>
      </c>
    </row>
    <row r="890" spans="1:12" ht="13.9" hidden="1" x14ac:dyDescent="0.25">
      <c r="A890" s="12">
        <v>7169</v>
      </c>
      <c r="B890" s="12">
        <v>1033765</v>
      </c>
      <c r="C890" s="12" t="s">
        <v>13</v>
      </c>
      <c r="D890" s="12" t="s">
        <v>14</v>
      </c>
      <c r="E890" s="14">
        <v>44963</v>
      </c>
      <c r="F890" s="12" t="s">
        <v>18</v>
      </c>
      <c r="G890" s="12" t="s">
        <v>19</v>
      </c>
      <c r="H890" s="12" t="s">
        <v>55</v>
      </c>
      <c r="I890" s="12">
        <v>234.999</v>
      </c>
      <c r="J890" s="12">
        <v>201.768</v>
      </c>
      <c r="K890" s="12">
        <v>3.6</v>
      </c>
    </row>
    <row r="891" spans="1:12" ht="13.9" hidden="1" x14ac:dyDescent="0.25">
      <c r="A891" s="12">
        <v>7170</v>
      </c>
      <c r="B891" s="12">
        <v>1033766</v>
      </c>
      <c r="C891" s="12" t="s">
        <v>13</v>
      </c>
      <c r="D891" s="12" t="s">
        <v>14</v>
      </c>
      <c r="E891" s="14">
        <v>44964</v>
      </c>
      <c r="F891" s="12" t="s">
        <v>18</v>
      </c>
      <c r="G891" s="12" t="s">
        <v>19</v>
      </c>
      <c r="H891" s="12" t="s">
        <v>55</v>
      </c>
      <c r="I891" s="12">
        <v>235</v>
      </c>
      <c r="J891" s="12">
        <v>193.398</v>
      </c>
      <c r="K891" s="12">
        <v>3.7</v>
      </c>
    </row>
    <row r="892" spans="1:12" ht="13.9" hidden="1" x14ac:dyDescent="0.25">
      <c r="A892" s="12">
        <v>7171</v>
      </c>
      <c r="B892" s="12">
        <v>1033767</v>
      </c>
      <c r="C892" s="12" t="s">
        <v>13</v>
      </c>
      <c r="D892" s="12" t="s">
        <v>14</v>
      </c>
      <c r="E892" s="14">
        <v>44965</v>
      </c>
      <c r="F892" s="12" t="s">
        <v>46</v>
      </c>
      <c r="G892" s="12" t="s">
        <v>20</v>
      </c>
      <c r="H892" s="12" t="s">
        <v>80</v>
      </c>
      <c r="I892" s="12">
        <v>234.999</v>
      </c>
      <c r="J892" s="12">
        <v>203.12100000000001</v>
      </c>
      <c r="K892" s="12">
        <v>3.4</v>
      </c>
    </row>
    <row r="893" spans="1:12" x14ac:dyDescent="0.25">
      <c r="A893" s="12">
        <v>7172</v>
      </c>
      <c r="B893" s="12">
        <v>1034042</v>
      </c>
      <c r="C893" s="12" t="s">
        <v>13</v>
      </c>
      <c r="D893" s="12" t="s">
        <v>14</v>
      </c>
      <c r="E893" s="14">
        <v>44966</v>
      </c>
      <c r="F893" s="12" t="s">
        <v>18</v>
      </c>
      <c r="G893" s="12" t="s">
        <v>19</v>
      </c>
      <c r="H893" s="12" t="s">
        <v>54</v>
      </c>
      <c r="I893" s="12">
        <v>229.99299999999999</v>
      </c>
      <c r="J893" s="12">
        <v>194.79</v>
      </c>
      <c r="K893" s="12">
        <v>4.9000000000000004</v>
      </c>
      <c r="L893" s="12">
        <v>11.4</v>
      </c>
    </row>
    <row r="894" spans="1:12" ht="13.9" hidden="1" x14ac:dyDescent="0.25">
      <c r="A894" s="12">
        <v>7173</v>
      </c>
      <c r="B894" s="12">
        <v>1034298</v>
      </c>
      <c r="C894" s="12" t="s">
        <v>13</v>
      </c>
      <c r="D894" s="12" t="s">
        <v>14</v>
      </c>
      <c r="E894" s="14">
        <v>44967</v>
      </c>
      <c r="F894" s="12" t="s">
        <v>18</v>
      </c>
      <c r="G894" s="12" t="s">
        <v>19</v>
      </c>
      <c r="H894" s="12" t="s">
        <v>54</v>
      </c>
      <c r="I894" s="12">
        <v>235</v>
      </c>
      <c r="J894" s="12">
        <v>197.66800000000001</v>
      </c>
      <c r="K894" s="12">
        <v>4.4000000000000004</v>
      </c>
    </row>
    <row r="895" spans="1:12" ht="13.9" hidden="1" x14ac:dyDescent="0.25">
      <c r="A895" s="12">
        <v>7174</v>
      </c>
      <c r="B895" s="12">
        <v>1034304</v>
      </c>
      <c r="C895" s="12" t="s">
        <v>13</v>
      </c>
      <c r="D895" s="12" t="s">
        <v>14</v>
      </c>
      <c r="E895" s="14">
        <v>44968</v>
      </c>
      <c r="F895" s="12" t="s">
        <v>37</v>
      </c>
      <c r="G895" s="12" t="s">
        <v>20</v>
      </c>
      <c r="H895" s="12" t="s">
        <v>56</v>
      </c>
      <c r="I895" s="12">
        <v>235.001</v>
      </c>
      <c r="J895" s="12">
        <v>205.905</v>
      </c>
      <c r="K895" s="12">
        <v>3.7</v>
      </c>
    </row>
    <row r="896" spans="1:12" ht="13.9" hidden="1" x14ac:dyDescent="0.25">
      <c r="A896" s="12">
        <v>7175</v>
      </c>
      <c r="B896" s="12">
        <v>1034325</v>
      </c>
      <c r="C896" s="12" t="s">
        <v>13</v>
      </c>
      <c r="D896" s="12" t="s">
        <v>14</v>
      </c>
      <c r="E896" s="14">
        <v>44969</v>
      </c>
      <c r="F896" s="12" t="s">
        <v>37</v>
      </c>
      <c r="G896" s="12" t="s">
        <v>20</v>
      </c>
      <c r="H896" s="12" t="s">
        <v>56</v>
      </c>
      <c r="I896" s="12">
        <v>234.96899999999999</v>
      </c>
      <c r="J896" s="12">
        <v>194.39099999999999</v>
      </c>
      <c r="K896" s="12">
        <v>4.3</v>
      </c>
    </row>
    <row r="897" spans="1:12" ht="13.9" hidden="1" x14ac:dyDescent="0.25">
      <c r="A897" s="12">
        <v>7176</v>
      </c>
      <c r="B897" s="12">
        <v>1034326</v>
      </c>
      <c r="C897" s="12" t="s">
        <v>13</v>
      </c>
      <c r="D897" s="12" t="s">
        <v>14</v>
      </c>
      <c r="E897" s="14">
        <v>44970</v>
      </c>
      <c r="F897" s="12" t="s">
        <v>18</v>
      </c>
      <c r="G897" s="12" t="s">
        <v>19</v>
      </c>
      <c r="H897" s="12" t="s">
        <v>55</v>
      </c>
      <c r="I897" s="12">
        <v>234.97</v>
      </c>
      <c r="J897" s="12">
        <v>208.12799999999999</v>
      </c>
      <c r="K897" s="12">
        <v>6</v>
      </c>
    </row>
    <row r="898" spans="1:12" x14ac:dyDescent="0.25">
      <c r="A898" s="12">
        <v>7177</v>
      </c>
      <c r="B898" s="12">
        <v>1034331</v>
      </c>
      <c r="C898" s="12" t="s">
        <v>13</v>
      </c>
      <c r="D898" s="12" t="s">
        <v>14</v>
      </c>
      <c r="E898" s="14">
        <v>44971</v>
      </c>
      <c r="F898" s="12" t="s">
        <v>18</v>
      </c>
      <c r="G898" s="12" t="s">
        <v>19</v>
      </c>
      <c r="H898" s="12" t="s">
        <v>55</v>
      </c>
      <c r="I898" s="12">
        <v>235.00299999999999</v>
      </c>
      <c r="J898" s="12">
        <v>200.864</v>
      </c>
      <c r="K898" s="12">
        <v>3.6</v>
      </c>
      <c r="L898" s="12">
        <v>12</v>
      </c>
    </row>
    <row r="899" spans="1:12" ht="13.9" hidden="1" x14ac:dyDescent="0.25">
      <c r="A899" s="12">
        <v>7178</v>
      </c>
      <c r="B899" s="12">
        <v>1034524</v>
      </c>
      <c r="C899" s="12" t="s">
        <v>13</v>
      </c>
      <c r="D899" s="12" t="s">
        <v>14</v>
      </c>
      <c r="E899" s="14">
        <v>44972</v>
      </c>
      <c r="F899" s="12" t="s">
        <v>18</v>
      </c>
      <c r="G899" s="12" t="s">
        <v>19</v>
      </c>
      <c r="H899" s="12" t="s">
        <v>55</v>
      </c>
      <c r="I899" s="12">
        <v>235.00899999999999</v>
      </c>
      <c r="J899" s="12">
        <v>193.517</v>
      </c>
      <c r="K899" s="12">
        <v>3.7</v>
      </c>
    </row>
    <row r="900" spans="1:12" ht="13.9" hidden="1" x14ac:dyDescent="0.25">
      <c r="A900" s="12">
        <v>7179</v>
      </c>
      <c r="B900" s="12">
        <v>1034701</v>
      </c>
      <c r="C900" s="12" t="s">
        <v>13</v>
      </c>
      <c r="D900" s="12" t="s">
        <v>14</v>
      </c>
      <c r="E900" s="14">
        <v>44973</v>
      </c>
      <c r="F900" s="12" t="s">
        <v>18</v>
      </c>
      <c r="G900" s="12" t="s">
        <v>19</v>
      </c>
      <c r="H900" s="12" t="s">
        <v>55</v>
      </c>
      <c r="I900" s="12">
        <v>235.01</v>
      </c>
      <c r="J900" s="12">
        <v>202.785</v>
      </c>
      <c r="K900" s="12">
        <v>3.5</v>
      </c>
    </row>
    <row r="901" spans="1:12" ht="13.9" hidden="1" x14ac:dyDescent="0.25">
      <c r="A901" s="12">
        <v>7180</v>
      </c>
      <c r="B901" s="12">
        <v>1034866</v>
      </c>
      <c r="C901" s="12" t="s">
        <v>13</v>
      </c>
      <c r="D901" s="12" t="s">
        <v>14</v>
      </c>
      <c r="E901" s="14">
        <v>44974</v>
      </c>
      <c r="F901" s="12" t="s">
        <v>18</v>
      </c>
      <c r="G901" s="12" t="s">
        <v>19</v>
      </c>
      <c r="H901" s="12" t="s">
        <v>55</v>
      </c>
      <c r="I901" s="12">
        <v>234.99700000000001</v>
      </c>
      <c r="J901" s="12">
        <v>196.09700000000001</v>
      </c>
      <c r="K901" s="12">
        <v>5.9</v>
      </c>
    </row>
    <row r="902" spans="1:12" ht="13.9" hidden="1" x14ac:dyDescent="0.25">
      <c r="A902" s="12">
        <v>7181</v>
      </c>
      <c r="B902" s="12">
        <v>1034925</v>
      </c>
      <c r="C902" s="12" t="s">
        <v>13</v>
      </c>
      <c r="D902" s="12" t="s">
        <v>14</v>
      </c>
      <c r="E902" s="14">
        <v>44975</v>
      </c>
      <c r="F902" s="12" t="s">
        <v>37</v>
      </c>
      <c r="G902" s="12" t="s">
        <v>20</v>
      </c>
      <c r="H902" s="12" t="s">
        <v>53</v>
      </c>
      <c r="I902" s="12">
        <v>234.99700000000001</v>
      </c>
      <c r="J902" s="12">
        <v>200.602</v>
      </c>
      <c r="K902" s="12">
        <v>4.0999999999999996</v>
      </c>
    </row>
    <row r="903" spans="1:12" ht="13.9" hidden="1" x14ac:dyDescent="0.25">
      <c r="A903" s="12">
        <v>7182</v>
      </c>
      <c r="B903" s="12">
        <v>1035031</v>
      </c>
      <c r="C903" s="12" t="s">
        <v>13</v>
      </c>
      <c r="D903" s="12" t="s">
        <v>14</v>
      </c>
      <c r="E903" s="14">
        <v>44976</v>
      </c>
      <c r="F903" s="12" t="s">
        <v>37</v>
      </c>
      <c r="G903" s="12" t="s">
        <v>20</v>
      </c>
      <c r="H903" s="12" t="s">
        <v>53</v>
      </c>
      <c r="I903" s="12">
        <v>234.99100000000001</v>
      </c>
      <c r="J903" s="12">
        <v>199.53299999999999</v>
      </c>
      <c r="K903" s="12">
        <v>4.4000000000000004</v>
      </c>
    </row>
    <row r="904" spans="1:12" ht="13.9" hidden="1" x14ac:dyDescent="0.25">
      <c r="A904" s="12">
        <v>7183</v>
      </c>
      <c r="B904" s="12">
        <v>1035166</v>
      </c>
      <c r="C904" s="12" t="s">
        <v>13</v>
      </c>
      <c r="D904" s="12" t="s">
        <v>14</v>
      </c>
      <c r="E904" s="14">
        <v>44977</v>
      </c>
      <c r="F904" s="12" t="s">
        <v>51</v>
      </c>
      <c r="G904" s="12" t="s">
        <v>19</v>
      </c>
      <c r="H904" s="12" t="s">
        <v>54</v>
      </c>
      <c r="I904" s="12">
        <v>234.99199999999999</v>
      </c>
      <c r="J904" s="12">
        <v>206.98500000000001</v>
      </c>
      <c r="K904" s="12">
        <v>4.7</v>
      </c>
    </row>
    <row r="905" spans="1:12" ht="13.9" hidden="1" x14ac:dyDescent="0.25">
      <c r="A905" s="12">
        <v>7184</v>
      </c>
      <c r="B905" s="12">
        <v>1035168</v>
      </c>
      <c r="C905" s="12" t="s">
        <v>13</v>
      </c>
      <c r="D905" s="12" t="s">
        <v>14</v>
      </c>
      <c r="E905" s="14">
        <v>44978</v>
      </c>
      <c r="F905" s="12" t="s">
        <v>51</v>
      </c>
      <c r="G905" s="12" t="s">
        <v>19</v>
      </c>
      <c r="H905" s="12" t="s">
        <v>54</v>
      </c>
      <c r="I905" s="12">
        <v>235.006</v>
      </c>
      <c r="J905" s="12">
        <v>191.12</v>
      </c>
      <c r="K905" s="12">
        <v>3.9</v>
      </c>
    </row>
    <row r="906" spans="1:12" ht="13.9" hidden="1" x14ac:dyDescent="0.25">
      <c r="A906" s="12">
        <v>7185</v>
      </c>
      <c r="B906" s="12">
        <v>1035193</v>
      </c>
      <c r="C906" s="12" t="s">
        <v>13</v>
      </c>
      <c r="D906" s="12" t="s">
        <v>14</v>
      </c>
      <c r="E906" s="14">
        <v>44979</v>
      </c>
      <c r="F906" s="12" t="s">
        <v>18</v>
      </c>
      <c r="G906" s="12" t="s">
        <v>19</v>
      </c>
      <c r="H906" s="12" t="s">
        <v>55</v>
      </c>
      <c r="I906" s="12">
        <v>235.005</v>
      </c>
      <c r="J906" s="12">
        <v>178.495</v>
      </c>
      <c r="K906" s="12">
        <v>3.5</v>
      </c>
    </row>
    <row r="907" spans="1:12" ht="13.9" hidden="1" x14ac:dyDescent="0.25">
      <c r="A907" s="12">
        <v>7186</v>
      </c>
      <c r="B907" s="12">
        <v>1035317</v>
      </c>
      <c r="C907" s="12" t="s">
        <v>13</v>
      </c>
      <c r="D907" s="12" t="s">
        <v>14</v>
      </c>
      <c r="E907" s="14">
        <v>44980</v>
      </c>
      <c r="F907" s="12" t="s">
        <v>18</v>
      </c>
      <c r="G907" s="12" t="s">
        <v>19</v>
      </c>
      <c r="H907" s="12" t="s">
        <v>55</v>
      </c>
      <c r="I907" s="12">
        <v>234.99700000000001</v>
      </c>
      <c r="J907" s="12">
        <v>161.15</v>
      </c>
      <c r="K907" s="12">
        <v>3.5</v>
      </c>
    </row>
    <row r="908" spans="1:12" ht="13.9" hidden="1" x14ac:dyDescent="0.25">
      <c r="A908" s="12">
        <v>7187</v>
      </c>
      <c r="B908" s="12">
        <v>1035471</v>
      </c>
      <c r="C908" s="12" t="s">
        <v>13</v>
      </c>
      <c r="D908" s="12" t="s">
        <v>14</v>
      </c>
      <c r="E908" s="14">
        <v>44982</v>
      </c>
      <c r="F908" s="12" t="s">
        <v>46</v>
      </c>
      <c r="G908" s="12" t="s">
        <v>19</v>
      </c>
      <c r="H908" s="12" t="s">
        <v>81</v>
      </c>
      <c r="I908" s="12">
        <v>234.99700000000001</v>
      </c>
      <c r="J908" s="12">
        <v>209.91499999999999</v>
      </c>
      <c r="K908" s="12">
        <v>3.5</v>
      </c>
    </row>
    <row r="909" spans="1:12" ht="13.9" hidden="1" x14ac:dyDescent="0.25">
      <c r="A909" s="12">
        <v>7188</v>
      </c>
      <c r="B909" s="20">
        <v>1035795</v>
      </c>
      <c r="C909" s="12" t="s">
        <v>13</v>
      </c>
      <c r="D909" s="12" t="s">
        <v>14</v>
      </c>
      <c r="E909" s="14">
        <v>44983</v>
      </c>
      <c r="F909" s="12" t="s">
        <v>18</v>
      </c>
      <c r="G909" s="12" t="s">
        <v>20</v>
      </c>
      <c r="H909" s="12" t="s">
        <v>56</v>
      </c>
      <c r="I909" s="12">
        <v>229.999</v>
      </c>
      <c r="J909" s="12">
        <v>194.529</v>
      </c>
      <c r="L909" s="12">
        <v>12.1</v>
      </c>
    </row>
    <row r="910" spans="1:12" ht="13.9" hidden="1" x14ac:dyDescent="0.25">
      <c r="A910" s="12">
        <v>7189</v>
      </c>
      <c r="B910" s="12">
        <v>1035753</v>
      </c>
      <c r="C910" s="12" t="s">
        <v>13</v>
      </c>
      <c r="D910" s="12" t="s">
        <v>14</v>
      </c>
      <c r="E910" s="14">
        <v>44984</v>
      </c>
      <c r="F910" s="12" t="s">
        <v>18</v>
      </c>
      <c r="G910" s="12" t="s">
        <v>20</v>
      </c>
      <c r="H910" s="12" t="s">
        <v>56</v>
      </c>
      <c r="I910" s="12">
        <v>235.11600000000001</v>
      </c>
      <c r="J910" s="12">
        <v>182.12</v>
      </c>
      <c r="K910" s="12">
        <v>3.4</v>
      </c>
    </row>
    <row r="911" spans="1:12" ht="13.9" hidden="1" x14ac:dyDescent="0.25">
      <c r="A911" s="12">
        <v>7190</v>
      </c>
      <c r="B911" s="12">
        <v>1035885</v>
      </c>
      <c r="C911" s="12" t="s">
        <v>13</v>
      </c>
      <c r="D911" s="12" t="s">
        <v>14</v>
      </c>
      <c r="E911" s="14">
        <v>44984</v>
      </c>
      <c r="F911" s="12" t="s">
        <v>51</v>
      </c>
      <c r="G911" s="12" t="s">
        <v>19</v>
      </c>
      <c r="H911" s="12" t="s">
        <v>78</v>
      </c>
      <c r="I911" s="12">
        <v>235.11600000000001</v>
      </c>
      <c r="J911" s="12">
        <v>210.303</v>
      </c>
      <c r="K911" s="12">
        <v>4.5</v>
      </c>
    </row>
    <row r="912" spans="1:12" ht="13.9" hidden="1" x14ac:dyDescent="0.25">
      <c r="A912" s="12">
        <v>7191</v>
      </c>
      <c r="B912" s="20">
        <v>1035890</v>
      </c>
      <c r="C912" s="12" t="s">
        <v>13</v>
      </c>
      <c r="D912" s="12" t="s">
        <v>14</v>
      </c>
      <c r="E912" s="14">
        <v>44986</v>
      </c>
      <c r="F912" s="12" t="s">
        <v>51</v>
      </c>
      <c r="G912" s="12" t="s">
        <v>19</v>
      </c>
      <c r="H912" s="12" t="s">
        <v>78</v>
      </c>
      <c r="I912" s="12">
        <v>235.04300000000001</v>
      </c>
      <c r="J912" s="12">
        <v>195.68700000000001</v>
      </c>
    </row>
    <row r="913" spans="1:12" ht="13.9" hidden="1" x14ac:dyDescent="0.25">
      <c r="A913" s="12">
        <v>7192</v>
      </c>
      <c r="B913" s="20">
        <v>1035895</v>
      </c>
      <c r="C913" s="12" t="s">
        <v>13</v>
      </c>
      <c r="D913" s="12" t="s">
        <v>14</v>
      </c>
      <c r="E913" s="14">
        <v>44987</v>
      </c>
      <c r="F913" s="12" t="s">
        <v>17</v>
      </c>
      <c r="G913" s="12" t="s">
        <v>19</v>
      </c>
      <c r="H913" s="12" t="s">
        <v>78</v>
      </c>
      <c r="I913" s="12">
        <v>235.042</v>
      </c>
      <c r="J913" s="12">
        <v>203.31299999999999</v>
      </c>
    </row>
    <row r="914" spans="1:12" ht="13.9" hidden="1" x14ac:dyDescent="0.25">
      <c r="A914" s="12">
        <v>7193</v>
      </c>
      <c r="B914" s="12">
        <v>1036036</v>
      </c>
      <c r="C914" s="12" t="s">
        <v>13</v>
      </c>
      <c r="D914" s="12" t="s">
        <v>14</v>
      </c>
      <c r="E914" s="14">
        <v>44988</v>
      </c>
      <c r="F914" s="12" t="s">
        <v>37</v>
      </c>
      <c r="G914" s="12" t="s">
        <v>19</v>
      </c>
      <c r="H914" s="12" t="s">
        <v>55</v>
      </c>
      <c r="I914" s="12">
        <v>235.00399999999999</v>
      </c>
      <c r="J914" s="12">
        <v>193.91800000000001</v>
      </c>
      <c r="K914" s="12">
        <v>3.3</v>
      </c>
    </row>
    <row r="915" spans="1:12" ht="13.9" hidden="1" x14ac:dyDescent="0.25">
      <c r="A915" s="12">
        <v>7194</v>
      </c>
      <c r="B915" s="12">
        <v>1036182</v>
      </c>
      <c r="C915" s="12" t="s">
        <v>13</v>
      </c>
      <c r="D915" s="12" t="s">
        <v>14</v>
      </c>
      <c r="E915" s="14">
        <v>44989</v>
      </c>
      <c r="F915" s="12" t="s">
        <v>37</v>
      </c>
      <c r="G915" s="12" t="s">
        <v>19</v>
      </c>
      <c r="H915" s="12" t="s">
        <v>55</v>
      </c>
      <c r="I915" s="12">
        <v>235.00299999999999</v>
      </c>
      <c r="J915" s="12">
        <v>209.98400000000001</v>
      </c>
      <c r="K915" s="12">
        <v>4.5999999999999996</v>
      </c>
    </row>
    <row r="916" spans="1:12" x14ac:dyDescent="0.25">
      <c r="A916" s="12">
        <v>7195</v>
      </c>
      <c r="B916" s="12">
        <v>1036382</v>
      </c>
      <c r="C916" s="12" t="s">
        <v>13</v>
      </c>
      <c r="D916" s="12" t="s">
        <v>14</v>
      </c>
      <c r="E916" s="14">
        <v>44990</v>
      </c>
      <c r="F916" s="12" t="s">
        <v>37</v>
      </c>
      <c r="G916" s="12" t="s">
        <v>19</v>
      </c>
      <c r="H916" s="12" t="s">
        <v>55</v>
      </c>
      <c r="I916" s="12">
        <v>235.08</v>
      </c>
      <c r="J916" s="12">
        <v>194.886</v>
      </c>
      <c r="K916" s="12">
        <v>3.7</v>
      </c>
      <c r="L916" s="12">
        <v>12.6</v>
      </c>
    </row>
    <row r="917" spans="1:12" ht="13.9" hidden="1" x14ac:dyDescent="0.25">
      <c r="A917" s="12">
        <v>7196</v>
      </c>
      <c r="B917" s="12">
        <v>1036492</v>
      </c>
      <c r="C917" s="12" t="s">
        <v>13</v>
      </c>
      <c r="D917" s="12" t="s">
        <v>14</v>
      </c>
      <c r="E917" s="14">
        <v>44991</v>
      </c>
      <c r="F917" s="12" t="s">
        <v>18</v>
      </c>
      <c r="G917" s="12" t="s">
        <v>19</v>
      </c>
      <c r="H917" s="12" t="s">
        <v>55</v>
      </c>
      <c r="I917" s="12">
        <v>234.999</v>
      </c>
      <c r="J917" s="12">
        <v>199.31200000000001</v>
      </c>
      <c r="K917" s="12">
        <v>4.7</v>
      </c>
    </row>
    <row r="918" spans="1:12" ht="13.9" hidden="1" x14ac:dyDescent="0.25">
      <c r="A918" s="12">
        <v>7197</v>
      </c>
      <c r="B918" s="12">
        <v>1036494</v>
      </c>
      <c r="C918" s="12" t="s">
        <v>13</v>
      </c>
      <c r="D918" s="12" t="s">
        <v>14</v>
      </c>
      <c r="E918" s="14">
        <v>44992</v>
      </c>
      <c r="F918" s="12" t="s">
        <v>18</v>
      </c>
      <c r="G918" s="12" t="s">
        <v>19</v>
      </c>
      <c r="H918" s="12" t="s">
        <v>55</v>
      </c>
      <c r="I918" s="12">
        <v>234.999</v>
      </c>
      <c r="J918" s="12">
        <v>196.95699999999999</v>
      </c>
      <c r="K918" s="12">
        <v>4.2</v>
      </c>
    </row>
    <row r="919" spans="1:12" ht="13.9" hidden="1" x14ac:dyDescent="0.25">
      <c r="A919" s="12">
        <v>7198</v>
      </c>
      <c r="B919" s="12">
        <v>1036504</v>
      </c>
      <c r="C919" s="12" t="s">
        <v>13</v>
      </c>
      <c r="D919" s="12" t="s">
        <v>14</v>
      </c>
      <c r="E919" s="14">
        <v>44993</v>
      </c>
      <c r="F919" s="12" t="s">
        <v>18</v>
      </c>
      <c r="G919" s="12" t="s">
        <v>19</v>
      </c>
      <c r="H919" s="12" t="s">
        <v>55</v>
      </c>
      <c r="I919" s="12">
        <v>235.00299999999999</v>
      </c>
      <c r="J919" s="12">
        <v>191.70699999999999</v>
      </c>
      <c r="K919" s="12">
        <v>4.2</v>
      </c>
    </row>
    <row r="920" spans="1:12" ht="13.9" hidden="1" x14ac:dyDescent="0.25">
      <c r="A920" s="12">
        <v>7199</v>
      </c>
      <c r="B920" s="12">
        <v>1036749</v>
      </c>
      <c r="C920" s="12" t="s">
        <v>13</v>
      </c>
      <c r="D920" s="12" t="s">
        <v>14</v>
      </c>
      <c r="E920" s="14">
        <v>44994</v>
      </c>
      <c r="F920" s="12" t="s">
        <v>18</v>
      </c>
      <c r="G920" s="12" t="s">
        <v>19</v>
      </c>
      <c r="H920" s="12" t="s">
        <v>55</v>
      </c>
      <c r="I920" s="12">
        <v>235.00299999999999</v>
      </c>
      <c r="J920" s="12">
        <v>206.422</v>
      </c>
      <c r="K920" s="12">
        <v>3.6</v>
      </c>
    </row>
    <row r="921" spans="1:12" x14ac:dyDescent="0.25">
      <c r="A921" s="12">
        <v>7200</v>
      </c>
      <c r="B921" s="12">
        <v>1036882</v>
      </c>
      <c r="C921" s="12" t="s">
        <v>13</v>
      </c>
      <c r="D921" s="12" t="s">
        <v>14</v>
      </c>
      <c r="E921" s="14">
        <v>44995</v>
      </c>
      <c r="F921" s="12" t="s">
        <v>17</v>
      </c>
      <c r="G921" s="12" t="s">
        <v>20</v>
      </c>
      <c r="H921" s="12" t="s">
        <v>48</v>
      </c>
      <c r="I921" s="12">
        <v>235.06899999999999</v>
      </c>
      <c r="J921" s="12">
        <v>201.35499999999999</v>
      </c>
      <c r="K921" s="12">
        <v>4.2</v>
      </c>
      <c r="L921" s="12">
        <v>12.3</v>
      </c>
    </row>
    <row r="922" spans="1:12" ht="13.9" hidden="1" x14ac:dyDescent="0.25">
      <c r="A922" s="12">
        <v>7201</v>
      </c>
      <c r="B922" s="12">
        <v>1036958</v>
      </c>
      <c r="C922" s="12" t="s">
        <v>13</v>
      </c>
      <c r="D922" s="12" t="s">
        <v>14</v>
      </c>
      <c r="E922" s="14">
        <v>44995</v>
      </c>
      <c r="F922" s="12" t="s">
        <v>18</v>
      </c>
      <c r="G922" s="12" t="s">
        <v>19</v>
      </c>
      <c r="H922" s="12" t="s">
        <v>55</v>
      </c>
      <c r="I922" s="12">
        <v>235.001</v>
      </c>
      <c r="J922" s="12">
        <v>191.721</v>
      </c>
      <c r="K922" s="12">
        <v>4</v>
      </c>
    </row>
    <row r="923" spans="1:12" ht="13.9" hidden="1" x14ac:dyDescent="0.25">
      <c r="A923" s="12">
        <v>7202</v>
      </c>
      <c r="B923" s="12">
        <v>1037046</v>
      </c>
      <c r="C923" s="12" t="s">
        <v>13</v>
      </c>
      <c r="D923" s="12" t="s">
        <v>14</v>
      </c>
      <c r="E923" s="14">
        <v>44996</v>
      </c>
      <c r="F923" s="12" t="s">
        <v>18</v>
      </c>
      <c r="G923" s="12" t="s">
        <v>19</v>
      </c>
      <c r="H923" s="12" t="s">
        <v>55</v>
      </c>
      <c r="I923" s="12">
        <v>235</v>
      </c>
      <c r="J923" s="12">
        <v>203.999</v>
      </c>
      <c r="K923" s="12">
        <v>5.3</v>
      </c>
    </row>
    <row r="924" spans="1:12" ht="13.9" hidden="1" x14ac:dyDescent="0.25">
      <c r="A924" s="12">
        <v>7203</v>
      </c>
      <c r="B924" s="12">
        <v>1037181</v>
      </c>
      <c r="C924" s="12" t="s">
        <v>13</v>
      </c>
      <c r="D924" s="12" t="s">
        <v>14</v>
      </c>
      <c r="E924" s="14">
        <v>44997</v>
      </c>
      <c r="F924" s="12" t="s">
        <v>18</v>
      </c>
      <c r="G924" s="12" t="s">
        <v>19</v>
      </c>
      <c r="H924" s="12" t="s">
        <v>55</v>
      </c>
      <c r="I924" s="12">
        <v>235.005</v>
      </c>
      <c r="J924" s="12">
        <v>149.27600000000001</v>
      </c>
      <c r="K924" s="12">
        <v>3.6</v>
      </c>
    </row>
    <row r="925" spans="1:12" ht="13.9" hidden="1" x14ac:dyDescent="0.25">
      <c r="A925" s="12">
        <v>7204</v>
      </c>
      <c r="B925" s="12">
        <v>1037183</v>
      </c>
      <c r="C925" s="12" t="s">
        <v>13</v>
      </c>
      <c r="D925" s="12" t="s">
        <v>14</v>
      </c>
      <c r="E925" s="14">
        <v>44998</v>
      </c>
      <c r="F925" s="12" t="s">
        <v>18</v>
      </c>
      <c r="G925" s="12" t="s">
        <v>19</v>
      </c>
      <c r="H925" s="12" t="s">
        <v>55</v>
      </c>
      <c r="I925" s="12">
        <v>235.00399999999999</v>
      </c>
      <c r="J925" s="12">
        <v>165.92500000000001</v>
      </c>
      <c r="K925" s="12">
        <v>4.2</v>
      </c>
    </row>
    <row r="926" spans="1:12" x14ac:dyDescent="0.25">
      <c r="A926" s="12">
        <v>7205</v>
      </c>
      <c r="B926" s="12">
        <v>1037184</v>
      </c>
      <c r="C926" s="12" t="s">
        <v>13</v>
      </c>
      <c r="D926" s="12" t="s">
        <v>14</v>
      </c>
      <c r="E926" s="14">
        <v>44999</v>
      </c>
      <c r="F926" s="12" t="s">
        <v>18</v>
      </c>
      <c r="G926" s="12" t="s">
        <v>19</v>
      </c>
      <c r="H926" s="12" t="s">
        <v>55</v>
      </c>
      <c r="I926" s="12">
        <v>235.01</v>
      </c>
      <c r="J926" s="12">
        <v>199.61099999999999</v>
      </c>
      <c r="K926" s="12">
        <v>4.0999999999999996</v>
      </c>
      <c r="L926" s="12">
        <v>12.2</v>
      </c>
    </row>
    <row r="927" spans="1:12" ht="13.9" hidden="1" x14ac:dyDescent="0.25">
      <c r="A927" s="12">
        <v>7206</v>
      </c>
      <c r="B927" s="12">
        <v>1037378</v>
      </c>
      <c r="C927" s="12" t="s">
        <v>13</v>
      </c>
      <c r="D927" s="12" t="s">
        <v>14</v>
      </c>
      <c r="E927" s="14">
        <v>45000</v>
      </c>
      <c r="F927" s="12" t="s">
        <v>18</v>
      </c>
      <c r="G927" s="12" t="s">
        <v>19</v>
      </c>
      <c r="H927" s="12" t="s">
        <v>55</v>
      </c>
      <c r="I927" s="12">
        <v>235.00700000000001</v>
      </c>
      <c r="J927" s="12">
        <v>198.65899999999999</v>
      </c>
      <c r="K927" s="12">
        <v>4.7</v>
      </c>
    </row>
    <row r="928" spans="1:12" x14ac:dyDescent="0.25">
      <c r="A928" s="12">
        <v>7207</v>
      </c>
      <c r="B928" s="12">
        <v>1037711</v>
      </c>
      <c r="C928" s="12" t="s">
        <v>13</v>
      </c>
      <c r="D928" s="12" t="s">
        <v>14</v>
      </c>
      <c r="E928" s="14">
        <v>45001</v>
      </c>
      <c r="F928" s="12" t="s">
        <v>17</v>
      </c>
      <c r="G928" s="12" t="s">
        <v>20</v>
      </c>
      <c r="H928" s="12" t="s">
        <v>48</v>
      </c>
      <c r="I928" s="12">
        <v>234.93600000000001</v>
      </c>
      <c r="J928" s="12">
        <v>200.63499999999999</v>
      </c>
      <c r="K928" s="12">
        <v>3.9</v>
      </c>
      <c r="L928" s="12">
        <v>12.2</v>
      </c>
    </row>
    <row r="929" spans="1:12" x14ac:dyDescent="0.25">
      <c r="A929" s="12">
        <v>7208</v>
      </c>
      <c r="B929" s="12">
        <v>1037717</v>
      </c>
      <c r="C929" s="12" t="s">
        <v>13</v>
      </c>
      <c r="D929" s="12" t="s">
        <v>14</v>
      </c>
      <c r="E929" s="14">
        <v>45002</v>
      </c>
      <c r="F929" s="12" t="s">
        <v>17</v>
      </c>
      <c r="G929" s="12" t="s">
        <v>20</v>
      </c>
      <c r="H929" s="12" t="s">
        <v>48</v>
      </c>
      <c r="I929" s="12">
        <v>235</v>
      </c>
      <c r="J929" s="12">
        <v>206.82499999999999</v>
      </c>
      <c r="K929" s="12">
        <v>4</v>
      </c>
      <c r="L929" s="12">
        <v>11.4</v>
      </c>
    </row>
    <row r="930" spans="1:12" ht="13.9" hidden="1" x14ac:dyDescent="0.25">
      <c r="A930" s="12">
        <v>7209</v>
      </c>
      <c r="B930" s="12">
        <v>1037482</v>
      </c>
      <c r="C930" s="12" t="s">
        <v>13</v>
      </c>
      <c r="D930" s="12" t="s">
        <v>14</v>
      </c>
      <c r="E930" s="14">
        <v>45003</v>
      </c>
      <c r="F930" s="12" t="s">
        <v>18</v>
      </c>
      <c r="G930" s="12" t="s">
        <v>19</v>
      </c>
      <c r="H930" s="12" t="s">
        <v>55</v>
      </c>
      <c r="I930" s="12">
        <v>235.00700000000001</v>
      </c>
      <c r="J930" s="12">
        <v>198.48</v>
      </c>
      <c r="K930" s="12">
        <v>3.6</v>
      </c>
    </row>
    <row r="931" spans="1:12" x14ac:dyDescent="0.25">
      <c r="A931" s="12">
        <v>7210</v>
      </c>
      <c r="B931" s="12">
        <v>1037679</v>
      </c>
      <c r="C931" s="12" t="s">
        <v>13</v>
      </c>
      <c r="D931" s="12" t="s">
        <v>14</v>
      </c>
      <c r="E931" s="14">
        <v>45004</v>
      </c>
      <c r="F931" s="12" t="s">
        <v>18</v>
      </c>
      <c r="G931" s="12" t="s">
        <v>19</v>
      </c>
      <c r="H931" s="12" t="s">
        <v>55</v>
      </c>
      <c r="I931" s="12">
        <v>235.03299999999999</v>
      </c>
      <c r="J931" s="12">
        <v>192.52600000000001</v>
      </c>
      <c r="K931" s="12">
        <v>3.9</v>
      </c>
      <c r="L931" s="12">
        <v>12.2</v>
      </c>
    </row>
    <row r="932" spans="1:12" ht="13.9" hidden="1" x14ac:dyDescent="0.25">
      <c r="A932" s="12">
        <v>7211</v>
      </c>
      <c r="B932" s="12">
        <v>1037680</v>
      </c>
      <c r="C932" s="12" t="s">
        <v>13</v>
      </c>
      <c r="D932" s="12" t="s">
        <v>14</v>
      </c>
      <c r="E932" s="14">
        <v>45005</v>
      </c>
      <c r="F932" s="12" t="s">
        <v>18</v>
      </c>
      <c r="G932" s="12" t="s">
        <v>19</v>
      </c>
      <c r="H932" s="12" t="s">
        <v>55</v>
      </c>
      <c r="I932" s="12">
        <v>235.03299999999999</v>
      </c>
      <c r="J932" s="12">
        <v>205.887</v>
      </c>
      <c r="K932" s="12">
        <v>4</v>
      </c>
    </row>
    <row r="933" spans="1:12" ht="13.9" hidden="1" x14ac:dyDescent="0.25">
      <c r="A933" s="12">
        <v>7212</v>
      </c>
      <c r="B933" s="12">
        <v>1037902</v>
      </c>
      <c r="C933" s="12" t="s">
        <v>13</v>
      </c>
      <c r="D933" s="12" t="s">
        <v>14</v>
      </c>
      <c r="E933" s="14">
        <v>45006</v>
      </c>
      <c r="F933" s="12" t="s">
        <v>18</v>
      </c>
      <c r="G933" s="12" t="s">
        <v>19</v>
      </c>
      <c r="H933" s="12" t="s">
        <v>55</v>
      </c>
      <c r="I933" s="12">
        <v>234.99600000000001</v>
      </c>
      <c r="J933" s="12">
        <v>201.34700000000001</v>
      </c>
      <c r="K933" s="12">
        <v>4</v>
      </c>
    </row>
    <row r="934" spans="1:12" ht="13.9" hidden="1" x14ac:dyDescent="0.25">
      <c r="A934" s="12">
        <v>7213</v>
      </c>
      <c r="B934" s="12">
        <v>1038050</v>
      </c>
      <c r="C934" s="12" t="s">
        <v>13</v>
      </c>
      <c r="D934" s="12" t="s">
        <v>14</v>
      </c>
      <c r="E934" s="14">
        <v>45007</v>
      </c>
      <c r="F934" s="12" t="s">
        <v>17</v>
      </c>
      <c r="G934" s="12" t="s">
        <v>19</v>
      </c>
      <c r="H934" s="12" t="s">
        <v>78</v>
      </c>
      <c r="I934" s="12">
        <v>234.989</v>
      </c>
      <c r="J934" s="12">
        <v>191.60499999999999</v>
      </c>
      <c r="K934" s="12">
        <v>3.5</v>
      </c>
    </row>
    <row r="935" spans="1:12" ht="13.9" hidden="1" x14ac:dyDescent="0.25">
      <c r="A935" s="12">
        <v>7214</v>
      </c>
      <c r="B935" s="12">
        <v>1038179</v>
      </c>
      <c r="C935" s="12" t="s">
        <v>13</v>
      </c>
      <c r="D935" s="12" t="s">
        <v>14</v>
      </c>
      <c r="E935" s="14">
        <v>45008</v>
      </c>
      <c r="F935" s="12" t="s">
        <v>17</v>
      </c>
      <c r="G935" s="12" t="s">
        <v>19</v>
      </c>
      <c r="H935" s="12" t="s">
        <v>78</v>
      </c>
      <c r="I935" s="12">
        <v>234.99</v>
      </c>
      <c r="J935" s="12">
        <v>204.55500000000001</v>
      </c>
      <c r="K935" s="12">
        <v>3.9</v>
      </c>
    </row>
    <row r="936" spans="1:12" ht="13.9" hidden="1" x14ac:dyDescent="0.25">
      <c r="A936" s="12">
        <v>7215</v>
      </c>
      <c r="B936" s="12">
        <v>1038321</v>
      </c>
      <c r="C936" s="12" t="s">
        <v>13</v>
      </c>
      <c r="D936" s="12" t="s">
        <v>14</v>
      </c>
      <c r="E936" s="14">
        <v>45009</v>
      </c>
      <c r="F936" s="12" t="s">
        <v>38</v>
      </c>
      <c r="G936" s="12" t="s">
        <v>19</v>
      </c>
      <c r="H936" s="12" t="s">
        <v>55</v>
      </c>
      <c r="I936" s="12">
        <v>235.55</v>
      </c>
      <c r="J936" s="12">
        <v>193.297</v>
      </c>
      <c r="K936" s="12">
        <v>3.7</v>
      </c>
    </row>
    <row r="937" spans="1:12" ht="13.9" hidden="1" x14ac:dyDescent="0.25">
      <c r="A937" s="12">
        <v>7216</v>
      </c>
      <c r="B937" s="12">
        <v>1038474</v>
      </c>
      <c r="C937" s="12" t="s">
        <v>13</v>
      </c>
      <c r="D937" s="12" t="s">
        <v>14</v>
      </c>
      <c r="E937" s="14">
        <v>45010</v>
      </c>
      <c r="F937" s="12" t="s">
        <v>38</v>
      </c>
      <c r="G937" s="12" t="s">
        <v>19</v>
      </c>
      <c r="H937" s="12" t="s">
        <v>55</v>
      </c>
      <c r="I937" s="12">
        <v>235.55</v>
      </c>
      <c r="J937" s="12">
        <v>206.84399999999999</v>
      </c>
      <c r="K937" s="12">
        <v>5.7</v>
      </c>
    </row>
    <row r="938" spans="1:12" x14ac:dyDescent="0.25">
      <c r="A938" s="12">
        <v>7217</v>
      </c>
      <c r="B938" s="12">
        <v>1038527</v>
      </c>
      <c r="C938" s="12" t="s">
        <v>13</v>
      </c>
      <c r="D938" s="12" t="s">
        <v>14</v>
      </c>
      <c r="E938" s="14">
        <v>45011</v>
      </c>
      <c r="F938" s="12" t="s">
        <v>38</v>
      </c>
      <c r="G938" s="12" t="s">
        <v>19</v>
      </c>
      <c r="H938" s="12" t="s">
        <v>55</v>
      </c>
      <c r="I938" s="12">
        <v>235.011</v>
      </c>
      <c r="J938" s="12">
        <v>192.17599999999999</v>
      </c>
      <c r="K938" s="12">
        <v>3.7</v>
      </c>
      <c r="L938" s="12">
        <v>12.6</v>
      </c>
    </row>
    <row r="939" spans="1:12" ht="13.9" hidden="1" x14ac:dyDescent="0.25">
      <c r="A939" s="12">
        <v>7218</v>
      </c>
      <c r="B939" s="12">
        <v>1038529</v>
      </c>
      <c r="C939" s="12" t="s">
        <v>13</v>
      </c>
      <c r="D939" s="12" t="s">
        <v>14</v>
      </c>
      <c r="E939" s="14">
        <v>45012</v>
      </c>
      <c r="F939" s="12" t="s">
        <v>38</v>
      </c>
      <c r="G939" s="12" t="s">
        <v>19</v>
      </c>
      <c r="H939" s="12" t="s">
        <v>55</v>
      </c>
      <c r="I939" s="12">
        <v>234.96</v>
      </c>
      <c r="J939" s="12">
        <v>197.39400000000001</v>
      </c>
      <c r="K939" s="12">
        <v>3.9</v>
      </c>
    </row>
    <row r="940" spans="1:12" ht="13.9" hidden="1" x14ac:dyDescent="0.25">
      <c r="A940" s="12">
        <v>7219</v>
      </c>
      <c r="B940" s="12">
        <v>1038596</v>
      </c>
      <c r="C940" s="12" t="s">
        <v>13</v>
      </c>
      <c r="D940" s="12" t="s">
        <v>14</v>
      </c>
      <c r="E940" s="14">
        <v>45013</v>
      </c>
      <c r="F940" s="12" t="s">
        <v>38</v>
      </c>
      <c r="G940" s="12" t="s">
        <v>19</v>
      </c>
      <c r="H940" s="12" t="s">
        <v>55</v>
      </c>
      <c r="I940" s="12">
        <v>234.96</v>
      </c>
      <c r="J940" s="12">
        <v>195.995</v>
      </c>
      <c r="K940" s="12">
        <v>3.3</v>
      </c>
    </row>
    <row r="941" spans="1:12" ht="13.9" hidden="1" x14ac:dyDescent="0.25">
      <c r="A941" s="12">
        <v>7220</v>
      </c>
      <c r="B941" s="12">
        <v>1038626</v>
      </c>
      <c r="C941" s="12" t="s">
        <v>13</v>
      </c>
      <c r="D941" s="12" t="s">
        <v>14</v>
      </c>
      <c r="E941" s="14">
        <v>45014</v>
      </c>
      <c r="F941" s="12" t="s">
        <v>18</v>
      </c>
      <c r="G941" s="12" t="s">
        <v>20</v>
      </c>
      <c r="H941" s="12" t="s">
        <v>53</v>
      </c>
      <c r="I941" s="12">
        <v>235.00700000000001</v>
      </c>
      <c r="J941" s="12">
        <v>192.82900000000001</v>
      </c>
      <c r="K941" s="12">
        <v>4.4000000000000004</v>
      </c>
    </row>
    <row r="942" spans="1:12" ht="13.9" hidden="1" x14ac:dyDescent="0.25">
      <c r="A942" s="12">
        <v>7221</v>
      </c>
      <c r="B942" s="12">
        <v>1038822</v>
      </c>
      <c r="C942" s="12" t="s">
        <v>13</v>
      </c>
      <c r="D942" s="12" t="s">
        <v>14</v>
      </c>
      <c r="E942" s="14">
        <v>45015</v>
      </c>
      <c r="F942" s="12" t="s">
        <v>18</v>
      </c>
      <c r="G942" s="12" t="s">
        <v>20</v>
      </c>
      <c r="H942" s="12" t="s">
        <v>53</v>
      </c>
      <c r="I942" s="12">
        <v>235.00700000000001</v>
      </c>
      <c r="J942" s="12">
        <v>216.60400000000001</v>
      </c>
      <c r="K942" s="12">
        <v>4.9000000000000004</v>
      </c>
    </row>
    <row r="943" spans="1:12" x14ac:dyDescent="0.25">
      <c r="A943" s="12">
        <v>7222</v>
      </c>
      <c r="B943" s="12">
        <v>1038977</v>
      </c>
      <c r="C943" s="12" t="s">
        <v>13</v>
      </c>
      <c r="D943" s="12" t="s">
        <v>14</v>
      </c>
      <c r="E943" s="14">
        <v>45016</v>
      </c>
      <c r="F943" s="12" t="s">
        <v>38</v>
      </c>
      <c r="G943" s="12" t="s">
        <v>19</v>
      </c>
      <c r="H943" s="12" t="s">
        <v>55</v>
      </c>
      <c r="I943" s="12">
        <v>234.93899999999999</v>
      </c>
      <c r="J943" s="12">
        <v>197.84899999999999</v>
      </c>
      <c r="K943" s="12">
        <v>4.0999999999999996</v>
      </c>
      <c r="L943" s="12">
        <v>12.6</v>
      </c>
    </row>
    <row r="944" spans="1:12" ht="13.9" hidden="1" x14ac:dyDescent="0.25">
      <c r="A944" s="12">
        <v>7223</v>
      </c>
      <c r="B944" s="12">
        <v>1039117</v>
      </c>
      <c r="C944" s="12" t="s">
        <v>13</v>
      </c>
      <c r="D944" s="12" t="s">
        <v>14</v>
      </c>
      <c r="E944" s="14">
        <v>45017</v>
      </c>
      <c r="F944" s="12" t="s">
        <v>38</v>
      </c>
      <c r="G944" s="12" t="s">
        <v>19</v>
      </c>
      <c r="H944" s="12" t="s">
        <v>55</v>
      </c>
      <c r="I944" s="12">
        <v>235.34</v>
      </c>
      <c r="J944" s="12">
        <v>190.16399999999999</v>
      </c>
      <c r="K944" s="12">
        <v>3.4</v>
      </c>
    </row>
    <row r="945" spans="1:12" ht="13.9" hidden="1" x14ac:dyDescent="0.25">
      <c r="A945" s="12">
        <v>7224</v>
      </c>
      <c r="B945" s="12">
        <v>1039148</v>
      </c>
      <c r="C945" s="12" t="s">
        <v>13</v>
      </c>
      <c r="D945" s="12" t="s">
        <v>14</v>
      </c>
      <c r="E945" s="14">
        <v>45018</v>
      </c>
      <c r="F945" s="12" t="s">
        <v>38</v>
      </c>
      <c r="G945" s="12" t="s">
        <v>19</v>
      </c>
      <c r="H945" s="12" t="s">
        <v>55</v>
      </c>
      <c r="I945" s="12">
        <v>235.34</v>
      </c>
      <c r="J945" s="12">
        <v>205.55099999999999</v>
      </c>
      <c r="K945" s="12">
        <v>4.0999999999999996</v>
      </c>
    </row>
    <row r="946" spans="1:12" ht="13.9" hidden="1" x14ac:dyDescent="0.25">
      <c r="A946" s="12">
        <v>7225</v>
      </c>
      <c r="B946" s="12">
        <v>1039247</v>
      </c>
      <c r="C946" s="12" t="s">
        <v>13</v>
      </c>
      <c r="D946" s="12" t="s">
        <v>14</v>
      </c>
      <c r="E946" s="14">
        <v>45019</v>
      </c>
      <c r="F946" s="12" t="s">
        <v>38</v>
      </c>
      <c r="G946" s="12" t="s">
        <v>19</v>
      </c>
      <c r="H946" s="12" t="s">
        <v>55</v>
      </c>
      <c r="I946" s="12">
        <v>235</v>
      </c>
      <c r="J946" s="12">
        <v>199.108</v>
      </c>
      <c r="K946" s="12">
        <v>3.4</v>
      </c>
    </row>
    <row r="947" spans="1:12" ht="13.9" hidden="1" x14ac:dyDescent="0.25">
      <c r="A947" s="12">
        <v>7226</v>
      </c>
      <c r="B947" s="12">
        <v>1039248</v>
      </c>
      <c r="C947" s="12" t="s">
        <v>13</v>
      </c>
      <c r="D947" s="12" t="s">
        <v>14</v>
      </c>
      <c r="E947" s="14">
        <v>45020</v>
      </c>
      <c r="F947" s="12" t="s">
        <v>38</v>
      </c>
      <c r="G947" s="12" t="s">
        <v>19</v>
      </c>
      <c r="H947" s="12" t="s">
        <v>55</v>
      </c>
      <c r="I947" s="12">
        <v>235</v>
      </c>
      <c r="J947" s="12">
        <v>205.20699999999999</v>
      </c>
      <c r="K947" s="12">
        <v>4.0999999999999996</v>
      </c>
    </row>
    <row r="948" spans="1:12" ht="13.9" hidden="1" x14ac:dyDescent="0.25">
      <c r="A948" s="12">
        <v>7227</v>
      </c>
      <c r="B948" s="20">
        <v>1039282</v>
      </c>
      <c r="C948" s="12" t="s">
        <v>13</v>
      </c>
      <c r="D948" s="12" t="s">
        <v>14</v>
      </c>
      <c r="E948" s="14">
        <v>45021</v>
      </c>
      <c r="F948" s="12" t="s">
        <v>17</v>
      </c>
      <c r="G948" s="12" t="s">
        <v>19</v>
      </c>
      <c r="H948" s="12" t="s">
        <v>81</v>
      </c>
      <c r="I948" s="12">
        <v>230.01400000000001</v>
      </c>
      <c r="J948" s="12">
        <v>190.5</v>
      </c>
      <c r="L948" s="12">
        <v>12.4</v>
      </c>
    </row>
    <row r="949" spans="1:12" ht="13.9" hidden="1" x14ac:dyDescent="0.25">
      <c r="A949" s="12">
        <v>7228</v>
      </c>
      <c r="B949" s="12">
        <v>1039439</v>
      </c>
      <c r="C949" s="12" t="s">
        <v>13</v>
      </c>
      <c r="D949" s="12" t="s">
        <v>14</v>
      </c>
      <c r="E949" s="14">
        <v>45022</v>
      </c>
      <c r="F949" s="12" t="s">
        <v>18</v>
      </c>
      <c r="G949" s="12" t="s">
        <v>19</v>
      </c>
      <c r="H949" s="12" t="s">
        <v>55</v>
      </c>
      <c r="I949" s="12">
        <v>235.001</v>
      </c>
      <c r="J949" s="12">
        <v>199.61199999999999</v>
      </c>
      <c r="K949" s="12">
        <v>4</v>
      </c>
    </row>
    <row r="950" spans="1:12" ht="13.9" hidden="1" x14ac:dyDescent="0.25">
      <c r="A950" s="12">
        <v>7229</v>
      </c>
      <c r="B950" s="12">
        <v>1039535</v>
      </c>
      <c r="C950" s="12" t="s">
        <v>13</v>
      </c>
      <c r="D950" s="12" t="s">
        <v>14</v>
      </c>
      <c r="E950" s="14">
        <v>45023</v>
      </c>
      <c r="F950" s="12" t="s">
        <v>18</v>
      </c>
      <c r="G950" s="12" t="s">
        <v>19</v>
      </c>
      <c r="H950" s="12" t="s">
        <v>55</v>
      </c>
      <c r="I950" s="12">
        <v>235</v>
      </c>
      <c r="J950" s="12">
        <v>204.01900000000001</v>
      </c>
      <c r="K950" s="12">
        <v>3.9</v>
      </c>
    </row>
    <row r="951" spans="1:12" ht="13.9" hidden="1" x14ac:dyDescent="0.25">
      <c r="A951" s="12">
        <v>7230</v>
      </c>
      <c r="B951" s="12">
        <v>1039693</v>
      </c>
      <c r="C951" s="12" t="s">
        <v>13</v>
      </c>
      <c r="D951" s="12" t="s">
        <v>14</v>
      </c>
      <c r="E951" s="14">
        <v>45024</v>
      </c>
      <c r="F951" s="12" t="s">
        <v>18</v>
      </c>
      <c r="G951" s="12" t="s">
        <v>19</v>
      </c>
      <c r="H951" s="12" t="s">
        <v>55</v>
      </c>
      <c r="I951" s="12">
        <v>235.07499999999999</v>
      </c>
      <c r="J951" s="12">
        <v>199.16499999999999</v>
      </c>
      <c r="K951" s="12">
        <v>4.2</v>
      </c>
    </row>
    <row r="952" spans="1:12" ht="13.9" hidden="1" x14ac:dyDescent="0.25">
      <c r="A952" s="12">
        <v>7231</v>
      </c>
      <c r="B952" s="12">
        <v>1039853</v>
      </c>
      <c r="C952" s="12" t="s">
        <v>13</v>
      </c>
      <c r="D952" s="12" t="s">
        <v>14</v>
      </c>
      <c r="E952" s="14">
        <v>45025</v>
      </c>
      <c r="F952" s="12" t="s">
        <v>18</v>
      </c>
      <c r="G952" s="12" t="s">
        <v>19</v>
      </c>
      <c r="H952" s="12" t="s">
        <v>55</v>
      </c>
      <c r="I952" s="12">
        <v>235.07499999999999</v>
      </c>
      <c r="J952" s="12">
        <v>197.35300000000001</v>
      </c>
      <c r="K952" s="12">
        <v>3.7</v>
      </c>
    </row>
    <row r="953" spans="1:12" x14ac:dyDescent="0.25">
      <c r="A953" s="12">
        <v>7232</v>
      </c>
      <c r="B953" s="12">
        <v>1039988</v>
      </c>
      <c r="C953" s="12" t="s">
        <v>13</v>
      </c>
      <c r="D953" s="12" t="s">
        <v>14</v>
      </c>
      <c r="E953" s="14">
        <v>45026</v>
      </c>
      <c r="F953" s="12" t="s">
        <v>18</v>
      </c>
      <c r="G953" s="12" t="s">
        <v>19</v>
      </c>
      <c r="H953" s="12" t="s">
        <v>55</v>
      </c>
      <c r="I953" s="12">
        <v>235.02099999999999</v>
      </c>
      <c r="J953" s="12">
        <v>199.626</v>
      </c>
      <c r="K953" s="12">
        <v>3.7</v>
      </c>
      <c r="L953" s="12">
        <v>12.4</v>
      </c>
    </row>
    <row r="954" spans="1:12" ht="13.9" hidden="1" x14ac:dyDescent="0.25">
      <c r="A954" s="12">
        <v>7233</v>
      </c>
      <c r="B954" s="12">
        <v>1039990</v>
      </c>
      <c r="C954" s="12" t="s">
        <v>13</v>
      </c>
      <c r="D954" s="12" t="s">
        <v>14</v>
      </c>
      <c r="E954" s="14">
        <v>45027</v>
      </c>
      <c r="F954" s="12" t="s">
        <v>38</v>
      </c>
      <c r="G954" s="12" t="s">
        <v>19</v>
      </c>
      <c r="H954" s="12" t="s">
        <v>55</v>
      </c>
      <c r="I954" s="12">
        <v>235.00800000000001</v>
      </c>
      <c r="J954" s="12">
        <v>200.768</v>
      </c>
      <c r="K954" s="12">
        <v>3.4</v>
      </c>
    </row>
    <row r="955" spans="1:12" ht="13.9" hidden="1" x14ac:dyDescent="0.25">
      <c r="A955" s="12">
        <v>7234</v>
      </c>
      <c r="B955" s="12">
        <v>1040024</v>
      </c>
      <c r="C955" s="12" t="s">
        <v>13</v>
      </c>
      <c r="D955" s="12" t="s">
        <v>14</v>
      </c>
      <c r="E955" s="14">
        <v>45028</v>
      </c>
      <c r="F955" s="12" t="s">
        <v>38</v>
      </c>
      <c r="G955" s="12" t="s">
        <v>19</v>
      </c>
      <c r="H955" s="12" t="s">
        <v>55</v>
      </c>
      <c r="I955" s="12">
        <v>235.00800000000001</v>
      </c>
      <c r="J955" s="12">
        <v>201.148</v>
      </c>
      <c r="K955" s="12">
        <v>3.8</v>
      </c>
    </row>
    <row r="956" spans="1:12" ht="13.9" hidden="1" x14ac:dyDescent="0.25">
      <c r="A956" s="12">
        <v>7235</v>
      </c>
      <c r="B956" s="12">
        <v>1040150</v>
      </c>
      <c r="C956" s="12" t="s">
        <v>13</v>
      </c>
      <c r="D956" s="12" t="s">
        <v>14</v>
      </c>
      <c r="E956" s="14">
        <v>45029</v>
      </c>
      <c r="F956" s="12" t="s">
        <v>38</v>
      </c>
      <c r="G956" s="12" t="s">
        <v>19</v>
      </c>
      <c r="H956" s="12" t="s">
        <v>55</v>
      </c>
      <c r="I956" s="12">
        <v>234.96899999999999</v>
      </c>
      <c r="J956" s="12">
        <v>196.87100000000001</v>
      </c>
      <c r="K956" s="12">
        <v>3.8</v>
      </c>
    </row>
    <row r="957" spans="1:12" ht="13.9" hidden="1" x14ac:dyDescent="0.25">
      <c r="A957" s="12">
        <v>7236</v>
      </c>
      <c r="B957" s="12">
        <v>1040272</v>
      </c>
      <c r="C957" s="12" t="s">
        <v>13</v>
      </c>
      <c r="D957" s="12" t="s">
        <v>14</v>
      </c>
      <c r="E957" s="14">
        <v>45030</v>
      </c>
      <c r="F957" s="12" t="s">
        <v>38</v>
      </c>
      <c r="G957" s="12" t="s">
        <v>19</v>
      </c>
      <c r="H957" s="12" t="s">
        <v>55</v>
      </c>
      <c r="I957" s="12">
        <v>234.96899999999999</v>
      </c>
      <c r="J957" s="12">
        <v>203.57</v>
      </c>
      <c r="K957" s="12">
        <v>4</v>
      </c>
    </row>
    <row r="958" spans="1:12" x14ac:dyDescent="0.25">
      <c r="A958" s="12">
        <v>7237</v>
      </c>
      <c r="B958" s="12">
        <v>1040358</v>
      </c>
      <c r="C958" s="12" t="s">
        <v>13</v>
      </c>
      <c r="D958" s="12" t="s">
        <v>14</v>
      </c>
      <c r="E958" s="14">
        <v>45031</v>
      </c>
      <c r="F958" s="12" t="s">
        <v>38</v>
      </c>
      <c r="G958" s="12" t="s">
        <v>19</v>
      </c>
      <c r="H958" s="12" t="s">
        <v>55</v>
      </c>
      <c r="I958" s="12">
        <v>234.99799999999999</v>
      </c>
      <c r="J958" s="12">
        <v>198.703</v>
      </c>
      <c r="K958" s="12">
        <v>3.5</v>
      </c>
      <c r="L958" s="12">
        <v>12.2</v>
      </c>
    </row>
    <row r="959" spans="1:12" ht="13.9" hidden="1" x14ac:dyDescent="0.25">
      <c r="A959" s="12">
        <v>7238</v>
      </c>
      <c r="B959" s="12">
        <v>1040473</v>
      </c>
      <c r="C959" s="12" t="s">
        <v>13</v>
      </c>
      <c r="D959" s="12" t="s">
        <v>14</v>
      </c>
      <c r="E959" s="14">
        <v>45032</v>
      </c>
      <c r="F959" s="12" t="s">
        <v>18</v>
      </c>
      <c r="G959" s="12" t="s">
        <v>20</v>
      </c>
      <c r="H959" s="12" t="s">
        <v>79</v>
      </c>
      <c r="I959" s="12">
        <v>235.00800000000001</v>
      </c>
      <c r="J959" s="12">
        <v>204.94800000000001</v>
      </c>
      <c r="K959" s="12">
        <v>4.2</v>
      </c>
    </row>
    <row r="960" spans="1:12" ht="13.9" hidden="1" x14ac:dyDescent="0.25">
      <c r="A960" s="12">
        <v>7239</v>
      </c>
      <c r="B960" s="12">
        <v>1040558</v>
      </c>
      <c r="C960" s="12" t="s">
        <v>13</v>
      </c>
      <c r="D960" s="12" t="s">
        <v>14</v>
      </c>
      <c r="E960" s="14">
        <v>45033</v>
      </c>
      <c r="F960" s="12" t="s">
        <v>18</v>
      </c>
      <c r="G960" s="12" t="s">
        <v>20</v>
      </c>
      <c r="H960" s="12" t="s">
        <v>79</v>
      </c>
      <c r="I960" s="12">
        <v>235.00700000000001</v>
      </c>
      <c r="J960" s="12">
        <v>206.821</v>
      </c>
      <c r="K960" s="12">
        <v>4.4000000000000004</v>
      </c>
    </row>
    <row r="961" spans="1:12" ht="13.9" hidden="1" x14ac:dyDescent="0.25">
      <c r="A961" s="12">
        <v>7240</v>
      </c>
      <c r="B961" s="12">
        <v>1040559</v>
      </c>
      <c r="C961" s="12" t="s">
        <v>13</v>
      </c>
      <c r="D961" s="12" t="s">
        <v>14</v>
      </c>
      <c r="E961" s="14">
        <v>45034</v>
      </c>
      <c r="F961" s="12" t="s">
        <v>37</v>
      </c>
      <c r="G961" s="12" t="s">
        <v>19</v>
      </c>
      <c r="H961" s="12" t="s">
        <v>55</v>
      </c>
      <c r="I961" s="12">
        <v>235.00399999999999</v>
      </c>
      <c r="J961" s="12">
        <v>199.16800000000001</v>
      </c>
      <c r="K961" s="12">
        <v>5.3</v>
      </c>
    </row>
    <row r="962" spans="1:12" ht="13.9" hidden="1" x14ac:dyDescent="0.25">
      <c r="A962" s="12">
        <v>7241</v>
      </c>
      <c r="B962" s="12">
        <v>1040560</v>
      </c>
      <c r="C962" s="12" t="s">
        <v>13</v>
      </c>
      <c r="D962" s="12" t="s">
        <v>14</v>
      </c>
      <c r="E962" s="14">
        <v>45035</v>
      </c>
      <c r="F962" s="12" t="s">
        <v>37</v>
      </c>
      <c r="G962" s="12" t="s">
        <v>19</v>
      </c>
      <c r="H962" s="12" t="s">
        <v>55</v>
      </c>
      <c r="I962" s="12">
        <v>235.00299999999999</v>
      </c>
      <c r="J962" s="12">
        <v>198.53299999999999</v>
      </c>
      <c r="K962" s="12">
        <v>4.0999999999999996</v>
      </c>
    </row>
    <row r="963" spans="1:12" x14ac:dyDescent="0.25">
      <c r="A963" s="12">
        <v>7242</v>
      </c>
      <c r="B963" s="12">
        <v>1040561</v>
      </c>
      <c r="C963" s="12" t="s">
        <v>13</v>
      </c>
      <c r="D963" s="12" t="s">
        <v>14</v>
      </c>
      <c r="E963" s="14">
        <v>45036</v>
      </c>
      <c r="F963" s="12" t="s">
        <v>37</v>
      </c>
      <c r="G963" s="12" t="s">
        <v>19</v>
      </c>
      <c r="H963" s="12" t="s">
        <v>55</v>
      </c>
      <c r="I963" s="12">
        <v>235.017</v>
      </c>
      <c r="J963" s="12">
        <v>199.744</v>
      </c>
      <c r="K963" s="12">
        <v>4.2</v>
      </c>
      <c r="L963" s="12">
        <v>12.3</v>
      </c>
    </row>
    <row r="964" spans="1:12" ht="13.9" hidden="1" x14ac:dyDescent="0.25">
      <c r="A964" s="12">
        <v>7243</v>
      </c>
      <c r="B964" s="12">
        <v>1040806</v>
      </c>
      <c r="C964" s="12" t="s">
        <v>13</v>
      </c>
      <c r="D964" s="12" t="s">
        <v>14</v>
      </c>
      <c r="E964" s="14">
        <v>45037</v>
      </c>
      <c r="F964" s="12" t="s">
        <v>37</v>
      </c>
      <c r="G964" s="12" t="s">
        <v>19</v>
      </c>
      <c r="H964" s="12" t="s">
        <v>55</v>
      </c>
      <c r="I964" s="12">
        <v>235.006</v>
      </c>
      <c r="J964" s="12">
        <v>198.37899999999999</v>
      </c>
      <c r="K964" s="12">
        <v>3.5</v>
      </c>
    </row>
    <row r="965" spans="1:12" ht="13.9" hidden="1" x14ac:dyDescent="0.25">
      <c r="A965" s="12">
        <v>7244</v>
      </c>
      <c r="B965" s="12">
        <v>1040940</v>
      </c>
      <c r="C965" s="12" t="s">
        <v>13</v>
      </c>
      <c r="D965" s="12" t="s">
        <v>14</v>
      </c>
      <c r="E965" s="14">
        <v>45038</v>
      </c>
      <c r="F965" s="12" t="s">
        <v>37</v>
      </c>
      <c r="G965" s="12" t="s">
        <v>19</v>
      </c>
      <c r="H965" s="12" t="s">
        <v>55</v>
      </c>
      <c r="I965" s="12">
        <v>235.005</v>
      </c>
      <c r="J965" s="12">
        <v>211.60499999999999</v>
      </c>
      <c r="K965" s="12">
        <v>4.5</v>
      </c>
    </row>
    <row r="966" spans="1:12" ht="13.9" hidden="1" x14ac:dyDescent="0.25">
      <c r="A966" s="12">
        <v>7245</v>
      </c>
      <c r="B966" s="12">
        <v>1040979</v>
      </c>
      <c r="C966" s="12" t="s">
        <v>13</v>
      </c>
      <c r="D966" s="12" t="s">
        <v>14</v>
      </c>
      <c r="E966" s="14">
        <v>45039</v>
      </c>
      <c r="F966" s="12" t="s">
        <v>18</v>
      </c>
      <c r="G966" s="12" t="s">
        <v>19</v>
      </c>
      <c r="H966" s="12" t="s">
        <v>55</v>
      </c>
      <c r="I966" s="12">
        <v>235.00800000000001</v>
      </c>
      <c r="J966" s="12">
        <v>193.82400000000001</v>
      </c>
      <c r="K966" s="12">
        <v>4</v>
      </c>
    </row>
    <row r="967" spans="1:12" ht="13.9" hidden="1" x14ac:dyDescent="0.25">
      <c r="A967" s="12">
        <v>7246</v>
      </c>
      <c r="B967" s="12">
        <v>1040980</v>
      </c>
      <c r="C967" s="12" t="s">
        <v>13</v>
      </c>
      <c r="D967" s="12" t="s">
        <v>14</v>
      </c>
      <c r="E967" s="14">
        <v>45040</v>
      </c>
      <c r="F967" s="12" t="s">
        <v>18</v>
      </c>
      <c r="G967" s="12" t="s">
        <v>19</v>
      </c>
      <c r="H967" s="12" t="s">
        <v>55</v>
      </c>
      <c r="I967" s="12">
        <v>235.00700000000001</v>
      </c>
      <c r="J967" s="12">
        <v>208.70500000000001</v>
      </c>
      <c r="K967" s="12">
        <v>4.5999999999999996</v>
      </c>
    </row>
    <row r="968" spans="1:12" x14ac:dyDescent="0.25">
      <c r="A968" s="12">
        <v>7247</v>
      </c>
      <c r="B968" s="12">
        <v>1040982</v>
      </c>
      <c r="C968" s="12" t="s">
        <v>13</v>
      </c>
      <c r="D968" s="12" t="s">
        <v>14</v>
      </c>
      <c r="E968" s="14">
        <v>45041</v>
      </c>
      <c r="F968" s="12" t="s">
        <v>18</v>
      </c>
      <c r="G968" s="12" t="s">
        <v>19</v>
      </c>
      <c r="H968" s="12" t="s">
        <v>55</v>
      </c>
      <c r="I968" s="12">
        <v>235.01900000000001</v>
      </c>
      <c r="J968" s="12">
        <v>199.18799999999999</v>
      </c>
      <c r="K968" s="12">
        <v>4.7</v>
      </c>
      <c r="L968" s="12">
        <v>11.4</v>
      </c>
    </row>
    <row r="969" spans="1:12" ht="13.9" hidden="1" x14ac:dyDescent="0.25">
      <c r="A969" s="12">
        <v>7248</v>
      </c>
      <c r="B969" s="12">
        <v>1041327</v>
      </c>
      <c r="C969" s="12" t="s">
        <v>13</v>
      </c>
      <c r="D969" s="12" t="s">
        <v>14</v>
      </c>
      <c r="E969" s="14">
        <v>45042</v>
      </c>
      <c r="F969" s="12" t="s">
        <v>18</v>
      </c>
      <c r="G969" s="12" t="s">
        <v>19</v>
      </c>
      <c r="H969" s="12" t="s">
        <v>55</v>
      </c>
      <c r="I969" s="12">
        <v>235.00649999999999</v>
      </c>
      <c r="J969" s="12">
        <v>199.572</v>
      </c>
      <c r="K969" s="12">
        <v>4.4000000000000004</v>
      </c>
    </row>
    <row r="970" spans="1:12" ht="13.9" hidden="1" x14ac:dyDescent="0.25">
      <c r="A970" s="12">
        <v>7249</v>
      </c>
      <c r="B970" s="12">
        <v>1041476</v>
      </c>
      <c r="C970" s="12" t="s">
        <v>13</v>
      </c>
      <c r="D970" s="12" t="s">
        <v>14</v>
      </c>
      <c r="E970" s="14">
        <v>45043</v>
      </c>
      <c r="F970" s="12" t="s">
        <v>18</v>
      </c>
      <c r="G970" s="12" t="s">
        <v>19</v>
      </c>
      <c r="H970" s="12" t="s">
        <v>55</v>
      </c>
      <c r="I970" s="12">
        <v>235.006</v>
      </c>
      <c r="J970" s="12">
        <v>203.11799999999999</v>
      </c>
      <c r="K970" s="12">
        <v>4.3</v>
      </c>
    </row>
    <row r="971" spans="1:12" ht="13.9" hidden="1" x14ac:dyDescent="0.25">
      <c r="A971" s="12">
        <v>7250</v>
      </c>
      <c r="B971" s="20">
        <v>1041591</v>
      </c>
      <c r="C971" s="12" t="s">
        <v>13</v>
      </c>
      <c r="D971" s="12" t="s">
        <v>14</v>
      </c>
      <c r="E971" s="14">
        <v>45044</v>
      </c>
      <c r="F971" s="12" t="s">
        <v>17</v>
      </c>
      <c r="G971" s="12" t="s">
        <v>19</v>
      </c>
      <c r="H971" s="12" t="s">
        <v>81</v>
      </c>
      <c r="I971" s="12">
        <v>229.995</v>
      </c>
      <c r="J971" s="12">
        <v>195.98699999999999</v>
      </c>
      <c r="L971" s="12">
        <v>12.4</v>
      </c>
    </row>
    <row r="972" spans="1:12" x14ac:dyDescent="0.25">
      <c r="A972" s="12">
        <v>7251</v>
      </c>
      <c r="B972" s="12">
        <v>1041685</v>
      </c>
      <c r="C972" s="12" t="s">
        <v>13</v>
      </c>
      <c r="D972" s="12" t="s">
        <v>14</v>
      </c>
      <c r="E972" s="14">
        <v>45045</v>
      </c>
      <c r="F972" s="12" t="s">
        <v>17</v>
      </c>
      <c r="G972" s="12" t="s">
        <v>20</v>
      </c>
      <c r="H972" s="12" t="s">
        <v>80</v>
      </c>
      <c r="I972" s="12">
        <v>230.01599999999999</v>
      </c>
      <c r="J972" s="12">
        <v>196.70400000000001</v>
      </c>
      <c r="K972" s="12">
        <v>5.2</v>
      </c>
      <c r="L972" s="12">
        <v>10.8</v>
      </c>
    </row>
    <row r="973" spans="1:12" ht="13.9" hidden="1" x14ac:dyDescent="0.25">
      <c r="A973" s="12">
        <v>7252</v>
      </c>
      <c r="B973" s="12">
        <v>1041797</v>
      </c>
      <c r="C973" s="12" t="s">
        <v>13</v>
      </c>
      <c r="D973" s="12" t="s">
        <v>14</v>
      </c>
      <c r="E973" s="14">
        <v>45046</v>
      </c>
      <c r="F973" s="12" t="s">
        <v>18</v>
      </c>
      <c r="G973" s="12" t="s">
        <v>19</v>
      </c>
      <c r="H973" s="12" t="s">
        <v>55</v>
      </c>
      <c r="I973" s="12">
        <v>235.00800000000001</v>
      </c>
      <c r="J973" s="12">
        <v>202.488</v>
      </c>
      <c r="K973" s="12">
        <v>4.5999999999999996</v>
      </c>
    </row>
    <row r="974" spans="1:12" ht="13.9" hidden="1" x14ac:dyDescent="0.25">
      <c r="A974" s="12">
        <v>7253</v>
      </c>
      <c r="B974" s="12">
        <v>1041848</v>
      </c>
      <c r="C974" s="12" t="s">
        <v>13</v>
      </c>
      <c r="D974" s="12" t="s">
        <v>14</v>
      </c>
      <c r="E974" s="14">
        <v>45047</v>
      </c>
      <c r="F974" s="12" t="s">
        <v>19</v>
      </c>
      <c r="G974" s="12" t="s">
        <v>55</v>
      </c>
      <c r="H974" s="12" t="s">
        <v>18</v>
      </c>
      <c r="I974" s="12">
        <v>235.00800000000001</v>
      </c>
      <c r="J974" s="12">
        <v>203.20500000000001</v>
      </c>
      <c r="K974" s="12">
        <v>3.3</v>
      </c>
    </row>
    <row r="975" spans="1:12" x14ac:dyDescent="0.25">
      <c r="A975" s="12">
        <v>7254</v>
      </c>
      <c r="B975" s="12">
        <v>1041850</v>
      </c>
      <c r="C975" s="12" t="s">
        <v>13</v>
      </c>
      <c r="D975" s="12" t="s">
        <v>14</v>
      </c>
      <c r="E975" s="14">
        <v>45048</v>
      </c>
      <c r="F975" s="12" t="s">
        <v>19</v>
      </c>
      <c r="G975" s="12" t="s">
        <v>55</v>
      </c>
      <c r="H975" s="12" t="s">
        <v>18</v>
      </c>
      <c r="I975" s="12">
        <v>234.97399999999999</v>
      </c>
      <c r="J975" s="12">
        <v>198.11</v>
      </c>
      <c r="K975" s="12">
        <v>3.9</v>
      </c>
      <c r="L975" s="12">
        <v>11.6</v>
      </c>
    </row>
    <row r="976" spans="1:12" ht="13.9" hidden="1" x14ac:dyDescent="0.25">
      <c r="A976" s="12">
        <v>7255</v>
      </c>
      <c r="B976" s="12">
        <v>1042000</v>
      </c>
      <c r="C976" s="12" t="s">
        <v>13</v>
      </c>
      <c r="D976" s="12" t="s">
        <v>14</v>
      </c>
      <c r="E976" s="14">
        <v>45049</v>
      </c>
      <c r="F976" s="12" t="s">
        <v>19</v>
      </c>
      <c r="G976" s="12" t="s">
        <v>55</v>
      </c>
      <c r="H976" s="12" t="s">
        <v>18</v>
      </c>
      <c r="I976" s="12">
        <v>234.96899999999999</v>
      </c>
      <c r="J976" s="12">
        <v>194.31399999999999</v>
      </c>
      <c r="K976" s="12">
        <v>3.5</v>
      </c>
    </row>
    <row r="977" spans="1:12" ht="13.9" hidden="1" x14ac:dyDescent="0.25">
      <c r="A977" s="12">
        <v>7256</v>
      </c>
      <c r="B977" s="12">
        <v>1042159</v>
      </c>
      <c r="C977" s="12" t="s">
        <v>13</v>
      </c>
      <c r="D977" s="12" t="s">
        <v>14</v>
      </c>
      <c r="E977" s="14">
        <v>45050</v>
      </c>
      <c r="F977" s="12" t="s">
        <v>19</v>
      </c>
      <c r="G977" s="12" t="s">
        <v>55</v>
      </c>
      <c r="H977" s="12" t="s">
        <v>18</v>
      </c>
      <c r="I977" s="12">
        <v>234.96899999999999</v>
      </c>
      <c r="J977" s="12">
        <v>201.8</v>
      </c>
      <c r="K977" s="12">
        <v>4.4000000000000004</v>
      </c>
    </row>
    <row r="978" spans="1:12" ht="13.9" hidden="1" x14ac:dyDescent="0.25">
      <c r="A978" s="12">
        <v>7257</v>
      </c>
      <c r="B978" s="12">
        <v>1042293</v>
      </c>
      <c r="C978" s="12" t="s">
        <v>13</v>
      </c>
      <c r="D978" s="12" t="s">
        <v>14</v>
      </c>
      <c r="E978" s="14">
        <v>45051</v>
      </c>
      <c r="F978" s="12" t="s">
        <v>19</v>
      </c>
      <c r="G978" s="12" t="s">
        <v>55</v>
      </c>
      <c r="H978" s="12" t="s">
        <v>18</v>
      </c>
      <c r="I978" s="12">
        <v>234.96199999999999</v>
      </c>
      <c r="J978" s="12">
        <v>195.71199999999999</v>
      </c>
      <c r="K978" s="12">
        <v>3.7</v>
      </c>
    </row>
    <row r="979" spans="1:12" ht="13.9" hidden="1" x14ac:dyDescent="0.25">
      <c r="A979" s="12">
        <v>7258</v>
      </c>
      <c r="B979" s="12">
        <v>1042410</v>
      </c>
      <c r="C979" s="12" t="s">
        <v>13</v>
      </c>
      <c r="D979" s="12" t="s">
        <v>14</v>
      </c>
      <c r="E979" s="14">
        <v>45052</v>
      </c>
      <c r="F979" s="12" t="s">
        <v>19</v>
      </c>
      <c r="G979" s="12" t="s">
        <v>55</v>
      </c>
      <c r="H979" s="12" t="s">
        <v>18</v>
      </c>
      <c r="I979" s="12">
        <v>234.96299999999999</v>
      </c>
      <c r="J979" s="12">
        <v>199.005</v>
      </c>
      <c r="K979" s="12">
        <v>4.2</v>
      </c>
    </row>
    <row r="980" spans="1:12" x14ac:dyDescent="0.25">
      <c r="A980" s="12">
        <v>7259</v>
      </c>
      <c r="B980" s="12">
        <v>1042565</v>
      </c>
      <c r="C980" s="12" t="s">
        <v>13</v>
      </c>
      <c r="D980" s="12" t="s">
        <v>14</v>
      </c>
      <c r="E980" s="14">
        <v>45053</v>
      </c>
      <c r="F980" s="12" t="s">
        <v>19</v>
      </c>
      <c r="G980" s="12" t="s">
        <v>55</v>
      </c>
      <c r="H980" s="12" t="s">
        <v>18</v>
      </c>
      <c r="I980" s="12">
        <v>235.05500000000001</v>
      </c>
      <c r="J980" s="12">
        <v>199.3</v>
      </c>
      <c r="K980" s="12">
        <v>3.6</v>
      </c>
      <c r="L980" s="12">
        <v>12.2</v>
      </c>
    </row>
    <row r="981" spans="1:12" ht="13.9" hidden="1" x14ac:dyDescent="0.25">
      <c r="A981" s="12">
        <v>7260</v>
      </c>
      <c r="B981" s="12">
        <v>1042600</v>
      </c>
      <c r="C981" s="12" t="s">
        <v>13</v>
      </c>
      <c r="D981" s="12" t="s">
        <v>14</v>
      </c>
      <c r="E981" s="14">
        <v>45054</v>
      </c>
      <c r="F981" s="12" t="s">
        <v>19</v>
      </c>
      <c r="G981" s="12" t="s">
        <v>55</v>
      </c>
      <c r="H981" s="12" t="s">
        <v>18</v>
      </c>
      <c r="I981" s="12">
        <v>235</v>
      </c>
      <c r="J981" s="12">
        <v>191.209</v>
      </c>
      <c r="K981" s="12">
        <v>3.9</v>
      </c>
    </row>
    <row r="982" spans="1:12" ht="13.9" hidden="1" x14ac:dyDescent="0.25">
      <c r="A982" s="12">
        <v>7261</v>
      </c>
      <c r="B982" s="12">
        <v>1042601</v>
      </c>
      <c r="C982" s="12" t="s">
        <v>13</v>
      </c>
      <c r="D982" s="12" t="s">
        <v>14</v>
      </c>
      <c r="E982" s="14">
        <v>45055</v>
      </c>
      <c r="F982" s="12" t="s">
        <v>19</v>
      </c>
      <c r="G982" s="12" t="s">
        <v>55</v>
      </c>
      <c r="H982" s="12" t="s">
        <v>18</v>
      </c>
      <c r="I982" s="12">
        <v>235</v>
      </c>
      <c r="J982" s="12">
        <v>209.84299999999999</v>
      </c>
      <c r="K982" s="12">
        <v>3.4</v>
      </c>
    </row>
    <row r="983" spans="1:12" ht="13.9" hidden="1" x14ac:dyDescent="0.25">
      <c r="A983" s="12">
        <v>7262</v>
      </c>
      <c r="B983" s="12">
        <v>1042764</v>
      </c>
      <c r="C983" s="12" t="s">
        <v>13</v>
      </c>
      <c r="D983" s="12" t="s">
        <v>14</v>
      </c>
      <c r="E983" s="14">
        <v>45056</v>
      </c>
      <c r="F983" s="12" t="s">
        <v>20</v>
      </c>
      <c r="G983" s="12" t="s">
        <v>79</v>
      </c>
      <c r="H983" s="12" t="s">
        <v>18</v>
      </c>
      <c r="I983" s="12">
        <v>235.001</v>
      </c>
      <c r="J983" s="12">
        <v>204.82</v>
      </c>
      <c r="K983" s="12">
        <v>4</v>
      </c>
    </row>
    <row r="984" spans="1:12" ht="13.9" hidden="1" x14ac:dyDescent="0.25">
      <c r="A984" s="12">
        <v>7263</v>
      </c>
      <c r="B984" s="12">
        <v>1042768</v>
      </c>
      <c r="C984" s="12" t="s">
        <v>13</v>
      </c>
      <c r="D984" s="12" t="s">
        <v>14</v>
      </c>
      <c r="E984" s="14">
        <v>45057</v>
      </c>
      <c r="F984" s="12" t="s">
        <v>20</v>
      </c>
      <c r="G984" s="12" t="s">
        <v>79</v>
      </c>
      <c r="H984" s="12" t="s">
        <v>18</v>
      </c>
      <c r="I984" s="12">
        <v>235.001</v>
      </c>
      <c r="J984" s="12">
        <v>195.96199999999999</v>
      </c>
      <c r="K984" s="12">
        <v>3.6</v>
      </c>
    </row>
    <row r="985" spans="1:12" ht="13.9" hidden="1" x14ac:dyDescent="0.25">
      <c r="A985" s="12">
        <v>7264</v>
      </c>
      <c r="B985" s="12">
        <v>1042911</v>
      </c>
      <c r="C985" s="12" t="s">
        <v>13</v>
      </c>
      <c r="D985" s="12" t="s">
        <v>14</v>
      </c>
      <c r="E985" s="14">
        <v>45058</v>
      </c>
      <c r="F985" s="12" t="s">
        <v>20</v>
      </c>
      <c r="G985" s="12" t="s">
        <v>53</v>
      </c>
      <c r="H985" s="12" t="s">
        <v>37</v>
      </c>
      <c r="I985" s="12">
        <v>235.005</v>
      </c>
      <c r="J985" s="12">
        <v>198.39500000000001</v>
      </c>
      <c r="K985" s="12">
        <v>4</v>
      </c>
    </row>
    <row r="986" spans="1:12" ht="13.9" hidden="1" x14ac:dyDescent="0.25">
      <c r="A986" s="12">
        <v>7265</v>
      </c>
      <c r="B986" s="12">
        <v>1043061</v>
      </c>
      <c r="C986" s="12" t="s">
        <v>13</v>
      </c>
      <c r="D986" s="12" t="s">
        <v>14</v>
      </c>
      <c r="E986" s="14">
        <v>45059</v>
      </c>
      <c r="F986" s="12" t="s">
        <v>20</v>
      </c>
      <c r="G986" s="12" t="s">
        <v>53</v>
      </c>
      <c r="H986" s="12" t="s">
        <v>37</v>
      </c>
      <c r="I986" s="12">
        <v>235.005</v>
      </c>
      <c r="J986" s="12">
        <v>195.911</v>
      </c>
      <c r="K986" s="12">
        <v>3.9</v>
      </c>
    </row>
    <row r="987" spans="1:12" x14ac:dyDescent="0.25">
      <c r="A987" s="12">
        <v>7266</v>
      </c>
      <c r="B987" s="12">
        <v>1043233</v>
      </c>
      <c r="C987" s="12" t="s">
        <v>13</v>
      </c>
      <c r="D987" s="12" t="s">
        <v>14</v>
      </c>
      <c r="E987" s="14">
        <v>45060</v>
      </c>
      <c r="F987" s="12" t="s">
        <v>19</v>
      </c>
      <c r="G987" s="12" t="s">
        <v>55</v>
      </c>
      <c r="H987" s="12" t="s">
        <v>18</v>
      </c>
      <c r="I987" s="12">
        <v>235.072</v>
      </c>
      <c r="J987" s="12">
        <v>200.48099999999999</v>
      </c>
      <c r="K987" s="12">
        <v>4.8</v>
      </c>
      <c r="L987" s="12">
        <v>11.8</v>
      </c>
    </row>
    <row r="988" spans="1:12" ht="13.9" hidden="1" x14ac:dyDescent="0.25">
      <c r="A988" s="12">
        <v>7267</v>
      </c>
      <c r="B988" s="12">
        <v>1043339</v>
      </c>
      <c r="C988" s="12" t="s">
        <v>13</v>
      </c>
      <c r="D988" s="12" t="s">
        <v>14</v>
      </c>
      <c r="E988" s="14">
        <v>45061</v>
      </c>
      <c r="F988" s="12" t="s">
        <v>19</v>
      </c>
      <c r="G988" s="12" t="s">
        <v>55</v>
      </c>
      <c r="H988" s="12" t="s">
        <v>18</v>
      </c>
      <c r="I988" s="12">
        <v>235</v>
      </c>
      <c r="J988" s="12">
        <v>192.15899999999999</v>
      </c>
      <c r="K988" s="12">
        <v>4</v>
      </c>
    </row>
    <row r="989" spans="1:12" ht="13.9" hidden="1" x14ac:dyDescent="0.25">
      <c r="A989" s="12">
        <v>7268</v>
      </c>
      <c r="B989" s="12">
        <v>1043340</v>
      </c>
      <c r="C989" s="12" t="s">
        <v>13</v>
      </c>
      <c r="D989" s="12" t="s">
        <v>14</v>
      </c>
      <c r="E989" s="14">
        <v>45062</v>
      </c>
      <c r="F989" s="12" t="s">
        <v>19</v>
      </c>
      <c r="G989" s="12" t="s">
        <v>55</v>
      </c>
      <c r="H989" s="12" t="s">
        <v>18</v>
      </c>
      <c r="I989" s="12">
        <v>234.999</v>
      </c>
      <c r="J989" s="12">
        <v>205.96799999999999</v>
      </c>
      <c r="K989" s="12">
        <v>4.3</v>
      </c>
    </row>
    <row r="990" spans="1:12" ht="13.9" hidden="1" x14ac:dyDescent="0.25">
      <c r="A990" s="12">
        <v>7269</v>
      </c>
      <c r="B990" s="12">
        <v>1043414</v>
      </c>
      <c r="C990" s="12" t="s">
        <v>13</v>
      </c>
      <c r="D990" s="12" t="s">
        <v>14</v>
      </c>
      <c r="E990" s="14">
        <v>45063</v>
      </c>
      <c r="F990" s="12" t="s">
        <v>19</v>
      </c>
      <c r="G990" s="12" t="s">
        <v>55</v>
      </c>
      <c r="H990" s="12" t="s">
        <v>18</v>
      </c>
      <c r="I990" s="12">
        <v>234.99799999999999</v>
      </c>
      <c r="J990" s="12">
        <v>188.61199999999999</v>
      </c>
      <c r="K990" s="12">
        <v>3.7</v>
      </c>
    </row>
    <row r="991" spans="1:12" ht="13.9" hidden="1" x14ac:dyDescent="0.25">
      <c r="A991" s="12">
        <v>7270</v>
      </c>
      <c r="B991" s="12">
        <v>1043423</v>
      </c>
      <c r="C991" s="12" t="s">
        <v>13</v>
      </c>
      <c r="D991" s="12" t="s">
        <v>14</v>
      </c>
      <c r="E991" s="14">
        <v>45064</v>
      </c>
      <c r="F991" s="12" t="s">
        <v>19</v>
      </c>
      <c r="G991" s="12" t="s">
        <v>55</v>
      </c>
      <c r="H991" s="12" t="s">
        <v>18</v>
      </c>
      <c r="I991" s="12">
        <v>234.999</v>
      </c>
      <c r="J991" s="12">
        <v>206.47300000000001</v>
      </c>
      <c r="K991" s="12">
        <v>4.5999999999999996</v>
      </c>
    </row>
    <row r="992" spans="1:12" ht="13.9" hidden="1" x14ac:dyDescent="0.25">
      <c r="A992" s="12">
        <v>7271</v>
      </c>
      <c r="B992" s="12">
        <v>1043628</v>
      </c>
      <c r="C992" s="12" t="s">
        <v>13</v>
      </c>
      <c r="D992" s="12" t="s">
        <v>14</v>
      </c>
      <c r="E992" s="14">
        <v>45065</v>
      </c>
      <c r="F992" s="12" t="s">
        <v>20</v>
      </c>
      <c r="G992" s="12" t="s">
        <v>56</v>
      </c>
      <c r="H992" s="12" t="s">
        <v>37</v>
      </c>
      <c r="I992" s="12">
        <v>235.00700000000001</v>
      </c>
      <c r="J992" s="12">
        <v>189.38</v>
      </c>
      <c r="K992" s="12">
        <v>3.9</v>
      </c>
    </row>
    <row r="993" spans="1:12" ht="13.9" hidden="1" x14ac:dyDescent="0.25">
      <c r="A993" s="12">
        <v>7272</v>
      </c>
      <c r="B993" s="12">
        <v>1043752</v>
      </c>
      <c r="C993" s="12" t="s">
        <v>13</v>
      </c>
      <c r="D993" s="12" t="s">
        <v>14</v>
      </c>
      <c r="E993" s="14">
        <v>45066</v>
      </c>
      <c r="F993" s="12" t="s">
        <v>20</v>
      </c>
      <c r="G993" s="12" t="s">
        <v>56</v>
      </c>
      <c r="H993" s="12" t="s">
        <v>37</v>
      </c>
      <c r="I993" s="12">
        <v>235.00700000000001</v>
      </c>
      <c r="J993" s="12">
        <v>213.952</v>
      </c>
      <c r="K993" s="12">
        <v>5.2</v>
      </c>
    </row>
    <row r="994" spans="1:12" ht="13.9" hidden="1" x14ac:dyDescent="0.25">
      <c r="A994" s="12">
        <v>7273</v>
      </c>
      <c r="B994" s="12">
        <v>1043925</v>
      </c>
      <c r="C994" s="12" t="s">
        <v>13</v>
      </c>
      <c r="D994" s="12" t="s">
        <v>14</v>
      </c>
      <c r="E994" s="14">
        <v>45067</v>
      </c>
      <c r="F994" s="12" t="s">
        <v>19</v>
      </c>
      <c r="G994" s="12" t="s">
        <v>55</v>
      </c>
      <c r="H994" s="12" t="s">
        <v>38</v>
      </c>
      <c r="I994" s="12">
        <v>234.999</v>
      </c>
      <c r="J994" s="12">
        <v>200.17500000000001</v>
      </c>
      <c r="K994" s="12">
        <v>3.8</v>
      </c>
    </row>
    <row r="995" spans="1:12" ht="13.9" hidden="1" x14ac:dyDescent="0.25">
      <c r="A995" s="12">
        <v>7274</v>
      </c>
      <c r="B995" s="12">
        <v>1044048</v>
      </c>
      <c r="C995" s="12" t="s">
        <v>13</v>
      </c>
      <c r="D995" s="12" t="s">
        <v>14</v>
      </c>
      <c r="E995" s="14">
        <v>45068</v>
      </c>
      <c r="F995" s="12" t="s">
        <v>19</v>
      </c>
      <c r="G995" s="12" t="s">
        <v>55</v>
      </c>
      <c r="H995" s="12" t="s">
        <v>38</v>
      </c>
      <c r="I995" s="12">
        <v>235</v>
      </c>
      <c r="J995" s="12">
        <v>203.16800000000001</v>
      </c>
      <c r="K995" s="12">
        <v>4.7</v>
      </c>
    </row>
    <row r="996" spans="1:12" ht="13.9" hidden="1" x14ac:dyDescent="0.25">
      <c r="A996" s="12">
        <v>7275</v>
      </c>
      <c r="B996" s="12">
        <v>1044050</v>
      </c>
      <c r="C996" s="12" t="s">
        <v>13</v>
      </c>
      <c r="D996" s="12" t="s">
        <v>14</v>
      </c>
      <c r="E996" s="14">
        <v>45069</v>
      </c>
      <c r="F996" s="12" t="s">
        <v>19</v>
      </c>
      <c r="G996" s="12" t="s">
        <v>55</v>
      </c>
      <c r="H996" s="12" t="s">
        <v>38</v>
      </c>
      <c r="I996" s="12">
        <v>234.999</v>
      </c>
      <c r="J996" s="12">
        <v>186.4</v>
      </c>
      <c r="K996" s="12">
        <v>3.7</v>
      </c>
    </row>
    <row r="997" spans="1:12" ht="13.9" hidden="1" x14ac:dyDescent="0.25">
      <c r="A997" s="12">
        <v>7276</v>
      </c>
      <c r="B997" s="12">
        <v>1044051</v>
      </c>
      <c r="C997" s="12" t="s">
        <v>13</v>
      </c>
      <c r="D997" s="12" t="s">
        <v>14</v>
      </c>
      <c r="E997" s="14">
        <v>45070</v>
      </c>
      <c r="F997" s="12" t="s">
        <v>19</v>
      </c>
      <c r="G997" s="12" t="s">
        <v>55</v>
      </c>
      <c r="H997" s="12" t="s">
        <v>38</v>
      </c>
      <c r="I997" s="12">
        <v>235</v>
      </c>
      <c r="J997" s="12">
        <v>216.95400000000001</v>
      </c>
      <c r="K997" s="12">
        <v>5.8</v>
      </c>
    </row>
    <row r="998" spans="1:12" ht="13.9" hidden="1" x14ac:dyDescent="0.25">
      <c r="A998" s="12">
        <v>7277</v>
      </c>
      <c r="B998" s="12">
        <v>1044052</v>
      </c>
      <c r="C998" s="12" t="s">
        <v>13</v>
      </c>
      <c r="D998" s="12" t="s">
        <v>14</v>
      </c>
      <c r="E998" s="14">
        <v>45071</v>
      </c>
      <c r="F998" s="12" t="s">
        <v>19</v>
      </c>
      <c r="G998" s="12" t="s">
        <v>55</v>
      </c>
      <c r="H998" s="12" t="s">
        <v>38</v>
      </c>
      <c r="I998" s="12">
        <v>234.999</v>
      </c>
      <c r="J998" s="12">
        <v>193.28800000000001</v>
      </c>
      <c r="K998" s="12">
        <v>3.4</v>
      </c>
    </row>
    <row r="999" spans="1:12" x14ac:dyDescent="0.25">
      <c r="A999" s="12">
        <v>7278</v>
      </c>
      <c r="B999" s="12">
        <v>1044478</v>
      </c>
      <c r="C999" s="12" t="s">
        <v>13</v>
      </c>
      <c r="D999" s="12" t="s">
        <v>14</v>
      </c>
      <c r="E999" s="14">
        <v>45072</v>
      </c>
      <c r="F999" s="12" t="s">
        <v>19</v>
      </c>
      <c r="G999" s="12" t="s">
        <v>55</v>
      </c>
      <c r="H999" s="12" t="s">
        <v>18</v>
      </c>
      <c r="I999" s="12">
        <v>235.006</v>
      </c>
      <c r="J999" s="12">
        <v>198.74600000000001</v>
      </c>
      <c r="K999" s="12">
        <v>4.2</v>
      </c>
      <c r="L999" s="12">
        <v>11.4</v>
      </c>
    </row>
    <row r="1000" spans="1:12" x14ac:dyDescent="0.25">
      <c r="A1000" s="12">
        <v>7279</v>
      </c>
      <c r="B1000" s="12">
        <v>1044479</v>
      </c>
      <c r="C1000" s="12" t="s">
        <v>13</v>
      </c>
      <c r="D1000" s="12" t="s">
        <v>14</v>
      </c>
      <c r="E1000" s="14">
        <v>45073</v>
      </c>
      <c r="F1000" s="12" t="s">
        <v>19</v>
      </c>
      <c r="G1000" s="12" t="s">
        <v>55</v>
      </c>
      <c r="H1000" s="12" t="s">
        <v>18</v>
      </c>
      <c r="I1000" s="12">
        <v>235</v>
      </c>
      <c r="J1000" s="12">
        <v>197.934</v>
      </c>
      <c r="K1000" s="12">
        <v>4</v>
      </c>
      <c r="L1000" s="12">
        <v>11.9</v>
      </c>
    </row>
    <row r="1001" spans="1:12" ht="13.9" hidden="1" x14ac:dyDescent="0.25">
      <c r="A1001" s="12">
        <v>7280</v>
      </c>
      <c r="B1001" s="12">
        <v>1044480</v>
      </c>
      <c r="C1001" s="12" t="s">
        <v>13</v>
      </c>
      <c r="D1001" s="12" t="s">
        <v>14</v>
      </c>
      <c r="E1001" s="14">
        <v>45074</v>
      </c>
      <c r="F1001" s="12" t="s">
        <v>19</v>
      </c>
      <c r="G1001" s="12" t="s">
        <v>55</v>
      </c>
      <c r="H1001" s="12" t="s">
        <v>18</v>
      </c>
      <c r="I1001" s="12">
        <v>235</v>
      </c>
      <c r="J1001" s="12">
        <v>199.64699999999999</v>
      </c>
      <c r="K1001" s="12">
        <v>5</v>
      </c>
    </row>
    <row r="1002" spans="1:12" ht="13.9" hidden="1" x14ac:dyDescent="0.25">
      <c r="A1002" s="12">
        <v>7281</v>
      </c>
      <c r="B1002" s="12">
        <v>1044481</v>
      </c>
      <c r="C1002" s="12" t="s">
        <v>13</v>
      </c>
      <c r="D1002" s="12" t="s">
        <v>14</v>
      </c>
      <c r="E1002" s="14">
        <v>45075</v>
      </c>
      <c r="F1002" s="12" t="s">
        <v>19</v>
      </c>
      <c r="G1002" s="12" t="s">
        <v>55</v>
      </c>
      <c r="H1002" s="12" t="s">
        <v>18</v>
      </c>
      <c r="I1002" s="12">
        <v>235</v>
      </c>
      <c r="J1002" s="12">
        <v>198.40299999999999</v>
      </c>
      <c r="K1002" s="12">
        <v>4.5</v>
      </c>
    </row>
    <row r="1003" spans="1:12" ht="13.9" hidden="1" x14ac:dyDescent="0.25">
      <c r="A1003" s="12">
        <v>7282</v>
      </c>
      <c r="B1003" s="12">
        <v>1044794</v>
      </c>
      <c r="C1003" s="12" t="s">
        <v>13</v>
      </c>
      <c r="D1003" s="12" t="s">
        <v>14</v>
      </c>
      <c r="E1003" s="14">
        <v>45076</v>
      </c>
      <c r="F1003" s="12" t="s">
        <v>19</v>
      </c>
      <c r="G1003" s="12" t="s">
        <v>55</v>
      </c>
      <c r="H1003" s="12" t="s">
        <v>18</v>
      </c>
      <c r="I1003" s="12">
        <v>234.999</v>
      </c>
      <c r="J1003" s="12">
        <v>196.517</v>
      </c>
      <c r="K1003" s="12">
        <v>5</v>
      </c>
    </row>
    <row r="1004" spans="1:12" x14ac:dyDescent="0.25">
      <c r="A1004" s="12">
        <v>7283</v>
      </c>
      <c r="B1004" s="12">
        <v>1044868</v>
      </c>
      <c r="C1004" s="12" t="s">
        <v>13</v>
      </c>
      <c r="D1004" s="12" t="s">
        <v>14</v>
      </c>
      <c r="E1004" s="14">
        <v>45077</v>
      </c>
      <c r="F1004" s="12" t="s">
        <v>20</v>
      </c>
      <c r="G1004" s="12" t="s">
        <v>80</v>
      </c>
      <c r="H1004" s="12" t="s">
        <v>17</v>
      </c>
      <c r="I1004" s="12">
        <v>230.00899999999999</v>
      </c>
      <c r="J1004" s="12">
        <v>199.952</v>
      </c>
      <c r="K1004" s="12">
        <v>5.3</v>
      </c>
      <c r="L1004" s="12">
        <v>10.3</v>
      </c>
    </row>
    <row r="1005" spans="1:12" ht="13.9" hidden="1" x14ac:dyDescent="0.25">
      <c r="A1005" s="12">
        <v>7284</v>
      </c>
      <c r="B1005" s="12">
        <v>1045037</v>
      </c>
      <c r="C1005" s="12" t="s">
        <v>13</v>
      </c>
      <c r="D1005" s="12" t="s">
        <v>14</v>
      </c>
      <c r="E1005" s="14">
        <v>45078</v>
      </c>
      <c r="F1005" s="12" t="s">
        <v>17</v>
      </c>
      <c r="G1005" s="12" t="s">
        <v>19</v>
      </c>
      <c r="H1005" s="12" t="s">
        <v>55</v>
      </c>
      <c r="I1005" s="12">
        <v>230</v>
      </c>
      <c r="J1005" s="12">
        <v>196.65199999999999</v>
      </c>
      <c r="K1005" s="12">
        <v>5</v>
      </c>
    </row>
    <row r="1006" spans="1:12" ht="13.9" hidden="1" x14ac:dyDescent="0.25">
      <c r="A1006" s="12">
        <v>7285</v>
      </c>
      <c r="B1006" s="12">
        <v>1045149</v>
      </c>
      <c r="C1006" s="12" t="s">
        <v>13</v>
      </c>
      <c r="D1006" s="12" t="s">
        <v>14</v>
      </c>
      <c r="E1006" s="14">
        <v>45079</v>
      </c>
      <c r="F1006" s="12" t="s">
        <v>17</v>
      </c>
      <c r="G1006" s="12" t="s">
        <v>19</v>
      </c>
      <c r="H1006" s="12" t="s">
        <v>55</v>
      </c>
      <c r="I1006" s="12">
        <v>229.999</v>
      </c>
      <c r="J1006" s="12">
        <v>195.434</v>
      </c>
      <c r="K1006" s="12">
        <v>4.4000000000000004</v>
      </c>
    </row>
    <row r="1007" spans="1:12" ht="13.9" hidden="1" x14ac:dyDescent="0.25">
      <c r="A1007" s="12">
        <v>7286</v>
      </c>
      <c r="B1007" s="12">
        <v>1045251</v>
      </c>
      <c r="C1007" s="12" t="s">
        <v>13</v>
      </c>
      <c r="D1007" s="12" t="s">
        <v>14</v>
      </c>
      <c r="E1007" s="14">
        <v>45080</v>
      </c>
      <c r="F1007" s="12" t="s">
        <v>17</v>
      </c>
      <c r="G1007" s="12" t="s">
        <v>19</v>
      </c>
      <c r="H1007" s="12" t="s">
        <v>55</v>
      </c>
      <c r="I1007" s="12">
        <v>230.00800000000001</v>
      </c>
      <c r="J1007" s="12">
        <v>204.15600000000001</v>
      </c>
      <c r="K1007" s="12">
        <v>4.2</v>
      </c>
    </row>
    <row r="1008" spans="1:12" ht="13.9" hidden="1" x14ac:dyDescent="0.25">
      <c r="A1008" s="12">
        <v>7287</v>
      </c>
      <c r="B1008" s="12">
        <v>1045377</v>
      </c>
      <c r="C1008" s="12" t="s">
        <v>13</v>
      </c>
      <c r="D1008" s="12" t="s">
        <v>14</v>
      </c>
      <c r="E1008" s="14">
        <v>45081</v>
      </c>
      <c r="F1008" s="12" t="s">
        <v>17</v>
      </c>
      <c r="G1008" s="12" t="s">
        <v>19</v>
      </c>
      <c r="H1008" s="12" t="s">
        <v>55</v>
      </c>
      <c r="I1008" s="12">
        <v>230.00800000000001</v>
      </c>
      <c r="J1008" s="12">
        <v>187.363</v>
      </c>
      <c r="K1008" s="12">
        <v>3.5</v>
      </c>
    </row>
    <row r="1009" spans="1:12" x14ac:dyDescent="0.25">
      <c r="A1009" s="12">
        <v>7288</v>
      </c>
      <c r="B1009" s="12">
        <v>1045488</v>
      </c>
      <c r="C1009" s="12" t="s">
        <v>13</v>
      </c>
      <c r="D1009" s="12" t="s">
        <v>14</v>
      </c>
      <c r="E1009" s="14">
        <v>45082</v>
      </c>
      <c r="F1009" s="12" t="s">
        <v>17</v>
      </c>
      <c r="G1009" s="12" t="s">
        <v>19</v>
      </c>
      <c r="H1009" s="12" t="s">
        <v>55</v>
      </c>
      <c r="I1009" s="12">
        <v>230.00800000000001</v>
      </c>
      <c r="J1009" s="12">
        <v>196.27199999999999</v>
      </c>
      <c r="K1009" s="12">
        <v>4.0999999999999996</v>
      </c>
      <c r="L1009" s="12">
        <v>11.9</v>
      </c>
    </row>
    <row r="1010" spans="1:12" x14ac:dyDescent="0.25">
      <c r="A1010" s="12">
        <v>7289</v>
      </c>
      <c r="B1010" s="12">
        <v>1045501</v>
      </c>
      <c r="C1010" s="12" t="s">
        <v>13</v>
      </c>
      <c r="D1010" s="12" t="s">
        <v>14</v>
      </c>
      <c r="E1010" s="14">
        <v>45083</v>
      </c>
      <c r="F1010" s="12" t="s">
        <v>18</v>
      </c>
      <c r="G1010" s="12" t="s">
        <v>20</v>
      </c>
      <c r="H1010" s="12" t="s">
        <v>48</v>
      </c>
      <c r="I1010" s="12">
        <v>230.036</v>
      </c>
      <c r="J1010" s="12">
        <v>196.73</v>
      </c>
      <c r="K1010" s="12">
        <v>3.9</v>
      </c>
      <c r="L1010" s="12">
        <v>12</v>
      </c>
    </row>
    <row r="1011" spans="1:12" x14ac:dyDescent="0.25">
      <c r="A1011" s="12">
        <v>7290</v>
      </c>
      <c r="B1011" s="12">
        <v>1045566</v>
      </c>
      <c r="C1011" s="12" t="s">
        <v>13</v>
      </c>
      <c r="D1011" s="12" t="s">
        <v>14</v>
      </c>
      <c r="E1011" s="14">
        <v>45084</v>
      </c>
      <c r="F1011" s="12" t="s">
        <v>52</v>
      </c>
      <c r="G1011" s="12" t="s">
        <v>20</v>
      </c>
      <c r="H1011" s="12" t="s">
        <v>53</v>
      </c>
      <c r="I1011" s="12">
        <v>229.95099999999999</v>
      </c>
      <c r="J1011" s="12">
        <v>192.68100000000001</v>
      </c>
      <c r="K1011" s="12">
        <v>4.3</v>
      </c>
      <c r="L1011" s="12">
        <v>12</v>
      </c>
    </row>
    <row r="1012" spans="1:12" ht="13.9" hidden="1" x14ac:dyDescent="0.25">
      <c r="A1012" s="12">
        <v>7291</v>
      </c>
      <c r="B1012" s="12">
        <v>1045743</v>
      </c>
      <c r="C1012" s="12" t="s">
        <v>13</v>
      </c>
      <c r="D1012" s="12" t="s">
        <v>14</v>
      </c>
      <c r="E1012" s="14">
        <v>45085</v>
      </c>
      <c r="F1012" s="12" t="s">
        <v>51</v>
      </c>
      <c r="G1012" s="12" t="s">
        <v>19</v>
      </c>
      <c r="H1012" s="12" t="s">
        <v>54</v>
      </c>
      <c r="I1012" s="12">
        <v>230.01</v>
      </c>
      <c r="J1012" s="12">
        <v>196.566</v>
      </c>
      <c r="K1012" s="12">
        <v>4.2</v>
      </c>
    </row>
    <row r="1013" spans="1:12" ht="13.9" hidden="1" x14ac:dyDescent="0.25">
      <c r="A1013" s="12">
        <v>7292</v>
      </c>
      <c r="B1013" s="12">
        <v>1045850</v>
      </c>
      <c r="C1013" s="12" t="s">
        <v>13</v>
      </c>
      <c r="D1013" s="12" t="s">
        <v>14</v>
      </c>
      <c r="E1013" s="14">
        <v>45086</v>
      </c>
      <c r="F1013" s="12" t="s">
        <v>51</v>
      </c>
      <c r="G1013" s="12" t="s">
        <v>19</v>
      </c>
      <c r="H1013" s="12" t="s">
        <v>54</v>
      </c>
      <c r="I1013" s="12">
        <v>230.011</v>
      </c>
      <c r="J1013" s="12">
        <v>197.87299999999999</v>
      </c>
      <c r="K1013" s="12">
        <v>4</v>
      </c>
    </row>
    <row r="1014" spans="1:12" x14ac:dyDescent="0.25">
      <c r="A1014" s="12">
        <v>7293</v>
      </c>
      <c r="B1014" s="12">
        <v>1046029</v>
      </c>
      <c r="C1014" s="12" t="s">
        <v>13</v>
      </c>
      <c r="D1014" s="12" t="s">
        <v>14</v>
      </c>
      <c r="E1014" s="14">
        <v>45087</v>
      </c>
      <c r="F1014" s="12" t="s">
        <v>18</v>
      </c>
      <c r="G1014" s="12" t="s">
        <v>19</v>
      </c>
      <c r="H1014" s="12" t="s">
        <v>55</v>
      </c>
      <c r="I1014" s="12">
        <v>230.01</v>
      </c>
      <c r="J1014" s="12">
        <v>191.73500000000001</v>
      </c>
      <c r="K1014" s="12">
        <v>4.0999999999999996</v>
      </c>
      <c r="L1014" s="12">
        <v>12.6</v>
      </c>
    </row>
    <row r="1015" spans="1:12" ht="13.9" hidden="1" x14ac:dyDescent="0.25">
      <c r="A1015" s="12">
        <v>7294</v>
      </c>
      <c r="B1015" s="12">
        <v>1046165</v>
      </c>
      <c r="C1015" s="12" t="s">
        <v>13</v>
      </c>
      <c r="D1015" s="12" t="s">
        <v>14</v>
      </c>
      <c r="E1015" s="14">
        <v>45088</v>
      </c>
      <c r="F1015" s="12" t="s">
        <v>18</v>
      </c>
      <c r="G1015" s="12" t="s">
        <v>19</v>
      </c>
      <c r="H1015" s="12" t="s">
        <v>55</v>
      </c>
      <c r="I1015" s="12">
        <v>230.00399999999999</v>
      </c>
      <c r="J1015" s="12">
        <v>196.33099999999999</v>
      </c>
      <c r="K1015" s="12">
        <v>4</v>
      </c>
    </row>
    <row r="1016" spans="1:12" ht="13.9" hidden="1" x14ac:dyDescent="0.25">
      <c r="A1016" s="12">
        <v>7295</v>
      </c>
      <c r="B1016" s="12">
        <v>1046169</v>
      </c>
      <c r="C1016" s="12" t="s">
        <v>13</v>
      </c>
      <c r="D1016" s="12" t="s">
        <v>14</v>
      </c>
      <c r="E1016" s="14">
        <v>45089</v>
      </c>
      <c r="F1016" s="12" t="s">
        <v>18</v>
      </c>
      <c r="G1016" s="12" t="s">
        <v>19</v>
      </c>
      <c r="H1016" s="12" t="s">
        <v>55</v>
      </c>
      <c r="I1016" s="12">
        <v>230.005</v>
      </c>
      <c r="J1016" s="12">
        <v>196.67599999999999</v>
      </c>
      <c r="K1016" s="12">
        <v>5.2</v>
      </c>
    </row>
    <row r="1017" spans="1:12" ht="13.9" hidden="1" x14ac:dyDescent="0.25">
      <c r="A1017" s="12">
        <v>7296</v>
      </c>
      <c r="B1017" s="12">
        <v>1046171</v>
      </c>
      <c r="C1017" s="12" t="s">
        <v>13</v>
      </c>
      <c r="D1017" s="12" t="s">
        <v>14</v>
      </c>
      <c r="E1017" s="14">
        <v>45090</v>
      </c>
      <c r="F1017" s="12" t="s">
        <v>18</v>
      </c>
      <c r="G1017" s="12" t="s">
        <v>19</v>
      </c>
      <c r="H1017" s="12" t="s">
        <v>55</v>
      </c>
      <c r="I1017" s="12">
        <v>230.00399999999999</v>
      </c>
      <c r="J1017" s="12">
        <v>190.97399999999999</v>
      </c>
      <c r="K1017" s="12">
        <v>6.2</v>
      </c>
    </row>
    <row r="1018" spans="1:12" ht="13.9" hidden="1" x14ac:dyDescent="0.25">
      <c r="A1018" s="12">
        <v>7297</v>
      </c>
      <c r="B1018" s="12">
        <v>1046174</v>
      </c>
      <c r="C1018" s="12" t="s">
        <v>13</v>
      </c>
      <c r="D1018" s="12" t="s">
        <v>14</v>
      </c>
      <c r="E1018" s="14">
        <v>45091</v>
      </c>
      <c r="F1018" s="12" t="s">
        <v>18</v>
      </c>
      <c r="G1018" s="12" t="s">
        <v>19</v>
      </c>
      <c r="H1018" s="12" t="s">
        <v>55</v>
      </c>
      <c r="I1018" s="12">
        <v>230.00399999999999</v>
      </c>
      <c r="J1018" s="12">
        <v>197.624</v>
      </c>
      <c r="K1018" s="12">
        <v>6.3</v>
      </c>
    </row>
    <row r="1019" spans="1:12" ht="13.9" hidden="1" x14ac:dyDescent="0.25">
      <c r="A1019" s="12">
        <v>7298</v>
      </c>
      <c r="B1019" s="12">
        <v>1046416</v>
      </c>
      <c r="C1019" s="12" t="s">
        <v>13</v>
      </c>
      <c r="D1019" s="12" t="s">
        <v>14</v>
      </c>
      <c r="E1019" s="14">
        <v>45092</v>
      </c>
      <c r="F1019" s="12" t="s">
        <v>18</v>
      </c>
      <c r="G1019" s="12" t="s">
        <v>20</v>
      </c>
      <c r="H1019" s="12" t="s">
        <v>56</v>
      </c>
      <c r="I1019" s="12">
        <v>230.017</v>
      </c>
      <c r="J1019" s="12">
        <v>196.54599999999999</v>
      </c>
      <c r="K1019" s="12">
        <v>3.9</v>
      </c>
    </row>
    <row r="1020" spans="1:12" ht="13.9" hidden="1" x14ac:dyDescent="0.25">
      <c r="A1020" s="12">
        <v>7299</v>
      </c>
      <c r="B1020" s="12">
        <v>1046554</v>
      </c>
      <c r="C1020" s="12" t="s">
        <v>13</v>
      </c>
      <c r="D1020" s="12" t="s">
        <v>14</v>
      </c>
      <c r="E1020" s="14">
        <v>45093</v>
      </c>
      <c r="F1020" s="12" t="s">
        <v>18</v>
      </c>
      <c r="G1020" s="12" t="s">
        <v>20</v>
      </c>
      <c r="H1020" s="12" t="s">
        <v>56</v>
      </c>
      <c r="I1020" s="12">
        <v>230.017</v>
      </c>
      <c r="J1020" s="12">
        <v>193.14</v>
      </c>
      <c r="K1020" s="12">
        <v>4.8</v>
      </c>
    </row>
    <row r="1021" spans="1:12" x14ac:dyDescent="0.25">
      <c r="A1021" s="12">
        <v>7300</v>
      </c>
      <c r="B1021" s="12">
        <v>1046700</v>
      </c>
      <c r="C1021" s="12" t="s">
        <v>13</v>
      </c>
      <c r="D1021" s="12" t="s">
        <v>14</v>
      </c>
      <c r="E1021" s="14">
        <v>45094</v>
      </c>
      <c r="F1021" s="12" t="s">
        <v>18</v>
      </c>
      <c r="G1021" s="12" t="s">
        <v>19</v>
      </c>
      <c r="H1021" s="12" t="s">
        <v>55</v>
      </c>
      <c r="I1021" s="12">
        <v>230.006</v>
      </c>
      <c r="J1021" s="12">
        <v>193.54499999999999</v>
      </c>
      <c r="K1021" s="12">
        <v>3.9</v>
      </c>
      <c r="L1021" s="12">
        <v>12.3</v>
      </c>
    </row>
    <row r="1022" spans="1:12" ht="13.9" hidden="1" x14ac:dyDescent="0.25">
      <c r="A1022" s="12">
        <v>7301</v>
      </c>
      <c r="B1022" s="12">
        <v>1046824</v>
      </c>
      <c r="C1022" s="12" t="s">
        <v>13</v>
      </c>
      <c r="D1022" s="12" t="s">
        <v>14</v>
      </c>
      <c r="E1022" s="14">
        <v>45095</v>
      </c>
      <c r="F1022" s="12" t="s">
        <v>18</v>
      </c>
      <c r="G1022" s="12" t="s">
        <v>19</v>
      </c>
      <c r="H1022" s="12" t="s">
        <v>55</v>
      </c>
      <c r="I1022" s="12">
        <v>230.00399999999999</v>
      </c>
      <c r="J1022" s="12">
        <v>193.53200000000001</v>
      </c>
      <c r="K1022" s="12">
        <v>4</v>
      </c>
    </row>
    <row r="1023" spans="1:12" ht="13.9" hidden="1" x14ac:dyDescent="0.25">
      <c r="A1023" s="12">
        <v>7302</v>
      </c>
      <c r="B1023" s="12">
        <v>1046946</v>
      </c>
      <c r="C1023" s="12" t="s">
        <v>13</v>
      </c>
      <c r="D1023" s="12" t="s">
        <v>14</v>
      </c>
      <c r="E1023" s="14">
        <v>45096</v>
      </c>
      <c r="F1023" s="12" t="s">
        <v>18</v>
      </c>
      <c r="G1023" s="12" t="s">
        <v>19</v>
      </c>
      <c r="H1023" s="12" t="s">
        <v>55</v>
      </c>
      <c r="I1023" s="12">
        <v>230.00399999999999</v>
      </c>
      <c r="J1023" s="12">
        <v>195.23099999999999</v>
      </c>
      <c r="K1023" s="12">
        <v>4.7</v>
      </c>
    </row>
    <row r="1024" spans="1:12" ht="13.9" hidden="1" x14ac:dyDescent="0.25">
      <c r="A1024" s="12">
        <v>7303</v>
      </c>
      <c r="B1024" s="12">
        <v>1046948</v>
      </c>
      <c r="C1024" s="12" t="s">
        <v>13</v>
      </c>
      <c r="D1024" s="12" t="s">
        <v>14</v>
      </c>
      <c r="E1024" s="14">
        <v>45097</v>
      </c>
      <c r="F1024" s="12" t="s">
        <v>18</v>
      </c>
      <c r="G1024" s="12" t="s">
        <v>19</v>
      </c>
      <c r="H1024" s="12" t="s">
        <v>55</v>
      </c>
      <c r="I1024" s="12">
        <v>229.965</v>
      </c>
      <c r="J1024" s="12">
        <v>194.578</v>
      </c>
      <c r="K1024" s="12">
        <v>4.2</v>
      </c>
    </row>
    <row r="1025" spans="1:12" ht="13.9" hidden="1" x14ac:dyDescent="0.25">
      <c r="A1025" s="12">
        <v>7304</v>
      </c>
      <c r="B1025" s="12">
        <v>1046950</v>
      </c>
      <c r="C1025" s="12" t="s">
        <v>13</v>
      </c>
      <c r="D1025" s="12" t="s">
        <v>14</v>
      </c>
      <c r="E1025" s="14">
        <v>45098</v>
      </c>
      <c r="F1025" s="12" t="s">
        <v>18</v>
      </c>
      <c r="G1025" s="12" t="s">
        <v>19</v>
      </c>
      <c r="H1025" s="12" t="s">
        <v>55</v>
      </c>
      <c r="I1025" s="12">
        <v>229.965</v>
      </c>
      <c r="J1025" s="12">
        <v>194.76400000000001</v>
      </c>
      <c r="K1025" s="12">
        <v>4.7</v>
      </c>
    </row>
    <row r="1026" spans="1:12" x14ac:dyDescent="0.25">
      <c r="A1026" s="12">
        <v>7305</v>
      </c>
      <c r="B1026" s="12">
        <v>1047209</v>
      </c>
      <c r="C1026" s="12" t="s">
        <v>13</v>
      </c>
      <c r="D1026" s="12" t="s">
        <v>14</v>
      </c>
      <c r="E1026" s="14">
        <v>45099</v>
      </c>
      <c r="F1026" s="12" t="s">
        <v>38</v>
      </c>
      <c r="G1026" s="12" t="s">
        <v>19</v>
      </c>
      <c r="H1026" s="12" t="s">
        <v>55</v>
      </c>
      <c r="I1026" s="12">
        <v>229.99700000000001</v>
      </c>
      <c r="J1026" s="12">
        <v>191.88300000000001</v>
      </c>
      <c r="K1026" s="12">
        <v>5.0999999999999996</v>
      </c>
      <c r="L1026" s="12">
        <v>12.8</v>
      </c>
    </row>
    <row r="1027" spans="1:12" ht="13.9" hidden="1" x14ac:dyDescent="0.25">
      <c r="A1027" s="12">
        <v>7306</v>
      </c>
      <c r="B1027" s="12">
        <v>1047320</v>
      </c>
      <c r="C1027" s="12" t="s">
        <v>13</v>
      </c>
      <c r="D1027" s="12" t="s">
        <v>14</v>
      </c>
      <c r="E1027" s="14">
        <v>45100</v>
      </c>
      <c r="F1027" s="12" t="s">
        <v>38</v>
      </c>
      <c r="G1027" s="12" t="s">
        <v>19</v>
      </c>
      <c r="H1027" s="12" t="s">
        <v>55</v>
      </c>
      <c r="I1027" s="12">
        <v>229.98</v>
      </c>
      <c r="J1027" s="12">
        <v>196.95699999999999</v>
      </c>
      <c r="K1027" s="12">
        <v>5.2</v>
      </c>
    </row>
    <row r="1028" spans="1:12" ht="13.9" hidden="1" x14ac:dyDescent="0.25">
      <c r="A1028" s="12">
        <v>7307</v>
      </c>
      <c r="B1028" s="12">
        <v>1047487</v>
      </c>
      <c r="C1028" s="12" t="s">
        <v>13</v>
      </c>
      <c r="D1028" s="12" t="s">
        <v>14</v>
      </c>
      <c r="E1028" s="14">
        <v>45101</v>
      </c>
      <c r="F1028" s="12" t="s">
        <v>38</v>
      </c>
      <c r="G1028" s="12" t="s">
        <v>19</v>
      </c>
      <c r="H1028" s="12" t="s">
        <v>55</v>
      </c>
      <c r="I1028" s="12">
        <v>229.98099999999999</v>
      </c>
      <c r="J1028" s="12">
        <v>191.85599999999999</v>
      </c>
      <c r="K1028" s="12">
        <v>4.3</v>
      </c>
    </row>
    <row r="1029" spans="1:12" ht="13.9" hidden="1" x14ac:dyDescent="0.25">
      <c r="A1029" s="12">
        <v>7308</v>
      </c>
      <c r="B1029" s="12">
        <v>1047618</v>
      </c>
      <c r="C1029" s="12" t="s">
        <v>13</v>
      </c>
      <c r="D1029" s="12" t="s">
        <v>14</v>
      </c>
      <c r="E1029" s="14">
        <v>45102</v>
      </c>
      <c r="F1029" s="12" t="s">
        <v>38</v>
      </c>
      <c r="G1029" s="12" t="s">
        <v>19</v>
      </c>
      <c r="H1029" s="12" t="s">
        <v>55</v>
      </c>
      <c r="I1029" s="12">
        <v>229.96700000000001</v>
      </c>
      <c r="J1029" s="12">
        <v>194.785</v>
      </c>
      <c r="K1029" s="12">
        <v>4.8</v>
      </c>
    </row>
    <row r="1030" spans="1:12" ht="13.9" hidden="1" x14ac:dyDescent="0.25">
      <c r="A1030" s="12">
        <v>7309</v>
      </c>
      <c r="B1030" s="12">
        <v>1047630</v>
      </c>
      <c r="C1030" s="12" t="s">
        <v>13</v>
      </c>
      <c r="D1030" s="12" t="s">
        <v>14</v>
      </c>
      <c r="E1030" s="14">
        <v>45103</v>
      </c>
      <c r="F1030" s="12" t="s">
        <v>38</v>
      </c>
      <c r="G1030" s="12" t="s">
        <v>19</v>
      </c>
      <c r="H1030" s="12" t="s">
        <v>55</v>
      </c>
      <c r="I1030" s="12">
        <v>229.96799999999999</v>
      </c>
      <c r="J1030" s="12">
        <v>188.624</v>
      </c>
      <c r="K1030" s="12">
        <v>3.6</v>
      </c>
    </row>
    <row r="1031" spans="1:12" ht="13.9" hidden="1" x14ac:dyDescent="0.25">
      <c r="A1031" s="12">
        <v>7310</v>
      </c>
      <c r="B1031" s="22">
        <v>1047717</v>
      </c>
      <c r="C1031" s="12" t="s">
        <v>13</v>
      </c>
      <c r="D1031" s="12" t="s">
        <v>14</v>
      </c>
      <c r="E1031" s="14">
        <v>45104</v>
      </c>
      <c r="F1031" s="12" t="s">
        <v>18</v>
      </c>
      <c r="G1031" s="12" t="s">
        <v>20</v>
      </c>
      <c r="H1031" s="12" t="s">
        <v>79</v>
      </c>
      <c r="I1031" s="12">
        <v>230.001</v>
      </c>
      <c r="J1031" s="12">
        <v>199.12</v>
      </c>
    </row>
    <row r="1032" spans="1:12" ht="13.9" hidden="1" x14ac:dyDescent="0.25">
      <c r="A1032" s="12">
        <v>7311</v>
      </c>
      <c r="B1032" s="12">
        <v>1047721</v>
      </c>
      <c r="C1032" s="12" t="s">
        <v>13</v>
      </c>
      <c r="D1032" s="12" t="s">
        <v>14</v>
      </c>
      <c r="E1032" s="14">
        <v>45105</v>
      </c>
      <c r="F1032" s="12" t="s">
        <v>18</v>
      </c>
      <c r="G1032" s="12" t="s">
        <v>20</v>
      </c>
      <c r="H1032" s="12" t="s">
        <v>79</v>
      </c>
      <c r="I1032" s="12">
        <v>230</v>
      </c>
      <c r="J1032" s="12">
        <v>196.374</v>
      </c>
      <c r="K1032" s="12">
        <v>4</v>
      </c>
    </row>
    <row r="1033" spans="1:12" ht="13.9" hidden="1" x14ac:dyDescent="0.25">
      <c r="A1033" s="12">
        <v>7312</v>
      </c>
      <c r="B1033" s="12">
        <v>1047903</v>
      </c>
      <c r="C1033" s="12" t="s">
        <v>13</v>
      </c>
      <c r="D1033" s="12" t="s">
        <v>14</v>
      </c>
      <c r="E1033" s="14">
        <v>45106</v>
      </c>
      <c r="F1033" s="12" t="s">
        <v>18</v>
      </c>
      <c r="G1033" s="12" t="s">
        <v>20</v>
      </c>
      <c r="H1033" s="12" t="s">
        <v>48</v>
      </c>
      <c r="I1033" s="12">
        <v>230.005</v>
      </c>
      <c r="J1033" s="12">
        <v>196.07300000000001</v>
      </c>
      <c r="K1033" s="12">
        <v>4.4000000000000004</v>
      </c>
    </row>
    <row r="1034" spans="1:12" ht="13.9" hidden="1" x14ac:dyDescent="0.25">
      <c r="A1034" s="12">
        <v>7313</v>
      </c>
      <c r="B1034" s="12">
        <v>1048122</v>
      </c>
      <c r="C1034" s="12" t="s">
        <v>13</v>
      </c>
      <c r="D1034" s="12" t="s">
        <v>14</v>
      </c>
      <c r="E1034" s="14">
        <v>45107</v>
      </c>
      <c r="F1034" s="12" t="s">
        <v>18</v>
      </c>
      <c r="G1034" s="12" t="s">
        <v>20</v>
      </c>
      <c r="H1034" s="12" t="s">
        <v>48</v>
      </c>
      <c r="I1034" s="12">
        <v>230.00399999999999</v>
      </c>
      <c r="J1034" s="12">
        <v>191.19200000000001</v>
      </c>
      <c r="K1034" s="12">
        <v>4</v>
      </c>
    </row>
    <row r="1035" spans="1:12" x14ac:dyDescent="0.25">
      <c r="A1035" s="12">
        <v>7314</v>
      </c>
      <c r="B1035" s="12">
        <v>1048271</v>
      </c>
      <c r="C1035" s="12" t="s">
        <v>13</v>
      </c>
      <c r="D1035" s="12" t="s">
        <v>14</v>
      </c>
      <c r="E1035" s="14">
        <v>45108</v>
      </c>
      <c r="F1035" s="12" t="s">
        <v>18</v>
      </c>
      <c r="G1035" s="12" t="s">
        <v>19</v>
      </c>
      <c r="H1035" s="12" t="s">
        <v>55</v>
      </c>
      <c r="I1035" s="12">
        <v>230.00200000000001</v>
      </c>
      <c r="J1035" s="12">
        <v>189.958</v>
      </c>
      <c r="K1035" s="12">
        <v>3.9</v>
      </c>
      <c r="L1035" s="12">
        <v>12.4</v>
      </c>
    </row>
    <row r="1036" spans="1:12" ht="13.9" hidden="1" x14ac:dyDescent="0.25">
      <c r="A1036" s="12">
        <v>7315</v>
      </c>
      <c r="B1036" s="12">
        <v>1048303</v>
      </c>
      <c r="C1036" s="12" t="s">
        <v>13</v>
      </c>
      <c r="D1036" s="12" t="s">
        <v>14</v>
      </c>
      <c r="E1036" s="14">
        <v>45109</v>
      </c>
      <c r="F1036" s="12" t="s">
        <v>18</v>
      </c>
      <c r="G1036" s="12" t="s">
        <v>19</v>
      </c>
      <c r="H1036" s="12" t="s">
        <v>55</v>
      </c>
      <c r="I1036" s="12">
        <v>229.98400000000001</v>
      </c>
      <c r="J1036" s="12">
        <v>180.083</v>
      </c>
      <c r="K1036" s="12">
        <v>3.8</v>
      </c>
    </row>
    <row r="1037" spans="1:12" ht="13.9" hidden="1" x14ac:dyDescent="0.25">
      <c r="A1037" s="12">
        <v>7316</v>
      </c>
      <c r="B1037" s="12">
        <v>1048304</v>
      </c>
      <c r="C1037" s="12" t="s">
        <v>13</v>
      </c>
      <c r="D1037" s="12" t="s">
        <v>14</v>
      </c>
      <c r="E1037" s="14">
        <v>45110</v>
      </c>
      <c r="F1037" s="12" t="s">
        <v>18</v>
      </c>
      <c r="G1037" s="12" t="s">
        <v>19</v>
      </c>
      <c r="H1037" s="12" t="s">
        <v>55</v>
      </c>
      <c r="I1037" s="12">
        <v>229.98400000000001</v>
      </c>
      <c r="J1037" s="12">
        <v>202.714</v>
      </c>
      <c r="K1037" s="12">
        <v>5.3</v>
      </c>
    </row>
    <row r="1038" spans="1:12" ht="13.9" hidden="1" x14ac:dyDescent="0.25">
      <c r="A1038" s="12">
        <v>7317</v>
      </c>
      <c r="B1038" s="12">
        <v>1048308</v>
      </c>
      <c r="C1038" s="12" t="s">
        <v>13</v>
      </c>
      <c r="D1038" s="12" t="s">
        <v>14</v>
      </c>
      <c r="E1038" s="14">
        <v>45111</v>
      </c>
      <c r="F1038" s="12" t="s">
        <v>18</v>
      </c>
      <c r="G1038" s="12" t="s">
        <v>19</v>
      </c>
      <c r="H1038" s="12" t="s">
        <v>55</v>
      </c>
      <c r="I1038" s="12">
        <v>230.00700000000001</v>
      </c>
      <c r="J1038" s="12">
        <v>194.565</v>
      </c>
      <c r="K1038" s="12">
        <v>4.0999999999999996</v>
      </c>
    </row>
    <row r="1039" spans="1:12" ht="13.9" hidden="1" x14ac:dyDescent="0.25">
      <c r="A1039" s="12">
        <v>7318</v>
      </c>
      <c r="B1039" s="12">
        <v>1048552</v>
      </c>
      <c r="C1039" s="12" t="s">
        <v>13</v>
      </c>
      <c r="D1039" s="12" t="s">
        <v>14</v>
      </c>
      <c r="E1039" s="14">
        <v>45112</v>
      </c>
      <c r="F1039" s="12" t="s">
        <v>18</v>
      </c>
      <c r="G1039" s="12" t="s">
        <v>19</v>
      </c>
      <c r="H1039" s="12" t="s">
        <v>55</v>
      </c>
      <c r="I1039" s="12">
        <v>230.00700000000001</v>
      </c>
      <c r="J1039" s="12">
        <v>190.071</v>
      </c>
      <c r="K1039" s="12">
        <v>4.2</v>
      </c>
    </row>
    <row r="1040" spans="1:12" x14ac:dyDescent="0.25">
      <c r="A1040" s="12">
        <v>7319</v>
      </c>
      <c r="B1040" s="12">
        <v>1048787</v>
      </c>
      <c r="C1040" s="12" t="s">
        <v>13</v>
      </c>
      <c r="D1040" s="12" t="s">
        <v>14</v>
      </c>
      <c r="E1040" s="14">
        <v>45113</v>
      </c>
      <c r="F1040" s="12" t="s">
        <v>38</v>
      </c>
      <c r="G1040" s="12" t="s">
        <v>19</v>
      </c>
      <c r="H1040" s="12" t="s">
        <v>55</v>
      </c>
      <c r="I1040" s="12">
        <v>229.99799999999999</v>
      </c>
      <c r="J1040" s="12">
        <v>195.17099999999999</v>
      </c>
      <c r="K1040" s="12">
        <v>3.9</v>
      </c>
      <c r="L1040" s="12">
        <v>13.1</v>
      </c>
    </row>
    <row r="1041" spans="1:12" ht="13.9" hidden="1" x14ac:dyDescent="0.25">
      <c r="A1041" s="12">
        <v>7320</v>
      </c>
      <c r="B1041" s="12">
        <v>1048946</v>
      </c>
      <c r="C1041" s="12" t="s">
        <v>13</v>
      </c>
      <c r="D1041" s="12" t="s">
        <v>14</v>
      </c>
      <c r="E1041" s="14">
        <v>45114</v>
      </c>
      <c r="F1041" s="12" t="s">
        <v>38</v>
      </c>
      <c r="G1041" s="12" t="s">
        <v>19</v>
      </c>
      <c r="H1041" s="12" t="s">
        <v>55</v>
      </c>
      <c r="I1041" s="12">
        <v>230.00800000000001</v>
      </c>
      <c r="J1041" s="12">
        <v>190.99299999999999</v>
      </c>
      <c r="K1041" s="12">
        <v>4.5</v>
      </c>
    </row>
    <row r="1042" spans="1:12" ht="13.9" hidden="1" x14ac:dyDescent="0.25">
      <c r="A1042" s="12">
        <v>7321</v>
      </c>
      <c r="B1042" s="12">
        <v>1049034</v>
      </c>
      <c r="C1042" s="12" t="s">
        <v>13</v>
      </c>
      <c r="D1042" s="12" t="s">
        <v>14</v>
      </c>
      <c r="E1042" s="14">
        <v>45115</v>
      </c>
      <c r="F1042" s="12" t="s">
        <v>38</v>
      </c>
      <c r="G1042" s="12" t="s">
        <v>19</v>
      </c>
      <c r="H1042" s="12" t="s">
        <v>55</v>
      </c>
      <c r="I1042" s="12">
        <v>230.00800000000001</v>
      </c>
      <c r="J1042" s="12">
        <v>192.13800000000001</v>
      </c>
      <c r="K1042" s="12">
        <v>3.8</v>
      </c>
    </row>
    <row r="1043" spans="1:12" ht="13.9" hidden="1" x14ac:dyDescent="0.25">
      <c r="A1043" s="12">
        <v>7322</v>
      </c>
      <c r="B1043" s="12">
        <v>1049263</v>
      </c>
      <c r="C1043" s="12" t="s">
        <v>13</v>
      </c>
      <c r="D1043" s="12" t="s">
        <v>14</v>
      </c>
      <c r="E1043" s="14">
        <v>45116</v>
      </c>
      <c r="F1043" s="12" t="s">
        <v>38</v>
      </c>
      <c r="G1043" s="12" t="s">
        <v>19</v>
      </c>
      <c r="H1043" s="12" t="s">
        <v>55</v>
      </c>
      <c r="I1043" s="12">
        <v>230.00899999999999</v>
      </c>
      <c r="J1043" s="12">
        <v>193.303</v>
      </c>
      <c r="K1043" s="12">
        <v>4.5</v>
      </c>
    </row>
    <row r="1044" spans="1:12" ht="13.9" hidden="1" x14ac:dyDescent="0.25">
      <c r="A1044" s="12">
        <v>7323</v>
      </c>
      <c r="B1044" s="12">
        <v>1049380</v>
      </c>
      <c r="C1044" s="12" t="s">
        <v>13</v>
      </c>
      <c r="D1044" s="12" t="s">
        <v>14</v>
      </c>
      <c r="E1044" s="14">
        <v>45117</v>
      </c>
      <c r="F1044" s="12" t="s">
        <v>38</v>
      </c>
      <c r="G1044" s="12" t="s">
        <v>19</v>
      </c>
      <c r="H1044" s="12" t="s">
        <v>55</v>
      </c>
      <c r="I1044" s="12">
        <v>230.00800000000001</v>
      </c>
      <c r="J1044" s="12">
        <v>191.30799999999999</v>
      </c>
      <c r="K1044" s="12">
        <v>3.7</v>
      </c>
    </row>
    <row r="1045" spans="1:12" ht="13.9" hidden="1" x14ac:dyDescent="0.25">
      <c r="A1045" s="12">
        <v>7324</v>
      </c>
      <c r="B1045" s="12">
        <v>1049382</v>
      </c>
      <c r="C1045" s="12" t="s">
        <v>13</v>
      </c>
      <c r="D1045" s="12" t="s">
        <v>14</v>
      </c>
      <c r="E1045" s="14">
        <v>45118</v>
      </c>
      <c r="F1045" s="12" t="s">
        <v>18</v>
      </c>
      <c r="G1045" s="12" t="s">
        <v>20</v>
      </c>
      <c r="H1045" s="12" t="s">
        <v>79</v>
      </c>
      <c r="I1045" s="12">
        <v>230.00700000000001</v>
      </c>
      <c r="J1045" s="12">
        <v>141.16800000000001</v>
      </c>
      <c r="K1045" s="12">
        <v>5.2</v>
      </c>
    </row>
    <row r="1046" spans="1:12" ht="13.9" hidden="1" x14ac:dyDescent="0.25">
      <c r="A1046" s="12">
        <v>7325</v>
      </c>
      <c r="B1046" s="12">
        <v>1049413</v>
      </c>
      <c r="C1046" s="12" t="s">
        <v>13</v>
      </c>
      <c r="D1046" s="12" t="s">
        <v>14</v>
      </c>
      <c r="E1046" s="14">
        <v>45119</v>
      </c>
      <c r="F1046" s="12" t="s">
        <v>18</v>
      </c>
      <c r="G1046" s="12" t="s">
        <v>20</v>
      </c>
      <c r="H1046" s="12" t="s">
        <v>79</v>
      </c>
      <c r="I1046" s="12">
        <v>230.00700000000001</v>
      </c>
      <c r="J1046" s="12">
        <v>203.006</v>
      </c>
      <c r="K1046" s="12">
        <v>4.2</v>
      </c>
    </row>
    <row r="1047" spans="1:12" x14ac:dyDescent="0.25">
      <c r="A1047" s="12">
        <v>7326</v>
      </c>
      <c r="B1047" s="12">
        <v>1049609</v>
      </c>
      <c r="C1047" s="12" t="s">
        <v>13</v>
      </c>
      <c r="D1047" s="12" t="s">
        <v>14</v>
      </c>
      <c r="E1047" s="14">
        <v>45120</v>
      </c>
      <c r="F1047" s="12" t="s">
        <v>38</v>
      </c>
      <c r="G1047" s="12" t="s">
        <v>19</v>
      </c>
      <c r="H1047" s="12" t="s">
        <v>55</v>
      </c>
      <c r="I1047" s="12">
        <v>229.999</v>
      </c>
      <c r="J1047" s="12">
        <v>189.60599999999999</v>
      </c>
      <c r="K1047" s="12">
        <v>4</v>
      </c>
      <c r="L1047" s="12">
        <v>12.2</v>
      </c>
    </row>
    <row r="1048" spans="1:12" ht="13.9" hidden="1" x14ac:dyDescent="0.25">
      <c r="A1048" s="12">
        <v>7327</v>
      </c>
      <c r="B1048" s="12">
        <v>1049720</v>
      </c>
      <c r="C1048" s="12" t="s">
        <v>13</v>
      </c>
      <c r="D1048" s="12" t="s">
        <v>14</v>
      </c>
      <c r="E1048" s="14">
        <v>45121</v>
      </c>
      <c r="F1048" s="12" t="s">
        <v>38</v>
      </c>
      <c r="G1048" s="12" t="s">
        <v>19</v>
      </c>
      <c r="H1048" s="12" t="s">
        <v>55</v>
      </c>
      <c r="I1048" s="12">
        <v>229.99</v>
      </c>
      <c r="J1048" s="12">
        <v>192.489</v>
      </c>
      <c r="K1048" s="12">
        <v>3.8</v>
      </c>
    </row>
    <row r="1049" spans="1:12" ht="13.9" hidden="1" x14ac:dyDescent="0.25">
      <c r="A1049" s="12">
        <v>7328</v>
      </c>
      <c r="B1049" s="12">
        <v>1049847</v>
      </c>
      <c r="C1049" s="12" t="s">
        <v>13</v>
      </c>
      <c r="D1049" s="12" t="s">
        <v>14</v>
      </c>
      <c r="E1049" s="14">
        <v>45122</v>
      </c>
      <c r="F1049" s="12" t="s">
        <v>38</v>
      </c>
      <c r="G1049" s="12" t="s">
        <v>19</v>
      </c>
      <c r="H1049" s="12" t="s">
        <v>55</v>
      </c>
      <c r="I1049" s="12">
        <v>229.99</v>
      </c>
      <c r="J1049" s="12">
        <v>187.114</v>
      </c>
      <c r="K1049" s="12">
        <v>4.5999999999999996</v>
      </c>
    </row>
    <row r="1050" spans="1:12" ht="13.9" hidden="1" x14ac:dyDescent="0.25">
      <c r="A1050" s="12">
        <v>7329</v>
      </c>
      <c r="B1050" s="12">
        <v>1049907</v>
      </c>
      <c r="C1050" s="12" t="s">
        <v>13</v>
      </c>
      <c r="D1050" s="12" t="s">
        <v>14</v>
      </c>
      <c r="E1050" s="14">
        <v>45123</v>
      </c>
      <c r="F1050" s="12" t="s">
        <v>38</v>
      </c>
      <c r="G1050" s="12" t="s">
        <v>19</v>
      </c>
      <c r="H1050" s="12" t="s">
        <v>55</v>
      </c>
      <c r="I1050" s="12">
        <v>229.99100000000001</v>
      </c>
      <c r="J1050" s="12">
        <v>189.28399999999999</v>
      </c>
      <c r="K1050" s="12">
        <v>3.7</v>
      </c>
    </row>
    <row r="1051" spans="1:12" ht="13.9" hidden="1" x14ac:dyDescent="0.25">
      <c r="A1051" s="12">
        <v>7330</v>
      </c>
      <c r="B1051" s="12">
        <v>1049910</v>
      </c>
      <c r="C1051" s="12" t="s">
        <v>13</v>
      </c>
      <c r="D1051" s="12" t="s">
        <v>14</v>
      </c>
      <c r="E1051" s="14">
        <v>45124</v>
      </c>
      <c r="F1051" s="12" t="s">
        <v>38</v>
      </c>
      <c r="G1051" s="12" t="s">
        <v>19</v>
      </c>
      <c r="H1051" s="12" t="s">
        <v>55</v>
      </c>
      <c r="I1051" s="12">
        <v>229.99100000000001</v>
      </c>
      <c r="J1051" s="12">
        <v>193.53200000000001</v>
      </c>
      <c r="K1051" s="12">
        <v>4.4000000000000004</v>
      </c>
    </row>
    <row r="1052" spans="1:12" ht="13.9" hidden="1" x14ac:dyDescent="0.25">
      <c r="A1052" s="12">
        <v>7331</v>
      </c>
      <c r="B1052" s="12">
        <v>1050027</v>
      </c>
      <c r="C1052" s="12" t="s">
        <v>13</v>
      </c>
      <c r="D1052" s="12" t="s">
        <v>14</v>
      </c>
      <c r="E1052" s="14">
        <v>45125</v>
      </c>
      <c r="F1052" s="12" t="s">
        <v>18</v>
      </c>
      <c r="G1052" s="12" t="s">
        <v>20</v>
      </c>
      <c r="H1052" s="12" t="s">
        <v>48</v>
      </c>
      <c r="I1052" s="12">
        <v>230.00700000000001</v>
      </c>
      <c r="J1052" s="12">
        <v>193.74</v>
      </c>
      <c r="K1052" s="12">
        <v>4.2</v>
      </c>
    </row>
    <row r="1053" spans="1:12" ht="13.9" hidden="1" x14ac:dyDescent="0.25">
      <c r="A1053" s="12">
        <v>7332</v>
      </c>
      <c r="B1053" s="12">
        <v>1050028</v>
      </c>
      <c r="C1053" s="12" t="s">
        <v>13</v>
      </c>
      <c r="D1053" s="12" t="s">
        <v>14</v>
      </c>
      <c r="E1053" s="14">
        <v>45126</v>
      </c>
      <c r="F1053" s="12" t="s">
        <v>18</v>
      </c>
      <c r="G1053" s="12" t="s">
        <v>20</v>
      </c>
      <c r="H1053" s="12" t="s">
        <v>48</v>
      </c>
      <c r="I1053" s="12">
        <v>230.006</v>
      </c>
      <c r="J1053" s="12">
        <v>190.32300000000001</v>
      </c>
      <c r="K1053" s="12">
        <v>4.4000000000000004</v>
      </c>
    </row>
    <row r="1054" spans="1:12" x14ac:dyDescent="0.25">
      <c r="A1054" s="12">
        <v>7333</v>
      </c>
      <c r="B1054" s="12">
        <v>1050246</v>
      </c>
      <c r="C1054" s="12" t="s">
        <v>13</v>
      </c>
      <c r="D1054" s="12" t="s">
        <v>14</v>
      </c>
      <c r="E1054" s="14">
        <v>45127</v>
      </c>
      <c r="F1054" s="12" t="s">
        <v>18</v>
      </c>
      <c r="G1054" s="12" t="s">
        <v>19</v>
      </c>
      <c r="H1054" s="12" t="s">
        <v>55</v>
      </c>
      <c r="I1054" s="12">
        <v>230.01300000000001</v>
      </c>
      <c r="J1054" s="12">
        <v>193.31899999999999</v>
      </c>
      <c r="K1054" s="12">
        <v>3.9</v>
      </c>
      <c r="L1054" s="12">
        <v>12</v>
      </c>
    </row>
    <row r="1055" spans="1:12" ht="13.9" hidden="1" x14ac:dyDescent="0.25">
      <c r="A1055" s="12">
        <v>7334</v>
      </c>
      <c r="B1055" s="12">
        <v>1050420</v>
      </c>
      <c r="C1055" s="12" t="s">
        <v>13</v>
      </c>
      <c r="D1055" s="12" t="s">
        <v>14</v>
      </c>
      <c r="E1055" s="14">
        <v>45128</v>
      </c>
      <c r="F1055" s="12" t="s">
        <v>18</v>
      </c>
      <c r="G1055" s="12" t="s">
        <v>19</v>
      </c>
      <c r="H1055" s="12" t="s">
        <v>55</v>
      </c>
      <c r="I1055" s="12">
        <v>230.00700000000001</v>
      </c>
      <c r="J1055" s="12">
        <v>190.50299999999999</v>
      </c>
      <c r="K1055" s="12">
        <v>3.7</v>
      </c>
    </row>
    <row r="1056" spans="1:12" ht="13.9" hidden="1" x14ac:dyDescent="0.25">
      <c r="A1056" s="12">
        <v>7335</v>
      </c>
      <c r="B1056" s="12">
        <v>1050515</v>
      </c>
      <c r="C1056" s="12" t="s">
        <v>13</v>
      </c>
      <c r="D1056" s="12" t="s">
        <v>14</v>
      </c>
      <c r="E1056" s="14">
        <v>45129</v>
      </c>
      <c r="F1056" s="12" t="s">
        <v>18</v>
      </c>
      <c r="G1056" s="12" t="s">
        <v>19</v>
      </c>
      <c r="H1056" s="12" t="s">
        <v>55</v>
      </c>
      <c r="I1056" s="12">
        <v>230.00700000000001</v>
      </c>
      <c r="J1056" s="12">
        <v>192.88300000000001</v>
      </c>
      <c r="K1056" s="12">
        <v>3.7</v>
      </c>
    </row>
    <row r="1057" spans="1:12" ht="13.9" hidden="1" x14ac:dyDescent="0.25">
      <c r="A1057" s="12">
        <v>7336</v>
      </c>
      <c r="B1057" s="12">
        <v>1050636</v>
      </c>
      <c r="C1057" s="12" t="s">
        <v>13</v>
      </c>
      <c r="D1057" s="12" t="s">
        <v>14</v>
      </c>
      <c r="E1057" s="14">
        <v>45130</v>
      </c>
      <c r="F1057" s="12" t="s">
        <v>18</v>
      </c>
      <c r="G1057" s="12" t="s">
        <v>19</v>
      </c>
      <c r="H1057" s="12" t="s">
        <v>55</v>
      </c>
      <c r="I1057" s="12">
        <v>230.005</v>
      </c>
      <c r="J1057" s="12">
        <v>191.40799999999999</v>
      </c>
      <c r="K1057" s="12">
        <v>4.4000000000000004</v>
      </c>
    </row>
    <row r="1058" spans="1:12" ht="13.9" hidden="1" x14ac:dyDescent="0.25">
      <c r="A1058" s="12">
        <v>7337</v>
      </c>
      <c r="B1058" s="12">
        <v>1050694</v>
      </c>
      <c r="C1058" s="12" t="s">
        <v>13</v>
      </c>
      <c r="D1058" s="12" t="s">
        <v>14</v>
      </c>
      <c r="E1058" s="14">
        <v>45131</v>
      </c>
      <c r="F1058" s="12" t="s">
        <v>18</v>
      </c>
      <c r="G1058" s="12" t="s">
        <v>19</v>
      </c>
      <c r="H1058" s="12" t="s">
        <v>55</v>
      </c>
      <c r="I1058" s="12">
        <v>230.005</v>
      </c>
      <c r="J1058" s="12">
        <v>193.73500000000001</v>
      </c>
      <c r="K1058" s="12">
        <v>3.8</v>
      </c>
    </row>
    <row r="1059" spans="1:12" ht="13.9" hidden="1" x14ac:dyDescent="0.25">
      <c r="A1059" s="12">
        <v>7338</v>
      </c>
      <c r="B1059" s="12">
        <v>1050696</v>
      </c>
      <c r="C1059" s="12" t="s">
        <v>13</v>
      </c>
      <c r="D1059" s="12" t="s">
        <v>14</v>
      </c>
      <c r="E1059" s="14">
        <v>45132</v>
      </c>
      <c r="F1059" s="12" t="s">
        <v>17</v>
      </c>
      <c r="G1059" s="12" t="s">
        <v>19</v>
      </c>
      <c r="H1059" s="12" t="s">
        <v>78</v>
      </c>
      <c r="I1059" s="12">
        <v>230.00800000000001</v>
      </c>
      <c r="J1059" s="12">
        <v>190.018</v>
      </c>
      <c r="K1059" s="12">
        <v>4.0999999999999996</v>
      </c>
    </row>
    <row r="1060" spans="1:12" ht="13.9" hidden="1" x14ac:dyDescent="0.25">
      <c r="A1060" s="12">
        <v>7339</v>
      </c>
      <c r="B1060" s="12">
        <v>1050750</v>
      </c>
      <c r="C1060" s="12" t="s">
        <v>13</v>
      </c>
      <c r="D1060" s="12" t="s">
        <v>14</v>
      </c>
      <c r="E1060" s="14">
        <v>45133</v>
      </c>
      <c r="F1060" s="12" t="s">
        <v>17</v>
      </c>
      <c r="G1060" s="12" t="s">
        <v>19</v>
      </c>
      <c r="H1060" s="12" t="s">
        <v>78</v>
      </c>
      <c r="I1060" s="12">
        <v>230.00700000000001</v>
      </c>
      <c r="J1060" s="12">
        <v>190.041</v>
      </c>
      <c r="K1060" s="12">
        <v>4.5999999999999996</v>
      </c>
    </row>
    <row r="1061" spans="1:12" x14ac:dyDescent="0.25">
      <c r="A1061" s="12">
        <v>7340</v>
      </c>
      <c r="B1061" s="12">
        <v>1050955</v>
      </c>
      <c r="C1061" s="12" t="s">
        <v>13</v>
      </c>
      <c r="D1061" s="12" t="s">
        <v>14</v>
      </c>
      <c r="E1061" s="14">
        <v>45134</v>
      </c>
      <c r="F1061" s="12" t="s">
        <v>18</v>
      </c>
      <c r="G1061" s="12" t="s">
        <v>19</v>
      </c>
      <c r="H1061" s="12" t="s">
        <v>55</v>
      </c>
      <c r="I1061" s="12">
        <v>230.00200000000001</v>
      </c>
      <c r="J1061" s="12">
        <v>193.64400000000001</v>
      </c>
      <c r="K1061" s="12">
        <v>4.0999999999999996</v>
      </c>
      <c r="L1061" s="12">
        <v>12.1</v>
      </c>
    </row>
    <row r="1062" spans="1:12" ht="13.9" hidden="1" x14ac:dyDescent="0.25">
      <c r="A1062" s="12">
        <v>7341</v>
      </c>
      <c r="B1062" s="12">
        <v>1051075</v>
      </c>
      <c r="C1062" s="12" t="s">
        <v>13</v>
      </c>
      <c r="D1062" s="12" t="s">
        <v>14</v>
      </c>
      <c r="E1062" s="14">
        <v>45135</v>
      </c>
      <c r="F1062" s="12" t="s">
        <v>18</v>
      </c>
      <c r="G1062" s="12" t="s">
        <v>19</v>
      </c>
      <c r="H1062" s="12" t="s">
        <v>55</v>
      </c>
      <c r="I1062" s="12">
        <v>230.006</v>
      </c>
      <c r="J1062" s="12">
        <v>188.93</v>
      </c>
      <c r="K1062" s="12">
        <v>4</v>
      </c>
    </row>
    <row r="1063" spans="1:12" ht="13.9" hidden="1" x14ac:dyDescent="0.25">
      <c r="A1063" s="12">
        <v>7342</v>
      </c>
      <c r="B1063" s="12">
        <v>1051175</v>
      </c>
      <c r="C1063" s="12" t="s">
        <v>13</v>
      </c>
      <c r="D1063" s="12" t="s">
        <v>14</v>
      </c>
      <c r="E1063" s="14">
        <v>45136</v>
      </c>
      <c r="F1063" s="12" t="s">
        <v>18</v>
      </c>
      <c r="G1063" s="12" t="s">
        <v>19</v>
      </c>
      <c r="H1063" s="12" t="s">
        <v>55</v>
      </c>
      <c r="I1063" s="12">
        <v>230.00700000000001</v>
      </c>
      <c r="J1063" s="12">
        <v>192.56800000000001</v>
      </c>
      <c r="K1063" s="12">
        <v>3.8</v>
      </c>
    </row>
    <row r="1064" spans="1:12" x14ac:dyDescent="0.25">
      <c r="A1064" s="12">
        <v>7343</v>
      </c>
      <c r="B1064" s="12">
        <v>1051305</v>
      </c>
      <c r="C1064" s="12" t="s">
        <v>13</v>
      </c>
      <c r="D1064" s="12" t="s">
        <v>14</v>
      </c>
      <c r="E1064" s="14">
        <v>45137</v>
      </c>
      <c r="F1064" s="12" t="s">
        <v>18</v>
      </c>
      <c r="G1064" s="12" t="s">
        <v>19</v>
      </c>
      <c r="H1064" s="12" t="s">
        <v>55</v>
      </c>
      <c r="I1064" s="12">
        <v>229.96</v>
      </c>
      <c r="J1064" s="12">
        <v>191.864</v>
      </c>
      <c r="K1064" s="12">
        <v>4.5999999999999996</v>
      </c>
      <c r="L1064" s="12">
        <v>12.3</v>
      </c>
    </row>
    <row r="1065" spans="1:12" ht="13.9" hidden="1" x14ac:dyDescent="0.25">
      <c r="A1065" s="12">
        <v>7344</v>
      </c>
      <c r="B1065" s="12">
        <v>1051351</v>
      </c>
      <c r="C1065" s="12" t="s">
        <v>13</v>
      </c>
      <c r="D1065" s="12" t="s">
        <v>14</v>
      </c>
      <c r="E1065" s="14">
        <v>45138</v>
      </c>
      <c r="F1065" s="12" t="s">
        <v>18</v>
      </c>
      <c r="G1065" s="12" t="s">
        <v>19</v>
      </c>
      <c r="H1065" s="12" t="s">
        <v>55</v>
      </c>
      <c r="I1065" s="12">
        <v>229.977</v>
      </c>
      <c r="J1065" s="12">
        <v>191.5</v>
      </c>
      <c r="K1065" s="12">
        <v>4.3</v>
      </c>
    </row>
    <row r="1066" spans="1:12" ht="13.9" hidden="1" x14ac:dyDescent="0.25">
      <c r="A1066" s="12">
        <v>7345</v>
      </c>
      <c r="B1066" s="12">
        <v>1051352</v>
      </c>
      <c r="C1066" s="12" t="s">
        <v>13</v>
      </c>
      <c r="D1066" s="12" t="s">
        <v>14</v>
      </c>
      <c r="E1066" s="14">
        <v>45139</v>
      </c>
      <c r="F1066" s="12" t="s">
        <v>38</v>
      </c>
      <c r="G1066" s="12" t="s">
        <v>19</v>
      </c>
      <c r="H1066" s="12" t="s">
        <v>55</v>
      </c>
      <c r="I1066" s="12">
        <v>229.976</v>
      </c>
      <c r="J1066" s="12">
        <v>191.27</v>
      </c>
      <c r="K1066" s="12">
        <v>4.2</v>
      </c>
    </row>
    <row r="1067" spans="1:12" x14ac:dyDescent="0.25">
      <c r="A1067" s="12">
        <v>7346</v>
      </c>
      <c r="B1067" s="12">
        <v>1051446</v>
      </c>
      <c r="C1067" s="12" t="s">
        <v>13</v>
      </c>
      <c r="D1067" s="12" t="s">
        <v>14</v>
      </c>
      <c r="E1067" s="14">
        <v>45140</v>
      </c>
      <c r="F1067" s="12" t="s">
        <v>38</v>
      </c>
      <c r="G1067" s="12" t="s">
        <v>19</v>
      </c>
      <c r="H1067" s="12" t="s">
        <v>55</v>
      </c>
      <c r="I1067" s="12">
        <v>230.01</v>
      </c>
      <c r="J1067" s="12">
        <v>190.989</v>
      </c>
      <c r="K1067" s="12">
        <v>4.2</v>
      </c>
      <c r="L1067" s="12">
        <v>11.9</v>
      </c>
    </row>
    <row r="1068" spans="1:12" ht="13.9" hidden="1" x14ac:dyDescent="0.25">
      <c r="A1068" s="12">
        <v>7347</v>
      </c>
      <c r="B1068" s="12">
        <v>1051628</v>
      </c>
      <c r="C1068" s="12" t="s">
        <v>13</v>
      </c>
      <c r="D1068" s="12" t="s">
        <v>14</v>
      </c>
      <c r="E1068" s="14">
        <v>45141</v>
      </c>
      <c r="F1068" s="12" t="s">
        <v>38</v>
      </c>
      <c r="G1068" s="12" t="s">
        <v>19</v>
      </c>
      <c r="H1068" s="12" t="s">
        <v>55</v>
      </c>
      <c r="I1068" s="12">
        <v>229.99600000000001</v>
      </c>
      <c r="J1068" s="12">
        <v>190.18600000000001</v>
      </c>
      <c r="K1068" s="12">
        <v>3.8</v>
      </c>
    </row>
    <row r="1069" spans="1:12" ht="13.9" hidden="1" x14ac:dyDescent="0.25">
      <c r="A1069" s="12">
        <v>7348</v>
      </c>
      <c r="B1069" s="12">
        <v>1051784</v>
      </c>
      <c r="C1069" s="12" t="s">
        <v>13</v>
      </c>
      <c r="D1069" s="12" t="s">
        <v>14</v>
      </c>
      <c r="E1069" s="14">
        <v>45142</v>
      </c>
      <c r="F1069" s="12" t="s">
        <v>38</v>
      </c>
      <c r="G1069" s="12" t="s">
        <v>19</v>
      </c>
      <c r="H1069" s="12" t="s">
        <v>55</v>
      </c>
      <c r="I1069" s="12">
        <v>229.995</v>
      </c>
      <c r="J1069" s="12">
        <v>194.40799999999999</v>
      </c>
      <c r="K1069" s="12">
        <v>4.5</v>
      </c>
    </row>
    <row r="1070" spans="1:12" ht="13.9" hidden="1" x14ac:dyDescent="0.25">
      <c r="A1070" s="12">
        <v>7349</v>
      </c>
      <c r="B1070" s="12">
        <v>1051914</v>
      </c>
      <c r="C1070" s="12" t="s">
        <v>13</v>
      </c>
      <c r="D1070" s="12" t="s">
        <v>14</v>
      </c>
      <c r="E1070" s="14">
        <v>45143</v>
      </c>
      <c r="F1070" s="12" t="s">
        <v>38</v>
      </c>
      <c r="G1070" s="12" t="s">
        <v>19</v>
      </c>
      <c r="H1070" s="12" t="s">
        <v>55</v>
      </c>
      <c r="I1070" s="12">
        <v>229.94399999999999</v>
      </c>
      <c r="J1070" s="12">
        <v>195.256</v>
      </c>
      <c r="K1070" s="12">
        <v>4.3</v>
      </c>
    </row>
    <row r="1071" spans="1:12" ht="13.9" hidden="1" x14ac:dyDescent="0.25">
      <c r="A1071" s="12">
        <v>7350</v>
      </c>
      <c r="B1071" s="12">
        <v>1051915</v>
      </c>
      <c r="C1071" s="12" t="s">
        <v>13</v>
      </c>
      <c r="D1071" s="12" t="s">
        <v>14</v>
      </c>
      <c r="E1071" s="14">
        <v>45144</v>
      </c>
      <c r="F1071" s="12" t="s">
        <v>38</v>
      </c>
      <c r="G1071" s="12" t="s">
        <v>19</v>
      </c>
      <c r="H1071" s="12" t="s">
        <v>55</v>
      </c>
      <c r="I1071" s="12">
        <v>229.94300000000001</v>
      </c>
      <c r="J1071" s="12">
        <v>191.78399999999999</v>
      </c>
      <c r="K1071" s="12">
        <v>4.2</v>
      </c>
    </row>
    <row r="1072" spans="1:12" x14ac:dyDescent="0.25">
      <c r="A1072" s="12">
        <v>7351</v>
      </c>
      <c r="B1072" s="12">
        <v>1051916</v>
      </c>
      <c r="C1072" s="12" t="s">
        <v>13</v>
      </c>
      <c r="D1072" s="12" t="s">
        <v>14</v>
      </c>
      <c r="E1072" s="14">
        <v>45145</v>
      </c>
      <c r="F1072" s="12" t="s">
        <v>17</v>
      </c>
      <c r="G1072" s="12" t="s">
        <v>19</v>
      </c>
      <c r="H1072" s="12" t="s">
        <v>57</v>
      </c>
      <c r="I1072" s="12">
        <v>225.012</v>
      </c>
      <c r="J1072" s="12">
        <v>190.75</v>
      </c>
      <c r="K1072" s="12">
        <v>4.2</v>
      </c>
      <c r="L1072" s="12">
        <v>12</v>
      </c>
    </row>
    <row r="1073" spans="1:12" x14ac:dyDescent="0.25">
      <c r="A1073" s="12">
        <v>7352</v>
      </c>
      <c r="B1073" s="12">
        <v>1052217</v>
      </c>
      <c r="C1073" s="12" t="s">
        <v>13</v>
      </c>
      <c r="D1073" s="12" t="s">
        <v>14</v>
      </c>
      <c r="E1073" s="14">
        <v>45146</v>
      </c>
      <c r="F1073" s="12" t="s">
        <v>38</v>
      </c>
      <c r="G1073" s="12" t="s">
        <v>19</v>
      </c>
      <c r="H1073" s="12" t="s">
        <v>55</v>
      </c>
      <c r="I1073" s="12">
        <v>230</v>
      </c>
      <c r="J1073" s="12">
        <v>196.05500000000001</v>
      </c>
      <c r="K1073" s="12">
        <v>4.3</v>
      </c>
      <c r="L1073" s="12">
        <v>11.9</v>
      </c>
    </row>
    <row r="1074" spans="1:12" x14ac:dyDescent="0.25">
      <c r="A1074" s="12">
        <v>7353</v>
      </c>
      <c r="B1074" s="12">
        <v>1052218</v>
      </c>
      <c r="C1074" s="12" t="s">
        <v>13</v>
      </c>
      <c r="D1074" s="12" t="s">
        <v>14</v>
      </c>
      <c r="E1074" s="14">
        <v>45147</v>
      </c>
      <c r="F1074" s="12" t="s">
        <v>38</v>
      </c>
      <c r="G1074" s="12" t="s">
        <v>19</v>
      </c>
      <c r="H1074" s="12" t="s">
        <v>55</v>
      </c>
      <c r="I1074" s="12">
        <v>230.13</v>
      </c>
      <c r="J1074" s="12">
        <v>196.36199999999999</v>
      </c>
      <c r="K1074" s="12">
        <v>3.7</v>
      </c>
      <c r="L1074" s="12">
        <v>12.2</v>
      </c>
    </row>
    <row r="1075" spans="1:12" x14ac:dyDescent="0.25">
      <c r="A1075" s="12">
        <v>7354</v>
      </c>
      <c r="B1075" s="12">
        <v>1052445</v>
      </c>
      <c r="C1075" s="12" t="s">
        <v>13</v>
      </c>
      <c r="D1075" s="12" t="s">
        <v>14</v>
      </c>
      <c r="E1075" s="14">
        <v>45148</v>
      </c>
      <c r="F1075" s="12" t="s">
        <v>38</v>
      </c>
      <c r="G1075" s="12" t="s">
        <v>19</v>
      </c>
      <c r="H1075" s="12" t="s">
        <v>55</v>
      </c>
      <c r="I1075" s="12">
        <v>229.994</v>
      </c>
      <c r="J1075" s="12">
        <v>194.22399999999999</v>
      </c>
      <c r="K1075" s="12">
        <v>4.0999999999999996</v>
      </c>
      <c r="L1075" s="12">
        <v>11.7</v>
      </c>
    </row>
    <row r="1076" spans="1:12" x14ac:dyDescent="0.25">
      <c r="A1076" s="12">
        <v>7355</v>
      </c>
      <c r="B1076" s="12">
        <v>1052530</v>
      </c>
      <c r="C1076" s="12" t="s">
        <v>13</v>
      </c>
      <c r="D1076" s="12" t="s">
        <v>14</v>
      </c>
      <c r="E1076" s="14">
        <v>45149</v>
      </c>
      <c r="F1076" s="12" t="s">
        <v>18</v>
      </c>
      <c r="G1076" s="12" t="s">
        <v>20</v>
      </c>
      <c r="H1076" s="12" t="s">
        <v>56</v>
      </c>
      <c r="I1076" s="12">
        <v>230.00700000000001</v>
      </c>
      <c r="J1076" s="12">
        <v>196.16300000000001</v>
      </c>
      <c r="K1076" s="12">
        <v>4.4000000000000004</v>
      </c>
      <c r="L1076" s="12">
        <v>11.4</v>
      </c>
    </row>
    <row r="1077" spans="1:12" ht="13.9" hidden="1" x14ac:dyDescent="0.25">
      <c r="A1077" s="12">
        <v>7356</v>
      </c>
      <c r="B1077" s="12">
        <v>1052626</v>
      </c>
      <c r="C1077" s="12" t="s">
        <v>13</v>
      </c>
      <c r="D1077" s="12" t="s">
        <v>14</v>
      </c>
      <c r="E1077" s="14">
        <v>45150</v>
      </c>
      <c r="F1077" s="12" t="s">
        <v>18</v>
      </c>
      <c r="G1077" s="12" t="s">
        <v>20</v>
      </c>
      <c r="H1077" s="12" t="s">
        <v>56</v>
      </c>
      <c r="I1077" s="12">
        <v>229.94300000000001</v>
      </c>
      <c r="J1077" s="12">
        <v>194.785</v>
      </c>
      <c r="K1077" s="12">
        <v>4.5999999999999996</v>
      </c>
    </row>
    <row r="1078" spans="1:12" ht="13.9" hidden="1" x14ac:dyDescent="0.25">
      <c r="A1078" s="12">
        <v>7357</v>
      </c>
      <c r="B1078" s="12">
        <v>1052783</v>
      </c>
      <c r="C1078" s="12" t="s">
        <v>13</v>
      </c>
      <c r="D1078" s="12" t="s">
        <v>14</v>
      </c>
      <c r="E1078" s="14">
        <v>45151</v>
      </c>
      <c r="F1078" s="12" t="s">
        <v>18</v>
      </c>
      <c r="G1078" s="12" t="s">
        <v>20</v>
      </c>
      <c r="H1078" s="12" t="s">
        <v>56</v>
      </c>
      <c r="I1078" s="12">
        <v>230.01599999999999</v>
      </c>
      <c r="J1078" s="12">
        <v>195.38300000000001</v>
      </c>
      <c r="K1078" s="12">
        <v>4</v>
      </c>
    </row>
    <row r="1079" spans="1:12" x14ac:dyDescent="0.25">
      <c r="A1079" s="12">
        <v>7358</v>
      </c>
      <c r="B1079" s="12">
        <v>1052798</v>
      </c>
      <c r="C1079" s="12" t="s">
        <v>13</v>
      </c>
      <c r="D1079" s="12" t="s">
        <v>14</v>
      </c>
      <c r="E1079" s="14">
        <v>45152</v>
      </c>
      <c r="F1079" s="12" t="s">
        <v>18</v>
      </c>
      <c r="G1079" s="12" t="s">
        <v>20</v>
      </c>
      <c r="H1079" s="12" t="s">
        <v>48</v>
      </c>
      <c r="I1079" s="12">
        <v>230.011</v>
      </c>
      <c r="J1079" s="12">
        <v>195.114</v>
      </c>
      <c r="K1079" s="12">
        <v>5</v>
      </c>
      <c r="L1079" s="12">
        <v>12.1</v>
      </c>
    </row>
    <row r="1080" spans="1:12" x14ac:dyDescent="0.25">
      <c r="A1080" s="12">
        <v>7359</v>
      </c>
      <c r="B1080" s="12">
        <v>1052802</v>
      </c>
      <c r="C1080" s="12" t="s">
        <v>13</v>
      </c>
      <c r="D1080" s="12" t="s">
        <v>14</v>
      </c>
      <c r="E1080" s="14">
        <v>45153</v>
      </c>
      <c r="F1080" s="12" t="s">
        <v>18</v>
      </c>
      <c r="G1080" s="12" t="s">
        <v>20</v>
      </c>
      <c r="H1080" s="12" t="s">
        <v>48</v>
      </c>
      <c r="I1080" s="12">
        <v>230.00899999999999</v>
      </c>
      <c r="J1080" s="12">
        <v>190.87200000000001</v>
      </c>
      <c r="K1080" s="12">
        <v>4.2</v>
      </c>
      <c r="L1080" s="12">
        <v>11.8</v>
      </c>
    </row>
    <row r="1081" spans="1:12" x14ac:dyDescent="0.25">
      <c r="A1081" s="12">
        <v>7360</v>
      </c>
      <c r="B1081" s="12">
        <v>1052807</v>
      </c>
      <c r="C1081" s="12" t="s">
        <v>13</v>
      </c>
      <c r="D1081" s="12" t="s">
        <v>14</v>
      </c>
      <c r="E1081" s="14">
        <v>45154</v>
      </c>
      <c r="F1081" s="12" t="s">
        <v>17</v>
      </c>
      <c r="G1081" s="12" t="s">
        <v>19</v>
      </c>
      <c r="H1081" s="12" t="s">
        <v>58</v>
      </c>
      <c r="I1081" s="12">
        <v>229.999</v>
      </c>
      <c r="J1081" s="12">
        <v>190.12899999999999</v>
      </c>
      <c r="K1081" s="12">
        <v>4</v>
      </c>
      <c r="L1081" s="12">
        <v>11.4</v>
      </c>
    </row>
    <row r="1082" spans="1:12" x14ac:dyDescent="0.25">
      <c r="A1082" s="12">
        <v>7361</v>
      </c>
      <c r="B1082" s="12">
        <v>1053104</v>
      </c>
      <c r="C1082" s="12" t="s">
        <v>13</v>
      </c>
      <c r="D1082" s="12" t="s">
        <v>14</v>
      </c>
      <c r="E1082" s="14">
        <v>45155</v>
      </c>
      <c r="F1082" s="12" t="s">
        <v>17</v>
      </c>
      <c r="G1082" s="12" t="s">
        <v>19</v>
      </c>
      <c r="H1082" s="12" t="s">
        <v>57</v>
      </c>
      <c r="I1082" s="12">
        <v>225.001</v>
      </c>
      <c r="J1082" s="12">
        <v>191.37799999999999</v>
      </c>
      <c r="K1082" s="12">
        <v>4.2</v>
      </c>
      <c r="L1082" s="12">
        <v>11.9</v>
      </c>
    </row>
    <row r="1083" spans="1:12" x14ac:dyDescent="0.25">
      <c r="A1083" s="12">
        <v>7362</v>
      </c>
      <c r="B1083" s="12">
        <v>1053237</v>
      </c>
      <c r="C1083" s="12" t="s">
        <v>13</v>
      </c>
      <c r="D1083" s="12" t="s">
        <v>14</v>
      </c>
      <c r="E1083" s="14">
        <v>45156</v>
      </c>
      <c r="F1083" s="12" t="s">
        <v>38</v>
      </c>
      <c r="G1083" s="12" t="s">
        <v>19</v>
      </c>
      <c r="H1083" s="12" t="s">
        <v>55</v>
      </c>
      <c r="I1083" s="12">
        <v>230.001</v>
      </c>
      <c r="J1083" s="12">
        <v>191.44800000000001</v>
      </c>
      <c r="K1083" s="12">
        <v>4.2</v>
      </c>
      <c r="L1083" s="12">
        <v>13.3</v>
      </c>
    </row>
    <row r="1084" spans="1:12" x14ac:dyDescent="0.25">
      <c r="A1084" s="12">
        <v>7363</v>
      </c>
      <c r="B1084" s="12">
        <v>1053359</v>
      </c>
      <c r="C1084" s="12" t="s">
        <v>13</v>
      </c>
      <c r="D1084" s="12" t="s">
        <v>14</v>
      </c>
      <c r="E1084" s="14">
        <v>45157</v>
      </c>
      <c r="F1084" s="12" t="s">
        <v>38</v>
      </c>
      <c r="G1084" s="12" t="s">
        <v>19</v>
      </c>
      <c r="H1084" s="12" t="s">
        <v>55</v>
      </c>
      <c r="I1084" s="12">
        <v>230.09200000000001</v>
      </c>
      <c r="J1084" s="12">
        <v>191.14500000000001</v>
      </c>
      <c r="K1084" s="12">
        <v>4.2</v>
      </c>
      <c r="L1084" s="12">
        <v>13</v>
      </c>
    </row>
    <row r="1085" spans="1:12" ht="13.9" hidden="1" x14ac:dyDescent="0.25">
      <c r="A1085" s="12">
        <v>7364</v>
      </c>
      <c r="B1085" s="12">
        <v>1053475</v>
      </c>
      <c r="C1085" s="12" t="s">
        <v>13</v>
      </c>
      <c r="D1085" s="12" t="s">
        <v>14</v>
      </c>
      <c r="E1085" s="14">
        <v>45158</v>
      </c>
      <c r="F1085" s="12" t="s">
        <v>38</v>
      </c>
      <c r="G1085" s="12" t="s">
        <v>19</v>
      </c>
      <c r="H1085" s="12" t="s">
        <v>55</v>
      </c>
      <c r="I1085" s="12">
        <v>230.001</v>
      </c>
      <c r="J1085" s="12">
        <v>194.45699999999999</v>
      </c>
      <c r="K1085" s="12">
        <v>4.3</v>
      </c>
    </row>
    <row r="1086" spans="1:12" ht="13.9" hidden="1" x14ac:dyDescent="0.25">
      <c r="A1086" s="12">
        <v>7365</v>
      </c>
      <c r="B1086" s="12">
        <v>1053529</v>
      </c>
      <c r="C1086" s="12" t="s">
        <v>13</v>
      </c>
      <c r="D1086" s="12" t="s">
        <v>14</v>
      </c>
      <c r="E1086" s="14">
        <v>45159</v>
      </c>
      <c r="F1086" s="12" t="s">
        <v>38</v>
      </c>
      <c r="G1086" s="12" t="s">
        <v>19</v>
      </c>
      <c r="H1086" s="12" t="s">
        <v>55</v>
      </c>
      <c r="I1086" s="12">
        <v>230</v>
      </c>
      <c r="J1086" s="12">
        <v>189.4</v>
      </c>
      <c r="K1086" s="12">
        <v>4.4000000000000004</v>
      </c>
    </row>
    <row r="1087" spans="1:12" ht="13.9" hidden="1" x14ac:dyDescent="0.25">
      <c r="A1087" s="12">
        <v>7366</v>
      </c>
      <c r="B1087" s="12">
        <v>1053564</v>
      </c>
      <c r="C1087" s="12" t="s">
        <v>13</v>
      </c>
      <c r="D1087" s="12" t="s">
        <v>14</v>
      </c>
      <c r="E1087" s="14">
        <v>45160</v>
      </c>
      <c r="F1087" s="12" t="s">
        <v>38</v>
      </c>
      <c r="G1087" s="12" t="s">
        <v>19</v>
      </c>
      <c r="H1087" s="12" t="s">
        <v>55</v>
      </c>
      <c r="I1087" s="12">
        <v>230.048</v>
      </c>
      <c r="J1087" s="12">
        <v>186.11099999999999</v>
      </c>
      <c r="K1087" s="12">
        <v>4.2</v>
      </c>
    </row>
    <row r="1088" spans="1:12" ht="13.9" hidden="1" x14ac:dyDescent="0.25">
      <c r="A1088" s="12">
        <v>7367</v>
      </c>
      <c r="B1088" s="12">
        <v>1053565</v>
      </c>
      <c r="C1088" s="12" t="s">
        <v>13</v>
      </c>
      <c r="D1088" s="12" t="s">
        <v>14</v>
      </c>
      <c r="E1088" s="14">
        <v>45161</v>
      </c>
      <c r="F1088" s="12" t="s">
        <v>18</v>
      </c>
      <c r="G1088" s="12" t="s">
        <v>19</v>
      </c>
      <c r="H1088" s="12" t="s">
        <v>55</v>
      </c>
      <c r="I1088" s="12">
        <v>230.04900000000001</v>
      </c>
      <c r="J1088" s="12">
        <v>194.51499999999999</v>
      </c>
      <c r="K1088" s="12">
        <v>3.9</v>
      </c>
    </row>
    <row r="1089" spans="1:12" x14ac:dyDescent="0.25">
      <c r="A1089" s="12">
        <v>7368</v>
      </c>
      <c r="B1089" s="12">
        <v>1053658</v>
      </c>
      <c r="C1089" s="12" t="s">
        <v>13</v>
      </c>
      <c r="D1089" s="12" t="s">
        <v>14</v>
      </c>
      <c r="E1089" s="14">
        <v>45162</v>
      </c>
      <c r="F1089" s="12" t="s">
        <v>18</v>
      </c>
      <c r="G1089" s="12" t="s">
        <v>20</v>
      </c>
      <c r="H1089" s="12" t="s">
        <v>48</v>
      </c>
      <c r="I1089" s="12">
        <v>230.02199999999999</v>
      </c>
      <c r="J1089" s="12">
        <v>191.24700000000001</v>
      </c>
      <c r="K1089" s="12">
        <v>4.2</v>
      </c>
      <c r="L1089" s="12">
        <v>12.1</v>
      </c>
    </row>
    <row r="1090" spans="1:12" x14ac:dyDescent="0.25">
      <c r="A1090" s="12">
        <v>7369</v>
      </c>
      <c r="B1090" s="12">
        <v>1053660</v>
      </c>
      <c r="C1090" s="12" t="s">
        <v>13</v>
      </c>
      <c r="D1090" s="12" t="s">
        <v>14</v>
      </c>
      <c r="E1090" s="14">
        <v>45163</v>
      </c>
      <c r="F1090" s="12" t="s">
        <v>18</v>
      </c>
      <c r="G1090" s="12" t="s">
        <v>20</v>
      </c>
      <c r="H1090" s="12" t="s">
        <v>48</v>
      </c>
      <c r="I1090" s="12">
        <v>229.99600000000001</v>
      </c>
      <c r="J1090" s="12">
        <v>193.721</v>
      </c>
      <c r="K1090" s="12">
        <v>4.3</v>
      </c>
      <c r="L1090" s="12">
        <v>12.1</v>
      </c>
    </row>
    <row r="1091" spans="1:12" ht="13.9" hidden="1" x14ac:dyDescent="0.25">
      <c r="A1091" s="12">
        <v>7370</v>
      </c>
      <c r="B1091" s="12">
        <v>1053869</v>
      </c>
      <c r="C1091" s="12" t="s">
        <v>13</v>
      </c>
      <c r="D1091" s="12" t="s">
        <v>14</v>
      </c>
      <c r="E1091" s="14">
        <v>45164</v>
      </c>
      <c r="F1091" s="12" t="s">
        <v>18</v>
      </c>
      <c r="G1091" s="12" t="s">
        <v>19</v>
      </c>
      <c r="H1091" s="12" t="s">
        <v>55</v>
      </c>
      <c r="I1091" s="12">
        <v>230.00899999999999</v>
      </c>
      <c r="J1091" s="12">
        <v>192.63800000000001</v>
      </c>
      <c r="K1091" s="12">
        <v>3.7</v>
      </c>
    </row>
    <row r="1092" spans="1:12" ht="13.9" hidden="1" x14ac:dyDescent="0.25">
      <c r="A1092" s="12">
        <v>7371</v>
      </c>
      <c r="B1092" s="12">
        <v>1054060</v>
      </c>
      <c r="C1092" s="12" t="s">
        <v>13</v>
      </c>
      <c r="D1092" s="12" t="s">
        <v>14</v>
      </c>
      <c r="E1092" s="14">
        <v>45165</v>
      </c>
      <c r="F1092" s="12" t="s">
        <v>18</v>
      </c>
      <c r="G1092" s="12" t="s">
        <v>19</v>
      </c>
      <c r="H1092" s="12" t="s">
        <v>55</v>
      </c>
      <c r="I1092" s="12">
        <v>230.00800000000001</v>
      </c>
      <c r="J1092" s="12">
        <v>184.631</v>
      </c>
      <c r="K1092" s="12">
        <v>3.6</v>
      </c>
    </row>
    <row r="1093" spans="1:12" x14ac:dyDescent="0.25">
      <c r="A1093" s="12">
        <v>7372</v>
      </c>
      <c r="B1093" s="12">
        <v>1054132</v>
      </c>
      <c r="C1093" s="12" t="s">
        <v>13</v>
      </c>
      <c r="D1093" s="12" t="s">
        <v>14</v>
      </c>
      <c r="E1093" s="14">
        <v>45166</v>
      </c>
      <c r="F1093" s="12" t="s">
        <v>18</v>
      </c>
      <c r="G1093" s="12" t="s">
        <v>19</v>
      </c>
      <c r="H1093" s="12" t="s">
        <v>55</v>
      </c>
      <c r="I1093" s="12">
        <v>229.977</v>
      </c>
      <c r="J1093" s="12">
        <v>191.988</v>
      </c>
      <c r="K1093" s="12">
        <v>4.7</v>
      </c>
      <c r="L1093" s="12">
        <v>11.6</v>
      </c>
    </row>
    <row r="1094" spans="1:12" ht="13.9" hidden="1" x14ac:dyDescent="0.25">
      <c r="A1094" s="12">
        <v>7373</v>
      </c>
      <c r="B1094" s="12">
        <v>1054134</v>
      </c>
      <c r="C1094" s="12" t="s">
        <v>13</v>
      </c>
      <c r="D1094" s="12" t="s">
        <v>14</v>
      </c>
      <c r="E1094" s="14">
        <v>45167</v>
      </c>
      <c r="F1094" s="12" t="s">
        <v>18</v>
      </c>
      <c r="G1094" s="12" t="s">
        <v>19</v>
      </c>
      <c r="H1094" s="12" t="s">
        <v>55</v>
      </c>
      <c r="I1094" s="12">
        <v>230.00800000000001</v>
      </c>
      <c r="J1094" s="12">
        <v>190.85900000000001</v>
      </c>
      <c r="K1094" s="12">
        <v>3.6</v>
      </c>
    </row>
    <row r="1095" spans="1:12" ht="13.9" hidden="1" x14ac:dyDescent="0.25">
      <c r="A1095" s="12">
        <v>7374</v>
      </c>
      <c r="B1095" s="12">
        <v>1054136</v>
      </c>
      <c r="C1095" s="12" t="s">
        <v>13</v>
      </c>
      <c r="D1095" s="12" t="s">
        <v>14</v>
      </c>
      <c r="E1095" s="14">
        <v>45168</v>
      </c>
      <c r="F1095" s="12" t="s">
        <v>18</v>
      </c>
      <c r="G1095" s="12" t="s">
        <v>19</v>
      </c>
      <c r="H1095" s="12" t="s">
        <v>55</v>
      </c>
      <c r="I1095" s="12">
        <v>230.00700000000001</v>
      </c>
      <c r="J1095" s="12">
        <v>191.75700000000001</v>
      </c>
      <c r="K1095" s="12">
        <v>4</v>
      </c>
    </row>
    <row r="1096" spans="1:12" ht="13.9" hidden="1" x14ac:dyDescent="0.25">
      <c r="A1096" s="12">
        <v>7375</v>
      </c>
      <c r="B1096" s="12">
        <v>1054363</v>
      </c>
      <c r="C1096" s="12" t="s">
        <v>13</v>
      </c>
      <c r="D1096" s="12" t="s">
        <v>14</v>
      </c>
      <c r="E1096" s="14">
        <v>45169</v>
      </c>
      <c r="F1096" s="12" t="s">
        <v>18</v>
      </c>
      <c r="G1096" s="12" t="s">
        <v>19</v>
      </c>
      <c r="H1096" s="12" t="s">
        <v>55</v>
      </c>
      <c r="I1096" s="12">
        <v>230.00399999999999</v>
      </c>
      <c r="J1096" s="12">
        <v>193.68600000000001</v>
      </c>
      <c r="K1096" s="12">
        <v>3.4</v>
      </c>
    </row>
    <row r="1097" spans="1:12" ht="13.9" hidden="1" x14ac:dyDescent="0.25">
      <c r="A1097" s="16">
        <v>7376</v>
      </c>
      <c r="B1097" s="12">
        <v>1054404</v>
      </c>
      <c r="C1097" s="12" t="s">
        <v>13</v>
      </c>
      <c r="D1097" s="12" t="s">
        <v>14</v>
      </c>
      <c r="E1097" s="14">
        <v>45170</v>
      </c>
      <c r="F1097" s="12" t="s">
        <v>18</v>
      </c>
      <c r="G1097" s="12" t="s">
        <v>19</v>
      </c>
      <c r="H1097" s="12" t="s">
        <v>55</v>
      </c>
      <c r="I1097" s="12">
        <v>230.005</v>
      </c>
      <c r="J1097" s="12">
        <v>191.542</v>
      </c>
      <c r="K1097" s="12">
        <v>4.4000000000000004</v>
      </c>
    </row>
    <row r="1098" spans="1:12" ht="13.9" hidden="1" x14ac:dyDescent="0.25">
      <c r="A1098" s="12">
        <v>7377</v>
      </c>
      <c r="B1098" s="12">
        <v>1054562</v>
      </c>
      <c r="C1098" s="12" t="s">
        <v>13</v>
      </c>
      <c r="D1098" s="12" t="s">
        <v>14</v>
      </c>
      <c r="E1098" s="14">
        <v>45171</v>
      </c>
      <c r="F1098" s="12" t="s">
        <v>18</v>
      </c>
      <c r="G1098" s="12" t="s">
        <v>19</v>
      </c>
      <c r="H1098" s="12" t="s">
        <v>55</v>
      </c>
      <c r="I1098" s="12">
        <v>229.935</v>
      </c>
      <c r="J1098" s="12">
        <v>188.69900000000001</v>
      </c>
      <c r="K1098" s="12">
        <v>4</v>
      </c>
      <c r="L1098" s="12">
        <v>13.1</v>
      </c>
    </row>
    <row r="1099" spans="1:12" ht="13.9" hidden="1" x14ac:dyDescent="0.25">
      <c r="A1099" s="12">
        <v>7378</v>
      </c>
      <c r="B1099" s="12">
        <v>1054703</v>
      </c>
      <c r="C1099" s="12" t="s">
        <v>13</v>
      </c>
      <c r="D1099" s="12" t="s">
        <v>14</v>
      </c>
      <c r="E1099" s="14">
        <v>45172</v>
      </c>
      <c r="F1099" s="12" t="s">
        <v>18</v>
      </c>
      <c r="G1099" s="12" t="s">
        <v>19</v>
      </c>
      <c r="H1099" s="12" t="s">
        <v>55</v>
      </c>
      <c r="I1099" s="12">
        <v>230.00800000000001</v>
      </c>
      <c r="J1099" s="12">
        <v>188.529</v>
      </c>
      <c r="K1099" s="12">
        <v>4</v>
      </c>
    </row>
    <row r="1100" spans="1:12" ht="13.9" hidden="1" x14ac:dyDescent="0.25">
      <c r="A1100" s="12">
        <v>7379</v>
      </c>
      <c r="B1100" s="12">
        <v>1054781</v>
      </c>
      <c r="C1100" s="12" t="s">
        <v>13</v>
      </c>
      <c r="D1100" s="12" t="s">
        <v>14</v>
      </c>
      <c r="E1100" s="14">
        <v>45173</v>
      </c>
      <c r="F1100" s="12" t="s">
        <v>18</v>
      </c>
      <c r="G1100" s="12" t="s">
        <v>19</v>
      </c>
      <c r="H1100" s="12" t="s">
        <v>55</v>
      </c>
      <c r="I1100" s="12">
        <v>230.00700000000001</v>
      </c>
      <c r="J1100" s="12">
        <v>190.86600000000001</v>
      </c>
      <c r="K1100" s="12">
        <v>3.9</v>
      </c>
    </row>
    <row r="1101" spans="1:12" ht="13.9" hidden="1" x14ac:dyDescent="0.25">
      <c r="A1101" s="12">
        <v>7380</v>
      </c>
      <c r="B1101" s="12">
        <v>1054782</v>
      </c>
      <c r="C1101" s="12" t="s">
        <v>13</v>
      </c>
      <c r="D1101" s="12" t="s">
        <v>14</v>
      </c>
      <c r="E1101" s="14">
        <v>45174</v>
      </c>
      <c r="F1101" s="12" t="s">
        <v>18</v>
      </c>
      <c r="G1101" s="12" t="s">
        <v>20</v>
      </c>
      <c r="H1101" s="12" t="s">
        <v>56</v>
      </c>
      <c r="I1101" s="12">
        <v>230.00800000000001</v>
      </c>
      <c r="J1101" s="12">
        <v>191.71799999999999</v>
      </c>
      <c r="K1101" s="12">
        <v>4.2</v>
      </c>
    </row>
    <row r="1102" spans="1:12" ht="13.9" hidden="1" x14ac:dyDescent="0.25">
      <c r="A1102" s="12">
        <v>7381</v>
      </c>
      <c r="B1102" s="12">
        <v>1054783</v>
      </c>
      <c r="C1102" s="12" t="s">
        <v>13</v>
      </c>
      <c r="D1102" s="12" t="s">
        <v>14</v>
      </c>
      <c r="E1102" s="14">
        <v>45175</v>
      </c>
      <c r="F1102" s="12" t="s">
        <v>18</v>
      </c>
      <c r="G1102" s="12" t="s">
        <v>20</v>
      </c>
      <c r="H1102" s="12" t="s">
        <v>56</v>
      </c>
      <c r="I1102" s="12">
        <v>230.00700000000001</v>
      </c>
      <c r="J1102" s="12">
        <v>183.79400000000001</v>
      </c>
      <c r="K1102" s="12">
        <v>3.8</v>
      </c>
    </row>
    <row r="1103" spans="1:12" ht="13.9" hidden="1" x14ac:dyDescent="0.25">
      <c r="A1103" s="12">
        <v>7382</v>
      </c>
      <c r="B1103" s="12">
        <v>1055022</v>
      </c>
      <c r="C1103" s="12" t="s">
        <v>13</v>
      </c>
      <c r="D1103" s="12" t="s">
        <v>14</v>
      </c>
      <c r="E1103" s="14">
        <v>45176</v>
      </c>
      <c r="F1103" s="12" t="s">
        <v>18</v>
      </c>
      <c r="G1103" s="12" t="s">
        <v>20</v>
      </c>
      <c r="H1103" s="12" t="s">
        <v>56</v>
      </c>
      <c r="I1103" s="12">
        <v>230.01300000000001</v>
      </c>
      <c r="J1103" s="12">
        <v>191.233</v>
      </c>
      <c r="K1103" s="12">
        <v>4</v>
      </c>
      <c r="L1103" s="12">
        <v>11.2</v>
      </c>
    </row>
    <row r="1104" spans="1:12" ht="13.9" hidden="1" x14ac:dyDescent="0.25">
      <c r="A1104" s="12">
        <v>7383</v>
      </c>
      <c r="B1104" s="12">
        <v>1055176</v>
      </c>
      <c r="C1104" s="12" t="s">
        <v>13</v>
      </c>
      <c r="D1104" s="12" t="s">
        <v>14</v>
      </c>
      <c r="E1104" s="14">
        <v>45177</v>
      </c>
      <c r="F1104" s="12" t="s">
        <v>18</v>
      </c>
      <c r="G1104" s="12" t="s">
        <v>20</v>
      </c>
      <c r="H1104" s="12" t="s">
        <v>56</v>
      </c>
      <c r="I1104" s="12">
        <v>229.95</v>
      </c>
      <c r="J1104" s="12">
        <v>188.52600000000001</v>
      </c>
      <c r="K1104" s="12">
        <v>4</v>
      </c>
      <c r="L1104" s="12">
        <v>11.1</v>
      </c>
    </row>
    <row r="1105" spans="1:12" ht="13.9" hidden="1" x14ac:dyDescent="0.25">
      <c r="A1105" s="12">
        <v>7384</v>
      </c>
      <c r="B1105" s="12">
        <v>1055284</v>
      </c>
      <c r="C1105" s="12" t="s">
        <v>13</v>
      </c>
      <c r="D1105" s="12" t="s">
        <v>14</v>
      </c>
      <c r="E1105" s="14">
        <v>45178</v>
      </c>
      <c r="F1105" s="12" t="s">
        <v>18</v>
      </c>
      <c r="G1105" s="12" t="s">
        <v>20</v>
      </c>
      <c r="H1105" s="12" t="s">
        <v>56</v>
      </c>
      <c r="I1105" s="12">
        <v>229.958</v>
      </c>
      <c r="J1105" s="12">
        <v>194.684</v>
      </c>
      <c r="K1105" s="12">
        <v>4.8</v>
      </c>
      <c r="L1105" s="12">
        <v>11.2</v>
      </c>
    </row>
    <row r="1106" spans="1:12" ht="13.9" hidden="1" x14ac:dyDescent="0.25">
      <c r="A1106" s="12">
        <v>7385</v>
      </c>
      <c r="B1106" s="12">
        <v>1055449</v>
      </c>
      <c r="C1106" s="12" t="s">
        <v>13</v>
      </c>
      <c r="D1106" s="12" t="s">
        <v>14</v>
      </c>
      <c r="E1106" s="14">
        <v>45179</v>
      </c>
      <c r="F1106" s="12" t="s">
        <v>18</v>
      </c>
      <c r="G1106" s="12" t="s">
        <v>19</v>
      </c>
      <c r="H1106" s="12" t="s">
        <v>57</v>
      </c>
      <c r="I1106" s="12">
        <v>230.00800000000001</v>
      </c>
      <c r="J1106" s="12">
        <v>191.90899999999999</v>
      </c>
      <c r="K1106" s="12">
        <v>4.2</v>
      </c>
      <c r="L1106" s="12">
        <v>11.8</v>
      </c>
    </row>
    <row r="1107" spans="1:12" ht="13.9" hidden="1" x14ac:dyDescent="0.25">
      <c r="A1107" s="12">
        <v>7386</v>
      </c>
      <c r="B1107" s="12">
        <v>1055523</v>
      </c>
      <c r="C1107" s="12" t="s">
        <v>13</v>
      </c>
      <c r="D1107" s="12" t="s">
        <v>14</v>
      </c>
      <c r="E1107" s="14">
        <v>45180</v>
      </c>
      <c r="F1107" s="12" t="s">
        <v>18</v>
      </c>
      <c r="G1107" s="12" t="s">
        <v>19</v>
      </c>
      <c r="H1107" s="12" t="s">
        <v>57</v>
      </c>
      <c r="I1107" s="12">
        <v>230.00800000000001</v>
      </c>
      <c r="J1107" s="12">
        <v>192.40700000000001</v>
      </c>
      <c r="K1107" s="12">
        <v>4.0999999999999996</v>
      </c>
      <c r="L1107" s="12">
        <v>11.7</v>
      </c>
    </row>
    <row r="1108" spans="1:12" ht="13.9" hidden="1" x14ac:dyDescent="0.25">
      <c r="A1108" s="12">
        <v>7387</v>
      </c>
      <c r="B1108" s="12">
        <v>1055524</v>
      </c>
      <c r="C1108" s="12" t="s">
        <v>13</v>
      </c>
      <c r="D1108" s="12" t="s">
        <v>14</v>
      </c>
      <c r="E1108" s="14">
        <v>45181</v>
      </c>
      <c r="F1108" s="12" t="s">
        <v>17</v>
      </c>
      <c r="G1108" s="12" t="s">
        <v>19</v>
      </c>
      <c r="H1108" s="12" t="s">
        <v>58</v>
      </c>
      <c r="I1108" s="12">
        <v>230.00299999999999</v>
      </c>
      <c r="J1108" s="12">
        <v>192.54900000000001</v>
      </c>
      <c r="K1108" s="12">
        <v>4.2</v>
      </c>
    </row>
    <row r="1109" spans="1:12" ht="13.9" hidden="1" x14ac:dyDescent="0.25">
      <c r="A1109" s="12">
        <v>7388</v>
      </c>
      <c r="B1109" s="12">
        <v>1055545</v>
      </c>
      <c r="C1109" s="12" t="s">
        <v>13</v>
      </c>
      <c r="D1109" s="12" t="s">
        <v>14</v>
      </c>
      <c r="E1109" s="14">
        <v>45182</v>
      </c>
      <c r="F1109" s="12" t="s">
        <v>17</v>
      </c>
      <c r="G1109" s="12" t="s">
        <v>19</v>
      </c>
      <c r="H1109" s="12" t="s">
        <v>58</v>
      </c>
      <c r="I1109" s="12">
        <v>230.00200000000001</v>
      </c>
      <c r="J1109" s="12">
        <v>189.739</v>
      </c>
      <c r="K1109" s="12">
        <v>4.0999999999999996</v>
      </c>
    </row>
    <row r="1110" spans="1:12" ht="13.9" hidden="1" x14ac:dyDescent="0.25">
      <c r="A1110" s="12">
        <v>7389</v>
      </c>
      <c r="B1110" s="12">
        <v>1055701</v>
      </c>
      <c r="C1110" s="12" t="s">
        <v>13</v>
      </c>
      <c r="D1110" s="12" t="s">
        <v>14</v>
      </c>
      <c r="E1110" s="14">
        <v>45183</v>
      </c>
      <c r="F1110" s="12" t="s">
        <v>51</v>
      </c>
      <c r="G1110" s="12" t="s">
        <v>19</v>
      </c>
      <c r="H1110" s="12" t="s">
        <v>57</v>
      </c>
      <c r="I1110" s="12">
        <v>230.01400000000001</v>
      </c>
      <c r="J1110" s="12">
        <v>190.71</v>
      </c>
      <c r="K1110" s="12">
        <v>4</v>
      </c>
      <c r="L1110" s="12">
        <v>11.8</v>
      </c>
    </row>
    <row r="1111" spans="1:12" ht="13.9" hidden="1" x14ac:dyDescent="0.25">
      <c r="A1111" s="12">
        <v>7390</v>
      </c>
      <c r="B1111" s="12">
        <v>1055807</v>
      </c>
      <c r="C1111" s="12" t="s">
        <v>13</v>
      </c>
      <c r="D1111" s="12" t="s">
        <v>14</v>
      </c>
      <c r="E1111" s="14">
        <v>45184</v>
      </c>
      <c r="F1111" s="12" t="s">
        <v>51</v>
      </c>
      <c r="G1111" s="12" t="s">
        <v>19</v>
      </c>
      <c r="H1111" s="12" t="s">
        <v>57</v>
      </c>
      <c r="I1111" s="12">
        <v>230.02</v>
      </c>
      <c r="J1111" s="12">
        <v>195.19200000000001</v>
      </c>
      <c r="K1111" s="12">
        <v>4</v>
      </c>
      <c r="L1111" s="12">
        <v>11.8</v>
      </c>
    </row>
    <row r="1112" spans="1:12" ht="13.9" hidden="1" x14ac:dyDescent="0.25">
      <c r="A1112" s="12">
        <v>7391</v>
      </c>
      <c r="B1112" s="12">
        <v>1055905</v>
      </c>
      <c r="C1112" s="12" t="s">
        <v>13</v>
      </c>
      <c r="D1112" s="12" t="s">
        <v>14</v>
      </c>
      <c r="E1112" s="14">
        <v>45185</v>
      </c>
      <c r="F1112" s="12" t="s">
        <v>51</v>
      </c>
      <c r="G1112" s="12" t="s">
        <v>19</v>
      </c>
      <c r="H1112" s="12" t="s">
        <v>57</v>
      </c>
      <c r="I1112" s="12">
        <v>230.01599999999999</v>
      </c>
      <c r="J1112" s="12">
        <v>189.816</v>
      </c>
      <c r="K1112" s="12">
        <v>4.0999999999999996</v>
      </c>
      <c r="L1112" s="12">
        <v>11.7</v>
      </c>
    </row>
    <row r="1113" spans="1:12" ht="13.9" hidden="1" x14ac:dyDescent="0.25">
      <c r="A1113" s="12">
        <v>7392</v>
      </c>
      <c r="B1113" s="12">
        <v>1055944</v>
      </c>
      <c r="C1113" s="12" t="s">
        <v>13</v>
      </c>
      <c r="D1113" s="12" t="s">
        <v>14</v>
      </c>
      <c r="E1113" s="14">
        <v>45186</v>
      </c>
      <c r="F1113" s="12" t="s">
        <v>51</v>
      </c>
      <c r="G1113" s="12" t="s">
        <v>19</v>
      </c>
      <c r="H1113" s="12" t="s">
        <v>57</v>
      </c>
      <c r="I1113" s="12">
        <v>230.017</v>
      </c>
      <c r="J1113" s="12">
        <v>189.31299999999999</v>
      </c>
      <c r="K1113" s="12">
        <v>4.5</v>
      </c>
      <c r="L1113" s="12">
        <v>11.8</v>
      </c>
    </row>
    <row r="1114" spans="1:12" ht="13.9" hidden="1" x14ac:dyDescent="0.25">
      <c r="A1114" s="12">
        <v>7393</v>
      </c>
      <c r="B1114" s="12">
        <v>1056087</v>
      </c>
      <c r="C1114" s="12" t="s">
        <v>13</v>
      </c>
      <c r="D1114" s="12" t="s">
        <v>14</v>
      </c>
      <c r="E1114" s="14">
        <v>45187</v>
      </c>
      <c r="F1114" s="12" t="s">
        <v>51</v>
      </c>
      <c r="G1114" s="12" t="s">
        <v>19</v>
      </c>
      <c r="H1114" s="12" t="s">
        <v>57</v>
      </c>
      <c r="I1114" s="12">
        <v>229.98599999999999</v>
      </c>
      <c r="J1114" s="12">
        <v>193.34</v>
      </c>
      <c r="K1114" s="12">
        <v>4.0999999999999996</v>
      </c>
      <c r="L1114" s="12">
        <v>11.9</v>
      </c>
    </row>
    <row r="1115" spans="1:12" ht="13.9" hidden="1" x14ac:dyDescent="0.25">
      <c r="A1115" s="12">
        <v>7394</v>
      </c>
      <c r="B1115" s="12">
        <v>1056088</v>
      </c>
      <c r="C1115" s="12" t="s">
        <v>13</v>
      </c>
      <c r="D1115" s="12" t="s">
        <v>14</v>
      </c>
      <c r="E1115" s="14">
        <v>45188</v>
      </c>
      <c r="F1115" s="12" t="s">
        <v>18</v>
      </c>
      <c r="G1115" s="12" t="s">
        <v>19</v>
      </c>
      <c r="H1115" s="12" t="s">
        <v>57</v>
      </c>
      <c r="I1115" s="12">
        <v>230.00399999999999</v>
      </c>
      <c r="J1115" s="12">
        <v>198.41300000000001</v>
      </c>
      <c r="K1115" s="12">
        <v>4.3</v>
      </c>
      <c r="L1115" s="12">
        <v>11.3</v>
      </c>
    </row>
    <row r="1116" spans="1:12" ht="13.9" hidden="1" x14ac:dyDescent="0.25">
      <c r="A1116" s="12">
        <v>7395</v>
      </c>
      <c r="B1116" s="12">
        <v>1056268</v>
      </c>
      <c r="C1116" s="12" t="s">
        <v>13</v>
      </c>
      <c r="D1116" s="12" t="s">
        <v>14</v>
      </c>
      <c r="E1116" s="14">
        <v>45189</v>
      </c>
      <c r="F1116" s="12" t="s">
        <v>18</v>
      </c>
      <c r="G1116" s="12" t="s">
        <v>19</v>
      </c>
      <c r="H1116" s="12" t="s">
        <v>57</v>
      </c>
      <c r="I1116" s="12">
        <v>230.012</v>
      </c>
      <c r="J1116" s="12">
        <v>191.78899999999999</v>
      </c>
      <c r="K1116" s="12">
        <v>3.8</v>
      </c>
      <c r="L1116" s="12">
        <v>12</v>
      </c>
    </row>
    <row r="1117" spans="1:12" ht="13.9" hidden="1" x14ac:dyDescent="0.25">
      <c r="A1117" s="12">
        <v>7396</v>
      </c>
      <c r="B1117" s="12">
        <v>1056422</v>
      </c>
      <c r="C1117" s="12" t="s">
        <v>13</v>
      </c>
      <c r="D1117" s="12" t="s">
        <v>14</v>
      </c>
      <c r="E1117" s="14">
        <v>45190</v>
      </c>
      <c r="F1117" s="12" t="s">
        <v>18</v>
      </c>
      <c r="G1117" s="12" t="s">
        <v>19</v>
      </c>
      <c r="H1117" s="12" t="s">
        <v>57</v>
      </c>
      <c r="I1117" s="12">
        <v>230.00399999999999</v>
      </c>
      <c r="J1117" s="12">
        <v>194.51300000000001</v>
      </c>
      <c r="K1117" s="12">
        <v>4.2</v>
      </c>
      <c r="L1117" s="12">
        <v>12</v>
      </c>
    </row>
    <row r="1118" spans="1:12" ht="13.9" hidden="1" x14ac:dyDescent="0.25">
      <c r="A1118" s="12">
        <v>7397</v>
      </c>
      <c r="B1118" s="12">
        <v>1056522</v>
      </c>
      <c r="C1118" s="12" t="s">
        <v>13</v>
      </c>
      <c r="D1118" s="12" t="s">
        <v>14</v>
      </c>
      <c r="E1118" s="14">
        <v>45191</v>
      </c>
      <c r="F1118" s="12" t="s">
        <v>18</v>
      </c>
      <c r="G1118" s="12" t="s">
        <v>19</v>
      </c>
      <c r="H1118" s="12" t="s">
        <v>57</v>
      </c>
      <c r="I1118" s="12">
        <v>229.928</v>
      </c>
      <c r="J1118" s="12">
        <v>192.916</v>
      </c>
      <c r="K1118" s="12">
        <v>3.5</v>
      </c>
      <c r="L1118" s="12">
        <v>11.9</v>
      </c>
    </row>
    <row r="1119" spans="1:12" ht="13.9" hidden="1" x14ac:dyDescent="0.25">
      <c r="A1119" s="12">
        <v>7398</v>
      </c>
      <c r="B1119" s="12">
        <v>1056628</v>
      </c>
      <c r="C1119" s="12" t="s">
        <v>13</v>
      </c>
      <c r="D1119" s="12" t="s">
        <v>14</v>
      </c>
      <c r="E1119" s="14">
        <v>45192</v>
      </c>
      <c r="F1119" s="12" t="s">
        <v>18</v>
      </c>
      <c r="G1119" s="12" t="s">
        <v>19</v>
      </c>
      <c r="H1119" s="12" t="s">
        <v>57</v>
      </c>
      <c r="I1119" s="12">
        <v>230.01300000000001</v>
      </c>
      <c r="J1119" s="12">
        <v>191.381</v>
      </c>
      <c r="K1119" s="12">
        <v>4.3</v>
      </c>
      <c r="L1119" s="12">
        <v>11.9</v>
      </c>
    </row>
    <row r="1120" spans="1:12" ht="13.9" hidden="1" x14ac:dyDescent="0.25">
      <c r="A1120" s="12">
        <v>7399</v>
      </c>
      <c r="B1120" s="12">
        <v>1056751</v>
      </c>
      <c r="C1120" s="12" t="s">
        <v>13</v>
      </c>
      <c r="D1120" s="12" t="s">
        <v>14</v>
      </c>
      <c r="E1120" s="14">
        <v>45193</v>
      </c>
      <c r="F1120" s="12" t="s">
        <v>17</v>
      </c>
      <c r="G1120" s="12" t="s">
        <v>19</v>
      </c>
      <c r="H1120" s="12" t="s">
        <v>59</v>
      </c>
      <c r="I1120" s="12">
        <v>230.001</v>
      </c>
      <c r="J1120" s="12">
        <v>196.37100000000001</v>
      </c>
      <c r="K1120" s="12">
        <v>3.5</v>
      </c>
      <c r="L1120" s="12">
        <v>11.4</v>
      </c>
    </row>
    <row r="1121" spans="1:12" ht="13.9" hidden="1" x14ac:dyDescent="0.25">
      <c r="A1121" s="12">
        <v>7400</v>
      </c>
      <c r="B1121" s="12">
        <v>1056815</v>
      </c>
      <c r="C1121" s="12" t="s">
        <v>13</v>
      </c>
      <c r="D1121" s="12" t="s">
        <v>14</v>
      </c>
      <c r="E1121" s="14">
        <v>45194</v>
      </c>
      <c r="F1121" s="12" t="s">
        <v>18</v>
      </c>
      <c r="G1121" s="12" t="s">
        <v>19</v>
      </c>
      <c r="H1121" s="12" t="s">
        <v>57</v>
      </c>
      <c r="I1121" s="12">
        <v>229.97300000000001</v>
      </c>
      <c r="J1121" s="12">
        <v>193.48</v>
      </c>
      <c r="K1121" s="12">
        <v>3.7</v>
      </c>
      <c r="L1121" s="12">
        <v>11.8</v>
      </c>
    </row>
    <row r="1122" spans="1:12" ht="13.9" hidden="1" x14ac:dyDescent="0.25">
      <c r="A1122" s="12">
        <v>7401</v>
      </c>
      <c r="B1122" s="12">
        <v>1056816</v>
      </c>
      <c r="C1122" s="12" t="s">
        <v>13</v>
      </c>
      <c r="D1122" s="12" t="s">
        <v>14</v>
      </c>
      <c r="E1122" s="14">
        <v>45195</v>
      </c>
      <c r="F1122" s="12" t="s">
        <v>18</v>
      </c>
      <c r="G1122" s="12" t="s">
        <v>19</v>
      </c>
      <c r="H1122" s="12" t="s">
        <v>57</v>
      </c>
      <c r="I1122" s="12">
        <v>230.00299999999999</v>
      </c>
      <c r="J1122" s="12">
        <v>193.12899999999999</v>
      </c>
      <c r="K1122" s="12">
        <v>3.7</v>
      </c>
      <c r="L1122" s="12">
        <v>11.8</v>
      </c>
    </row>
    <row r="1123" spans="1:12" ht="13.9" hidden="1" x14ac:dyDescent="0.25">
      <c r="A1123" s="12">
        <v>7402</v>
      </c>
      <c r="B1123" s="12">
        <v>1056817</v>
      </c>
      <c r="C1123" s="12" t="s">
        <v>13</v>
      </c>
      <c r="D1123" s="12" t="s">
        <v>14</v>
      </c>
      <c r="E1123" s="14">
        <v>45196</v>
      </c>
      <c r="F1123" s="12" t="s">
        <v>18</v>
      </c>
      <c r="G1123" s="12" t="s">
        <v>19</v>
      </c>
      <c r="H1123" s="12" t="s">
        <v>57</v>
      </c>
      <c r="I1123" s="12">
        <v>229.98699999999999</v>
      </c>
      <c r="J1123" s="12">
        <v>194.87</v>
      </c>
      <c r="K1123" s="12">
        <v>4.4000000000000004</v>
      </c>
      <c r="L1123" s="12">
        <v>11.4</v>
      </c>
    </row>
    <row r="1124" spans="1:12" ht="13.9" hidden="1" x14ac:dyDescent="0.25">
      <c r="A1124" s="12">
        <v>7403</v>
      </c>
      <c r="B1124" s="12">
        <v>1057003</v>
      </c>
      <c r="C1124" s="12" t="s">
        <v>13</v>
      </c>
      <c r="D1124" s="12" t="s">
        <v>14</v>
      </c>
      <c r="E1124" s="14">
        <v>45197</v>
      </c>
      <c r="F1124" s="12" t="s">
        <v>18</v>
      </c>
      <c r="G1124" s="12" t="s">
        <v>19</v>
      </c>
      <c r="H1124" s="12" t="s">
        <v>57</v>
      </c>
      <c r="I1124" s="12">
        <v>229.99700000000001</v>
      </c>
      <c r="J1124" s="12">
        <v>192.785</v>
      </c>
      <c r="K1124" s="12">
        <v>3.9</v>
      </c>
      <c r="L1124" s="12">
        <v>11.7</v>
      </c>
    </row>
    <row r="1125" spans="1:12" ht="13.9" hidden="1" x14ac:dyDescent="0.25">
      <c r="A1125" s="12">
        <v>7404</v>
      </c>
      <c r="B1125" s="12">
        <v>1057184</v>
      </c>
      <c r="C1125" s="12" t="s">
        <v>13</v>
      </c>
      <c r="D1125" s="12" t="s">
        <v>14</v>
      </c>
      <c r="E1125" s="14">
        <v>45198</v>
      </c>
      <c r="F1125" s="12" t="s">
        <v>18</v>
      </c>
      <c r="G1125" s="12" t="s">
        <v>19</v>
      </c>
      <c r="H1125" s="12" t="s">
        <v>57</v>
      </c>
      <c r="I1125" s="12">
        <v>230.03</v>
      </c>
      <c r="J1125" s="12">
        <v>195.142</v>
      </c>
      <c r="K1125" s="12">
        <v>4.0999999999999996</v>
      </c>
      <c r="L1125" s="12">
        <v>11.6</v>
      </c>
    </row>
    <row r="1126" spans="1:12" ht="13.9" hidden="1" x14ac:dyDescent="0.25">
      <c r="A1126" s="12">
        <v>7405</v>
      </c>
      <c r="B1126" s="12">
        <v>1057293</v>
      </c>
      <c r="C1126" s="12" t="s">
        <v>13</v>
      </c>
      <c r="D1126" s="12" t="s">
        <v>14</v>
      </c>
      <c r="E1126" s="14">
        <v>45199</v>
      </c>
      <c r="F1126" s="12" t="s">
        <v>17</v>
      </c>
      <c r="G1126" s="12" t="s">
        <v>19</v>
      </c>
      <c r="H1126" s="12" t="s">
        <v>58</v>
      </c>
      <c r="I1126" s="12">
        <v>230</v>
      </c>
      <c r="J1126" s="12">
        <v>193.16800000000001</v>
      </c>
      <c r="K1126" s="12">
        <v>3.6</v>
      </c>
      <c r="L1126" s="12">
        <v>12.4</v>
      </c>
    </row>
    <row r="1127" spans="1:12" ht="13.9" hidden="1" x14ac:dyDescent="0.25">
      <c r="A1127" s="12">
        <v>7406</v>
      </c>
      <c r="B1127" s="12">
        <v>1057379</v>
      </c>
      <c r="C1127" s="12" t="s">
        <v>13</v>
      </c>
      <c r="D1127" s="12" t="s">
        <v>14</v>
      </c>
      <c r="E1127" s="14">
        <v>45200</v>
      </c>
      <c r="F1127" s="12" t="s">
        <v>64</v>
      </c>
      <c r="G1127" s="12" t="s">
        <v>20</v>
      </c>
      <c r="H1127" s="12" t="s">
        <v>56</v>
      </c>
      <c r="I1127" s="12">
        <v>230.01</v>
      </c>
      <c r="J1127" s="12">
        <v>192.245</v>
      </c>
      <c r="K1127" s="12">
        <v>4</v>
      </c>
      <c r="L1127" s="12">
        <v>11.1</v>
      </c>
    </row>
    <row r="1128" spans="1:12" ht="13.9" hidden="1" x14ac:dyDescent="0.25">
      <c r="A1128" s="12">
        <v>7407</v>
      </c>
      <c r="B1128" s="12">
        <v>1057479</v>
      </c>
      <c r="C1128" s="12" t="s">
        <v>13</v>
      </c>
      <c r="D1128" s="12" t="s">
        <v>14</v>
      </c>
      <c r="E1128" s="14">
        <v>45201</v>
      </c>
      <c r="F1128" s="12" t="s">
        <v>64</v>
      </c>
      <c r="G1128" s="12" t="s">
        <v>20</v>
      </c>
      <c r="H1128" s="12" t="s">
        <v>56</v>
      </c>
      <c r="I1128" s="12">
        <v>234.934</v>
      </c>
      <c r="J1128" s="12">
        <v>190.87899999999999</v>
      </c>
      <c r="K1128" s="12">
        <v>3.5</v>
      </c>
      <c r="L1128" s="12">
        <v>11.1</v>
      </c>
    </row>
    <row r="1129" spans="1:12" ht="13.9" hidden="1" x14ac:dyDescent="0.25">
      <c r="A1129" s="12">
        <v>7408</v>
      </c>
      <c r="B1129" s="12">
        <v>1057482</v>
      </c>
      <c r="C1129" s="12" t="s">
        <v>13</v>
      </c>
      <c r="D1129" s="12" t="s">
        <v>14</v>
      </c>
      <c r="E1129" s="14">
        <v>45202</v>
      </c>
      <c r="F1129" s="12" t="s">
        <v>64</v>
      </c>
      <c r="G1129" s="12" t="s">
        <v>20</v>
      </c>
      <c r="H1129" s="12" t="s">
        <v>56</v>
      </c>
      <c r="I1129" s="12">
        <v>235.09899999999999</v>
      </c>
      <c r="J1129" s="12">
        <v>198.358</v>
      </c>
      <c r="K1129" s="12">
        <v>4.2</v>
      </c>
      <c r="L1129" s="12">
        <v>11.5</v>
      </c>
    </row>
    <row r="1130" spans="1:12" ht="13.9" hidden="1" x14ac:dyDescent="0.25">
      <c r="A1130" s="12">
        <v>7409</v>
      </c>
      <c r="B1130" s="12">
        <v>1057511</v>
      </c>
      <c r="C1130" s="12" t="s">
        <v>13</v>
      </c>
      <c r="D1130" s="12" t="s">
        <v>14</v>
      </c>
      <c r="E1130" s="14">
        <v>45203</v>
      </c>
      <c r="F1130" s="12" t="s">
        <v>64</v>
      </c>
      <c r="G1130" s="12" t="s">
        <v>20</v>
      </c>
      <c r="H1130" s="12" t="s">
        <v>56</v>
      </c>
      <c r="I1130" s="12">
        <v>235.09200000000001</v>
      </c>
      <c r="J1130" s="12">
        <v>193.53899999999999</v>
      </c>
      <c r="K1130" s="12">
        <v>3.6</v>
      </c>
      <c r="L1130" s="12">
        <v>11.8</v>
      </c>
    </row>
    <row r="1131" spans="1:12" ht="13.9" hidden="1" x14ac:dyDescent="0.25">
      <c r="A1131" s="12">
        <v>7410</v>
      </c>
      <c r="B1131" s="12">
        <v>1057666</v>
      </c>
      <c r="C1131" s="12" t="s">
        <v>13</v>
      </c>
      <c r="D1131" s="12" t="s">
        <v>14</v>
      </c>
      <c r="E1131" s="14">
        <v>45204</v>
      </c>
      <c r="F1131" s="12" t="s">
        <v>64</v>
      </c>
      <c r="G1131" s="12" t="s">
        <v>20</v>
      </c>
      <c r="H1131" s="12" t="s">
        <v>56</v>
      </c>
      <c r="I1131" s="12">
        <v>234.98500000000001</v>
      </c>
      <c r="J1131" s="12">
        <v>187.65</v>
      </c>
      <c r="K1131" s="12">
        <v>3.6</v>
      </c>
      <c r="L1131" s="12">
        <v>11.1</v>
      </c>
    </row>
    <row r="1132" spans="1:12" ht="13.9" hidden="1" x14ac:dyDescent="0.25">
      <c r="A1132" s="12">
        <v>7411</v>
      </c>
      <c r="B1132" s="12">
        <v>1057855</v>
      </c>
      <c r="C1132" s="12" t="s">
        <v>13</v>
      </c>
      <c r="D1132" s="12" t="s">
        <v>14</v>
      </c>
      <c r="E1132" s="14">
        <v>45205</v>
      </c>
      <c r="F1132" s="12" t="s">
        <v>64</v>
      </c>
      <c r="G1132" s="12" t="s">
        <v>20</v>
      </c>
      <c r="H1132" s="12" t="s">
        <v>56</v>
      </c>
      <c r="I1132" s="12">
        <v>235.018</v>
      </c>
      <c r="J1132" s="12">
        <v>193.72</v>
      </c>
      <c r="K1132" s="12">
        <v>3.4</v>
      </c>
      <c r="L1132" s="12">
        <v>11.4</v>
      </c>
    </row>
    <row r="1133" spans="1:12" ht="13.9" hidden="1" x14ac:dyDescent="0.25">
      <c r="A1133" s="12">
        <v>7412</v>
      </c>
      <c r="B1133" s="12">
        <v>1057960</v>
      </c>
      <c r="C1133" s="12" t="s">
        <v>13</v>
      </c>
      <c r="D1133" s="12" t="s">
        <v>14</v>
      </c>
      <c r="E1133" s="14">
        <v>45206</v>
      </c>
      <c r="F1133" s="12" t="s">
        <v>64</v>
      </c>
      <c r="G1133" s="12" t="s">
        <v>20</v>
      </c>
      <c r="H1133" s="12" t="s">
        <v>56</v>
      </c>
      <c r="I1133" s="12">
        <v>235.00800000000001</v>
      </c>
      <c r="J1133" s="12">
        <v>195.89500000000001</v>
      </c>
      <c r="K1133" s="12">
        <v>4</v>
      </c>
      <c r="L1133" s="12">
        <v>11.3</v>
      </c>
    </row>
    <row r="1134" spans="1:12" ht="13.9" hidden="1" x14ac:dyDescent="0.25">
      <c r="A1134" s="12">
        <v>7413</v>
      </c>
      <c r="B1134" s="12">
        <v>1058045</v>
      </c>
      <c r="C1134" s="12" t="s">
        <v>13</v>
      </c>
      <c r="D1134" s="12" t="s">
        <v>14</v>
      </c>
      <c r="E1134" s="14">
        <v>45207</v>
      </c>
      <c r="F1134" s="12" t="s">
        <v>64</v>
      </c>
      <c r="G1134" s="12" t="s">
        <v>20</v>
      </c>
      <c r="H1134" s="12" t="s">
        <v>56</v>
      </c>
      <c r="I1134" s="12">
        <v>235.09299999999999</v>
      </c>
      <c r="J1134" s="12">
        <v>195.53899999999999</v>
      </c>
      <c r="K1134" s="12">
        <v>3.6</v>
      </c>
      <c r="L1134" s="12">
        <v>11.4</v>
      </c>
    </row>
    <row r="1135" spans="1:12" ht="13.9" hidden="1" x14ac:dyDescent="0.25">
      <c r="A1135" s="12">
        <v>7414</v>
      </c>
      <c r="B1135" s="12">
        <v>1058207</v>
      </c>
      <c r="C1135" s="12" t="s">
        <v>13</v>
      </c>
      <c r="D1135" s="12" t="s">
        <v>14</v>
      </c>
      <c r="E1135" s="14">
        <v>45208</v>
      </c>
      <c r="F1135" s="12" t="s">
        <v>18</v>
      </c>
      <c r="G1135" s="12" t="s">
        <v>20</v>
      </c>
      <c r="H1135" s="12" t="s">
        <v>56</v>
      </c>
      <c r="I1135" s="12">
        <v>234.96100000000001</v>
      </c>
      <c r="J1135" s="12">
        <v>197.16200000000001</v>
      </c>
      <c r="K1135" s="12">
        <v>4.4000000000000004</v>
      </c>
      <c r="L1135" s="12">
        <v>12</v>
      </c>
    </row>
    <row r="1136" spans="1:12" ht="13.9" hidden="1" x14ac:dyDescent="0.25">
      <c r="A1136" s="12">
        <v>7415</v>
      </c>
      <c r="B1136" s="12">
        <v>1058389</v>
      </c>
      <c r="C1136" s="12" t="s">
        <v>13</v>
      </c>
      <c r="D1136" s="12" t="s">
        <v>14</v>
      </c>
      <c r="E1136" s="14">
        <v>45209</v>
      </c>
      <c r="F1136" s="12" t="s">
        <v>18</v>
      </c>
      <c r="G1136" s="12" t="s">
        <v>20</v>
      </c>
      <c r="H1136" s="12" t="s">
        <v>56</v>
      </c>
      <c r="I1136" s="12">
        <v>235</v>
      </c>
      <c r="J1136" s="12">
        <v>197.71600000000001</v>
      </c>
      <c r="K1136" s="12">
        <v>3.8</v>
      </c>
      <c r="L1136" s="12">
        <v>11.5</v>
      </c>
    </row>
    <row r="1137" spans="1:12" ht="13.9" hidden="1" x14ac:dyDescent="0.25">
      <c r="A1137" s="12">
        <v>7416</v>
      </c>
      <c r="B1137" s="12">
        <v>1058391</v>
      </c>
      <c r="C1137" s="12" t="s">
        <v>13</v>
      </c>
      <c r="D1137" s="12" t="s">
        <v>14</v>
      </c>
      <c r="E1137" s="14">
        <v>45210</v>
      </c>
      <c r="F1137" s="12" t="s">
        <v>18</v>
      </c>
      <c r="G1137" s="12" t="s">
        <v>20</v>
      </c>
      <c r="H1137" s="12" t="s">
        <v>56</v>
      </c>
      <c r="I1137" s="12">
        <v>234.93199999999999</v>
      </c>
      <c r="J1137" s="12">
        <v>199.03</v>
      </c>
      <c r="K1137" s="12">
        <v>5.2</v>
      </c>
      <c r="L1137" s="12">
        <v>11.3</v>
      </c>
    </row>
    <row r="1138" spans="1:12" ht="13.9" hidden="1" x14ac:dyDescent="0.25">
      <c r="A1138" s="12">
        <v>7417</v>
      </c>
      <c r="B1138" s="12">
        <v>1058584</v>
      </c>
      <c r="C1138" s="12" t="s">
        <v>13</v>
      </c>
      <c r="D1138" s="12" t="s">
        <v>14</v>
      </c>
      <c r="E1138" s="14">
        <v>45211</v>
      </c>
      <c r="F1138" s="12" t="s">
        <v>18</v>
      </c>
      <c r="G1138" s="12" t="s">
        <v>20</v>
      </c>
      <c r="H1138" s="12" t="s">
        <v>56</v>
      </c>
      <c r="I1138" s="12">
        <v>235.02799999999999</v>
      </c>
      <c r="J1138" s="12">
        <v>195.98400000000001</v>
      </c>
      <c r="K1138" s="12">
        <v>3.7</v>
      </c>
      <c r="L1138" s="12">
        <v>11.5</v>
      </c>
    </row>
    <row r="1139" spans="1:12" ht="13.9" hidden="1" x14ac:dyDescent="0.25">
      <c r="A1139" s="12">
        <v>7418</v>
      </c>
      <c r="B1139" s="12">
        <v>1058720</v>
      </c>
      <c r="C1139" s="12" t="s">
        <v>13</v>
      </c>
      <c r="D1139" s="12" t="s">
        <v>14</v>
      </c>
      <c r="E1139" s="14">
        <v>45212</v>
      </c>
      <c r="F1139" s="12" t="s">
        <v>18</v>
      </c>
      <c r="G1139" s="12" t="s">
        <v>20</v>
      </c>
      <c r="H1139" s="12" t="s">
        <v>56</v>
      </c>
      <c r="I1139" s="12">
        <v>235.05199999999999</v>
      </c>
      <c r="J1139" s="12">
        <v>198.99299999999999</v>
      </c>
      <c r="K1139" s="12">
        <v>4.7</v>
      </c>
      <c r="L1139" s="12">
        <v>11.5</v>
      </c>
    </row>
    <row r="1140" spans="1:12" ht="13.9" hidden="1" x14ac:dyDescent="0.25">
      <c r="A1140" s="12">
        <v>7419</v>
      </c>
      <c r="B1140" s="12">
        <v>1058883</v>
      </c>
      <c r="C1140" s="12" t="s">
        <v>13</v>
      </c>
      <c r="D1140" s="12" t="s">
        <v>14</v>
      </c>
      <c r="E1140" s="14">
        <v>45213</v>
      </c>
      <c r="F1140" s="12" t="s">
        <v>18</v>
      </c>
      <c r="G1140" s="12" t="s">
        <v>20</v>
      </c>
      <c r="H1140" s="12" t="s">
        <v>56</v>
      </c>
      <c r="I1140" s="12">
        <v>234.941</v>
      </c>
      <c r="J1140" s="12">
        <v>190.328</v>
      </c>
      <c r="K1140" s="12">
        <v>4.7</v>
      </c>
      <c r="L1140" s="12">
        <v>11.8</v>
      </c>
    </row>
    <row r="1141" spans="1:12" ht="13.9" hidden="1" x14ac:dyDescent="0.25">
      <c r="A1141" s="12">
        <v>7420</v>
      </c>
      <c r="B1141" s="12">
        <v>1058915</v>
      </c>
      <c r="C1141" s="12" t="s">
        <v>13</v>
      </c>
      <c r="D1141" s="12" t="s">
        <v>14</v>
      </c>
      <c r="E1141" s="14">
        <v>45214</v>
      </c>
      <c r="F1141" s="12" t="s">
        <v>17</v>
      </c>
      <c r="G1141" s="12" t="s">
        <v>19</v>
      </c>
      <c r="H1141" s="12" t="s">
        <v>58</v>
      </c>
      <c r="I1141" s="12">
        <v>235.01400000000001</v>
      </c>
      <c r="J1141" s="12">
        <v>195.453</v>
      </c>
      <c r="K1141" s="12">
        <v>4.8</v>
      </c>
      <c r="L1141" s="12">
        <v>11.3</v>
      </c>
    </row>
    <row r="1142" spans="1:12" ht="13.9" hidden="1" x14ac:dyDescent="0.25">
      <c r="A1142" s="12">
        <v>7421</v>
      </c>
      <c r="B1142" s="12">
        <v>1058921</v>
      </c>
      <c r="C1142" s="12" t="s">
        <v>13</v>
      </c>
      <c r="D1142" s="12" t="s">
        <v>14</v>
      </c>
      <c r="E1142" s="14">
        <v>45215</v>
      </c>
      <c r="F1142" s="12" t="s">
        <v>17</v>
      </c>
      <c r="G1142" s="12" t="s">
        <v>19</v>
      </c>
      <c r="H1142" s="12" t="s">
        <v>58</v>
      </c>
      <c r="I1142" s="12">
        <v>235.00899999999999</v>
      </c>
      <c r="J1142" s="12">
        <v>198.374</v>
      </c>
      <c r="K1142" s="12">
        <v>3.4</v>
      </c>
      <c r="L1142" s="12">
        <v>11</v>
      </c>
    </row>
    <row r="1143" spans="1:12" ht="13.9" hidden="1" x14ac:dyDescent="0.25">
      <c r="A1143" s="12">
        <v>7422</v>
      </c>
      <c r="B1143" s="12">
        <v>1058923</v>
      </c>
      <c r="C1143" s="12" t="s">
        <v>13</v>
      </c>
      <c r="D1143" s="12" t="s">
        <v>14</v>
      </c>
      <c r="E1143" s="14">
        <v>45216</v>
      </c>
      <c r="F1143" s="12" t="s">
        <v>17</v>
      </c>
      <c r="G1143" s="12" t="s">
        <v>19</v>
      </c>
      <c r="H1143" s="12" t="s">
        <v>57</v>
      </c>
      <c r="I1143" s="12">
        <v>235.00899999999999</v>
      </c>
      <c r="J1143" s="12">
        <v>194.04400000000001</v>
      </c>
      <c r="K1143" s="12">
        <v>3.8</v>
      </c>
      <c r="L1143" s="12">
        <v>11</v>
      </c>
    </row>
    <row r="1144" spans="1:12" ht="13.9" hidden="1" x14ac:dyDescent="0.25">
      <c r="A1144" s="12">
        <v>7423</v>
      </c>
      <c r="B1144" s="12">
        <v>1059190</v>
      </c>
      <c r="C1144" s="12" t="s">
        <v>13</v>
      </c>
      <c r="D1144" s="12" t="s">
        <v>14</v>
      </c>
      <c r="E1144" s="14">
        <v>45217</v>
      </c>
      <c r="F1144" s="12" t="s">
        <v>17</v>
      </c>
      <c r="G1144" s="12" t="s">
        <v>19</v>
      </c>
      <c r="H1144" s="12" t="s">
        <v>57</v>
      </c>
      <c r="I1144" s="12">
        <v>235.00800000000001</v>
      </c>
      <c r="J1144" s="12">
        <v>198.35</v>
      </c>
      <c r="K1144" s="12">
        <v>3.8</v>
      </c>
      <c r="L1144" s="12">
        <v>11.6</v>
      </c>
    </row>
    <row r="1145" spans="1:12" ht="13.9" hidden="1" x14ac:dyDescent="0.25">
      <c r="A1145" s="12">
        <v>7424</v>
      </c>
      <c r="B1145" s="12">
        <v>1059413</v>
      </c>
      <c r="C1145" s="12" t="s">
        <v>13</v>
      </c>
      <c r="D1145" s="12" t="s">
        <v>14</v>
      </c>
      <c r="E1145" s="14">
        <v>45218</v>
      </c>
      <c r="F1145" s="12" t="s">
        <v>17</v>
      </c>
      <c r="G1145" s="12" t="s">
        <v>19</v>
      </c>
      <c r="H1145" s="12" t="s">
        <v>60</v>
      </c>
      <c r="I1145" s="12">
        <v>235.00800000000001</v>
      </c>
      <c r="J1145" s="12">
        <v>199.16399999999999</v>
      </c>
      <c r="K1145" s="12">
        <v>4.5999999999999996</v>
      </c>
      <c r="L1145" s="12">
        <v>11.6</v>
      </c>
    </row>
    <row r="1146" spans="1:12" ht="13.9" hidden="1" x14ac:dyDescent="0.25">
      <c r="A1146" s="12">
        <v>7425</v>
      </c>
      <c r="B1146" s="12">
        <v>1059602</v>
      </c>
      <c r="C1146" s="12" t="s">
        <v>13</v>
      </c>
      <c r="D1146" s="12" t="s">
        <v>14</v>
      </c>
      <c r="E1146" s="14">
        <v>45219</v>
      </c>
      <c r="F1146" s="12" t="s">
        <v>64</v>
      </c>
      <c r="G1146" s="12" t="s">
        <v>20</v>
      </c>
      <c r="H1146" s="12" t="s">
        <v>61</v>
      </c>
      <c r="I1146" s="12">
        <v>235.00800000000001</v>
      </c>
      <c r="J1146" s="12">
        <v>203.04599999999999</v>
      </c>
      <c r="K1146" s="12">
        <v>4.3</v>
      </c>
      <c r="L1146" s="12">
        <v>11.5</v>
      </c>
    </row>
    <row r="1147" spans="1:12" ht="13.9" hidden="1" x14ac:dyDescent="0.25">
      <c r="A1147" s="12">
        <v>7426</v>
      </c>
      <c r="B1147" s="12">
        <v>1059745</v>
      </c>
      <c r="C1147" s="12" t="s">
        <v>13</v>
      </c>
      <c r="D1147" s="12" t="s">
        <v>14</v>
      </c>
      <c r="E1147" s="14">
        <v>45220</v>
      </c>
      <c r="F1147" s="12" t="s">
        <v>17</v>
      </c>
      <c r="G1147" s="12" t="s">
        <v>19</v>
      </c>
      <c r="H1147" s="12" t="s">
        <v>58</v>
      </c>
      <c r="I1147" s="12">
        <v>235.005</v>
      </c>
      <c r="J1147" s="12">
        <v>204.11199999999999</v>
      </c>
      <c r="K1147" s="12">
        <v>4.5999999999999996</v>
      </c>
      <c r="L1147" s="12">
        <v>11.7</v>
      </c>
    </row>
    <row r="1148" spans="1:12" ht="13.9" hidden="1" x14ac:dyDescent="0.25">
      <c r="A1148" s="12">
        <v>7427</v>
      </c>
      <c r="B1148" s="12">
        <v>1059892</v>
      </c>
      <c r="C1148" s="12" t="s">
        <v>13</v>
      </c>
      <c r="D1148" s="12" t="s">
        <v>14</v>
      </c>
      <c r="E1148" s="14">
        <v>45221</v>
      </c>
      <c r="F1148" s="12" t="s">
        <v>64</v>
      </c>
      <c r="G1148" s="12" t="s">
        <v>20</v>
      </c>
      <c r="H1148" s="12" t="s">
        <v>62</v>
      </c>
      <c r="I1148" s="12">
        <v>235.01</v>
      </c>
      <c r="J1148" s="12">
        <v>195.62700000000001</v>
      </c>
      <c r="K1148" s="12">
        <v>4.0999999999999996</v>
      </c>
      <c r="L1148" s="12">
        <v>11.8</v>
      </c>
    </row>
    <row r="1149" spans="1:12" ht="13.9" hidden="1" x14ac:dyDescent="0.25">
      <c r="A1149" s="12">
        <v>7428</v>
      </c>
      <c r="B1149" s="12">
        <v>1060048</v>
      </c>
      <c r="C1149" s="12" t="s">
        <v>13</v>
      </c>
      <c r="D1149" s="12" t="s">
        <v>14</v>
      </c>
      <c r="E1149" s="14">
        <v>45222</v>
      </c>
      <c r="F1149" s="12" t="s">
        <v>18</v>
      </c>
      <c r="G1149" s="12" t="s">
        <v>20</v>
      </c>
      <c r="H1149" s="12" t="s">
        <v>56</v>
      </c>
      <c r="I1149" s="12">
        <v>235.01</v>
      </c>
      <c r="J1149" s="12">
        <v>197.93299999999999</v>
      </c>
      <c r="K1149" s="12">
        <v>4.0999999999999996</v>
      </c>
      <c r="L1149" s="12">
        <v>12</v>
      </c>
    </row>
    <row r="1150" spans="1:12" ht="13.9" hidden="1" x14ac:dyDescent="0.25">
      <c r="A1150" s="12">
        <v>7429</v>
      </c>
      <c r="B1150" s="12">
        <v>1060051</v>
      </c>
      <c r="C1150" s="12" t="s">
        <v>13</v>
      </c>
      <c r="D1150" s="12" t="s">
        <v>14</v>
      </c>
      <c r="E1150" s="14">
        <v>45223</v>
      </c>
      <c r="F1150" s="12" t="s">
        <v>18</v>
      </c>
      <c r="G1150" s="12" t="s">
        <v>20</v>
      </c>
      <c r="H1150" s="12" t="s">
        <v>56</v>
      </c>
      <c r="I1150" s="12">
        <v>235.01400000000001</v>
      </c>
      <c r="J1150" s="12">
        <v>196.46299999999999</v>
      </c>
      <c r="K1150" s="12">
        <v>3.7</v>
      </c>
      <c r="L1150" s="12">
        <v>10.9</v>
      </c>
    </row>
    <row r="1151" spans="1:12" ht="13.9" hidden="1" x14ac:dyDescent="0.25">
      <c r="A1151" s="12">
        <v>7430</v>
      </c>
      <c r="B1151" s="12">
        <v>1060097</v>
      </c>
      <c r="C1151" s="12" t="s">
        <v>13</v>
      </c>
      <c r="D1151" s="12" t="s">
        <v>14</v>
      </c>
      <c r="E1151" s="14">
        <v>45224</v>
      </c>
      <c r="F1151" s="12" t="s">
        <v>18</v>
      </c>
      <c r="G1151" s="12" t="s">
        <v>20</v>
      </c>
      <c r="H1151" s="12" t="s">
        <v>56</v>
      </c>
      <c r="I1151" s="12">
        <v>235.01</v>
      </c>
      <c r="J1151" s="12">
        <v>198.42099999999999</v>
      </c>
      <c r="K1151" s="12">
        <v>4.3</v>
      </c>
      <c r="L1151" s="12">
        <v>11.6</v>
      </c>
    </row>
    <row r="1152" spans="1:12" ht="13.9" hidden="1" x14ac:dyDescent="0.25">
      <c r="A1152" s="12">
        <v>7431</v>
      </c>
      <c r="B1152" s="12">
        <v>1060403</v>
      </c>
      <c r="C1152" s="12" t="s">
        <v>13</v>
      </c>
      <c r="D1152" s="12" t="s">
        <v>14</v>
      </c>
      <c r="E1152" s="14">
        <v>45225</v>
      </c>
      <c r="F1152" s="12" t="s">
        <v>18</v>
      </c>
      <c r="G1152" s="12" t="s">
        <v>20</v>
      </c>
      <c r="H1152" s="12" t="s">
        <v>56</v>
      </c>
      <c r="I1152" s="12">
        <v>235.01499999999999</v>
      </c>
      <c r="J1152" s="12">
        <v>194.7</v>
      </c>
      <c r="K1152" s="12">
        <v>4.0999999999999996</v>
      </c>
      <c r="L1152" s="12">
        <v>11.3</v>
      </c>
    </row>
    <row r="1153" spans="1:12" ht="13.9" hidden="1" x14ac:dyDescent="0.25">
      <c r="A1153" s="12">
        <v>7432</v>
      </c>
      <c r="B1153" s="12">
        <v>1060519</v>
      </c>
      <c r="C1153" s="12" t="s">
        <v>13</v>
      </c>
      <c r="D1153" s="12" t="s">
        <v>14</v>
      </c>
      <c r="E1153" s="14">
        <v>45226</v>
      </c>
      <c r="F1153" s="12" t="s">
        <v>18</v>
      </c>
      <c r="G1153" s="12" t="s">
        <v>20</v>
      </c>
      <c r="H1153" s="12" t="s">
        <v>56</v>
      </c>
      <c r="I1153" s="12">
        <v>235.01</v>
      </c>
      <c r="J1153" s="12">
        <v>204.845</v>
      </c>
      <c r="K1153" s="12">
        <v>5.2</v>
      </c>
      <c r="L1153" s="12">
        <v>10.7</v>
      </c>
    </row>
    <row r="1154" spans="1:12" ht="13.9" hidden="1" x14ac:dyDescent="0.25">
      <c r="A1154" s="12">
        <v>7433</v>
      </c>
      <c r="B1154" s="12">
        <v>1060709</v>
      </c>
      <c r="C1154" s="12" t="s">
        <v>13</v>
      </c>
      <c r="D1154" s="12" t="s">
        <v>14</v>
      </c>
      <c r="E1154" s="14">
        <v>45227</v>
      </c>
      <c r="F1154" s="12" t="s">
        <v>64</v>
      </c>
      <c r="G1154" s="12" t="s">
        <v>20</v>
      </c>
      <c r="H1154" s="12" t="s">
        <v>63</v>
      </c>
      <c r="I1154" s="12">
        <v>235.01300000000001</v>
      </c>
      <c r="J1154" s="12">
        <v>197.68600000000001</v>
      </c>
      <c r="K1154" s="12">
        <v>3.9</v>
      </c>
      <c r="L1154" s="12">
        <v>11.4</v>
      </c>
    </row>
    <row r="1155" spans="1:12" ht="13.9" hidden="1" x14ac:dyDescent="0.25">
      <c r="A1155" s="12">
        <v>7434</v>
      </c>
      <c r="B1155" s="12">
        <v>1060822</v>
      </c>
      <c r="C1155" s="12" t="s">
        <v>13</v>
      </c>
      <c r="D1155" s="12" t="s">
        <v>14</v>
      </c>
      <c r="E1155" s="14">
        <v>45228</v>
      </c>
      <c r="F1155" s="12" t="s">
        <v>18</v>
      </c>
      <c r="G1155" s="12" t="s">
        <v>19</v>
      </c>
      <c r="H1155" s="12" t="s">
        <v>57</v>
      </c>
      <c r="I1155" s="12">
        <v>235.00899999999999</v>
      </c>
      <c r="J1155" s="12">
        <v>199.57400000000001</v>
      </c>
      <c r="K1155" s="12">
        <v>4.2</v>
      </c>
      <c r="L1155" s="12">
        <v>11.5</v>
      </c>
    </row>
    <row r="1156" spans="1:12" ht="13.9" hidden="1" x14ac:dyDescent="0.25">
      <c r="A1156" s="12">
        <v>7435</v>
      </c>
      <c r="B1156" s="12">
        <v>1060945</v>
      </c>
      <c r="C1156" s="12" t="s">
        <v>13</v>
      </c>
      <c r="D1156" s="12" t="s">
        <v>14</v>
      </c>
      <c r="E1156" s="14">
        <v>45229</v>
      </c>
      <c r="F1156" s="12" t="s">
        <v>18</v>
      </c>
      <c r="G1156" s="12" t="s">
        <v>19</v>
      </c>
      <c r="H1156" s="12" t="s">
        <v>57</v>
      </c>
      <c r="I1156" s="12">
        <v>234.99799999999999</v>
      </c>
      <c r="J1156" s="12">
        <v>196.93</v>
      </c>
      <c r="K1156" s="12">
        <v>4</v>
      </c>
      <c r="L1156" s="12">
        <v>11.7</v>
      </c>
    </row>
    <row r="1157" spans="1:12" ht="13.9" hidden="1" x14ac:dyDescent="0.25">
      <c r="A1157" s="12">
        <v>7436</v>
      </c>
      <c r="B1157" s="12">
        <v>1060947</v>
      </c>
      <c r="C1157" s="12" t="s">
        <v>13</v>
      </c>
      <c r="D1157" s="12" t="s">
        <v>14</v>
      </c>
      <c r="E1157" s="14">
        <v>45230</v>
      </c>
      <c r="F1157" s="12" t="s">
        <v>65</v>
      </c>
      <c r="G1157" s="12" t="s">
        <v>20</v>
      </c>
      <c r="H1157" s="12" t="s">
        <v>62</v>
      </c>
      <c r="I1157" s="12">
        <v>234.97800000000001</v>
      </c>
      <c r="J1157" s="12">
        <v>201.50899999999999</v>
      </c>
      <c r="K1157" s="12">
        <v>3.7</v>
      </c>
      <c r="L1157" s="12">
        <v>11.9</v>
      </c>
    </row>
    <row r="1158" spans="1:12" ht="13.9" hidden="1" x14ac:dyDescent="0.25">
      <c r="A1158" s="12">
        <v>7437</v>
      </c>
      <c r="B1158" s="12">
        <v>1060983</v>
      </c>
      <c r="C1158" s="12" t="s">
        <v>13</v>
      </c>
      <c r="D1158" s="12" t="s">
        <v>14</v>
      </c>
      <c r="E1158" s="14">
        <v>45231</v>
      </c>
      <c r="F1158" s="12" t="s">
        <v>18</v>
      </c>
      <c r="G1158" s="12" t="s">
        <v>19</v>
      </c>
      <c r="H1158" s="12" t="s">
        <v>57</v>
      </c>
      <c r="I1158" s="12">
        <v>235.00299999999999</v>
      </c>
      <c r="J1158" s="12">
        <v>196.50200000000001</v>
      </c>
      <c r="K1158" s="12">
        <v>3.4</v>
      </c>
      <c r="L1158" s="12">
        <v>11.6</v>
      </c>
    </row>
    <row r="1159" spans="1:12" ht="13.9" hidden="1" x14ac:dyDescent="0.25">
      <c r="A1159" s="12">
        <v>7438</v>
      </c>
      <c r="B1159" s="12">
        <v>1061192</v>
      </c>
      <c r="C1159" s="12" t="s">
        <v>13</v>
      </c>
      <c r="D1159" s="12" t="s">
        <v>14</v>
      </c>
      <c r="E1159" s="14">
        <v>45232</v>
      </c>
      <c r="F1159" s="12" t="s">
        <v>17</v>
      </c>
      <c r="G1159" s="12" t="s">
        <v>19</v>
      </c>
      <c r="H1159" s="12" t="s">
        <v>60</v>
      </c>
      <c r="I1159" s="12">
        <v>235.017</v>
      </c>
      <c r="J1159" s="12">
        <v>200.964</v>
      </c>
      <c r="K1159" s="12">
        <v>3.8</v>
      </c>
      <c r="L1159" s="12">
        <v>12.4</v>
      </c>
    </row>
    <row r="1160" spans="1:12" ht="13.9" hidden="1" x14ac:dyDescent="0.25">
      <c r="A1160" s="12">
        <v>7439</v>
      </c>
      <c r="B1160" s="12">
        <v>1061357</v>
      </c>
      <c r="C1160" s="12" t="s">
        <v>13</v>
      </c>
      <c r="D1160" s="12" t="s">
        <v>14</v>
      </c>
      <c r="E1160" s="14">
        <v>45233</v>
      </c>
      <c r="F1160" s="12" t="s">
        <v>65</v>
      </c>
      <c r="G1160" s="12" t="s">
        <v>20</v>
      </c>
      <c r="H1160" s="12" t="s">
        <v>66</v>
      </c>
      <c r="I1160" s="12">
        <v>235.00200000000001</v>
      </c>
      <c r="J1160" s="12">
        <v>201.161</v>
      </c>
      <c r="K1160" s="12">
        <v>3.4</v>
      </c>
      <c r="L1160" s="12">
        <v>11.4</v>
      </c>
    </row>
    <row r="1161" spans="1:12" ht="13.9" hidden="1" x14ac:dyDescent="0.25">
      <c r="A1161" s="12">
        <v>7440</v>
      </c>
      <c r="B1161" s="12">
        <v>1061569</v>
      </c>
      <c r="C1161" s="12" t="s">
        <v>13</v>
      </c>
      <c r="D1161" s="12" t="s">
        <v>14</v>
      </c>
      <c r="E1161" s="14">
        <v>45234</v>
      </c>
      <c r="F1161" s="12" t="s">
        <v>65</v>
      </c>
      <c r="G1161" s="12" t="s">
        <v>20</v>
      </c>
      <c r="H1161" s="12" t="s">
        <v>61</v>
      </c>
      <c r="I1161" s="12">
        <v>235.01499999999999</v>
      </c>
      <c r="J1161" s="12">
        <v>198.75399999999999</v>
      </c>
      <c r="K1161" s="12">
        <v>4.7</v>
      </c>
      <c r="L1161" s="12">
        <v>11.7</v>
      </c>
    </row>
    <row r="1162" spans="1:12" ht="13.9" hidden="1" x14ac:dyDescent="0.25">
      <c r="A1162" s="12">
        <v>7441</v>
      </c>
      <c r="B1162" s="12">
        <v>1061594</v>
      </c>
      <c r="C1162" s="12" t="s">
        <v>13</v>
      </c>
      <c r="D1162" s="12" t="s">
        <v>14</v>
      </c>
      <c r="E1162" s="14">
        <v>45235</v>
      </c>
      <c r="F1162" s="12" t="s">
        <v>65</v>
      </c>
      <c r="G1162" s="12" t="s">
        <v>20</v>
      </c>
      <c r="H1162" s="12" t="s">
        <v>61</v>
      </c>
      <c r="I1162" s="12">
        <v>235.00700000000001</v>
      </c>
      <c r="J1162" s="12">
        <v>200.45599999999999</v>
      </c>
      <c r="K1162" s="12">
        <v>3.6</v>
      </c>
      <c r="L1162" s="12">
        <v>12.3</v>
      </c>
    </row>
    <row r="1163" spans="1:12" ht="13.9" hidden="1" x14ac:dyDescent="0.25">
      <c r="A1163" s="12">
        <v>7442</v>
      </c>
      <c r="B1163" s="12">
        <v>1061597</v>
      </c>
      <c r="C1163" s="12" t="s">
        <v>13</v>
      </c>
      <c r="D1163" s="12" t="s">
        <v>14</v>
      </c>
      <c r="E1163" s="14">
        <v>45236</v>
      </c>
      <c r="F1163" s="12" t="s">
        <v>17</v>
      </c>
      <c r="G1163" s="12" t="s">
        <v>19</v>
      </c>
      <c r="H1163" s="12" t="s">
        <v>67</v>
      </c>
      <c r="I1163" s="12">
        <v>235.03299999999999</v>
      </c>
      <c r="J1163" s="12">
        <v>201.429</v>
      </c>
      <c r="K1163" s="12">
        <v>3.6</v>
      </c>
      <c r="L1163" s="12">
        <v>11.8</v>
      </c>
    </row>
    <row r="1164" spans="1:12" ht="13.9" hidden="1" x14ac:dyDescent="0.25">
      <c r="A1164" s="12">
        <v>7443</v>
      </c>
      <c r="B1164" s="12">
        <v>1061603</v>
      </c>
      <c r="C1164" s="12" t="s">
        <v>13</v>
      </c>
      <c r="D1164" s="12" t="s">
        <v>14</v>
      </c>
      <c r="E1164" s="14">
        <v>45237</v>
      </c>
      <c r="F1164" s="12" t="s">
        <v>17</v>
      </c>
      <c r="G1164" s="12" t="s">
        <v>19</v>
      </c>
      <c r="H1164" s="12" t="s">
        <v>67</v>
      </c>
      <c r="I1164" s="12">
        <v>235</v>
      </c>
      <c r="J1164" s="12">
        <v>198.721</v>
      </c>
      <c r="K1164" s="12">
        <v>3.1</v>
      </c>
      <c r="L1164" s="12">
        <v>11.7</v>
      </c>
    </row>
    <row r="1165" spans="1:12" ht="13.9" hidden="1" x14ac:dyDescent="0.25">
      <c r="A1165" s="12">
        <v>7444</v>
      </c>
      <c r="B1165" s="12">
        <v>1061982</v>
      </c>
      <c r="C1165" s="12" t="s">
        <v>13</v>
      </c>
      <c r="D1165" s="12" t="s">
        <v>14</v>
      </c>
      <c r="E1165" s="14">
        <v>45238</v>
      </c>
      <c r="F1165" s="12" t="s">
        <v>17</v>
      </c>
      <c r="G1165" s="12" t="s">
        <v>19</v>
      </c>
      <c r="H1165" s="12" t="s">
        <v>68</v>
      </c>
      <c r="I1165" s="12">
        <v>235.01400000000001</v>
      </c>
      <c r="J1165" s="12">
        <v>201.624</v>
      </c>
      <c r="K1165" s="12">
        <v>3.7</v>
      </c>
      <c r="L1165" s="12">
        <v>11.6</v>
      </c>
    </row>
    <row r="1166" spans="1:12" ht="13.9" hidden="1" x14ac:dyDescent="0.25">
      <c r="A1166" s="12">
        <v>7445</v>
      </c>
      <c r="B1166" s="12">
        <v>1062278</v>
      </c>
      <c r="C1166" s="12" t="s">
        <v>13</v>
      </c>
      <c r="D1166" s="12" t="s">
        <v>14</v>
      </c>
      <c r="E1166" s="14">
        <v>45239</v>
      </c>
      <c r="I1166" s="12">
        <v>235.02</v>
      </c>
      <c r="J1166" s="12">
        <v>204.386</v>
      </c>
      <c r="K1166" s="12">
        <v>4.3</v>
      </c>
      <c r="L1166" s="12">
        <v>11.5</v>
      </c>
    </row>
    <row r="1167" spans="1:12" ht="13.9" hidden="1" x14ac:dyDescent="0.25">
      <c r="A1167" s="12">
        <v>7446</v>
      </c>
      <c r="B1167" s="12">
        <v>1062421</v>
      </c>
      <c r="C1167" s="12" t="s">
        <v>13</v>
      </c>
      <c r="D1167" s="12" t="s">
        <v>14</v>
      </c>
      <c r="E1167" s="14">
        <v>45240</v>
      </c>
      <c r="F1167" s="12" t="s">
        <v>65</v>
      </c>
      <c r="G1167" s="12" t="s">
        <v>20</v>
      </c>
      <c r="H1167" s="12" t="s">
        <v>56</v>
      </c>
      <c r="I1167" s="12">
        <v>235.00899999999999</v>
      </c>
      <c r="J1167" s="12">
        <v>199.577</v>
      </c>
      <c r="K1167" s="12">
        <v>4</v>
      </c>
      <c r="L1167" s="12">
        <v>11.7</v>
      </c>
    </row>
    <row r="1168" spans="1:12" ht="13.9" hidden="1" x14ac:dyDescent="0.25">
      <c r="A1168" s="12">
        <v>7447</v>
      </c>
      <c r="B1168" s="12">
        <v>1062423</v>
      </c>
      <c r="C1168" s="12" t="s">
        <v>13</v>
      </c>
      <c r="D1168" s="12" t="s">
        <v>14</v>
      </c>
      <c r="E1168" s="14">
        <v>45241</v>
      </c>
      <c r="F1168" s="12" t="s">
        <v>65</v>
      </c>
      <c r="G1168" s="12" t="s">
        <v>20</v>
      </c>
      <c r="H1168" s="12" t="s">
        <v>56</v>
      </c>
      <c r="I1168" s="12">
        <v>235.00399999999999</v>
      </c>
      <c r="J1168" s="12">
        <v>200.07599999999999</v>
      </c>
      <c r="K1168" s="12">
        <v>4.3</v>
      </c>
      <c r="L1168" s="12">
        <v>11.7</v>
      </c>
    </row>
    <row r="1169" spans="1:12" ht="13.9" hidden="1" x14ac:dyDescent="0.25">
      <c r="A1169" s="12">
        <v>7448</v>
      </c>
      <c r="B1169" s="12">
        <v>1062579</v>
      </c>
      <c r="C1169" s="12" t="s">
        <v>13</v>
      </c>
      <c r="D1169" s="12" t="s">
        <v>14</v>
      </c>
      <c r="E1169" s="14">
        <v>45242</v>
      </c>
      <c r="F1169" s="12" t="s">
        <v>65</v>
      </c>
      <c r="G1169" s="12" t="s">
        <v>20</v>
      </c>
      <c r="H1169" s="12" t="s">
        <v>56</v>
      </c>
      <c r="I1169" s="12">
        <v>234.96100000000001</v>
      </c>
      <c r="J1169" s="12">
        <v>210.87299999999999</v>
      </c>
      <c r="K1169" s="12">
        <v>4.5</v>
      </c>
      <c r="L1169" s="12">
        <v>11.1</v>
      </c>
    </row>
    <row r="1170" spans="1:12" ht="13.9" hidden="1" x14ac:dyDescent="0.25">
      <c r="A1170" s="12">
        <v>7449</v>
      </c>
      <c r="B1170" s="12">
        <v>1062718</v>
      </c>
      <c r="C1170" s="12" t="s">
        <v>13</v>
      </c>
      <c r="D1170" s="12" t="s">
        <v>14</v>
      </c>
      <c r="E1170" s="14">
        <v>45243</v>
      </c>
      <c r="F1170" s="12" t="s">
        <v>18</v>
      </c>
      <c r="G1170" s="12" t="s">
        <v>19</v>
      </c>
      <c r="H1170" s="12" t="s">
        <v>57</v>
      </c>
      <c r="I1170" s="12">
        <v>234.96</v>
      </c>
      <c r="J1170" s="12">
        <v>189.49799999999999</v>
      </c>
      <c r="K1170" s="12">
        <v>4.2</v>
      </c>
      <c r="L1170" s="12">
        <v>10.1</v>
      </c>
    </row>
    <row r="1171" spans="1:12" ht="13.9" hidden="1" x14ac:dyDescent="0.25">
      <c r="A1171" s="12">
        <v>7450</v>
      </c>
      <c r="B1171" s="12">
        <v>1062719</v>
      </c>
      <c r="C1171" s="12" t="s">
        <v>13</v>
      </c>
      <c r="D1171" s="12" t="s">
        <v>14</v>
      </c>
      <c r="E1171" s="14">
        <v>45244</v>
      </c>
      <c r="F1171" s="12" t="s">
        <v>18</v>
      </c>
      <c r="G1171" s="12" t="s">
        <v>19</v>
      </c>
      <c r="H1171" s="12" t="s">
        <v>57</v>
      </c>
      <c r="I1171" s="12">
        <v>235.02</v>
      </c>
      <c r="J1171" s="12">
        <v>200.935</v>
      </c>
      <c r="K1171" s="12">
        <v>4.3</v>
      </c>
      <c r="L1171" s="12">
        <v>12</v>
      </c>
    </row>
    <row r="1172" spans="1:12" ht="13.9" hidden="1" x14ac:dyDescent="0.25">
      <c r="A1172" s="12">
        <v>7451</v>
      </c>
      <c r="B1172" s="12">
        <v>1062748</v>
      </c>
      <c r="C1172" s="12" t="s">
        <v>13</v>
      </c>
      <c r="D1172" s="12" t="s">
        <v>14</v>
      </c>
      <c r="E1172" s="14">
        <v>45245</v>
      </c>
      <c r="F1172" s="12" t="s">
        <v>18</v>
      </c>
      <c r="G1172" s="12" t="s">
        <v>19</v>
      </c>
      <c r="H1172" s="12" t="s">
        <v>57</v>
      </c>
      <c r="I1172" s="12">
        <v>235</v>
      </c>
      <c r="J1172" s="12">
        <v>199.47800000000001</v>
      </c>
      <c r="K1172" s="12">
        <v>3.5</v>
      </c>
      <c r="L1172" s="12">
        <v>12</v>
      </c>
    </row>
    <row r="1173" spans="1:12" ht="13.9" hidden="1" x14ac:dyDescent="0.25">
      <c r="A1173" s="12">
        <v>7452</v>
      </c>
      <c r="B1173" s="12">
        <v>1062959</v>
      </c>
      <c r="C1173" s="12" t="s">
        <v>13</v>
      </c>
      <c r="D1173" s="12" t="s">
        <v>14</v>
      </c>
      <c r="E1173" s="14">
        <v>45246</v>
      </c>
      <c r="F1173" s="12" t="s">
        <v>18</v>
      </c>
      <c r="G1173" s="12" t="s">
        <v>19</v>
      </c>
      <c r="H1173" s="12" t="s">
        <v>57</v>
      </c>
      <c r="I1173" s="12">
        <v>235.005</v>
      </c>
      <c r="J1173" s="12">
        <v>201.078</v>
      </c>
      <c r="K1173" s="12">
        <v>5.7</v>
      </c>
      <c r="L1173" s="12">
        <v>12</v>
      </c>
    </row>
    <row r="1174" spans="1:12" ht="13.9" hidden="1" x14ac:dyDescent="0.25">
      <c r="A1174" s="12">
        <v>7453</v>
      </c>
      <c r="B1174" s="12">
        <v>1063136</v>
      </c>
      <c r="C1174" s="12" t="s">
        <v>13</v>
      </c>
      <c r="D1174" s="12" t="s">
        <v>14</v>
      </c>
      <c r="E1174" s="14">
        <v>45247</v>
      </c>
      <c r="F1174" s="12" t="s">
        <v>18</v>
      </c>
      <c r="G1174" s="12" t="s">
        <v>19</v>
      </c>
      <c r="H1174" s="12" t="s">
        <v>57</v>
      </c>
      <c r="I1174" s="12">
        <v>235.053</v>
      </c>
      <c r="J1174" s="12">
        <v>200.93100000000001</v>
      </c>
      <c r="K1174" s="12">
        <v>3.5</v>
      </c>
      <c r="L1174" s="12">
        <v>11.8</v>
      </c>
    </row>
    <row r="1175" spans="1:12" ht="13.9" hidden="1" x14ac:dyDescent="0.25">
      <c r="A1175" s="12">
        <v>7454</v>
      </c>
      <c r="B1175" s="12">
        <v>1063287</v>
      </c>
      <c r="C1175" s="12" t="s">
        <v>13</v>
      </c>
      <c r="D1175" s="12" t="s">
        <v>14</v>
      </c>
      <c r="E1175" s="14">
        <v>45248</v>
      </c>
      <c r="F1175" s="12" t="s">
        <v>52</v>
      </c>
      <c r="G1175" s="12" t="s">
        <v>20</v>
      </c>
      <c r="H1175" s="12" t="s">
        <v>53</v>
      </c>
      <c r="I1175" s="12">
        <v>235.02799999999999</v>
      </c>
      <c r="J1175" s="12">
        <v>201.15199999999999</v>
      </c>
      <c r="K1175" s="12">
        <v>4.0999999999999996</v>
      </c>
      <c r="L1175" s="12">
        <v>11.9</v>
      </c>
    </row>
    <row r="1176" spans="1:12" ht="13.9" hidden="1" x14ac:dyDescent="0.25">
      <c r="A1176" s="12">
        <v>7455</v>
      </c>
      <c r="B1176" s="12">
        <v>1063440</v>
      </c>
      <c r="C1176" s="12" t="s">
        <v>13</v>
      </c>
      <c r="D1176" s="12" t="s">
        <v>14</v>
      </c>
      <c r="E1176" s="14">
        <v>45249</v>
      </c>
      <c r="F1176" s="12" t="s">
        <v>52</v>
      </c>
      <c r="G1176" s="12" t="s">
        <v>20</v>
      </c>
      <c r="H1176" s="12" t="s">
        <v>53</v>
      </c>
      <c r="I1176" s="12">
        <v>235.011</v>
      </c>
      <c r="J1176" s="12">
        <v>196.98599999999999</v>
      </c>
      <c r="K1176" s="12">
        <v>4.5</v>
      </c>
      <c r="L1176" s="12">
        <v>11.7</v>
      </c>
    </row>
    <row r="1177" spans="1:12" ht="13.9" hidden="1" x14ac:dyDescent="0.25">
      <c r="A1177" s="12">
        <v>7456</v>
      </c>
      <c r="B1177" s="12">
        <v>1063611</v>
      </c>
      <c r="C1177" s="12" t="s">
        <v>13</v>
      </c>
      <c r="D1177" s="12" t="s">
        <v>14</v>
      </c>
      <c r="E1177" s="14">
        <v>45250</v>
      </c>
      <c r="F1177" s="12" t="s">
        <v>17</v>
      </c>
      <c r="G1177" s="12" t="s">
        <v>19</v>
      </c>
      <c r="H1177" s="12" t="s">
        <v>69</v>
      </c>
      <c r="I1177" s="12">
        <v>234.995</v>
      </c>
      <c r="J1177" s="12">
        <v>201.79499999999999</v>
      </c>
      <c r="K1177" s="12">
        <v>5.0999999999999996</v>
      </c>
      <c r="L1177" s="12">
        <v>11.4</v>
      </c>
    </row>
    <row r="1178" spans="1:12" ht="13.9" hidden="1" x14ac:dyDescent="0.25">
      <c r="A1178" s="12">
        <v>7457</v>
      </c>
      <c r="B1178" s="20">
        <v>1063612</v>
      </c>
      <c r="C1178" s="12" t="s">
        <v>13</v>
      </c>
      <c r="D1178" s="12" t="s">
        <v>14</v>
      </c>
      <c r="E1178" s="14">
        <v>45251</v>
      </c>
      <c r="F1178" s="12" t="s">
        <v>18</v>
      </c>
      <c r="G1178" s="12" t="s">
        <v>19</v>
      </c>
      <c r="H1178" s="12" t="s">
        <v>57</v>
      </c>
      <c r="I1178" s="12">
        <v>235.001</v>
      </c>
      <c r="J1178" s="12">
        <v>201.89500000000001</v>
      </c>
      <c r="L1178" s="12">
        <v>11.6</v>
      </c>
    </row>
    <row r="1179" spans="1:12" ht="13.9" hidden="1" x14ac:dyDescent="0.25">
      <c r="A1179" s="12">
        <v>7458</v>
      </c>
      <c r="B1179" s="12">
        <v>1063651</v>
      </c>
      <c r="C1179" s="12" t="s">
        <v>13</v>
      </c>
      <c r="D1179" s="12" t="s">
        <v>14</v>
      </c>
      <c r="E1179" s="14">
        <v>45252</v>
      </c>
      <c r="F1179" s="12" t="s">
        <v>18</v>
      </c>
      <c r="G1179" s="12" t="s">
        <v>19</v>
      </c>
      <c r="H1179" s="12" t="s">
        <v>57</v>
      </c>
      <c r="I1179" s="12">
        <v>235.005</v>
      </c>
      <c r="J1179" s="12">
        <v>198.63800000000001</v>
      </c>
      <c r="K1179" s="12">
        <v>4</v>
      </c>
      <c r="L1179" s="12">
        <v>11.9</v>
      </c>
    </row>
    <row r="1180" spans="1:12" ht="13.9" hidden="1" x14ac:dyDescent="0.25">
      <c r="A1180" s="12">
        <v>7459</v>
      </c>
      <c r="B1180" s="12">
        <v>1063903</v>
      </c>
      <c r="C1180" s="12" t="s">
        <v>13</v>
      </c>
      <c r="D1180" s="12" t="s">
        <v>14</v>
      </c>
      <c r="E1180" s="14">
        <v>45253</v>
      </c>
      <c r="F1180" s="12" t="s">
        <v>18</v>
      </c>
      <c r="G1180" s="12" t="s">
        <v>19</v>
      </c>
      <c r="H1180" s="12" t="s">
        <v>57</v>
      </c>
      <c r="I1180" s="12">
        <v>235.06100000000001</v>
      </c>
      <c r="J1180" s="12">
        <v>200.495</v>
      </c>
      <c r="K1180" s="12">
        <v>3.5</v>
      </c>
      <c r="L1180" s="12">
        <v>12.1</v>
      </c>
    </row>
    <row r="1181" spans="1:12" ht="13.9" hidden="1" x14ac:dyDescent="0.25">
      <c r="A1181" s="12">
        <v>7460</v>
      </c>
      <c r="B1181" s="12">
        <v>1064143</v>
      </c>
      <c r="C1181" s="12" t="s">
        <v>13</v>
      </c>
      <c r="D1181" s="12" t="s">
        <v>14</v>
      </c>
      <c r="E1181" s="14">
        <v>45254</v>
      </c>
      <c r="F1181" s="12" t="s">
        <v>18</v>
      </c>
      <c r="G1181" s="12" t="s">
        <v>19</v>
      </c>
      <c r="H1181" s="12" t="s">
        <v>57</v>
      </c>
      <c r="I1181" s="12">
        <v>234.99700000000001</v>
      </c>
      <c r="J1181" s="12">
        <v>203.67599999999999</v>
      </c>
      <c r="K1181" s="12">
        <v>4.2</v>
      </c>
      <c r="L1181" s="12">
        <v>12.2</v>
      </c>
    </row>
    <row r="1182" spans="1:12" ht="13.9" hidden="1" x14ac:dyDescent="0.25">
      <c r="A1182" s="12">
        <v>7461</v>
      </c>
      <c r="B1182" s="12">
        <v>1064289</v>
      </c>
      <c r="C1182" s="12" t="s">
        <v>13</v>
      </c>
      <c r="D1182" s="12" t="s">
        <v>14</v>
      </c>
      <c r="E1182" s="14">
        <v>45255</v>
      </c>
      <c r="F1182" s="12" t="s">
        <v>18</v>
      </c>
      <c r="G1182" s="12" t="s">
        <v>19</v>
      </c>
      <c r="H1182" s="12" t="s">
        <v>57</v>
      </c>
      <c r="I1182" s="12">
        <v>235.05</v>
      </c>
      <c r="J1182" s="12">
        <v>201.46799999999999</v>
      </c>
      <c r="K1182" s="12">
        <v>3.6</v>
      </c>
      <c r="L1182" s="12">
        <v>12.3</v>
      </c>
    </row>
    <row r="1183" spans="1:12" ht="13.9" hidden="1" x14ac:dyDescent="0.25">
      <c r="A1183" s="12">
        <v>7462</v>
      </c>
      <c r="B1183" s="12">
        <v>1064290</v>
      </c>
      <c r="C1183" s="12" t="s">
        <v>13</v>
      </c>
      <c r="D1183" s="12" t="s">
        <v>14</v>
      </c>
      <c r="E1183" s="14">
        <v>45256</v>
      </c>
      <c r="F1183" s="12" t="s">
        <v>46</v>
      </c>
      <c r="G1183" s="12" t="s">
        <v>70</v>
      </c>
      <c r="H1183" s="12" t="s">
        <v>71</v>
      </c>
      <c r="I1183" s="12">
        <v>235.035</v>
      </c>
      <c r="J1183" s="12">
        <v>201.66200000000001</v>
      </c>
      <c r="K1183" s="12">
        <v>3.8</v>
      </c>
      <c r="L1183" s="12">
        <v>12.1</v>
      </c>
    </row>
    <row r="1184" spans="1:12" ht="13.9" hidden="1" x14ac:dyDescent="0.25">
      <c r="A1184" s="12">
        <v>7463</v>
      </c>
      <c r="B1184" s="20">
        <v>1064535</v>
      </c>
      <c r="C1184" s="12" t="s">
        <v>13</v>
      </c>
      <c r="D1184" s="12" t="s">
        <v>14</v>
      </c>
      <c r="E1184" s="14">
        <v>45257</v>
      </c>
      <c r="F1184" s="12" t="s">
        <v>64</v>
      </c>
      <c r="G1184" s="12" t="s">
        <v>20</v>
      </c>
      <c r="H1184" s="12" t="s">
        <v>62</v>
      </c>
      <c r="I1184" s="12">
        <v>235</v>
      </c>
      <c r="J1184" s="12">
        <v>201.41399999999999</v>
      </c>
      <c r="L1184" s="12">
        <v>12.8</v>
      </c>
    </row>
    <row r="1185" spans="1:12" ht="13.9" hidden="1" x14ac:dyDescent="0.25">
      <c r="A1185" s="12">
        <v>7464</v>
      </c>
      <c r="B1185" s="12">
        <v>1064551</v>
      </c>
      <c r="C1185" s="12" t="s">
        <v>13</v>
      </c>
      <c r="D1185" s="12" t="s">
        <v>14</v>
      </c>
      <c r="E1185" s="14">
        <v>45258</v>
      </c>
      <c r="F1185" s="12" t="s">
        <v>64</v>
      </c>
      <c r="G1185" s="12" t="s">
        <v>20</v>
      </c>
      <c r="H1185" s="12" t="s">
        <v>62</v>
      </c>
      <c r="I1185" s="12">
        <v>235.07300000000001</v>
      </c>
      <c r="J1185" s="12">
        <v>198.46100000000001</v>
      </c>
      <c r="K1185" s="12">
        <v>4.7</v>
      </c>
    </row>
    <row r="1186" spans="1:12" ht="13.9" hidden="1" x14ac:dyDescent="0.25">
      <c r="A1186" s="12">
        <v>7465</v>
      </c>
      <c r="B1186" s="12">
        <v>1064621</v>
      </c>
      <c r="C1186" s="12" t="s">
        <v>13</v>
      </c>
      <c r="D1186" s="12" t="s">
        <v>14</v>
      </c>
      <c r="E1186" s="14">
        <v>45258</v>
      </c>
      <c r="F1186" s="12" t="s">
        <v>64</v>
      </c>
      <c r="G1186" s="12" t="s">
        <v>20</v>
      </c>
      <c r="H1186" s="12" t="s">
        <v>62</v>
      </c>
      <c r="I1186" s="12">
        <v>235.07300000000001</v>
      </c>
      <c r="J1186" s="12">
        <v>199.63</v>
      </c>
      <c r="K1186" s="12">
        <v>3.9</v>
      </c>
    </row>
    <row r="1187" spans="1:12" ht="13.9" hidden="1" x14ac:dyDescent="0.25">
      <c r="A1187" s="12">
        <v>7466</v>
      </c>
      <c r="B1187" s="12">
        <v>1064953</v>
      </c>
      <c r="C1187" s="12" t="s">
        <v>13</v>
      </c>
      <c r="D1187" s="12" t="s">
        <v>14</v>
      </c>
      <c r="E1187" s="14">
        <v>45259</v>
      </c>
      <c r="F1187" s="12" t="s">
        <v>18</v>
      </c>
      <c r="G1187" s="12" t="s">
        <v>20</v>
      </c>
      <c r="H1187" s="12" t="s">
        <v>62</v>
      </c>
      <c r="I1187" s="12">
        <v>235.01</v>
      </c>
      <c r="J1187" s="12">
        <v>205.61099999999999</v>
      </c>
      <c r="K1187" s="12">
        <v>5.0999999999999996</v>
      </c>
      <c r="L1187" s="12">
        <v>12</v>
      </c>
    </row>
    <row r="1188" spans="1:12" ht="13.9" hidden="1" x14ac:dyDescent="0.25">
      <c r="A1188" s="12">
        <v>7467</v>
      </c>
      <c r="B1188" s="12">
        <v>1065054</v>
      </c>
      <c r="C1188" s="12" t="s">
        <v>13</v>
      </c>
      <c r="D1188" s="12" t="s">
        <v>14</v>
      </c>
      <c r="E1188" s="14">
        <v>45260</v>
      </c>
      <c r="F1188" s="12" t="s">
        <v>18</v>
      </c>
      <c r="G1188" s="12" t="s">
        <v>20</v>
      </c>
      <c r="H1188" s="12" t="s">
        <v>62</v>
      </c>
      <c r="I1188" s="12">
        <v>235.012</v>
      </c>
      <c r="J1188" s="12">
        <v>196.89</v>
      </c>
      <c r="K1188" s="12">
        <v>3.6</v>
      </c>
      <c r="L1188" s="12">
        <v>12.1</v>
      </c>
    </row>
    <row r="1189" spans="1:12" ht="13.9" hidden="1" x14ac:dyDescent="0.25">
      <c r="A1189" s="12">
        <v>7468</v>
      </c>
      <c r="B1189" s="12">
        <v>1065221</v>
      </c>
      <c r="C1189" s="12" t="s">
        <v>13</v>
      </c>
      <c r="D1189" s="12" t="s">
        <v>14</v>
      </c>
      <c r="E1189" s="14">
        <v>45261</v>
      </c>
      <c r="F1189" s="12" t="s">
        <v>18</v>
      </c>
      <c r="G1189" s="12" t="s">
        <v>20</v>
      </c>
      <c r="H1189" s="12" t="s">
        <v>62</v>
      </c>
      <c r="I1189" s="12">
        <v>235.02699999999999</v>
      </c>
      <c r="J1189" s="12">
        <v>200.88</v>
      </c>
      <c r="K1189" s="12">
        <v>4.8</v>
      </c>
      <c r="L1189" s="12">
        <v>12.2</v>
      </c>
    </row>
    <row r="1190" spans="1:12" ht="13.9" hidden="1" x14ac:dyDescent="0.25">
      <c r="A1190" s="12">
        <v>7469</v>
      </c>
      <c r="B1190" s="12">
        <v>1065222</v>
      </c>
      <c r="C1190" s="12" t="s">
        <v>13</v>
      </c>
      <c r="D1190" s="12" t="s">
        <v>14</v>
      </c>
      <c r="E1190" s="14">
        <v>45262</v>
      </c>
      <c r="F1190" s="12" t="s">
        <v>18</v>
      </c>
      <c r="G1190" s="12" t="s">
        <v>19</v>
      </c>
      <c r="H1190" s="12" t="s">
        <v>57</v>
      </c>
      <c r="I1190" s="12">
        <v>234.99799999999999</v>
      </c>
      <c r="J1190" s="12">
        <v>202.80199999999999</v>
      </c>
      <c r="K1190" s="12">
        <v>3.3</v>
      </c>
      <c r="L1190" s="12">
        <v>11.9</v>
      </c>
    </row>
    <row r="1191" spans="1:12" ht="13.9" hidden="1" x14ac:dyDescent="0.25">
      <c r="A1191" s="12">
        <v>7470</v>
      </c>
      <c r="B1191" s="12">
        <v>1065223</v>
      </c>
      <c r="C1191" s="12" t="s">
        <v>13</v>
      </c>
      <c r="D1191" s="12" t="s">
        <v>14</v>
      </c>
      <c r="E1191" s="14">
        <v>45263</v>
      </c>
      <c r="F1191" s="12" t="s">
        <v>18</v>
      </c>
      <c r="G1191" s="12" t="s">
        <v>19</v>
      </c>
      <c r="H1191" s="12" t="s">
        <v>57</v>
      </c>
      <c r="I1191" s="12">
        <v>235.00299999999999</v>
      </c>
      <c r="J1191" s="12">
        <v>200.80500000000001</v>
      </c>
      <c r="K1191" s="12">
        <v>4.3</v>
      </c>
      <c r="L1191" s="12">
        <v>11.9</v>
      </c>
    </row>
    <row r="1192" spans="1:12" ht="13.9" hidden="1" x14ac:dyDescent="0.25">
      <c r="A1192" s="12">
        <v>7471</v>
      </c>
      <c r="B1192" s="12">
        <v>1065368</v>
      </c>
      <c r="C1192" s="12" t="s">
        <v>13</v>
      </c>
      <c r="D1192" s="12" t="s">
        <v>14</v>
      </c>
      <c r="E1192" s="14">
        <v>45264</v>
      </c>
      <c r="F1192" s="12" t="s">
        <v>18</v>
      </c>
      <c r="G1192" s="12" t="s">
        <v>19</v>
      </c>
      <c r="H1192" s="12" t="s">
        <v>57</v>
      </c>
      <c r="I1192" s="12">
        <v>235.01499999999999</v>
      </c>
      <c r="J1192" s="12">
        <v>204.744</v>
      </c>
      <c r="K1192" s="12">
        <v>3.6</v>
      </c>
      <c r="L1192" s="12">
        <v>12</v>
      </c>
    </row>
    <row r="1193" spans="1:12" ht="13.9" hidden="1" x14ac:dyDescent="0.25">
      <c r="A1193" s="12">
        <v>7472</v>
      </c>
      <c r="B1193" s="12">
        <v>1065509</v>
      </c>
      <c r="C1193" s="12" t="s">
        <v>13</v>
      </c>
      <c r="D1193" s="12" t="s">
        <v>14</v>
      </c>
      <c r="E1193" s="14">
        <v>45265</v>
      </c>
      <c r="F1193" s="12" t="s">
        <v>18</v>
      </c>
      <c r="G1193" s="12" t="s">
        <v>19</v>
      </c>
      <c r="H1193" s="12" t="s">
        <v>57</v>
      </c>
      <c r="I1193" s="12">
        <v>234.797</v>
      </c>
      <c r="J1193" s="12">
        <v>201.32</v>
      </c>
      <c r="K1193" s="12">
        <v>4.4000000000000004</v>
      </c>
      <c r="L1193" s="12">
        <v>11.8</v>
      </c>
    </row>
    <row r="1194" spans="1:12" ht="13.9" hidden="1" x14ac:dyDescent="0.25">
      <c r="A1194" s="12">
        <v>7473</v>
      </c>
      <c r="B1194" s="12">
        <v>1065754</v>
      </c>
      <c r="C1194" s="12" t="s">
        <v>13</v>
      </c>
      <c r="D1194" s="12" t="s">
        <v>14</v>
      </c>
      <c r="E1194" s="14">
        <v>45266</v>
      </c>
      <c r="F1194" s="12" t="s">
        <v>18</v>
      </c>
      <c r="G1194" s="12" t="s">
        <v>19</v>
      </c>
      <c r="H1194" s="12" t="s">
        <v>57</v>
      </c>
      <c r="I1194" s="12">
        <v>235.00899999999999</v>
      </c>
      <c r="J1194" s="12">
        <v>203.916</v>
      </c>
      <c r="K1194" s="12">
        <v>3.6</v>
      </c>
      <c r="L1194" s="12">
        <v>11.6</v>
      </c>
    </row>
    <row r="1195" spans="1:12" ht="13.9" hidden="1" x14ac:dyDescent="0.25">
      <c r="A1195" s="12">
        <v>7474</v>
      </c>
      <c r="B1195" s="12">
        <v>1065925</v>
      </c>
      <c r="C1195" s="12" t="s">
        <v>13</v>
      </c>
      <c r="D1195" s="12" t="s">
        <v>14</v>
      </c>
      <c r="E1195" s="14">
        <v>45267</v>
      </c>
      <c r="F1195" s="12" t="s">
        <v>18</v>
      </c>
      <c r="G1195" s="12" t="s">
        <v>20</v>
      </c>
      <c r="H1195" s="12" t="s">
        <v>61</v>
      </c>
      <c r="I1195" s="12">
        <v>235.00200000000001</v>
      </c>
      <c r="J1195" s="12">
        <v>202.03899999999999</v>
      </c>
      <c r="K1195" s="12">
        <v>4.2</v>
      </c>
      <c r="L1195" s="12">
        <v>11.8</v>
      </c>
    </row>
    <row r="1196" spans="1:12" ht="13.9" hidden="1" x14ac:dyDescent="0.25">
      <c r="A1196" s="12">
        <v>7475</v>
      </c>
      <c r="B1196" s="12">
        <v>1066111</v>
      </c>
      <c r="C1196" s="12" t="s">
        <v>13</v>
      </c>
      <c r="D1196" s="12" t="s">
        <v>14</v>
      </c>
      <c r="E1196" s="14">
        <v>45268</v>
      </c>
      <c r="F1196" s="12" t="s">
        <v>18</v>
      </c>
      <c r="G1196" s="12" t="s">
        <v>20</v>
      </c>
      <c r="H1196" s="12" t="s">
        <v>61</v>
      </c>
      <c r="I1196" s="12">
        <v>235.00200000000001</v>
      </c>
      <c r="J1196" s="12">
        <v>208.524</v>
      </c>
      <c r="K1196" s="12">
        <v>3.9</v>
      </c>
      <c r="L1196" s="12">
        <v>12.7</v>
      </c>
    </row>
    <row r="1197" spans="1:12" ht="13.9" hidden="1" x14ac:dyDescent="0.25">
      <c r="A1197" s="12">
        <v>7476</v>
      </c>
      <c r="B1197" s="12">
        <v>1066346</v>
      </c>
      <c r="C1197" s="12" t="s">
        <v>13</v>
      </c>
      <c r="D1197" s="12" t="s">
        <v>14</v>
      </c>
      <c r="E1197" s="14">
        <v>45269</v>
      </c>
      <c r="F1197" s="12" t="s">
        <v>18</v>
      </c>
      <c r="G1197" s="12" t="s">
        <v>19</v>
      </c>
      <c r="H1197" s="12" t="s">
        <v>67</v>
      </c>
      <c r="I1197" s="12">
        <v>235.00399999999999</v>
      </c>
      <c r="J1197" s="12">
        <v>202.221</v>
      </c>
      <c r="K1197" s="12">
        <v>5.6</v>
      </c>
      <c r="L1197" s="12">
        <v>11.6</v>
      </c>
    </row>
    <row r="1198" spans="1:12" ht="13.9" hidden="1" x14ac:dyDescent="0.25">
      <c r="A1198" s="12">
        <v>7477</v>
      </c>
      <c r="B1198" s="12">
        <v>1066408</v>
      </c>
      <c r="C1198" s="12" t="s">
        <v>13</v>
      </c>
      <c r="D1198" s="12" t="s">
        <v>14</v>
      </c>
      <c r="E1198" s="14">
        <v>45270</v>
      </c>
      <c r="F1198" s="12" t="s">
        <v>18</v>
      </c>
      <c r="G1198" s="12" t="s">
        <v>19</v>
      </c>
      <c r="H1198" s="12" t="s">
        <v>67</v>
      </c>
      <c r="I1198" s="12">
        <v>235.018</v>
      </c>
      <c r="J1198" s="12">
        <v>204.32400000000001</v>
      </c>
      <c r="K1198" s="12">
        <v>3.7</v>
      </c>
      <c r="L1198" s="12">
        <v>11.6</v>
      </c>
    </row>
    <row r="1199" spans="1:12" ht="13.9" hidden="1" x14ac:dyDescent="0.25">
      <c r="A1199" s="12">
        <v>7478</v>
      </c>
      <c r="B1199" s="12">
        <v>1066409</v>
      </c>
      <c r="C1199" s="12" t="s">
        <v>13</v>
      </c>
      <c r="D1199" s="12" t="s">
        <v>14</v>
      </c>
      <c r="E1199" s="14">
        <v>45271</v>
      </c>
      <c r="F1199" s="12" t="s">
        <v>18</v>
      </c>
      <c r="G1199" s="12" t="s">
        <v>19</v>
      </c>
      <c r="H1199" s="12" t="s">
        <v>57</v>
      </c>
      <c r="I1199" s="12">
        <v>235.00200000000001</v>
      </c>
      <c r="J1199" s="12">
        <v>203.68600000000001</v>
      </c>
      <c r="K1199" s="12">
        <v>4.5999999999999996</v>
      </c>
      <c r="L1199" s="12">
        <v>12</v>
      </c>
    </row>
    <row r="1200" spans="1:12" ht="13.9" hidden="1" x14ac:dyDescent="0.25">
      <c r="A1200" s="12">
        <v>7479</v>
      </c>
      <c r="B1200" s="12">
        <v>1066421</v>
      </c>
      <c r="C1200" s="12" t="s">
        <v>13</v>
      </c>
      <c r="D1200" s="12" t="s">
        <v>14</v>
      </c>
      <c r="E1200" s="14">
        <v>45272</v>
      </c>
      <c r="F1200" s="12" t="s">
        <v>18</v>
      </c>
      <c r="G1200" s="12" t="s">
        <v>19</v>
      </c>
      <c r="H1200" s="12" t="s">
        <v>57</v>
      </c>
      <c r="I1200" s="12">
        <v>235.00899999999999</v>
      </c>
      <c r="J1200" s="12">
        <v>204.02600000000001</v>
      </c>
      <c r="K1200" s="12">
        <v>3.9</v>
      </c>
      <c r="L1200" s="12">
        <v>11.8</v>
      </c>
    </row>
    <row r="1201" spans="1:12" ht="13.9" hidden="1" x14ac:dyDescent="0.25">
      <c r="A1201" s="12">
        <v>7480</v>
      </c>
      <c r="B1201" s="12">
        <v>1066662</v>
      </c>
      <c r="C1201" s="12" t="s">
        <v>13</v>
      </c>
      <c r="D1201" s="12" t="s">
        <v>14</v>
      </c>
      <c r="E1201" s="14">
        <v>45273</v>
      </c>
      <c r="F1201" s="12" t="s">
        <v>18</v>
      </c>
      <c r="G1201" s="12" t="s">
        <v>19</v>
      </c>
      <c r="H1201" s="12" t="s">
        <v>57</v>
      </c>
      <c r="I1201" s="12">
        <v>235.00700000000001</v>
      </c>
      <c r="J1201" s="12">
        <v>203.27600000000001</v>
      </c>
      <c r="K1201" s="12">
        <v>4.4000000000000004</v>
      </c>
      <c r="L1201" s="12">
        <v>12</v>
      </c>
    </row>
    <row r="1202" spans="1:12" ht="13.9" hidden="1" x14ac:dyDescent="0.25">
      <c r="A1202" s="12">
        <v>7481</v>
      </c>
      <c r="B1202" s="12">
        <v>1066815</v>
      </c>
      <c r="C1202" s="12" t="s">
        <v>13</v>
      </c>
      <c r="D1202" s="12" t="s">
        <v>14</v>
      </c>
      <c r="E1202" s="14">
        <v>45273</v>
      </c>
      <c r="F1202" s="12" t="s">
        <v>18</v>
      </c>
      <c r="G1202" s="12" t="s">
        <v>19</v>
      </c>
      <c r="H1202" s="12" t="s">
        <v>57</v>
      </c>
      <c r="I1202" s="12">
        <v>235.011</v>
      </c>
      <c r="J1202" s="12">
        <v>200.977</v>
      </c>
      <c r="K1202" s="12">
        <v>3.7</v>
      </c>
      <c r="L1202" s="12">
        <v>11.2</v>
      </c>
    </row>
    <row r="1203" spans="1:12" ht="13.9" hidden="1" x14ac:dyDescent="0.25">
      <c r="A1203" s="12">
        <v>7482</v>
      </c>
      <c r="B1203" s="12">
        <v>1066964</v>
      </c>
      <c r="C1203" s="12" t="s">
        <v>13</v>
      </c>
      <c r="D1203" s="12" t="s">
        <v>14</v>
      </c>
      <c r="E1203" s="14">
        <v>45274</v>
      </c>
      <c r="F1203" s="12" t="s">
        <v>18</v>
      </c>
      <c r="G1203" s="12" t="s">
        <v>19</v>
      </c>
      <c r="H1203" s="12" t="s">
        <v>57</v>
      </c>
      <c r="I1203" s="12">
        <v>235</v>
      </c>
      <c r="J1203" s="12">
        <v>200.44300000000001</v>
      </c>
      <c r="K1203" s="12">
        <v>3.9</v>
      </c>
      <c r="L1203" s="12">
        <v>11.5</v>
      </c>
    </row>
    <row r="1204" spans="1:12" ht="13.9" hidden="1" x14ac:dyDescent="0.25">
      <c r="A1204" s="12">
        <v>7483</v>
      </c>
      <c r="B1204" s="12">
        <v>1067137</v>
      </c>
      <c r="C1204" s="12" t="s">
        <v>13</v>
      </c>
      <c r="D1204" s="12" t="s">
        <v>14</v>
      </c>
      <c r="E1204" s="14">
        <v>45275</v>
      </c>
      <c r="F1204" s="12" t="s">
        <v>17</v>
      </c>
      <c r="G1204" s="12" t="s">
        <v>19</v>
      </c>
      <c r="H1204" s="12" t="s">
        <v>57</v>
      </c>
      <c r="I1204" s="12">
        <v>235.00700000000001</v>
      </c>
      <c r="J1204" s="12">
        <v>204.26300000000001</v>
      </c>
      <c r="K1204" s="12">
        <v>4</v>
      </c>
      <c r="L1204" s="12">
        <v>11.2</v>
      </c>
    </row>
    <row r="1205" spans="1:12" ht="13.9" hidden="1" x14ac:dyDescent="0.25">
      <c r="A1205" s="12">
        <v>7484</v>
      </c>
      <c r="B1205" s="12">
        <v>1067152</v>
      </c>
      <c r="C1205" s="12" t="s">
        <v>13</v>
      </c>
      <c r="D1205" s="12" t="s">
        <v>14</v>
      </c>
      <c r="E1205" s="14">
        <v>45276</v>
      </c>
      <c r="F1205" s="12" t="s">
        <v>17</v>
      </c>
      <c r="G1205" s="12" t="s">
        <v>19</v>
      </c>
      <c r="H1205" s="12" t="s">
        <v>57</v>
      </c>
      <c r="I1205" s="12">
        <v>235.006</v>
      </c>
      <c r="J1205" s="12">
        <v>200.86600000000001</v>
      </c>
      <c r="K1205" s="12">
        <v>3.8</v>
      </c>
      <c r="L1205" s="12">
        <v>11.2</v>
      </c>
    </row>
    <row r="1206" spans="1:12" ht="13.9" hidden="1" x14ac:dyDescent="0.25">
      <c r="A1206" s="12">
        <v>7485</v>
      </c>
      <c r="B1206" s="12">
        <v>1067263</v>
      </c>
      <c r="C1206" s="12" t="s">
        <v>13</v>
      </c>
      <c r="D1206" s="12" t="s">
        <v>14</v>
      </c>
      <c r="E1206" s="14">
        <v>45277</v>
      </c>
      <c r="F1206" s="12" t="s">
        <v>17</v>
      </c>
      <c r="G1206" s="12" t="s">
        <v>19</v>
      </c>
      <c r="H1206" s="12" t="s">
        <v>57</v>
      </c>
      <c r="I1206" s="12">
        <v>234.98500000000001</v>
      </c>
      <c r="J1206" s="12">
        <v>204.35</v>
      </c>
      <c r="K1206" s="12">
        <v>3.5</v>
      </c>
      <c r="L1206" s="12">
        <v>11.3</v>
      </c>
    </row>
    <row r="1207" spans="1:12" ht="13.9" hidden="1" x14ac:dyDescent="0.25">
      <c r="A1207" s="12">
        <v>7486</v>
      </c>
      <c r="B1207" s="12">
        <v>1067264</v>
      </c>
      <c r="C1207" s="12" t="s">
        <v>13</v>
      </c>
      <c r="D1207" s="12" t="s">
        <v>14</v>
      </c>
      <c r="E1207" s="14">
        <v>45278</v>
      </c>
      <c r="F1207" s="12" t="s">
        <v>17</v>
      </c>
      <c r="G1207" s="12" t="s">
        <v>19</v>
      </c>
      <c r="H1207" s="12" t="s">
        <v>57</v>
      </c>
      <c r="I1207" s="12">
        <v>235.00399999999999</v>
      </c>
      <c r="J1207" s="12">
        <v>202.66300000000001</v>
      </c>
      <c r="K1207" s="12">
        <v>6.2</v>
      </c>
      <c r="L1207" s="12">
        <v>11.3</v>
      </c>
    </row>
    <row r="1208" spans="1:12" ht="13.9" hidden="1" x14ac:dyDescent="0.25">
      <c r="A1208" s="12">
        <v>7487</v>
      </c>
      <c r="B1208" s="12">
        <v>1067267</v>
      </c>
      <c r="C1208" s="12" t="s">
        <v>13</v>
      </c>
      <c r="D1208" s="12" t="s">
        <v>14</v>
      </c>
      <c r="E1208" s="14">
        <v>45279</v>
      </c>
      <c r="F1208" s="12" t="s">
        <v>17</v>
      </c>
      <c r="G1208" s="12" t="s">
        <v>19</v>
      </c>
      <c r="H1208" s="12" t="s">
        <v>57</v>
      </c>
      <c r="I1208" s="12">
        <v>235.08</v>
      </c>
      <c r="J1208" s="12">
        <v>201.38</v>
      </c>
      <c r="K1208" s="12">
        <v>3.4</v>
      </c>
      <c r="L1208" s="12">
        <v>11.7</v>
      </c>
    </row>
    <row r="1209" spans="1:12" ht="13.9" hidden="1" x14ac:dyDescent="0.25">
      <c r="A1209" s="12">
        <v>7488</v>
      </c>
      <c r="B1209" s="12">
        <v>1067565</v>
      </c>
      <c r="C1209" s="12" t="s">
        <v>13</v>
      </c>
      <c r="D1209" s="12" t="s">
        <v>14</v>
      </c>
      <c r="E1209" s="14">
        <v>45280</v>
      </c>
      <c r="F1209" s="12" t="s">
        <v>18</v>
      </c>
      <c r="G1209" s="12" t="s">
        <v>20</v>
      </c>
      <c r="H1209" s="12" t="s">
        <v>61</v>
      </c>
      <c r="I1209" s="12">
        <v>235.02600000000001</v>
      </c>
      <c r="J1209" s="12">
        <v>209.94200000000001</v>
      </c>
      <c r="K1209" s="12">
        <v>3.9</v>
      </c>
      <c r="L1209" s="12">
        <v>11</v>
      </c>
    </row>
    <row r="1210" spans="1:12" ht="13.9" hidden="1" x14ac:dyDescent="0.25">
      <c r="A1210" s="12">
        <v>7489</v>
      </c>
      <c r="B1210" s="12">
        <v>1067648</v>
      </c>
      <c r="C1210" s="12" t="s">
        <v>13</v>
      </c>
      <c r="D1210" s="12" t="s">
        <v>14</v>
      </c>
      <c r="E1210" s="14">
        <v>45281</v>
      </c>
      <c r="F1210" s="12" t="s">
        <v>18</v>
      </c>
      <c r="G1210" s="12" t="s">
        <v>20</v>
      </c>
      <c r="H1210" s="12" t="s">
        <v>61</v>
      </c>
      <c r="I1210" s="12">
        <v>234.95</v>
      </c>
      <c r="J1210" s="12">
        <v>206.38399999999999</v>
      </c>
      <c r="K1210" s="12">
        <v>3.6</v>
      </c>
      <c r="L1210" s="12">
        <v>12.7</v>
      </c>
    </row>
    <row r="1211" spans="1:12" ht="13.9" hidden="1" x14ac:dyDescent="0.25">
      <c r="A1211" s="12">
        <v>7490</v>
      </c>
      <c r="B1211" s="12">
        <v>1067526</v>
      </c>
      <c r="C1211" s="12" t="s">
        <v>13</v>
      </c>
      <c r="D1211" s="12" t="s">
        <v>14</v>
      </c>
      <c r="E1211" s="14">
        <v>45282</v>
      </c>
      <c r="F1211" s="12" t="s">
        <v>18</v>
      </c>
      <c r="G1211" s="12" t="s">
        <v>19</v>
      </c>
      <c r="H1211" s="12" t="s">
        <v>67</v>
      </c>
      <c r="I1211" s="12">
        <v>235.01300000000001</v>
      </c>
      <c r="J1211" s="12">
        <v>196.857</v>
      </c>
      <c r="K1211" s="12">
        <v>4.4000000000000004</v>
      </c>
      <c r="L1211" s="12">
        <v>12</v>
      </c>
    </row>
    <row r="1212" spans="1:12" ht="13.9" hidden="1" x14ac:dyDescent="0.25">
      <c r="A1212" s="12">
        <v>7491</v>
      </c>
      <c r="B1212" s="12">
        <v>1067866</v>
      </c>
      <c r="C1212" s="12" t="s">
        <v>13</v>
      </c>
      <c r="D1212" s="12" t="s">
        <v>14</v>
      </c>
      <c r="E1212" s="14">
        <v>45283</v>
      </c>
      <c r="F1212" s="12" t="s">
        <v>18</v>
      </c>
      <c r="G1212" s="12" t="s">
        <v>19</v>
      </c>
      <c r="H1212" s="12" t="s">
        <v>57</v>
      </c>
      <c r="I1212" s="12">
        <v>235.00800000000001</v>
      </c>
      <c r="J1212" s="12">
        <v>208.72200000000001</v>
      </c>
      <c r="K1212" s="12">
        <v>3.9</v>
      </c>
      <c r="L1212" s="12">
        <v>12.2</v>
      </c>
    </row>
    <row r="1213" spans="1:12" ht="13.9" hidden="1" x14ac:dyDescent="0.25">
      <c r="A1213" s="12">
        <v>7492</v>
      </c>
      <c r="B1213" s="12">
        <v>1067869</v>
      </c>
      <c r="C1213" s="12" t="s">
        <v>13</v>
      </c>
      <c r="D1213" s="12" t="s">
        <v>14</v>
      </c>
      <c r="E1213" s="14">
        <v>45284</v>
      </c>
      <c r="F1213" s="12" t="s">
        <v>18</v>
      </c>
      <c r="G1213" s="12" t="s">
        <v>19</v>
      </c>
      <c r="H1213" s="12" t="s">
        <v>57</v>
      </c>
      <c r="I1213" s="12">
        <v>235.01</v>
      </c>
      <c r="J1213" s="12">
        <v>202.60499999999999</v>
      </c>
      <c r="K1213" s="12">
        <v>3.7</v>
      </c>
      <c r="L1213" s="12">
        <v>12.2</v>
      </c>
    </row>
    <row r="1214" spans="1:12" ht="13.9" hidden="1" x14ac:dyDescent="0.25">
      <c r="A1214" s="12">
        <v>7493</v>
      </c>
      <c r="B1214" s="12">
        <v>1068161</v>
      </c>
      <c r="C1214" s="12" t="s">
        <v>13</v>
      </c>
      <c r="D1214" s="12" t="s">
        <v>14</v>
      </c>
      <c r="E1214" s="14">
        <v>45285</v>
      </c>
      <c r="F1214" s="12" t="s">
        <v>18</v>
      </c>
      <c r="G1214" s="12" t="s">
        <v>19</v>
      </c>
      <c r="H1214" s="12" t="s">
        <v>57</v>
      </c>
      <c r="I1214" s="12">
        <v>235.02500000000001</v>
      </c>
      <c r="J1214" s="12">
        <v>204.56299999999999</v>
      </c>
      <c r="K1214" s="12">
        <v>4.2</v>
      </c>
      <c r="L1214" s="12">
        <v>12.3</v>
      </c>
    </row>
    <row r="1215" spans="1:12" ht="13.9" hidden="1" x14ac:dyDescent="0.25">
      <c r="A1215" s="12">
        <v>7494</v>
      </c>
      <c r="B1215" s="12">
        <v>1068194</v>
      </c>
      <c r="C1215" s="12" t="s">
        <v>13</v>
      </c>
      <c r="D1215" s="12" t="s">
        <v>14</v>
      </c>
      <c r="E1215" s="14">
        <v>45286</v>
      </c>
      <c r="F1215" s="12" t="s">
        <v>18</v>
      </c>
      <c r="G1215" s="12" t="s">
        <v>19</v>
      </c>
      <c r="H1215" s="12" t="s">
        <v>57</v>
      </c>
      <c r="I1215" s="12">
        <v>235.01300000000001</v>
      </c>
      <c r="J1215" s="12">
        <v>200.22900000000001</v>
      </c>
      <c r="K1215" s="12">
        <v>4</v>
      </c>
      <c r="L1215" s="12">
        <v>12.3</v>
      </c>
    </row>
    <row r="1216" spans="1:12" ht="13.9" hidden="1" x14ac:dyDescent="0.25">
      <c r="A1216" s="12">
        <v>7495</v>
      </c>
      <c r="B1216" s="12">
        <v>1068593</v>
      </c>
      <c r="C1216" s="12" t="s">
        <v>13</v>
      </c>
      <c r="D1216" s="12" t="s">
        <v>14</v>
      </c>
      <c r="E1216" s="14">
        <v>45287</v>
      </c>
      <c r="F1216" s="12" t="s">
        <v>18</v>
      </c>
      <c r="G1216" s="12" t="s">
        <v>19</v>
      </c>
      <c r="H1216" s="12" t="s">
        <v>57</v>
      </c>
      <c r="I1216" s="12">
        <v>235</v>
      </c>
      <c r="J1216" s="12">
        <v>199.417</v>
      </c>
      <c r="K1216" s="12">
        <v>4.5</v>
      </c>
      <c r="L1216" s="12">
        <v>12.2</v>
      </c>
    </row>
    <row r="1217" spans="1:12" ht="13.9" hidden="1" x14ac:dyDescent="0.25">
      <c r="A1217" s="12">
        <v>7496</v>
      </c>
      <c r="B1217" s="12">
        <v>1068740</v>
      </c>
      <c r="C1217" s="12" t="s">
        <v>13</v>
      </c>
      <c r="D1217" s="12" t="s">
        <v>14</v>
      </c>
      <c r="E1217" s="14">
        <v>45288</v>
      </c>
      <c r="F1217" s="12" t="s">
        <v>64</v>
      </c>
      <c r="G1217" s="12" t="s">
        <v>20</v>
      </c>
      <c r="H1217" s="12" t="s">
        <v>62</v>
      </c>
      <c r="I1217" s="12">
        <v>235.00399999999999</v>
      </c>
      <c r="J1217" s="12">
        <v>200.102</v>
      </c>
      <c r="K1217" s="12">
        <v>3.8</v>
      </c>
      <c r="L1217" s="12">
        <v>12.2</v>
      </c>
    </row>
    <row r="1218" spans="1:12" ht="13.9" hidden="1" x14ac:dyDescent="0.25">
      <c r="A1218" s="12">
        <v>7497</v>
      </c>
      <c r="B1218" s="12">
        <v>1068801</v>
      </c>
      <c r="C1218" s="12" t="s">
        <v>13</v>
      </c>
      <c r="D1218" s="12" t="s">
        <v>14</v>
      </c>
      <c r="E1218" s="14">
        <v>45289</v>
      </c>
      <c r="F1218" s="12" t="s">
        <v>64</v>
      </c>
      <c r="G1218" s="12" t="s">
        <v>20</v>
      </c>
      <c r="H1218" s="12" t="s">
        <v>62</v>
      </c>
      <c r="I1218" s="12">
        <v>235.01</v>
      </c>
      <c r="J1218" s="12">
        <v>201.65</v>
      </c>
      <c r="K1218" s="12">
        <v>5.8</v>
      </c>
      <c r="L1218" s="12">
        <v>12.4</v>
      </c>
    </row>
    <row r="1219" spans="1:12" ht="13.9" hidden="1" x14ac:dyDescent="0.25">
      <c r="A1219" s="12">
        <v>7498</v>
      </c>
      <c r="B1219" s="12">
        <v>1068916</v>
      </c>
      <c r="C1219" s="12" t="s">
        <v>13</v>
      </c>
      <c r="D1219" s="12" t="s">
        <v>14</v>
      </c>
      <c r="E1219" s="14">
        <v>45290</v>
      </c>
      <c r="F1219" s="12" t="s">
        <v>64</v>
      </c>
      <c r="G1219" s="12" t="s">
        <v>20</v>
      </c>
      <c r="H1219" s="12" t="s">
        <v>62</v>
      </c>
      <c r="I1219" s="12">
        <v>235.00399999999999</v>
      </c>
      <c r="J1219" s="12">
        <v>199.31399999999999</v>
      </c>
      <c r="K1219" s="12">
        <v>3.6</v>
      </c>
      <c r="L1219" s="12">
        <v>12.6</v>
      </c>
    </row>
    <row r="1220" spans="1:12" ht="13.9" hidden="1" x14ac:dyDescent="0.25">
      <c r="A1220" s="16">
        <v>7499</v>
      </c>
      <c r="B1220" s="12">
        <v>1069004</v>
      </c>
      <c r="C1220" s="12" t="s">
        <v>13</v>
      </c>
      <c r="D1220" s="12" t="s">
        <v>14</v>
      </c>
      <c r="E1220" s="14">
        <v>45291</v>
      </c>
      <c r="F1220" s="12" t="s">
        <v>64</v>
      </c>
      <c r="G1220" s="12" t="s">
        <v>20</v>
      </c>
      <c r="H1220" s="12" t="s">
        <v>62</v>
      </c>
      <c r="I1220" s="12">
        <v>235.01300000000001</v>
      </c>
      <c r="J1220" s="12">
        <v>202.71700000000001</v>
      </c>
      <c r="K1220" s="12">
        <v>4.4000000000000004</v>
      </c>
      <c r="L1220" s="12">
        <v>12.5</v>
      </c>
    </row>
    <row r="1221" spans="1:12" ht="13.9" hidden="1" x14ac:dyDescent="0.25">
      <c r="A1221" s="12">
        <v>7500</v>
      </c>
      <c r="B1221" s="12">
        <v>1069005</v>
      </c>
      <c r="C1221" s="12" t="s">
        <v>13</v>
      </c>
      <c r="D1221" s="12" t="s">
        <v>14</v>
      </c>
      <c r="E1221" s="14">
        <v>45292</v>
      </c>
      <c r="F1221" s="12" t="s">
        <v>64</v>
      </c>
      <c r="G1221" s="12" t="s">
        <v>20</v>
      </c>
      <c r="H1221" s="12" t="s">
        <v>62</v>
      </c>
      <c r="I1221" s="30">
        <v>235.018</v>
      </c>
      <c r="J1221" s="12">
        <v>201.53299999999999</v>
      </c>
      <c r="K1221" s="12">
        <v>4</v>
      </c>
      <c r="L1221" s="12">
        <v>12.2</v>
      </c>
    </row>
    <row r="1222" spans="1:12" ht="13.9" hidden="1" x14ac:dyDescent="0.25">
      <c r="A1222" s="12">
        <v>7501</v>
      </c>
      <c r="B1222" s="12">
        <v>1069007</v>
      </c>
      <c r="C1222" s="12" t="s">
        <v>13</v>
      </c>
      <c r="D1222" s="12" t="s">
        <v>14</v>
      </c>
      <c r="E1222" s="14">
        <v>45292</v>
      </c>
      <c r="F1222" s="12" t="s">
        <v>18</v>
      </c>
      <c r="G1222" s="12" t="s">
        <v>19</v>
      </c>
      <c r="H1222" s="12" t="s">
        <v>57</v>
      </c>
      <c r="I1222" s="30">
        <v>235.01300000000001</v>
      </c>
      <c r="J1222" s="12">
        <v>202.71700000000001</v>
      </c>
      <c r="K1222" s="12">
        <v>4.3</v>
      </c>
      <c r="L1222" s="12">
        <v>11.9</v>
      </c>
    </row>
    <row r="1223" spans="1:12" ht="13.9" hidden="1" x14ac:dyDescent="0.25">
      <c r="A1223" s="12">
        <v>7502</v>
      </c>
      <c r="B1223" s="12">
        <v>1069096</v>
      </c>
      <c r="C1223" s="12" t="s">
        <v>13</v>
      </c>
      <c r="D1223" s="12" t="s">
        <v>14</v>
      </c>
      <c r="E1223" s="14">
        <v>45293</v>
      </c>
      <c r="F1223" s="12" t="s">
        <v>18</v>
      </c>
      <c r="G1223" s="12" t="s">
        <v>19</v>
      </c>
      <c r="H1223" s="12" t="s">
        <v>57</v>
      </c>
      <c r="I1223" s="30">
        <v>235.03100000000001</v>
      </c>
      <c r="J1223" s="12">
        <v>204.21</v>
      </c>
      <c r="K1223" s="12">
        <v>3.6</v>
      </c>
      <c r="L1223" s="12">
        <v>11.8</v>
      </c>
    </row>
    <row r="1224" spans="1:12" ht="13.9" hidden="1" x14ac:dyDescent="0.25">
      <c r="A1224" s="12">
        <v>7503</v>
      </c>
      <c r="B1224" s="12">
        <v>1069135</v>
      </c>
      <c r="C1224" s="12" t="s">
        <v>13</v>
      </c>
      <c r="D1224" s="12" t="s">
        <v>14</v>
      </c>
      <c r="E1224" s="14">
        <v>45294</v>
      </c>
      <c r="F1224" s="12" t="s">
        <v>18</v>
      </c>
      <c r="G1224" s="12" t="s">
        <v>19</v>
      </c>
      <c r="H1224" s="12" t="s">
        <v>57</v>
      </c>
      <c r="I1224" s="30">
        <v>235.02199999999999</v>
      </c>
      <c r="J1224" s="12">
        <v>200.1</v>
      </c>
      <c r="K1224" s="12">
        <v>4.5</v>
      </c>
      <c r="L1224" s="12">
        <v>12.2</v>
      </c>
    </row>
    <row r="1225" spans="1:12" ht="13.9" hidden="1" x14ac:dyDescent="0.25">
      <c r="A1225" s="12">
        <v>7504</v>
      </c>
      <c r="B1225" s="12">
        <v>1069144</v>
      </c>
      <c r="C1225" s="12" t="s">
        <v>13</v>
      </c>
      <c r="D1225" s="12" t="s">
        <v>14</v>
      </c>
      <c r="E1225" s="14">
        <v>45295</v>
      </c>
      <c r="F1225" s="12" t="s">
        <v>18</v>
      </c>
      <c r="G1225" s="12" t="s">
        <v>19</v>
      </c>
      <c r="H1225" s="12" t="s">
        <v>57</v>
      </c>
      <c r="I1225" s="31">
        <v>235.00299999999999</v>
      </c>
      <c r="J1225" s="12">
        <v>203.52500000000001</v>
      </c>
      <c r="K1225" s="12">
        <v>3.6</v>
      </c>
      <c r="L1225" s="12">
        <v>12</v>
      </c>
    </row>
    <row r="1226" spans="1:12" ht="13.9" hidden="1" x14ac:dyDescent="0.25">
      <c r="A1226" s="12">
        <v>7505</v>
      </c>
      <c r="B1226" s="12">
        <v>1069249</v>
      </c>
      <c r="C1226" s="12" t="s">
        <v>13</v>
      </c>
      <c r="D1226" s="12" t="s">
        <v>14</v>
      </c>
      <c r="E1226" s="14">
        <v>45296</v>
      </c>
      <c r="F1226" s="12" t="s">
        <v>18</v>
      </c>
      <c r="G1226" s="12" t="s">
        <v>19</v>
      </c>
      <c r="H1226" s="12" t="s">
        <v>57</v>
      </c>
      <c r="I1226" s="31">
        <v>234.93899999999999</v>
      </c>
      <c r="J1226" s="12">
        <v>198.59899999999999</v>
      </c>
      <c r="K1226" s="12">
        <v>4.2</v>
      </c>
      <c r="L1226" s="12">
        <v>11.7</v>
      </c>
    </row>
    <row r="1227" spans="1:12" ht="13.9" hidden="1" x14ac:dyDescent="0.25">
      <c r="A1227" s="12">
        <v>7506</v>
      </c>
      <c r="B1227" s="12">
        <v>1069547</v>
      </c>
      <c r="C1227" s="12" t="s">
        <v>13</v>
      </c>
      <c r="D1227" s="12" t="s">
        <v>14</v>
      </c>
      <c r="E1227" s="14">
        <v>45297</v>
      </c>
      <c r="F1227" s="12" t="s">
        <v>18</v>
      </c>
      <c r="G1227" s="12" t="s">
        <v>19</v>
      </c>
      <c r="H1227" s="12" t="s">
        <v>67</v>
      </c>
      <c r="I1227" s="31">
        <v>235.00899999999999</v>
      </c>
      <c r="J1227" s="12">
        <v>203.73699999999999</v>
      </c>
      <c r="K1227" s="12">
        <v>3.4</v>
      </c>
      <c r="L1227" s="12">
        <v>11.2</v>
      </c>
    </row>
    <row r="1228" spans="1:12" ht="13.9" hidden="1" x14ac:dyDescent="0.25">
      <c r="A1228" s="12">
        <v>7507</v>
      </c>
      <c r="B1228" s="12">
        <v>1069552</v>
      </c>
      <c r="C1228" s="12" t="s">
        <v>13</v>
      </c>
      <c r="D1228" s="12" t="s">
        <v>14</v>
      </c>
      <c r="E1228" s="14">
        <v>45298</v>
      </c>
      <c r="F1228" s="12" t="s">
        <v>18</v>
      </c>
      <c r="G1228" s="12" t="s">
        <v>19</v>
      </c>
      <c r="H1228" s="12" t="s">
        <v>67</v>
      </c>
      <c r="I1228" s="31">
        <v>235.012</v>
      </c>
      <c r="J1228" s="12">
        <v>199.285</v>
      </c>
      <c r="K1228" s="12">
        <v>4.3</v>
      </c>
      <c r="L1228" s="12">
        <v>11.7</v>
      </c>
    </row>
    <row r="1229" spans="1:12" ht="13.9" hidden="1" x14ac:dyDescent="0.25">
      <c r="A1229" s="12">
        <v>7508</v>
      </c>
      <c r="B1229" s="12">
        <v>1069616</v>
      </c>
      <c r="C1229" s="12" t="s">
        <v>13</v>
      </c>
      <c r="D1229" s="12" t="s">
        <v>14</v>
      </c>
      <c r="E1229" s="14">
        <v>45299</v>
      </c>
      <c r="F1229" s="12" t="s">
        <v>18</v>
      </c>
      <c r="G1229" s="12" t="s">
        <v>19</v>
      </c>
      <c r="H1229" s="12" t="s">
        <v>57</v>
      </c>
      <c r="I1229" s="31">
        <v>234.92400000000001</v>
      </c>
      <c r="J1229" s="12">
        <v>201.649</v>
      </c>
      <c r="K1229" s="12">
        <v>3.6</v>
      </c>
      <c r="L1229" s="12">
        <v>11.7</v>
      </c>
    </row>
    <row r="1230" spans="1:12" ht="13.9" hidden="1" x14ac:dyDescent="0.25">
      <c r="A1230" s="12">
        <v>7509</v>
      </c>
      <c r="B1230" s="12">
        <v>1069623</v>
      </c>
      <c r="C1230" s="12" t="s">
        <v>13</v>
      </c>
      <c r="D1230" s="12" t="s">
        <v>14</v>
      </c>
      <c r="E1230" s="14">
        <v>45300</v>
      </c>
      <c r="F1230" s="12" t="s">
        <v>18</v>
      </c>
      <c r="G1230" s="12" t="s">
        <v>19</v>
      </c>
      <c r="H1230" s="12" t="s">
        <v>57</v>
      </c>
      <c r="I1230" s="30">
        <v>234.952</v>
      </c>
      <c r="J1230" s="12">
        <v>199.179</v>
      </c>
      <c r="K1230" s="12">
        <v>4.4000000000000004</v>
      </c>
      <c r="L1230" s="12">
        <v>11.8</v>
      </c>
    </row>
    <row r="1231" spans="1:12" ht="13.9" hidden="1" x14ac:dyDescent="0.25">
      <c r="A1231" s="12">
        <v>7510</v>
      </c>
      <c r="B1231" s="12">
        <v>1069714</v>
      </c>
      <c r="C1231" s="12" t="s">
        <v>13</v>
      </c>
      <c r="D1231" s="12" t="s">
        <v>14</v>
      </c>
      <c r="E1231" s="14">
        <v>45301</v>
      </c>
      <c r="F1231" s="12" t="s">
        <v>18</v>
      </c>
      <c r="G1231" s="12" t="s">
        <v>19</v>
      </c>
      <c r="H1231" s="12" t="s">
        <v>57</v>
      </c>
      <c r="I1231" s="30">
        <v>235.03700000000001</v>
      </c>
      <c r="J1231" s="12">
        <v>201.88499999999999</v>
      </c>
      <c r="K1231" s="12">
        <v>3.8</v>
      </c>
      <c r="L1231" s="12">
        <v>11.7</v>
      </c>
    </row>
    <row r="1232" spans="1:12" ht="13.9" hidden="1" x14ac:dyDescent="0.25">
      <c r="A1232" s="12">
        <v>7511</v>
      </c>
      <c r="B1232" s="12">
        <v>1069718</v>
      </c>
      <c r="C1232" s="12" t="s">
        <v>13</v>
      </c>
      <c r="D1232" s="12" t="s">
        <v>14</v>
      </c>
      <c r="E1232" s="14">
        <v>45302</v>
      </c>
      <c r="F1232" s="12" t="s">
        <v>18</v>
      </c>
      <c r="G1232" s="12" t="s">
        <v>19</v>
      </c>
      <c r="H1232" s="12" t="s">
        <v>57</v>
      </c>
      <c r="I1232" s="30">
        <v>235.02500000000001</v>
      </c>
      <c r="J1232" s="12">
        <v>199.17699999999999</v>
      </c>
      <c r="K1232" s="12">
        <v>4.3</v>
      </c>
      <c r="L1232" s="12">
        <v>11.4</v>
      </c>
    </row>
    <row r="1233" spans="1:12" ht="13.9" hidden="1" x14ac:dyDescent="0.25">
      <c r="A1233" s="12">
        <v>7512</v>
      </c>
      <c r="B1233" s="12">
        <v>1069859</v>
      </c>
      <c r="C1233" s="12" t="s">
        <v>13</v>
      </c>
      <c r="D1233" s="12" t="s">
        <v>14</v>
      </c>
      <c r="E1233" s="14">
        <v>45303</v>
      </c>
      <c r="F1233" s="12" t="s">
        <v>18</v>
      </c>
      <c r="G1233" s="12" t="s">
        <v>19</v>
      </c>
      <c r="H1233" s="12" t="s">
        <v>57</v>
      </c>
      <c r="I1233" s="30">
        <v>235.077</v>
      </c>
      <c r="J1233" s="12">
        <v>203.12100000000001</v>
      </c>
      <c r="K1233" s="12">
        <v>3.8</v>
      </c>
      <c r="L1233" s="12">
        <v>11.3</v>
      </c>
    </row>
    <row r="1234" spans="1:12" ht="13.9" hidden="1" x14ac:dyDescent="0.25">
      <c r="A1234" s="12">
        <v>7513</v>
      </c>
      <c r="B1234" s="12">
        <v>1069972</v>
      </c>
      <c r="C1234" s="12" t="s">
        <v>13</v>
      </c>
      <c r="D1234" s="12" t="s">
        <v>14</v>
      </c>
      <c r="E1234" s="14">
        <v>45304</v>
      </c>
      <c r="F1234" s="12" t="s">
        <v>64</v>
      </c>
      <c r="G1234" s="12" t="s">
        <v>20</v>
      </c>
      <c r="H1234" s="12" t="s">
        <v>61</v>
      </c>
      <c r="I1234" s="31">
        <v>235.06</v>
      </c>
      <c r="J1234" s="12">
        <v>201.75299999999999</v>
      </c>
      <c r="K1234" s="12">
        <v>4.2</v>
      </c>
      <c r="L1234" s="12">
        <v>11.6</v>
      </c>
    </row>
    <row r="1235" spans="1:12" ht="13.9" hidden="1" x14ac:dyDescent="0.25">
      <c r="A1235" s="12">
        <v>7514</v>
      </c>
      <c r="B1235" s="12">
        <v>1070190</v>
      </c>
      <c r="C1235" s="12" t="s">
        <v>13</v>
      </c>
      <c r="D1235" s="12" t="s">
        <v>14</v>
      </c>
      <c r="E1235" s="14">
        <v>45305</v>
      </c>
      <c r="F1235" s="12" t="s">
        <v>64</v>
      </c>
      <c r="G1235" s="12" t="s">
        <v>20</v>
      </c>
      <c r="H1235" s="12" t="s">
        <v>61</v>
      </c>
      <c r="I1235" s="32">
        <v>235.00299999999999</v>
      </c>
      <c r="J1235" s="12">
        <v>204.20599999999999</v>
      </c>
      <c r="K1235" s="12">
        <v>3.8</v>
      </c>
      <c r="L1235" s="12">
        <v>11.7</v>
      </c>
    </row>
    <row r="1236" spans="1:12" ht="13.9" hidden="1" x14ac:dyDescent="0.25">
      <c r="A1236" s="12">
        <v>7515</v>
      </c>
      <c r="B1236" s="12">
        <v>1070295</v>
      </c>
      <c r="C1236" s="12" t="s">
        <v>13</v>
      </c>
      <c r="D1236" s="12" t="s">
        <v>14</v>
      </c>
      <c r="E1236" s="14">
        <v>45306</v>
      </c>
      <c r="F1236" s="12" t="s">
        <v>17</v>
      </c>
      <c r="G1236" s="12" t="s">
        <v>19</v>
      </c>
      <c r="H1236" s="12" t="s">
        <v>57</v>
      </c>
      <c r="I1236" s="30">
        <v>235.024</v>
      </c>
      <c r="J1236" s="12">
        <v>202.48599999999999</v>
      </c>
      <c r="K1236" s="12">
        <v>3.7</v>
      </c>
      <c r="L1236" s="12">
        <v>11.4</v>
      </c>
    </row>
    <row r="1237" spans="1:12" ht="13.9" hidden="1" x14ac:dyDescent="0.25">
      <c r="A1237" s="12">
        <v>7516</v>
      </c>
      <c r="B1237" s="12">
        <v>1070296</v>
      </c>
      <c r="C1237" s="12" t="s">
        <v>13</v>
      </c>
      <c r="D1237" s="12" t="s">
        <v>14</v>
      </c>
      <c r="E1237" s="14">
        <v>45307</v>
      </c>
      <c r="F1237" s="12" t="s">
        <v>17</v>
      </c>
      <c r="G1237" s="12" t="s">
        <v>19</v>
      </c>
      <c r="H1237" s="12" t="s">
        <v>57</v>
      </c>
      <c r="I1237" s="30">
        <v>234.999</v>
      </c>
      <c r="J1237" s="12">
        <v>203.09899999999999</v>
      </c>
      <c r="K1237" s="12">
        <v>3.7</v>
      </c>
      <c r="L1237" s="12">
        <v>12</v>
      </c>
    </row>
    <row r="1238" spans="1:12" ht="13.9" hidden="1" x14ac:dyDescent="0.25">
      <c r="A1238" s="12">
        <v>7517</v>
      </c>
      <c r="B1238" s="12">
        <v>1070297</v>
      </c>
      <c r="C1238" s="12" t="s">
        <v>13</v>
      </c>
      <c r="D1238" s="12" t="s">
        <v>14</v>
      </c>
      <c r="E1238" s="14">
        <v>45308</v>
      </c>
      <c r="F1238" s="12" t="s">
        <v>17</v>
      </c>
      <c r="G1238" s="12" t="s">
        <v>19</v>
      </c>
      <c r="H1238" s="12" t="s">
        <v>57</v>
      </c>
      <c r="I1238" s="30">
        <v>235.02</v>
      </c>
      <c r="J1238" s="12">
        <v>199.08600000000001</v>
      </c>
      <c r="K1238" s="12">
        <v>4.2</v>
      </c>
      <c r="L1238" s="12">
        <v>12.6</v>
      </c>
    </row>
    <row r="1239" spans="1:12" ht="13.9" hidden="1" x14ac:dyDescent="0.25">
      <c r="A1239" s="12">
        <v>7518</v>
      </c>
      <c r="B1239" s="12">
        <v>1070530</v>
      </c>
      <c r="C1239" s="12" t="s">
        <v>13</v>
      </c>
      <c r="D1239" s="12" t="s">
        <v>14</v>
      </c>
      <c r="E1239" s="14">
        <v>45309</v>
      </c>
      <c r="F1239" s="12" t="s">
        <v>17</v>
      </c>
      <c r="G1239" s="12" t="s">
        <v>19</v>
      </c>
      <c r="H1239" s="12" t="s">
        <v>57</v>
      </c>
      <c r="I1239" s="30">
        <v>235.00299999999999</v>
      </c>
      <c r="J1239" s="12">
        <v>201.44399999999999</v>
      </c>
      <c r="K1239" s="12">
        <v>3.8</v>
      </c>
      <c r="L1239" s="12">
        <v>11.8</v>
      </c>
    </row>
    <row r="1240" spans="1:12" ht="13.9" hidden="1" x14ac:dyDescent="0.25">
      <c r="A1240" s="12">
        <v>7519</v>
      </c>
      <c r="B1240" s="12">
        <v>1070718</v>
      </c>
      <c r="C1240" s="12" t="s">
        <v>13</v>
      </c>
      <c r="D1240" s="12" t="s">
        <v>14</v>
      </c>
      <c r="E1240" s="14">
        <v>45310</v>
      </c>
      <c r="F1240" s="12" t="s">
        <v>17</v>
      </c>
      <c r="G1240" s="12" t="s">
        <v>19</v>
      </c>
      <c r="H1240" s="12" t="s">
        <v>57</v>
      </c>
      <c r="I1240" s="30">
        <v>235.01599999999999</v>
      </c>
      <c r="J1240" s="12">
        <v>199.15600000000001</v>
      </c>
      <c r="K1240" s="12">
        <v>3.9</v>
      </c>
      <c r="L1240" s="12">
        <v>12.1</v>
      </c>
    </row>
    <row r="1241" spans="1:12" ht="13.9" hidden="1" x14ac:dyDescent="0.25">
      <c r="A1241" s="12">
        <v>7520</v>
      </c>
      <c r="B1241" s="12">
        <v>1070798</v>
      </c>
      <c r="C1241" s="12" t="s">
        <v>13</v>
      </c>
      <c r="D1241" s="12" t="s">
        <v>14</v>
      </c>
      <c r="E1241" s="14">
        <v>45311</v>
      </c>
      <c r="F1241" s="12" t="s">
        <v>18</v>
      </c>
      <c r="G1241" s="12" t="s">
        <v>19</v>
      </c>
      <c r="H1241" s="12" t="s">
        <v>67</v>
      </c>
      <c r="I1241" s="30">
        <v>234.988</v>
      </c>
      <c r="J1241" s="12">
        <v>201.023</v>
      </c>
      <c r="K1241" s="12">
        <v>3.5</v>
      </c>
      <c r="L1241" s="12">
        <v>11.5</v>
      </c>
    </row>
    <row r="1242" spans="1:12" ht="13.9" hidden="1" x14ac:dyDescent="0.25">
      <c r="A1242" s="12">
        <v>7521</v>
      </c>
      <c r="B1242" s="12">
        <v>1071015</v>
      </c>
      <c r="C1242" s="12" t="s">
        <v>13</v>
      </c>
      <c r="D1242" s="12" t="s">
        <v>14</v>
      </c>
      <c r="E1242" s="14">
        <v>45312</v>
      </c>
      <c r="F1242" s="12" t="s">
        <v>18</v>
      </c>
      <c r="G1242" s="12" t="s">
        <v>19</v>
      </c>
      <c r="H1242" s="12" t="s">
        <v>67</v>
      </c>
      <c r="I1242" s="30">
        <v>235.001</v>
      </c>
      <c r="J1242" s="12">
        <v>200.73</v>
      </c>
      <c r="K1242" s="12">
        <v>4.2</v>
      </c>
      <c r="L1242" s="12">
        <v>11.5</v>
      </c>
    </row>
    <row r="1243" spans="1:12" ht="13.9" hidden="1" x14ac:dyDescent="0.25">
      <c r="A1243" s="12">
        <v>7522</v>
      </c>
      <c r="B1243" s="12">
        <v>1071155</v>
      </c>
      <c r="C1243" s="12" t="s">
        <v>13</v>
      </c>
      <c r="D1243" s="12" t="s">
        <v>14</v>
      </c>
      <c r="E1243" s="14">
        <v>45313</v>
      </c>
      <c r="F1243" s="12" t="s">
        <v>18</v>
      </c>
      <c r="G1243" s="12" t="s">
        <v>19</v>
      </c>
      <c r="H1243" s="12" t="s">
        <v>57</v>
      </c>
      <c r="I1243" s="30">
        <v>235.001</v>
      </c>
      <c r="J1243" s="12">
        <v>206.87200000000001</v>
      </c>
      <c r="K1243" s="12">
        <v>3.7</v>
      </c>
      <c r="L1243" s="12">
        <v>11.9</v>
      </c>
    </row>
    <row r="1244" spans="1:12" ht="13.9" hidden="1" x14ac:dyDescent="0.25">
      <c r="A1244" s="12">
        <v>7523</v>
      </c>
      <c r="B1244" s="12">
        <v>1071157</v>
      </c>
      <c r="C1244" s="12" t="s">
        <v>13</v>
      </c>
      <c r="D1244" s="12" t="s">
        <v>14</v>
      </c>
      <c r="E1244" s="14">
        <v>45314</v>
      </c>
      <c r="F1244" s="12" t="s">
        <v>18</v>
      </c>
      <c r="G1244" s="12" t="s">
        <v>19</v>
      </c>
      <c r="H1244" s="12" t="s">
        <v>57</v>
      </c>
      <c r="I1244" s="30">
        <v>234.999</v>
      </c>
      <c r="J1244" s="12">
        <v>204.03800000000001</v>
      </c>
      <c r="K1244" s="12">
        <v>3.7</v>
      </c>
      <c r="L1244" s="12">
        <v>12.1</v>
      </c>
    </row>
    <row r="1245" spans="1:12" ht="13.9" hidden="1" x14ac:dyDescent="0.25">
      <c r="A1245" s="12">
        <v>7524</v>
      </c>
      <c r="B1245" s="12">
        <v>1071158</v>
      </c>
      <c r="C1245" s="12" t="s">
        <v>13</v>
      </c>
      <c r="D1245" s="12" t="s">
        <v>14</v>
      </c>
      <c r="E1245" s="14">
        <v>45315</v>
      </c>
      <c r="F1245" s="12" t="s">
        <v>18</v>
      </c>
      <c r="G1245" s="12" t="s">
        <v>19</v>
      </c>
      <c r="H1245" s="12" t="s">
        <v>57</v>
      </c>
      <c r="I1245" s="31">
        <v>234.971</v>
      </c>
      <c r="J1245" s="12">
        <v>210.05600000000001</v>
      </c>
      <c r="K1245" s="12">
        <v>3.7</v>
      </c>
      <c r="L1245" s="12">
        <v>11.3</v>
      </c>
    </row>
    <row r="1246" spans="1:12" ht="13.9" hidden="1" x14ac:dyDescent="0.25">
      <c r="A1246" s="12">
        <v>7525</v>
      </c>
      <c r="B1246" s="12">
        <v>1071383</v>
      </c>
      <c r="C1246" s="12" t="s">
        <v>13</v>
      </c>
      <c r="D1246" s="12" t="s">
        <v>14</v>
      </c>
      <c r="E1246" s="14">
        <v>45316</v>
      </c>
      <c r="F1246" s="12" t="s">
        <v>18</v>
      </c>
      <c r="G1246" s="12" t="s">
        <v>19</v>
      </c>
      <c r="H1246" s="12" t="s">
        <v>57</v>
      </c>
      <c r="I1246" s="30">
        <v>235.1</v>
      </c>
      <c r="J1246" s="12">
        <v>207.922</v>
      </c>
      <c r="K1246" s="12">
        <v>4.2</v>
      </c>
      <c r="L1246" s="12">
        <v>11.1</v>
      </c>
    </row>
    <row r="1247" spans="1:12" ht="13.9" hidden="1" x14ac:dyDescent="0.25">
      <c r="A1247" s="12">
        <v>7526</v>
      </c>
      <c r="B1247" s="12">
        <v>1071595</v>
      </c>
      <c r="C1247" s="12" t="s">
        <v>13</v>
      </c>
      <c r="D1247" s="12" t="s">
        <v>14</v>
      </c>
      <c r="E1247" s="14">
        <v>45317</v>
      </c>
      <c r="F1247" s="12" t="s">
        <v>18</v>
      </c>
      <c r="G1247" s="12" t="s">
        <v>19</v>
      </c>
      <c r="H1247" s="12" t="s">
        <v>57</v>
      </c>
      <c r="I1247" s="30">
        <v>235.053</v>
      </c>
      <c r="J1247" s="12">
        <v>203.05600000000001</v>
      </c>
      <c r="K1247" s="12">
        <v>3.5</v>
      </c>
      <c r="L1247" s="12">
        <v>12.2</v>
      </c>
    </row>
    <row r="1248" spans="1:12" ht="13.9" hidden="1" x14ac:dyDescent="0.25">
      <c r="A1248" s="12">
        <v>7527</v>
      </c>
      <c r="B1248" s="12">
        <v>1071756</v>
      </c>
      <c r="C1248" s="12" t="s">
        <v>13</v>
      </c>
      <c r="D1248" s="12" t="s">
        <v>14</v>
      </c>
      <c r="E1248" s="14">
        <v>45318</v>
      </c>
      <c r="F1248" s="12" t="s">
        <v>64</v>
      </c>
      <c r="G1248" s="12" t="s">
        <v>20</v>
      </c>
      <c r="H1248" s="12" t="s">
        <v>62</v>
      </c>
      <c r="I1248" s="30">
        <v>235.011</v>
      </c>
      <c r="J1248" s="12">
        <v>196.48</v>
      </c>
      <c r="K1248" s="12">
        <v>4.4000000000000004</v>
      </c>
      <c r="L1248" s="12">
        <v>12.6</v>
      </c>
    </row>
    <row r="1249" spans="1:12" ht="13.9" hidden="1" x14ac:dyDescent="0.25">
      <c r="A1249" s="12">
        <v>7528</v>
      </c>
      <c r="B1249" s="12">
        <v>1071851</v>
      </c>
      <c r="C1249" s="12" t="s">
        <v>13</v>
      </c>
      <c r="D1249" s="12" t="s">
        <v>14</v>
      </c>
      <c r="E1249" s="14">
        <v>45319</v>
      </c>
      <c r="F1249" s="12" t="s">
        <v>64</v>
      </c>
      <c r="G1249" s="12" t="s">
        <v>20</v>
      </c>
      <c r="H1249" s="12" t="s">
        <v>62</v>
      </c>
      <c r="I1249" s="30">
        <v>235</v>
      </c>
      <c r="J1249" s="12">
        <v>200.42599999999999</v>
      </c>
      <c r="K1249" s="12">
        <v>3.7</v>
      </c>
      <c r="L1249" s="12">
        <v>12.4</v>
      </c>
    </row>
    <row r="1250" spans="1:12" ht="13.9" hidden="1" x14ac:dyDescent="0.25">
      <c r="A1250" s="12">
        <v>7529</v>
      </c>
      <c r="B1250" s="12">
        <v>1071856</v>
      </c>
      <c r="C1250" s="12" t="s">
        <v>13</v>
      </c>
      <c r="D1250" s="12" t="s">
        <v>14</v>
      </c>
      <c r="E1250" s="14">
        <v>45320</v>
      </c>
      <c r="F1250" s="12" t="s">
        <v>64</v>
      </c>
      <c r="G1250" s="12" t="s">
        <v>20</v>
      </c>
      <c r="H1250" s="12" t="s">
        <v>62</v>
      </c>
      <c r="I1250" s="30">
        <v>235.01</v>
      </c>
      <c r="J1250" s="12">
        <v>197.44</v>
      </c>
      <c r="K1250" s="12">
        <v>4</v>
      </c>
      <c r="L1250" s="12">
        <v>12.6</v>
      </c>
    </row>
    <row r="1251" spans="1:12" ht="13.9" hidden="1" x14ac:dyDescent="0.25">
      <c r="A1251" s="12">
        <v>7530</v>
      </c>
      <c r="B1251" s="12">
        <v>1071862</v>
      </c>
      <c r="C1251" s="12" t="s">
        <v>13</v>
      </c>
      <c r="D1251" s="12" t="s">
        <v>14</v>
      </c>
      <c r="E1251" s="14">
        <v>45321</v>
      </c>
      <c r="F1251" s="12" t="s">
        <v>64</v>
      </c>
      <c r="G1251" s="12" t="s">
        <v>20</v>
      </c>
      <c r="H1251" s="12" t="s">
        <v>62</v>
      </c>
      <c r="I1251" s="30">
        <v>235.011</v>
      </c>
      <c r="J1251" s="12">
        <v>199.86799999999999</v>
      </c>
      <c r="K1251" s="12">
        <v>4</v>
      </c>
      <c r="L1251" s="12">
        <v>12.8</v>
      </c>
    </row>
    <row r="1252" spans="1:12" ht="13.9" hidden="1" x14ac:dyDescent="0.25">
      <c r="A1252" s="12">
        <v>7531</v>
      </c>
      <c r="B1252" s="12">
        <v>1072169</v>
      </c>
      <c r="C1252" s="12" t="s">
        <v>13</v>
      </c>
      <c r="D1252" s="12" t="s">
        <v>14</v>
      </c>
      <c r="E1252" s="14">
        <v>45322</v>
      </c>
      <c r="F1252" s="12" t="s">
        <v>64</v>
      </c>
      <c r="G1252" s="12" t="s">
        <v>20</v>
      </c>
      <c r="H1252" s="12" t="s">
        <v>62</v>
      </c>
      <c r="I1252" s="30">
        <v>235.011</v>
      </c>
      <c r="J1252" s="12">
        <v>197.744</v>
      </c>
      <c r="K1252" s="12">
        <v>4.5</v>
      </c>
      <c r="L1252" s="12">
        <v>12.5</v>
      </c>
    </row>
    <row r="1253" spans="1:12" ht="13.9" hidden="1" x14ac:dyDescent="0.25">
      <c r="A1253" s="12">
        <v>7532</v>
      </c>
      <c r="B1253" s="12">
        <v>1072174</v>
      </c>
      <c r="C1253" s="12" t="s">
        <v>13</v>
      </c>
      <c r="D1253" s="12" t="s">
        <v>14</v>
      </c>
      <c r="E1253" s="14">
        <v>45323</v>
      </c>
      <c r="F1253" s="12" t="s">
        <v>64</v>
      </c>
      <c r="G1253" s="12" t="s">
        <v>20</v>
      </c>
      <c r="H1253" s="12" t="s">
        <v>61</v>
      </c>
      <c r="I1253" s="12">
        <v>232.011</v>
      </c>
      <c r="J1253" s="12">
        <v>201.47900000000001</v>
      </c>
      <c r="K1253" s="12">
        <v>4</v>
      </c>
      <c r="L1253" s="12">
        <v>12.5</v>
      </c>
    </row>
    <row r="1254" spans="1:12" ht="13.9" hidden="1" x14ac:dyDescent="0.25">
      <c r="A1254" s="12">
        <v>7533</v>
      </c>
      <c r="B1254" s="12">
        <v>1072382</v>
      </c>
      <c r="C1254" s="12" t="s">
        <v>13</v>
      </c>
      <c r="D1254" s="12" t="s">
        <v>14</v>
      </c>
      <c r="E1254" s="14">
        <v>45324</v>
      </c>
      <c r="F1254" s="12" t="s">
        <v>64</v>
      </c>
      <c r="G1254" s="12" t="s">
        <v>20</v>
      </c>
      <c r="H1254" s="12" t="s">
        <v>61</v>
      </c>
      <c r="I1254" s="12">
        <v>232.03200000000001</v>
      </c>
      <c r="J1254" s="12">
        <v>201.26300000000001</v>
      </c>
      <c r="K1254" s="12">
        <v>4.2</v>
      </c>
      <c r="L1254" s="12">
        <v>12.3</v>
      </c>
    </row>
    <row r="1255" spans="1:12" ht="13.9" hidden="1" x14ac:dyDescent="0.25">
      <c r="A1255" s="12">
        <v>7534</v>
      </c>
      <c r="B1255" s="12">
        <v>1072622</v>
      </c>
      <c r="C1255" s="12" t="s">
        <v>13</v>
      </c>
      <c r="D1255" s="12" t="s">
        <v>14</v>
      </c>
      <c r="E1255" s="14">
        <v>45325</v>
      </c>
      <c r="F1255" s="12" t="s">
        <v>18</v>
      </c>
      <c r="G1255" s="12" t="s">
        <v>19</v>
      </c>
      <c r="H1255" s="12" t="s">
        <v>67</v>
      </c>
      <c r="I1255" s="12">
        <v>235.00899999999999</v>
      </c>
      <c r="J1255" s="12">
        <v>202.40299999999999</v>
      </c>
      <c r="K1255" s="12">
        <v>3.4</v>
      </c>
      <c r="L1255" s="12">
        <v>11.6</v>
      </c>
    </row>
    <row r="1256" spans="1:12" ht="13.9" hidden="1" x14ac:dyDescent="0.25">
      <c r="A1256" s="12">
        <v>7535</v>
      </c>
      <c r="B1256" s="12">
        <v>1072779</v>
      </c>
      <c r="C1256" s="12" t="s">
        <v>13</v>
      </c>
      <c r="D1256" s="12" t="s">
        <v>14</v>
      </c>
      <c r="E1256" s="14">
        <v>45325</v>
      </c>
      <c r="F1256" s="12" t="s">
        <v>18</v>
      </c>
      <c r="G1256" s="12" t="s">
        <v>19</v>
      </c>
      <c r="H1256" s="12" t="s">
        <v>67</v>
      </c>
      <c r="I1256" s="12">
        <v>234.97499999999999</v>
      </c>
      <c r="J1256" s="12">
        <v>199.19900000000001</v>
      </c>
      <c r="K1256" s="12">
        <v>4.0999999999999996</v>
      </c>
      <c r="L1256" s="12">
        <v>11.6</v>
      </c>
    </row>
    <row r="1257" spans="1:12" ht="13.9" hidden="1" x14ac:dyDescent="0.25">
      <c r="A1257" s="12">
        <v>7536</v>
      </c>
      <c r="B1257" s="12">
        <v>1072782</v>
      </c>
      <c r="C1257" s="12" t="s">
        <v>13</v>
      </c>
      <c r="D1257" s="12" t="s">
        <v>14</v>
      </c>
      <c r="E1257" s="14">
        <v>45327</v>
      </c>
      <c r="F1257" s="12" t="s">
        <v>18</v>
      </c>
      <c r="G1257" s="12" t="s">
        <v>20</v>
      </c>
      <c r="H1257" s="12" t="s">
        <v>61</v>
      </c>
      <c r="I1257" s="12">
        <v>232.017</v>
      </c>
      <c r="J1257" s="12">
        <v>201.42699999999999</v>
      </c>
      <c r="K1257" s="12">
        <v>3.7</v>
      </c>
      <c r="L1257" s="12">
        <v>12.4</v>
      </c>
    </row>
    <row r="1258" spans="1:12" ht="13.9" hidden="1" x14ac:dyDescent="0.25">
      <c r="A1258" s="12">
        <v>7537</v>
      </c>
      <c r="B1258" s="12">
        <v>1072893</v>
      </c>
      <c r="C1258" s="12" t="s">
        <v>13</v>
      </c>
      <c r="D1258" s="12" t="s">
        <v>14</v>
      </c>
      <c r="E1258" s="14">
        <v>45327</v>
      </c>
      <c r="F1258" s="12" t="s">
        <v>18</v>
      </c>
      <c r="G1258" s="12" t="s">
        <v>20</v>
      </c>
      <c r="H1258" s="12" t="s">
        <v>61</v>
      </c>
      <c r="I1258" s="12">
        <v>232.048</v>
      </c>
      <c r="J1258" s="12">
        <v>197.41499999999999</v>
      </c>
      <c r="K1258" s="12">
        <v>4.4000000000000004</v>
      </c>
      <c r="L1258" s="12">
        <v>12.4</v>
      </c>
    </row>
    <row r="1259" spans="1:12" ht="13.9" hidden="1" x14ac:dyDescent="0.25">
      <c r="A1259" s="12">
        <v>7538</v>
      </c>
      <c r="B1259" s="12">
        <v>1072895</v>
      </c>
      <c r="C1259" s="12" t="s">
        <v>13</v>
      </c>
      <c r="D1259" s="12" t="s">
        <v>14</v>
      </c>
      <c r="E1259" s="14">
        <v>45328</v>
      </c>
      <c r="F1259" s="12" t="s">
        <v>18</v>
      </c>
      <c r="G1259" s="12" t="s">
        <v>19</v>
      </c>
      <c r="H1259" s="12" t="s">
        <v>57</v>
      </c>
      <c r="I1259" s="12">
        <v>235.00800000000001</v>
      </c>
      <c r="J1259" s="12">
        <v>205.97300000000001</v>
      </c>
      <c r="K1259" s="12">
        <v>3.7</v>
      </c>
      <c r="L1259" s="12">
        <v>11.7</v>
      </c>
    </row>
    <row r="1260" spans="1:12" ht="13.9" hidden="1" x14ac:dyDescent="0.25">
      <c r="A1260" s="12">
        <v>7539</v>
      </c>
      <c r="B1260" s="12">
        <v>1072986</v>
      </c>
      <c r="C1260" s="12" t="s">
        <v>13</v>
      </c>
      <c r="D1260" s="12" t="s">
        <v>14</v>
      </c>
      <c r="E1260" s="14">
        <v>45329</v>
      </c>
      <c r="F1260" s="12" t="s">
        <v>18</v>
      </c>
      <c r="G1260" s="12" t="s">
        <v>19</v>
      </c>
      <c r="H1260" s="12" t="s">
        <v>57</v>
      </c>
      <c r="I1260" s="12">
        <v>235</v>
      </c>
      <c r="J1260" s="12">
        <v>205.06399999999999</v>
      </c>
      <c r="K1260" s="12">
        <v>4.3</v>
      </c>
    </row>
    <row r="1261" spans="1:12" ht="13.9" hidden="1" x14ac:dyDescent="0.25">
      <c r="A1261" s="12">
        <v>7540</v>
      </c>
      <c r="B1261" s="12">
        <v>1073219</v>
      </c>
      <c r="C1261" s="12" t="s">
        <v>13</v>
      </c>
      <c r="D1261" s="12" t="s">
        <v>14</v>
      </c>
      <c r="E1261" s="14">
        <v>45330</v>
      </c>
      <c r="F1261" s="12" t="s">
        <v>18</v>
      </c>
      <c r="G1261" s="12" t="s">
        <v>19</v>
      </c>
      <c r="H1261" s="12" t="s">
        <v>57</v>
      </c>
      <c r="I1261" s="12">
        <v>235.03299999999999</v>
      </c>
      <c r="J1261" s="12">
        <v>208.881</v>
      </c>
      <c r="K1261" s="12">
        <v>3.8</v>
      </c>
      <c r="L1261" s="12">
        <v>11.8</v>
      </c>
    </row>
    <row r="1262" spans="1:12" ht="13.9" hidden="1" x14ac:dyDescent="0.25">
      <c r="A1262" s="12">
        <v>7541</v>
      </c>
      <c r="B1262" s="12">
        <v>1073438</v>
      </c>
      <c r="C1262" s="12" t="s">
        <v>13</v>
      </c>
      <c r="D1262" s="12" t="s">
        <v>14</v>
      </c>
      <c r="E1262" s="14">
        <v>45331</v>
      </c>
      <c r="F1262" s="12" t="s">
        <v>18</v>
      </c>
      <c r="G1262" s="12" t="s">
        <v>19</v>
      </c>
      <c r="H1262" s="12" t="s">
        <v>57</v>
      </c>
      <c r="I1262" s="12">
        <v>235.00700000000001</v>
      </c>
      <c r="J1262" s="12">
        <v>205.92500000000001</v>
      </c>
      <c r="K1262" s="12">
        <v>4.5999999999999996</v>
      </c>
      <c r="L1262" s="12">
        <v>11.8</v>
      </c>
    </row>
    <row r="1263" spans="1:12" ht="13.9" hidden="1" x14ac:dyDescent="0.25">
      <c r="A1263" s="12">
        <v>7542</v>
      </c>
      <c r="B1263" s="12">
        <v>1073743</v>
      </c>
      <c r="C1263" s="12" t="s">
        <v>13</v>
      </c>
      <c r="D1263" s="12" t="s">
        <v>14</v>
      </c>
      <c r="E1263" s="14">
        <v>45332</v>
      </c>
      <c r="F1263" s="12" t="s">
        <v>18</v>
      </c>
      <c r="G1263" s="12" t="s">
        <v>19</v>
      </c>
      <c r="H1263" s="12" t="s">
        <v>57</v>
      </c>
      <c r="I1263" s="12">
        <v>235.02799999999999</v>
      </c>
      <c r="J1263" s="12">
        <v>208.57599999999999</v>
      </c>
      <c r="K1263" s="12">
        <v>3.3</v>
      </c>
      <c r="L1263" s="12">
        <v>12.1</v>
      </c>
    </row>
    <row r="1264" spans="1:12" ht="13.9" hidden="1" x14ac:dyDescent="0.25">
      <c r="A1264" s="12">
        <v>7543</v>
      </c>
      <c r="B1264" s="12">
        <v>1073835</v>
      </c>
      <c r="C1264" s="12" t="s">
        <v>13</v>
      </c>
      <c r="D1264" s="12" t="s">
        <v>14</v>
      </c>
      <c r="E1264" s="14">
        <v>45333</v>
      </c>
      <c r="F1264" s="12" t="s">
        <v>18</v>
      </c>
      <c r="G1264" s="12" t="s">
        <v>19</v>
      </c>
      <c r="H1264" s="12" t="s">
        <v>67</v>
      </c>
      <c r="I1264" s="12">
        <v>235.01</v>
      </c>
      <c r="J1264" s="12">
        <v>198.49100000000001</v>
      </c>
      <c r="K1264" s="12">
        <v>4.4000000000000004</v>
      </c>
      <c r="L1264" s="12">
        <v>11.6</v>
      </c>
    </row>
    <row r="1265" spans="1:12" ht="13.9" hidden="1" x14ac:dyDescent="0.25">
      <c r="A1265" s="12">
        <v>7544</v>
      </c>
      <c r="B1265" s="12">
        <v>1073909</v>
      </c>
      <c r="C1265" s="12" t="s">
        <v>13</v>
      </c>
      <c r="D1265" s="12" t="s">
        <v>14</v>
      </c>
      <c r="E1265" s="14">
        <v>45334</v>
      </c>
      <c r="F1265" s="12" t="s">
        <v>18</v>
      </c>
      <c r="G1265" s="12" t="s">
        <v>19</v>
      </c>
      <c r="H1265" s="12" t="s">
        <v>67</v>
      </c>
      <c r="I1265" s="12">
        <v>235.00299999999999</v>
      </c>
      <c r="J1265" s="12">
        <v>200.94200000000001</v>
      </c>
      <c r="K1265" s="12">
        <v>4.0999999999999996</v>
      </c>
      <c r="L1265" s="12">
        <v>11.5</v>
      </c>
    </row>
    <row r="1266" spans="1:12" ht="13.9" hidden="1" x14ac:dyDescent="0.25">
      <c r="A1266" s="12">
        <v>7545</v>
      </c>
      <c r="B1266" s="12">
        <v>1073910</v>
      </c>
      <c r="C1266" s="12" t="s">
        <v>13</v>
      </c>
      <c r="D1266" s="12" t="s">
        <v>14</v>
      </c>
      <c r="E1266" s="14">
        <v>45335</v>
      </c>
      <c r="F1266" s="12" t="s">
        <v>64</v>
      </c>
      <c r="G1266" s="12" t="s">
        <v>20</v>
      </c>
      <c r="H1266" s="12" t="s">
        <v>62</v>
      </c>
      <c r="I1266" s="12">
        <v>232.06800000000001</v>
      </c>
      <c r="J1266" s="12">
        <v>203.255</v>
      </c>
      <c r="K1266" s="12">
        <v>4.7</v>
      </c>
      <c r="L1266" s="12">
        <v>12</v>
      </c>
    </row>
    <row r="1267" spans="1:12" ht="13.9" hidden="1" x14ac:dyDescent="0.25">
      <c r="A1267" s="12">
        <v>7546</v>
      </c>
      <c r="B1267" s="12">
        <v>1073961</v>
      </c>
      <c r="C1267" s="12" t="s">
        <v>13</v>
      </c>
      <c r="D1267" s="12" t="s">
        <v>14</v>
      </c>
      <c r="E1267" s="14">
        <v>45336</v>
      </c>
      <c r="F1267" s="12" t="s">
        <v>64</v>
      </c>
      <c r="G1267" s="12" t="s">
        <v>20</v>
      </c>
      <c r="H1267" s="12" t="s">
        <v>62</v>
      </c>
      <c r="I1267" s="12">
        <v>232.00299999999999</v>
      </c>
      <c r="J1267" s="12">
        <v>204.774</v>
      </c>
      <c r="K1267" s="12">
        <v>4.7</v>
      </c>
      <c r="L1267" s="12">
        <v>11.9</v>
      </c>
    </row>
    <row r="1268" spans="1:12" ht="13.9" hidden="1" x14ac:dyDescent="0.25">
      <c r="A1268" s="12">
        <v>7547</v>
      </c>
      <c r="B1268" s="12">
        <v>1074172</v>
      </c>
      <c r="C1268" s="12" t="s">
        <v>13</v>
      </c>
      <c r="D1268" s="12" t="s">
        <v>14</v>
      </c>
      <c r="E1268" s="14">
        <v>45337</v>
      </c>
      <c r="F1268" s="12" t="s">
        <v>64</v>
      </c>
      <c r="G1268" s="12" t="s">
        <v>20</v>
      </c>
      <c r="H1268" s="12" t="s">
        <v>62</v>
      </c>
      <c r="I1268" s="12">
        <v>232.066</v>
      </c>
      <c r="J1268" s="12">
        <v>202.91800000000001</v>
      </c>
      <c r="K1268" s="12">
        <v>3.9</v>
      </c>
      <c r="L1268" s="12">
        <v>12.1</v>
      </c>
    </row>
    <row r="1269" spans="1:12" ht="13.9" hidden="1" x14ac:dyDescent="0.25">
      <c r="A1269" s="12">
        <v>7548</v>
      </c>
      <c r="B1269" s="12">
        <v>1074359</v>
      </c>
      <c r="C1269" s="12" t="s">
        <v>13</v>
      </c>
      <c r="D1269" s="12" t="s">
        <v>14</v>
      </c>
      <c r="E1269" s="14">
        <v>45338</v>
      </c>
      <c r="F1269" s="12" t="s">
        <v>64</v>
      </c>
      <c r="G1269" s="12" t="s">
        <v>20</v>
      </c>
      <c r="H1269" s="12" t="s">
        <v>62</v>
      </c>
      <c r="I1269" s="12">
        <v>232.02099999999999</v>
      </c>
      <c r="J1269" s="12">
        <v>205.41499999999999</v>
      </c>
      <c r="K1269" s="12">
        <v>4.7</v>
      </c>
      <c r="L1269" s="12">
        <v>12</v>
      </c>
    </row>
    <row r="1270" spans="1:12" ht="13.9" hidden="1" x14ac:dyDescent="0.25">
      <c r="A1270" s="12">
        <v>7549</v>
      </c>
      <c r="B1270" s="12">
        <v>1074523</v>
      </c>
      <c r="C1270" s="12" t="s">
        <v>13</v>
      </c>
      <c r="D1270" s="12" t="s">
        <v>14</v>
      </c>
      <c r="E1270" s="14">
        <v>45339</v>
      </c>
      <c r="F1270" s="12" t="s">
        <v>64</v>
      </c>
      <c r="G1270" s="12" t="s">
        <v>20</v>
      </c>
      <c r="H1270" s="12" t="s">
        <v>62</v>
      </c>
      <c r="I1270" s="12">
        <v>232.00200000000001</v>
      </c>
      <c r="J1270" s="12">
        <v>197.648</v>
      </c>
      <c r="K1270" s="12">
        <v>3.9</v>
      </c>
      <c r="L1270" s="12">
        <v>12.4</v>
      </c>
    </row>
    <row r="1271" spans="1:12" ht="13.9" hidden="1" x14ac:dyDescent="0.25">
      <c r="A1271" s="12">
        <v>7550</v>
      </c>
      <c r="B1271" s="12">
        <v>1074692</v>
      </c>
      <c r="C1271" s="12" t="s">
        <v>13</v>
      </c>
      <c r="D1271" s="12" t="s">
        <v>14</v>
      </c>
      <c r="E1271" s="14">
        <v>45340</v>
      </c>
      <c r="F1271" s="12" t="s">
        <v>37</v>
      </c>
      <c r="G1271" s="12" t="s">
        <v>19</v>
      </c>
      <c r="H1271" s="12" t="s">
        <v>57</v>
      </c>
      <c r="I1271" s="12">
        <v>235.06100000000001</v>
      </c>
      <c r="J1271" s="12">
        <v>203.87299999999999</v>
      </c>
      <c r="K1271" s="12">
        <v>4</v>
      </c>
      <c r="L1271" s="12">
        <v>12</v>
      </c>
    </row>
    <row r="1272" spans="1:12" ht="13.9" hidden="1" x14ac:dyDescent="0.25">
      <c r="A1272" s="12">
        <v>7551</v>
      </c>
      <c r="B1272" s="12">
        <v>1074821</v>
      </c>
      <c r="C1272" s="12" t="s">
        <v>13</v>
      </c>
      <c r="D1272" s="12" t="s">
        <v>14</v>
      </c>
      <c r="E1272" s="14">
        <v>45341</v>
      </c>
      <c r="F1272" s="12" t="s">
        <v>37</v>
      </c>
      <c r="G1272" s="12" t="s">
        <v>19</v>
      </c>
      <c r="H1272" s="12" t="s">
        <v>57</v>
      </c>
      <c r="I1272" s="12">
        <v>235.07</v>
      </c>
      <c r="J1272" s="12">
        <v>203.25800000000001</v>
      </c>
      <c r="K1272" s="12">
        <v>3.8</v>
      </c>
      <c r="L1272" s="33"/>
    </row>
    <row r="1273" spans="1:12" ht="13.9" hidden="1" x14ac:dyDescent="0.25">
      <c r="A1273" s="12">
        <v>7552</v>
      </c>
      <c r="B1273" s="12">
        <v>1074822</v>
      </c>
      <c r="C1273" s="12" t="s">
        <v>13</v>
      </c>
      <c r="D1273" s="12" t="s">
        <v>14</v>
      </c>
      <c r="E1273" s="14">
        <v>45342</v>
      </c>
      <c r="F1273" s="12" t="s">
        <v>37</v>
      </c>
      <c r="G1273" s="12" t="s">
        <v>19</v>
      </c>
      <c r="H1273" s="12" t="s">
        <v>57</v>
      </c>
      <c r="I1273" s="12">
        <v>234.988</v>
      </c>
      <c r="J1273" s="12">
        <v>205.09800000000001</v>
      </c>
      <c r="K1273" s="12">
        <v>4.2</v>
      </c>
      <c r="L1273" s="12">
        <v>11.5</v>
      </c>
    </row>
    <row r="1274" spans="1:12" ht="13.9" hidden="1" x14ac:dyDescent="0.25">
      <c r="A1274" s="12">
        <v>7553</v>
      </c>
      <c r="B1274" s="12">
        <v>1074823</v>
      </c>
      <c r="C1274" s="12" t="s">
        <v>13</v>
      </c>
      <c r="D1274" s="12" t="s">
        <v>14</v>
      </c>
      <c r="E1274" s="14">
        <v>45343</v>
      </c>
      <c r="F1274" s="12" t="s">
        <v>37</v>
      </c>
      <c r="G1274" s="12" t="s">
        <v>19</v>
      </c>
      <c r="H1274" s="12" t="s">
        <v>57</v>
      </c>
      <c r="I1274" s="12">
        <v>235.005</v>
      </c>
      <c r="J1274" s="12">
        <v>202.53200000000001</v>
      </c>
      <c r="K1274" s="12">
        <v>3.5</v>
      </c>
      <c r="L1274" s="12">
        <v>12</v>
      </c>
    </row>
    <row r="1275" spans="1:12" ht="13.9" hidden="1" x14ac:dyDescent="0.25">
      <c r="A1275" s="12">
        <v>7554</v>
      </c>
      <c r="B1275" s="12">
        <v>1075108</v>
      </c>
      <c r="C1275" s="12" t="s">
        <v>13</v>
      </c>
      <c r="D1275" s="12" t="s">
        <v>14</v>
      </c>
      <c r="E1275" s="14">
        <v>45344</v>
      </c>
      <c r="F1275" s="12" t="s">
        <v>37</v>
      </c>
      <c r="G1275" s="12" t="s">
        <v>19</v>
      </c>
      <c r="H1275" s="12" t="s">
        <v>57</v>
      </c>
      <c r="I1275" s="12">
        <v>235.00700000000001</v>
      </c>
      <c r="J1275" s="12">
        <v>202.73500000000001</v>
      </c>
      <c r="K1275" s="12">
        <v>4</v>
      </c>
      <c r="L1275" s="12">
        <v>11.7</v>
      </c>
    </row>
    <row r="1276" spans="1:12" ht="13.9" hidden="1" x14ac:dyDescent="0.25">
      <c r="A1276" s="12">
        <v>7555</v>
      </c>
      <c r="B1276" s="12">
        <v>1075111</v>
      </c>
      <c r="C1276" s="12" t="s">
        <v>13</v>
      </c>
      <c r="D1276" s="12" t="s">
        <v>14</v>
      </c>
      <c r="E1276" s="14">
        <v>45345</v>
      </c>
      <c r="F1276" s="12" t="s">
        <v>64</v>
      </c>
      <c r="G1276" s="12" t="s">
        <v>20</v>
      </c>
      <c r="H1276" s="12" t="s">
        <v>62</v>
      </c>
      <c r="I1276" s="12">
        <v>231.97900000000001</v>
      </c>
      <c r="J1276" s="12">
        <v>199.68199999999999</v>
      </c>
      <c r="K1276" s="12">
        <v>3.9</v>
      </c>
      <c r="L1276" s="12">
        <v>12.1</v>
      </c>
    </row>
    <row r="1277" spans="1:12" ht="13.9" hidden="1" x14ac:dyDescent="0.25">
      <c r="A1277" s="12">
        <v>7556</v>
      </c>
      <c r="B1277" s="12">
        <v>1075399</v>
      </c>
      <c r="C1277" s="12" t="s">
        <v>13</v>
      </c>
      <c r="D1277" s="12" t="s">
        <v>14</v>
      </c>
      <c r="E1277" s="14">
        <v>45346</v>
      </c>
      <c r="F1277" s="12" t="s">
        <v>64</v>
      </c>
      <c r="G1277" s="12" t="s">
        <v>20</v>
      </c>
      <c r="H1277" s="12" t="s">
        <v>62</v>
      </c>
      <c r="I1277" s="12">
        <v>232.02</v>
      </c>
      <c r="J1277" s="12">
        <v>201.232</v>
      </c>
      <c r="K1277" s="12">
        <v>5.3</v>
      </c>
      <c r="L1277" s="12">
        <v>12.1</v>
      </c>
    </row>
    <row r="1278" spans="1:12" ht="13.9" hidden="1" x14ac:dyDescent="0.25">
      <c r="A1278" s="12">
        <v>7557</v>
      </c>
      <c r="B1278" s="12">
        <v>1075427</v>
      </c>
      <c r="C1278" s="12" t="s">
        <v>13</v>
      </c>
      <c r="D1278" s="12" t="s">
        <v>14</v>
      </c>
      <c r="E1278" s="14">
        <v>45346</v>
      </c>
      <c r="F1278" s="12" t="s">
        <v>64</v>
      </c>
      <c r="G1278" s="12" t="s">
        <v>20</v>
      </c>
      <c r="H1278" s="12" t="s">
        <v>61</v>
      </c>
      <c r="I1278" s="12">
        <v>235.01599999999999</v>
      </c>
      <c r="J1278" s="12">
        <v>202.57400000000001</v>
      </c>
      <c r="K1278" s="12">
        <v>3.9</v>
      </c>
      <c r="L1278" s="33"/>
    </row>
    <row r="1279" spans="1:12" ht="13.9" hidden="1" x14ac:dyDescent="0.25">
      <c r="A1279" s="12">
        <v>7558</v>
      </c>
      <c r="B1279" s="12">
        <v>1075429</v>
      </c>
      <c r="C1279" s="12" t="s">
        <v>13</v>
      </c>
      <c r="D1279" s="12" t="s">
        <v>14</v>
      </c>
      <c r="E1279" s="14">
        <v>45347</v>
      </c>
      <c r="F1279" s="12" t="s">
        <v>64</v>
      </c>
      <c r="G1279" s="12" t="s">
        <v>20</v>
      </c>
      <c r="H1279" s="12" t="s">
        <v>61</v>
      </c>
      <c r="I1279" s="12">
        <v>232.053</v>
      </c>
      <c r="J1279" s="12">
        <v>203.93899999999999</v>
      </c>
      <c r="K1279" s="12">
        <v>4.0999999999999996</v>
      </c>
      <c r="L1279" s="33"/>
    </row>
    <row r="1280" spans="1:12" ht="13.9" hidden="1" x14ac:dyDescent="0.25">
      <c r="A1280" s="12">
        <v>7559</v>
      </c>
      <c r="B1280" s="12">
        <v>1075666</v>
      </c>
      <c r="C1280" s="12" t="s">
        <v>13</v>
      </c>
      <c r="D1280" s="12" t="s">
        <v>14</v>
      </c>
      <c r="E1280" s="14">
        <v>45348</v>
      </c>
      <c r="F1280" s="12" t="s">
        <v>64</v>
      </c>
      <c r="G1280" s="12" t="s">
        <v>20</v>
      </c>
      <c r="H1280" s="12" t="s">
        <v>61</v>
      </c>
      <c r="I1280" s="12">
        <v>232.01900000000001</v>
      </c>
      <c r="J1280" s="12">
        <v>195.09800000000001</v>
      </c>
      <c r="K1280" s="12">
        <v>4</v>
      </c>
      <c r="L1280" s="33"/>
    </row>
    <row r="1281" spans="1:12" ht="13.9" hidden="1" x14ac:dyDescent="0.25">
      <c r="A1281" s="12">
        <v>7560</v>
      </c>
      <c r="B1281" s="12">
        <v>1075669</v>
      </c>
      <c r="C1281" s="12" t="s">
        <v>13</v>
      </c>
      <c r="D1281" s="12" t="s">
        <v>14</v>
      </c>
      <c r="E1281" s="14">
        <v>45349</v>
      </c>
      <c r="F1281" s="12" t="s">
        <v>64</v>
      </c>
      <c r="G1281" s="12" t="s">
        <v>20</v>
      </c>
      <c r="H1281" s="12" t="s">
        <v>61</v>
      </c>
      <c r="I1281" s="12">
        <v>232.035</v>
      </c>
      <c r="J1281" s="12">
        <v>201.88900000000001</v>
      </c>
      <c r="K1281" s="12">
        <v>4</v>
      </c>
      <c r="L1281" s="12">
        <v>12.3</v>
      </c>
    </row>
    <row r="1282" spans="1:12" ht="13.9" hidden="1" x14ac:dyDescent="0.25">
      <c r="A1282" s="12">
        <v>7561</v>
      </c>
      <c r="B1282" s="12">
        <v>1075965</v>
      </c>
      <c r="C1282" s="12" t="s">
        <v>13</v>
      </c>
      <c r="D1282" s="12" t="s">
        <v>14</v>
      </c>
      <c r="E1282" s="14">
        <v>45350</v>
      </c>
      <c r="F1282" s="12" t="s">
        <v>64</v>
      </c>
      <c r="G1282" s="12" t="s">
        <v>20</v>
      </c>
      <c r="H1282" s="12" t="s">
        <v>61</v>
      </c>
      <c r="I1282" s="12">
        <v>232.005</v>
      </c>
      <c r="J1282" s="12">
        <v>203.53700000000001</v>
      </c>
      <c r="K1282" s="12">
        <v>4</v>
      </c>
      <c r="L1282" s="12">
        <v>11.5</v>
      </c>
    </row>
    <row r="1283" spans="1:12" ht="13.9" hidden="1" x14ac:dyDescent="0.25">
      <c r="A1283" s="12">
        <v>7562</v>
      </c>
      <c r="B1283" s="12">
        <v>1075966</v>
      </c>
      <c r="C1283" s="12" t="s">
        <v>13</v>
      </c>
      <c r="D1283" s="12" t="s">
        <v>14</v>
      </c>
      <c r="E1283" s="14">
        <v>45351</v>
      </c>
      <c r="F1283" s="12" t="s">
        <v>17</v>
      </c>
      <c r="G1283" s="12" t="s">
        <v>20</v>
      </c>
      <c r="H1283" s="12" t="s">
        <v>61</v>
      </c>
      <c r="I1283" s="12">
        <v>231.99600000000001</v>
      </c>
      <c r="J1283" s="12">
        <v>200.63200000000001</v>
      </c>
      <c r="K1283" s="12">
        <v>3.9</v>
      </c>
      <c r="L1283" s="12">
        <v>12.1</v>
      </c>
    </row>
    <row r="1284" spans="1:12" ht="13.9" hidden="1" x14ac:dyDescent="0.25">
      <c r="A1284" s="12">
        <v>7563</v>
      </c>
      <c r="B1284" s="12">
        <v>1076303</v>
      </c>
      <c r="C1284" s="12" t="s">
        <v>13</v>
      </c>
      <c r="D1284" s="12" t="s">
        <v>14</v>
      </c>
      <c r="E1284" s="14">
        <v>45352</v>
      </c>
      <c r="F1284" s="12" t="s">
        <v>17</v>
      </c>
      <c r="G1284" s="12" t="s">
        <v>20</v>
      </c>
      <c r="H1284" s="12" t="s">
        <v>61</v>
      </c>
      <c r="I1284" s="12">
        <v>232.011</v>
      </c>
      <c r="J1284" s="12">
        <v>199.92099999999999</v>
      </c>
      <c r="K1284" s="12">
        <v>3.8</v>
      </c>
      <c r="L1284" s="33"/>
    </row>
    <row r="1285" spans="1:12" ht="13.9" hidden="1" x14ac:dyDescent="0.25">
      <c r="A1285" s="12">
        <v>7564</v>
      </c>
      <c r="B1285" s="12">
        <v>1076330</v>
      </c>
      <c r="C1285" s="12" t="s">
        <v>13</v>
      </c>
      <c r="D1285" s="12" t="s">
        <v>14</v>
      </c>
      <c r="E1285" s="14">
        <v>45353</v>
      </c>
      <c r="F1285" s="12" t="s">
        <v>17</v>
      </c>
      <c r="G1285" s="12" t="s">
        <v>20</v>
      </c>
      <c r="H1285" s="12" t="s">
        <v>61</v>
      </c>
      <c r="I1285" s="12">
        <v>232.011</v>
      </c>
      <c r="J1285" s="12">
        <v>203.19399999999999</v>
      </c>
      <c r="K1285" s="12">
        <v>4.4000000000000004</v>
      </c>
      <c r="L1285" s="33"/>
    </row>
    <row r="1286" spans="1:12" ht="13.9" hidden="1" x14ac:dyDescent="0.25">
      <c r="A1286" s="12">
        <v>7565</v>
      </c>
      <c r="B1286" s="12">
        <v>1076335</v>
      </c>
      <c r="C1286" s="12" t="s">
        <v>13</v>
      </c>
      <c r="D1286" s="12" t="s">
        <v>14</v>
      </c>
      <c r="E1286" s="14">
        <v>45354</v>
      </c>
      <c r="F1286" s="12" t="s">
        <v>17</v>
      </c>
      <c r="G1286" s="12" t="s">
        <v>20</v>
      </c>
      <c r="H1286" s="12" t="s">
        <v>61</v>
      </c>
      <c r="I1286" s="12">
        <v>232.012</v>
      </c>
      <c r="J1286" s="12">
        <v>202.398</v>
      </c>
      <c r="K1286" s="12">
        <v>3.9</v>
      </c>
      <c r="L1286" s="12">
        <v>11.5</v>
      </c>
    </row>
    <row r="1287" spans="1:12" ht="13.9" hidden="1" x14ac:dyDescent="0.25">
      <c r="A1287" s="12">
        <v>7566</v>
      </c>
      <c r="B1287" s="12">
        <v>1076342</v>
      </c>
      <c r="C1287" s="12" t="s">
        <v>13</v>
      </c>
      <c r="D1287" s="12" t="s">
        <v>14</v>
      </c>
      <c r="E1287" s="14">
        <v>45355</v>
      </c>
      <c r="F1287" s="12" t="s">
        <v>17</v>
      </c>
      <c r="G1287" s="12" t="s">
        <v>20</v>
      </c>
      <c r="H1287" s="12" t="s">
        <v>61</v>
      </c>
      <c r="I1287" s="12">
        <v>232.02</v>
      </c>
      <c r="J1287" s="12">
        <v>202.935</v>
      </c>
      <c r="K1287" s="12">
        <v>4.7</v>
      </c>
      <c r="L1287" s="12">
        <v>12.1</v>
      </c>
    </row>
    <row r="1288" spans="1:12" ht="13.9" hidden="1" x14ac:dyDescent="0.25">
      <c r="A1288" s="12">
        <v>7567</v>
      </c>
      <c r="B1288" s="12">
        <v>1076720</v>
      </c>
      <c r="C1288" s="12" t="s">
        <v>13</v>
      </c>
      <c r="D1288" s="12" t="s">
        <v>14</v>
      </c>
      <c r="E1288" s="14">
        <v>45356</v>
      </c>
      <c r="F1288" s="12" t="s">
        <v>18</v>
      </c>
      <c r="G1288" s="12" t="s">
        <v>19</v>
      </c>
      <c r="H1288" s="12" t="s">
        <v>57</v>
      </c>
      <c r="I1288" s="12">
        <v>235.01</v>
      </c>
      <c r="J1288" s="12">
        <v>200.018</v>
      </c>
      <c r="K1288" s="12">
        <v>3.4</v>
      </c>
      <c r="L1288" s="12">
        <v>11.7</v>
      </c>
    </row>
    <row r="1289" spans="1:12" ht="13.9" hidden="1" x14ac:dyDescent="0.25">
      <c r="A1289" s="12">
        <v>7568</v>
      </c>
      <c r="B1289" s="12">
        <v>1076728</v>
      </c>
      <c r="C1289" s="12" t="s">
        <v>13</v>
      </c>
      <c r="D1289" s="12" t="s">
        <v>14</v>
      </c>
      <c r="E1289" s="14">
        <v>45357</v>
      </c>
      <c r="F1289" s="12" t="s">
        <v>18</v>
      </c>
      <c r="G1289" s="12" t="s">
        <v>19</v>
      </c>
      <c r="H1289" s="12" t="s">
        <v>57</v>
      </c>
      <c r="I1289" s="12">
        <v>234.95400000000001</v>
      </c>
      <c r="J1289" s="12">
        <v>200.91800000000001</v>
      </c>
      <c r="K1289" s="12">
        <v>4</v>
      </c>
      <c r="L1289" s="12">
        <v>11.7</v>
      </c>
    </row>
    <row r="1290" spans="1:12" ht="13.9" hidden="1" x14ac:dyDescent="0.25">
      <c r="A1290" s="12">
        <v>7569</v>
      </c>
      <c r="B1290" s="12">
        <v>1076917</v>
      </c>
      <c r="C1290" s="12" t="s">
        <v>13</v>
      </c>
      <c r="D1290" s="12" t="s">
        <v>14</v>
      </c>
      <c r="E1290" s="14">
        <v>45358</v>
      </c>
      <c r="F1290" s="12" t="s">
        <v>18</v>
      </c>
      <c r="G1290" s="12" t="s">
        <v>19</v>
      </c>
      <c r="H1290" s="12" t="s">
        <v>57</v>
      </c>
      <c r="I1290" s="12">
        <v>235.012</v>
      </c>
      <c r="J1290" s="12">
        <v>200.42</v>
      </c>
      <c r="K1290" s="12">
        <v>3.6</v>
      </c>
      <c r="L1290" s="12">
        <v>11.8</v>
      </c>
    </row>
    <row r="1291" spans="1:12" ht="13.9" hidden="1" x14ac:dyDescent="0.25">
      <c r="A1291" s="12">
        <v>7570</v>
      </c>
      <c r="B1291" s="12">
        <v>1077106</v>
      </c>
      <c r="C1291" s="12" t="s">
        <v>13</v>
      </c>
      <c r="D1291" s="12" t="s">
        <v>14</v>
      </c>
      <c r="E1291" s="14">
        <v>45359</v>
      </c>
      <c r="F1291" s="12" t="s">
        <v>18</v>
      </c>
      <c r="G1291" s="12" t="s">
        <v>19</v>
      </c>
      <c r="H1291" s="12" t="s">
        <v>57</v>
      </c>
      <c r="I1291" s="12">
        <v>234.946</v>
      </c>
      <c r="J1291" s="12">
        <v>203.499</v>
      </c>
      <c r="K1291" s="12">
        <v>3.8</v>
      </c>
      <c r="L1291" s="12">
        <v>11.8</v>
      </c>
    </row>
    <row r="1292" spans="1:12" ht="13.9" hidden="1" x14ac:dyDescent="0.25">
      <c r="A1292" s="12">
        <v>7571</v>
      </c>
      <c r="B1292" s="12">
        <v>1077229</v>
      </c>
      <c r="C1292" s="12" t="s">
        <v>13</v>
      </c>
      <c r="D1292" s="12" t="s">
        <v>14</v>
      </c>
      <c r="E1292" s="14">
        <v>45360</v>
      </c>
      <c r="F1292" s="12" t="s">
        <v>18</v>
      </c>
      <c r="G1292" s="12" t="s">
        <v>19</v>
      </c>
      <c r="H1292" s="12" t="s">
        <v>57</v>
      </c>
      <c r="I1292" s="12">
        <v>235.012</v>
      </c>
      <c r="J1292" s="12">
        <v>200.36199999999999</v>
      </c>
      <c r="K1292" s="12">
        <v>3.7</v>
      </c>
      <c r="L1292" s="12">
        <v>11.8</v>
      </c>
    </row>
    <row r="1293" spans="1:12" ht="13.9" hidden="1" x14ac:dyDescent="0.25">
      <c r="A1293" s="12">
        <v>7572</v>
      </c>
      <c r="B1293" s="12">
        <v>1077476</v>
      </c>
      <c r="C1293" s="12" t="s">
        <v>13</v>
      </c>
      <c r="D1293" s="12" t="s">
        <v>14</v>
      </c>
      <c r="E1293" s="14">
        <v>45360</v>
      </c>
      <c r="F1293" s="12" t="s">
        <v>18</v>
      </c>
      <c r="G1293" s="12" t="s">
        <v>19</v>
      </c>
      <c r="H1293" s="12" t="s">
        <v>67</v>
      </c>
      <c r="I1293" s="12">
        <v>235.00700000000001</v>
      </c>
      <c r="J1293" s="12">
        <v>205.459</v>
      </c>
      <c r="K1293" s="12">
        <v>3.7</v>
      </c>
      <c r="L1293" s="12">
        <v>11.7</v>
      </c>
    </row>
    <row r="1294" spans="1:12" ht="13.9" hidden="1" x14ac:dyDescent="0.25">
      <c r="A1294" s="12">
        <v>7573</v>
      </c>
      <c r="B1294" s="12">
        <v>1077563</v>
      </c>
      <c r="C1294" s="12" t="s">
        <v>13</v>
      </c>
      <c r="D1294" s="12" t="s">
        <v>14</v>
      </c>
      <c r="E1294" s="14">
        <v>45361</v>
      </c>
      <c r="F1294" s="12" t="s">
        <v>18</v>
      </c>
      <c r="G1294" s="12" t="s">
        <v>19</v>
      </c>
      <c r="H1294" s="12" t="s">
        <v>67</v>
      </c>
      <c r="I1294" s="12">
        <v>235.00200000000001</v>
      </c>
      <c r="J1294" s="12">
        <v>203.602</v>
      </c>
      <c r="K1294" s="12">
        <v>3.6</v>
      </c>
      <c r="L1294" s="12">
        <v>11.5</v>
      </c>
    </row>
    <row r="1295" spans="1:12" ht="13.9" hidden="1" x14ac:dyDescent="0.25">
      <c r="A1295" s="12">
        <v>7574</v>
      </c>
      <c r="B1295" s="12">
        <v>1077564</v>
      </c>
      <c r="C1295" s="12" t="s">
        <v>13</v>
      </c>
      <c r="D1295" s="12" t="s">
        <v>14</v>
      </c>
      <c r="E1295" s="14">
        <v>45362</v>
      </c>
      <c r="F1295" s="12" t="s">
        <v>51</v>
      </c>
      <c r="G1295" s="12" t="s">
        <v>19</v>
      </c>
      <c r="H1295" s="12" t="s">
        <v>57</v>
      </c>
      <c r="I1295" s="12">
        <v>235.01</v>
      </c>
      <c r="J1295" s="12">
        <v>203.02199999999999</v>
      </c>
      <c r="K1295" s="12">
        <v>3.9</v>
      </c>
      <c r="L1295" s="12">
        <v>11.8</v>
      </c>
    </row>
    <row r="1296" spans="1:12" ht="13.9" hidden="1" x14ac:dyDescent="0.25">
      <c r="A1296" s="12">
        <v>7575</v>
      </c>
      <c r="B1296" s="12">
        <v>1077648</v>
      </c>
      <c r="C1296" s="12" t="s">
        <v>13</v>
      </c>
      <c r="D1296" s="12" t="s">
        <v>14</v>
      </c>
      <c r="E1296" s="14">
        <v>45363</v>
      </c>
      <c r="F1296" s="12" t="s">
        <v>51</v>
      </c>
      <c r="G1296" s="12" t="s">
        <v>19</v>
      </c>
      <c r="H1296" s="12" t="s">
        <v>57</v>
      </c>
      <c r="I1296" s="12">
        <v>235.005</v>
      </c>
      <c r="J1296" s="12">
        <v>205.69499999999999</v>
      </c>
      <c r="K1296" s="12">
        <v>3.8</v>
      </c>
      <c r="L1296" s="12">
        <v>11.6</v>
      </c>
    </row>
    <row r="1297" spans="1:12" ht="13.9" hidden="1" x14ac:dyDescent="0.25">
      <c r="A1297" s="12">
        <v>7576</v>
      </c>
      <c r="B1297" s="12">
        <v>1077650</v>
      </c>
      <c r="C1297" s="12" t="s">
        <v>13</v>
      </c>
      <c r="D1297" s="12" t="s">
        <v>14</v>
      </c>
      <c r="E1297" s="14">
        <v>45364</v>
      </c>
      <c r="F1297" s="12" t="s">
        <v>51</v>
      </c>
      <c r="G1297" s="12" t="s">
        <v>19</v>
      </c>
      <c r="H1297" s="12" t="s">
        <v>57</v>
      </c>
      <c r="I1297" s="12">
        <v>234.989</v>
      </c>
      <c r="J1297" s="12">
        <v>207.94399999999999</v>
      </c>
      <c r="K1297" s="12">
        <v>4.5999999999999996</v>
      </c>
      <c r="L1297" s="12">
        <v>11.5</v>
      </c>
    </row>
    <row r="1298" spans="1:12" ht="13.9" hidden="1" x14ac:dyDescent="0.25">
      <c r="A1298" s="12">
        <v>7577</v>
      </c>
      <c r="B1298" s="12">
        <v>1077814</v>
      </c>
      <c r="C1298" s="12" t="s">
        <v>13</v>
      </c>
      <c r="D1298" s="12" t="s">
        <v>14</v>
      </c>
      <c r="E1298" s="14">
        <v>45365</v>
      </c>
      <c r="F1298" s="12" t="s">
        <v>51</v>
      </c>
      <c r="G1298" s="12" t="s">
        <v>19</v>
      </c>
      <c r="H1298" s="12" t="s">
        <v>57</v>
      </c>
      <c r="I1298" s="12">
        <v>235.011</v>
      </c>
      <c r="J1298" s="12">
        <v>201.88399999999999</v>
      </c>
      <c r="K1298" s="12">
        <v>3.6</v>
      </c>
      <c r="L1298" s="12">
        <v>11.7</v>
      </c>
    </row>
    <row r="1299" spans="1:12" ht="13.9" hidden="1" x14ac:dyDescent="0.25">
      <c r="A1299" s="12">
        <v>7578</v>
      </c>
      <c r="B1299" s="12">
        <v>1078099</v>
      </c>
      <c r="C1299" s="12" t="s">
        <v>13</v>
      </c>
      <c r="D1299" s="12" t="s">
        <v>14</v>
      </c>
      <c r="E1299" s="14">
        <v>45366</v>
      </c>
      <c r="F1299" s="12" t="s">
        <v>51</v>
      </c>
      <c r="G1299" s="12" t="s">
        <v>19</v>
      </c>
      <c r="H1299" s="12" t="s">
        <v>57</v>
      </c>
      <c r="I1299" s="12">
        <v>235.041</v>
      </c>
      <c r="J1299" s="12">
        <v>206.65100000000001</v>
      </c>
      <c r="K1299" s="12">
        <v>4</v>
      </c>
      <c r="L1299" s="12">
        <v>11.4</v>
      </c>
    </row>
    <row r="1300" spans="1:12" ht="13.9" hidden="1" x14ac:dyDescent="0.25">
      <c r="A1300" s="12">
        <v>7579</v>
      </c>
      <c r="B1300" s="12">
        <v>1078204</v>
      </c>
      <c r="C1300" s="12" t="s">
        <v>13</v>
      </c>
      <c r="D1300" s="12" t="s">
        <v>14</v>
      </c>
      <c r="E1300" s="14">
        <v>45367</v>
      </c>
      <c r="F1300" s="12" t="s">
        <v>18</v>
      </c>
      <c r="G1300" s="12" t="s">
        <v>20</v>
      </c>
      <c r="H1300" s="12" t="s">
        <v>62</v>
      </c>
      <c r="I1300" s="12">
        <v>231.98599999999999</v>
      </c>
      <c r="J1300" s="12">
        <v>196.45599999999999</v>
      </c>
      <c r="K1300" s="12">
        <v>4</v>
      </c>
      <c r="L1300" s="12">
        <v>12</v>
      </c>
    </row>
    <row r="1301" spans="1:12" ht="13.9" hidden="1" x14ac:dyDescent="0.25">
      <c r="A1301" s="12">
        <v>7580</v>
      </c>
      <c r="B1301" s="12">
        <v>1078300</v>
      </c>
      <c r="C1301" s="12" t="s">
        <v>13</v>
      </c>
      <c r="D1301" s="12" t="s">
        <v>14</v>
      </c>
      <c r="E1301" s="14">
        <v>45368</v>
      </c>
      <c r="F1301" s="12" t="s">
        <v>18</v>
      </c>
      <c r="G1301" s="12" t="s">
        <v>20</v>
      </c>
      <c r="H1301" s="12" t="s">
        <v>62</v>
      </c>
      <c r="I1301" s="12">
        <v>231.99700000000001</v>
      </c>
      <c r="J1301" s="12">
        <v>200.30500000000001</v>
      </c>
      <c r="K1301" s="12">
        <v>4.0999999999999996</v>
      </c>
      <c r="L1301" s="12">
        <v>12</v>
      </c>
    </row>
    <row r="1302" spans="1:12" ht="13.9" hidden="1" x14ac:dyDescent="0.25">
      <c r="A1302" s="12">
        <v>7581</v>
      </c>
      <c r="B1302" s="12">
        <v>1078310</v>
      </c>
      <c r="C1302" s="12" t="s">
        <v>13</v>
      </c>
      <c r="D1302" s="12" t="s">
        <v>14</v>
      </c>
      <c r="E1302" s="14">
        <v>45369</v>
      </c>
      <c r="F1302" s="12" t="s">
        <v>18</v>
      </c>
      <c r="G1302" s="12" t="s">
        <v>20</v>
      </c>
      <c r="H1302" s="12" t="s">
        <v>63</v>
      </c>
      <c r="I1302" s="12">
        <v>232.006</v>
      </c>
      <c r="J1302" s="12">
        <v>198.87799999999999</v>
      </c>
      <c r="K1302" s="12">
        <v>3.9</v>
      </c>
      <c r="L1302" s="12">
        <v>11.7</v>
      </c>
    </row>
    <row r="1303" spans="1:12" ht="13.9" hidden="1" x14ac:dyDescent="0.25">
      <c r="A1303" s="12">
        <v>7582</v>
      </c>
      <c r="B1303" s="12">
        <v>1078548</v>
      </c>
      <c r="C1303" s="12" t="s">
        <v>13</v>
      </c>
      <c r="D1303" s="12" t="s">
        <v>14</v>
      </c>
      <c r="E1303" s="14">
        <v>45370</v>
      </c>
      <c r="F1303" s="12" t="s">
        <v>18</v>
      </c>
      <c r="G1303" s="12" t="s">
        <v>20</v>
      </c>
      <c r="H1303" s="12" t="s">
        <v>63</v>
      </c>
      <c r="I1303" s="12">
        <v>232.13</v>
      </c>
      <c r="J1303" s="12">
        <v>201.02</v>
      </c>
      <c r="K1303" s="12">
        <v>6</v>
      </c>
      <c r="L1303" s="12">
        <v>12.1</v>
      </c>
    </row>
    <row r="1304" spans="1:12" ht="13.9" hidden="1" x14ac:dyDescent="0.25">
      <c r="A1304" s="12">
        <v>7583</v>
      </c>
      <c r="B1304" s="12">
        <v>1078577</v>
      </c>
      <c r="C1304" s="12" t="s">
        <v>13</v>
      </c>
      <c r="D1304" s="12" t="s">
        <v>14</v>
      </c>
      <c r="E1304" s="14">
        <v>45371</v>
      </c>
      <c r="F1304" s="12" t="s">
        <v>18</v>
      </c>
      <c r="G1304" s="12" t="s">
        <v>19</v>
      </c>
      <c r="H1304" s="12" t="s">
        <v>57</v>
      </c>
      <c r="I1304" s="12">
        <v>235.01599999999999</v>
      </c>
      <c r="J1304" s="12">
        <v>200.82400000000001</v>
      </c>
      <c r="K1304" s="12">
        <v>3.5</v>
      </c>
      <c r="L1304" s="12">
        <v>11.6</v>
      </c>
    </row>
    <row r="1305" spans="1:12" ht="13.9" hidden="1" x14ac:dyDescent="0.25">
      <c r="A1305" s="12">
        <v>7584</v>
      </c>
      <c r="B1305" s="12">
        <v>1078578</v>
      </c>
      <c r="C1305" s="12" t="s">
        <v>13</v>
      </c>
      <c r="D1305" s="12" t="s">
        <v>14</v>
      </c>
      <c r="E1305" s="14">
        <v>45372</v>
      </c>
      <c r="F1305" s="12" t="s">
        <v>18</v>
      </c>
      <c r="G1305" s="12" t="s">
        <v>19</v>
      </c>
      <c r="H1305" s="12" t="s">
        <v>57</v>
      </c>
      <c r="I1305" s="12">
        <v>235.006</v>
      </c>
      <c r="J1305" s="12">
        <v>203.53700000000001</v>
      </c>
      <c r="K1305" s="12">
        <v>3.9</v>
      </c>
      <c r="L1305" s="12">
        <v>11.6</v>
      </c>
    </row>
    <row r="1306" spans="1:12" ht="13.9" hidden="1" x14ac:dyDescent="0.25">
      <c r="A1306" s="12">
        <v>7585</v>
      </c>
      <c r="B1306" s="12">
        <v>1078579</v>
      </c>
      <c r="C1306" s="12" t="s">
        <v>13</v>
      </c>
      <c r="D1306" s="12" t="s">
        <v>14</v>
      </c>
      <c r="E1306" s="14">
        <v>45373</v>
      </c>
      <c r="F1306" s="12" t="s">
        <v>18</v>
      </c>
      <c r="G1306" s="12" t="s">
        <v>19</v>
      </c>
      <c r="H1306" s="12" t="s">
        <v>57</v>
      </c>
      <c r="I1306" s="12">
        <v>234.92699999999999</v>
      </c>
      <c r="J1306" s="12">
        <v>198.69800000000001</v>
      </c>
      <c r="K1306" s="12">
        <v>3.8</v>
      </c>
      <c r="L1306" s="12">
        <v>11.7</v>
      </c>
    </row>
    <row r="1307" spans="1:12" ht="13.9" hidden="1" x14ac:dyDescent="0.25">
      <c r="A1307" s="12">
        <v>7586</v>
      </c>
      <c r="B1307" s="12">
        <v>1078946</v>
      </c>
      <c r="C1307" s="12" t="s">
        <v>13</v>
      </c>
      <c r="D1307" s="12" t="s">
        <v>14</v>
      </c>
      <c r="E1307" s="14">
        <v>45374</v>
      </c>
      <c r="F1307" s="12" t="s">
        <v>18</v>
      </c>
      <c r="G1307" s="12" t="s">
        <v>19</v>
      </c>
      <c r="H1307" s="12" t="s">
        <v>57</v>
      </c>
      <c r="I1307" s="12">
        <v>235.005</v>
      </c>
      <c r="J1307" s="12">
        <v>202.01300000000001</v>
      </c>
      <c r="K1307" s="12">
        <v>4.2</v>
      </c>
      <c r="L1307" s="12">
        <v>11.8</v>
      </c>
    </row>
    <row r="1308" spans="1:12" ht="13.9" hidden="1" x14ac:dyDescent="0.25">
      <c r="A1308" s="12">
        <v>7587</v>
      </c>
      <c r="B1308" s="12">
        <v>1079219</v>
      </c>
      <c r="C1308" s="12" t="s">
        <v>13</v>
      </c>
      <c r="D1308" s="12" t="s">
        <v>14</v>
      </c>
      <c r="E1308" s="14">
        <v>45374</v>
      </c>
      <c r="F1308" s="12" t="s">
        <v>18</v>
      </c>
      <c r="G1308" s="12" t="s">
        <v>19</v>
      </c>
      <c r="H1308" s="12" t="s">
        <v>57</v>
      </c>
      <c r="I1308" s="12">
        <v>234.93899999999999</v>
      </c>
      <c r="J1308" s="12">
        <v>201.184</v>
      </c>
      <c r="K1308" s="12">
        <v>3.8</v>
      </c>
      <c r="L1308" s="12">
        <v>11.9</v>
      </c>
    </row>
    <row r="1309" spans="1:12" ht="13.9" hidden="1" x14ac:dyDescent="0.25">
      <c r="A1309" s="12">
        <v>7588</v>
      </c>
      <c r="B1309" s="12">
        <v>1079221</v>
      </c>
      <c r="C1309" s="12" t="s">
        <v>13</v>
      </c>
      <c r="D1309" s="12" t="s">
        <v>14</v>
      </c>
      <c r="E1309" s="14">
        <v>45375</v>
      </c>
      <c r="F1309" s="12" t="s">
        <v>18</v>
      </c>
      <c r="G1309" s="12" t="s">
        <v>19</v>
      </c>
      <c r="H1309" s="12" t="s">
        <v>67</v>
      </c>
      <c r="I1309" s="12">
        <v>235.00800000000001</v>
      </c>
      <c r="J1309" s="12">
        <v>201.601</v>
      </c>
      <c r="K1309" s="12">
        <v>4</v>
      </c>
      <c r="L1309" s="12">
        <v>11.9</v>
      </c>
    </row>
    <row r="1310" spans="1:12" ht="13.9" hidden="1" x14ac:dyDescent="0.25">
      <c r="A1310" s="12">
        <v>7589</v>
      </c>
      <c r="B1310" s="12">
        <v>1079545</v>
      </c>
      <c r="C1310" s="12" t="s">
        <v>13</v>
      </c>
      <c r="D1310" s="12" t="s">
        <v>14</v>
      </c>
      <c r="E1310" s="14">
        <v>45376</v>
      </c>
      <c r="F1310" s="12" t="s">
        <v>18</v>
      </c>
      <c r="G1310" s="12" t="s">
        <v>19</v>
      </c>
      <c r="H1310" s="12" t="s">
        <v>67</v>
      </c>
      <c r="I1310" s="12">
        <v>235.00899999999999</v>
      </c>
      <c r="J1310" s="12">
        <v>200.11</v>
      </c>
      <c r="K1310" s="12">
        <v>3.9</v>
      </c>
      <c r="L1310" s="12">
        <v>11.6</v>
      </c>
    </row>
    <row r="1311" spans="1:12" ht="13.9" hidden="1" x14ac:dyDescent="0.25">
      <c r="A1311" s="12">
        <v>7590</v>
      </c>
      <c r="B1311" s="12">
        <v>1079550</v>
      </c>
      <c r="C1311" s="12" t="s">
        <v>13</v>
      </c>
      <c r="D1311" s="12" t="s">
        <v>14</v>
      </c>
      <c r="E1311" s="14">
        <v>45377</v>
      </c>
      <c r="F1311" s="12" t="s">
        <v>18</v>
      </c>
      <c r="G1311" s="12" t="s">
        <v>20</v>
      </c>
      <c r="H1311" s="12" t="s">
        <v>61</v>
      </c>
      <c r="I1311" s="12">
        <v>232.00800000000001</v>
      </c>
      <c r="J1311" s="12">
        <v>201.876</v>
      </c>
      <c r="K1311" s="12">
        <v>4.5</v>
      </c>
      <c r="L1311" s="12">
        <v>11.6</v>
      </c>
    </row>
    <row r="1312" spans="1:12" ht="13.9" hidden="1" x14ac:dyDescent="0.25">
      <c r="A1312" s="12">
        <v>7591</v>
      </c>
      <c r="B1312" s="12">
        <v>1079870</v>
      </c>
      <c r="C1312" s="12" t="s">
        <v>13</v>
      </c>
      <c r="D1312" s="12" t="s">
        <v>14</v>
      </c>
      <c r="E1312" s="14">
        <v>45378</v>
      </c>
      <c r="F1312" s="12" t="s">
        <v>18</v>
      </c>
      <c r="G1312" s="12" t="s">
        <v>20</v>
      </c>
      <c r="H1312" s="12" t="s">
        <v>61</v>
      </c>
      <c r="I1312" s="12">
        <v>232.011</v>
      </c>
      <c r="J1312" s="12">
        <v>199.02500000000001</v>
      </c>
      <c r="K1312" s="12">
        <v>4</v>
      </c>
      <c r="L1312" s="12">
        <v>11.6</v>
      </c>
    </row>
    <row r="1313" spans="1:12" ht="13.9" hidden="1" x14ac:dyDescent="0.25">
      <c r="A1313" s="12">
        <v>7592</v>
      </c>
      <c r="B1313" s="12">
        <v>1080077</v>
      </c>
      <c r="C1313" s="12" t="s">
        <v>13</v>
      </c>
      <c r="D1313" s="12" t="s">
        <v>14</v>
      </c>
      <c r="E1313" s="14">
        <v>45379</v>
      </c>
      <c r="F1313" s="12" t="s">
        <v>18</v>
      </c>
      <c r="G1313" s="12" t="s">
        <v>20</v>
      </c>
      <c r="H1313" s="12" t="s">
        <v>61</v>
      </c>
      <c r="I1313" s="12">
        <v>231.929</v>
      </c>
      <c r="J1313" s="12">
        <v>199.203</v>
      </c>
      <c r="K1313" s="12">
        <v>4.0999999999999996</v>
      </c>
      <c r="L1313" s="12">
        <v>11.7</v>
      </c>
    </row>
    <row r="1314" spans="1:12" ht="13.9" hidden="1" x14ac:dyDescent="0.25">
      <c r="A1314" s="12">
        <v>7593</v>
      </c>
      <c r="B1314" s="12">
        <v>1080312</v>
      </c>
      <c r="C1314" s="12" t="s">
        <v>13</v>
      </c>
      <c r="D1314" s="12" t="s">
        <v>14</v>
      </c>
      <c r="E1314" s="14">
        <v>45380</v>
      </c>
      <c r="F1314" s="12" t="s">
        <v>18</v>
      </c>
      <c r="G1314" s="12" t="s">
        <v>20</v>
      </c>
      <c r="H1314" s="12" t="s">
        <v>61</v>
      </c>
      <c r="I1314" s="12">
        <v>231.905</v>
      </c>
      <c r="J1314" s="12">
        <v>200.85</v>
      </c>
      <c r="K1314" s="12">
        <v>3.8</v>
      </c>
      <c r="L1314" s="12">
        <v>11.7</v>
      </c>
    </row>
    <row r="1315" spans="1:12" ht="13.9" hidden="1" x14ac:dyDescent="0.25">
      <c r="A1315" s="12">
        <v>7594</v>
      </c>
      <c r="B1315" s="12">
        <v>1080364</v>
      </c>
      <c r="C1315" s="12" t="s">
        <v>13</v>
      </c>
      <c r="D1315" s="12" t="s">
        <v>14</v>
      </c>
      <c r="E1315" s="14">
        <v>45381</v>
      </c>
      <c r="F1315" s="12" t="s">
        <v>17</v>
      </c>
      <c r="G1315" s="12" t="s">
        <v>19</v>
      </c>
      <c r="H1315" s="12" t="s">
        <v>72</v>
      </c>
      <c r="I1315" s="12">
        <v>231.97200000000001</v>
      </c>
      <c r="J1315" s="12">
        <v>202.40700000000001</v>
      </c>
      <c r="K1315" s="12">
        <v>5</v>
      </c>
      <c r="L1315" s="12">
        <v>11.6</v>
      </c>
    </row>
    <row r="1316" spans="1:12" ht="13.9" hidden="1" x14ac:dyDescent="0.25">
      <c r="A1316" s="12">
        <v>7595</v>
      </c>
      <c r="B1316" s="20">
        <v>1080499</v>
      </c>
      <c r="C1316" s="12" t="s">
        <v>13</v>
      </c>
      <c r="D1316" s="12" t="s">
        <v>14</v>
      </c>
      <c r="E1316" s="14">
        <v>45382</v>
      </c>
      <c r="F1316" s="12" t="s">
        <v>17</v>
      </c>
      <c r="G1316" s="12" t="s">
        <v>19</v>
      </c>
      <c r="H1316" s="12" t="s">
        <v>72</v>
      </c>
      <c r="I1316" s="12">
        <v>232.00700000000001</v>
      </c>
      <c r="J1316" s="12">
        <v>199.52600000000001</v>
      </c>
      <c r="L1316" s="12">
        <v>11.8</v>
      </c>
    </row>
    <row r="1317" spans="1:12" ht="13.9" hidden="1" x14ac:dyDescent="0.25">
      <c r="A1317" s="12">
        <v>7596</v>
      </c>
      <c r="B1317" s="12">
        <v>1080657</v>
      </c>
      <c r="C1317" s="12" t="s">
        <v>13</v>
      </c>
      <c r="D1317" s="12" t="s">
        <v>14</v>
      </c>
      <c r="E1317" s="14">
        <v>45383</v>
      </c>
      <c r="F1317" s="12" t="s">
        <v>17</v>
      </c>
      <c r="G1317" s="12" t="s">
        <v>19</v>
      </c>
      <c r="H1317" s="12" t="s">
        <v>59</v>
      </c>
      <c r="I1317" s="12">
        <v>229.63800000000001</v>
      </c>
      <c r="J1317" s="12">
        <v>202.43799999999999</v>
      </c>
      <c r="K1317" s="12">
        <v>5</v>
      </c>
      <c r="L1317" s="12">
        <v>11.1</v>
      </c>
    </row>
    <row r="1318" spans="1:12" ht="13.9" hidden="1" x14ac:dyDescent="0.25">
      <c r="A1318" s="12">
        <v>7597</v>
      </c>
      <c r="B1318" s="12">
        <v>1080660</v>
      </c>
      <c r="C1318" s="12" t="s">
        <v>13</v>
      </c>
      <c r="D1318" s="12" t="s">
        <v>14</v>
      </c>
      <c r="E1318" s="14">
        <v>45384</v>
      </c>
      <c r="F1318" s="12" t="s">
        <v>37</v>
      </c>
      <c r="G1318" s="12" t="s">
        <v>19</v>
      </c>
      <c r="H1318" s="12" t="s">
        <v>57</v>
      </c>
      <c r="I1318" s="12">
        <v>231.95500000000001</v>
      </c>
      <c r="J1318" s="12">
        <v>197.392</v>
      </c>
      <c r="K1318" s="12">
        <v>3.7</v>
      </c>
      <c r="L1318" s="12">
        <v>12.1</v>
      </c>
    </row>
    <row r="1319" spans="1:12" ht="13.9" hidden="1" x14ac:dyDescent="0.25">
      <c r="A1319" s="12">
        <v>7598</v>
      </c>
      <c r="B1319" s="12">
        <v>1080662</v>
      </c>
      <c r="C1319" s="12" t="s">
        <v>13</v>
      </c>
      <c r="D1319" s="12" t="s">
        <v>14</v>
      </c>
      <c r="E1319" s="14">
        <v>45385</v>
      </c>
      <c r="F1319" s="12" t="s">
        <v>37</v>
      </c>
      <c r="G1319" s="12" t="s">
        <v>19</v>
      </c>
      <c r="H1319" s="12" t="s">
        <v>57</v>
      </c>
      <c r="I1319" s="12">
        <v>232.01400000000001</v>
      </c>
      <c r="J1319" s="12">
        <v>198.48099999999999</v>
      </c>
      <c r="K1319" s="12">
        <v>4.2</v>
      </c>
      <c r="L1319" s="12">
        <v>12</v>
      </c>
    </row>
    <row r="1320" spans="1:12" ht="13.9" hidden="1" x14ac:dyDescent="0.25">
      <c r="A1320" s="12">
        <v>7599</v>
      </c>
      <c r="B1320" s="12">
        <v>1080957</v>
      </c>
      <c r="C1320" s="12" t="s">
        <v>13</v>
      </c>
      <c r="D1320" s="12" t="s">
        <v>14</v>
      </c>
      <c r="E1320" s="14">
        <v>45386</v>
      </c>
      <c r="F1320" s="12" t="s">
        <v>37</v>
      </c>
      <c r="G1320" s="12" t="s">
        <v>19</v>
      </c>
      <c r="H1320" s="12" t="s">
        <v>57</v>
      </c>
      <c r="I1320" s="12">
        <v>231.941</v>
      </c>
      <c r="J1320" s="12">
        <v>196.59399999999999</v>
      </c>
      <c r="K1320" s="12">
        <v>3.4</v>
      </c>
      <c r="L1320" s="12">
        <v>12.1</v>
      </c>
    </row>
    <row r="1321" spans="1:12" ht="13.9" hidden="1" x14ac:dyDescent="0.25">
      <c r="A1321" s="12">
        <v>7600</v>
      </c>
      <c r="B1321" s="12">
        <v>1080958</v>
      </c>
      <c r="C1321" s="12" t="s">
        <v>13</v>
      </c>
      <c r="D1321" s="12" t="s">
        <v>14</v>
      </c>
      <c r="E1321" s="14">
        <v>45387</v>
      </c>
      <c r="F1321" s="12" t="s">
        <v>37</v>
      </c>
      <c r="G1321" s="12" t="s">
        <v>19</v>
      </c>
      <c r="H1321" s="12" t="s">
        <v>57</v>
      </c>
      <c r="I1321" s="12">
        <v>231.90600000000001</v>
      </c>
      <c r="J1321" s="12">
        <v>200.459</v>
      </c>
      <c r="K1321" s="12">
        <v>4.0999999999999996</v>
      </c>
      <c r="L1321" s="12">
        <v>12.1</v>
      </c>
    </row>
    <row r="1322" spans="1:12" ht="13.9" hidden="1" x14ac:dyDescent="0.25">
      <c r="A1322" s="12">
        <v>7601</v>
      </c>
      <c r="B1322" s="12">
        <v>1081406</v>
      </c>
      <c r="C1322" s="12" t="s">
        <v>13</v>
      </c>
      <c r="D1322" s="12" t="s">
        <v>14</v>
      </c>
      <c r="E1322" s="14">
        <v>45388</v>
      </c>
      <c r="F1322" s="12" t="s">
        <v>37</v>
      </c>
      <c r="G1322" s="12" t="s">
        <v>19</v>
      </c>
      <c r="H1322" s="12" t="s">
        <v>57</v>
      </c>
      <c r="I1322" s="12">
        <v>232.01</v>
      </c>
      <c r="J1322" s="12">
        <v>199.304</v>
      </c>
      <c r="K1322" s="12">
        <v>4.8</v>
      </c>
      <c r="L1322" s="12">
        <v>12.1</v>
      </c>
    </row>
    <row r="1323" spans="1:12" ht="13.9" hidden="1" x14ac:dyDescent="0.25">
      <c r="A1323" s="12">
        <v>7602</v>
      </c>
      <c r="B1323" s="12">
        <v>1081467</v>
      </c>
      <c r="C1323" s="12" t="s">
        <v>13</v>
      </c>
      <c r="D1323" s="12" t="s">
        <v>14</v>
      </c>
      <c r="E1323" s="14">
        <v>45389</v>
      </c>
      <c r="F1323" s="12" t="s">
        <v>17</v>
      </c>
      <c r="G1323" s="12" t="s">
        <v>19</v>
      </c>
      <c r="H1323" s="12" t="s">
        <v>57</v>
      </c>
      <c r="I1323" s="12">
        <v>231.976</v>
      </c>
      <c r="J1323" s="12">
        <v>199.68899999999999</v>
      </c>
      <c r="K1323" s="12">
        <v>4.0999999999999996</v>
      </c>
      <c r="L1323" s="12">
        <v>12</v>
      </c>
    </row>
    <row r="1324" spans="1:12" ht="13.9" hidden="1" x14ac:dyDescent="0.25">
      <c r="A1324" s="12">
        <v>7603</v>
      </c>
      <c r="B1324" s="12">
        <v>1081469</v>
      </c>
      <c r="C1324" s="12" t="s">
        <v>13</v>
      </c>
      <c r="D1324" s="12" t="s">
        <v>14</v>
      </c>
      <c r="E1324" s="14">
        <v>45389</v>
      </c>
      <c r="F1324" s="12" t="s">
        <v>17</v>
      </c>
      <c r="G1324" s="12" t="s">
        <v>19</v>
      </c>
      <c r="H1324" s="12" t="s">
        <v>57</v>
      </c>
      <c r="I1324" s="12">
        <v>231.83</v>
      </c>
      <c r="J1324" s="12">
        <v>198.18700000000001</v>
      </c>
      <c r="K1324" s="12">
        <v>3.9</v>
      </c>
      <c r="L1324" s="12">
        <v>12.1</v>
      </c>
    </row>
    <row r="1325" spans="1:12" ht="13.9" hidden="1" x14ac:dyDescent="0.25">
      <c r="A1325" s="12">
        <v>7604</v>
      </c>
      <c r="B1325" s="12">
        <v>1081472</v>
      </c>
      <c r="C1325" s="12" t="s">
        <v>13</v>
      </c>
      <c r="D1325" s="12" t="s">
        <v>14</v>
      </c>
      <c r="E1325" s="14">
        <v>45390</v>
      </c>
      <c r="F1325" s="12" t="s">
        <v>17</v>
      </c>
      <c r="G1325" s="12" t="s">
        <v>19</v>
      </c>
      <c r="H1325" s="12" t="s">
        <v>57</v>
      </c>
      <c r="I1325" s="12">
        <v>232.02</v>
      </c>
      <c r="J1325" s="12">
        <v>197.00899999999999</v>
      </c>
      <c r="K1325" s="12">
        <v>4.5</v>
      </c>
      <c r="L1325" s="12">
        <v>12</v>
      </c>
    </row>
    <row r="1326" spans="1:12" ht="13.9" hidden="1" x14ac:dyDescent="0.25">
      <c r="A1326" s="12">
        <v>7605</v>
      </c>
      <c r="B1326" s="12">
        <v>1081839</v>
      </c>
      <c r="C1326" s="12" t="s">
        <v>13</v>
      </c>
      <c r="D1326" s="12" t="s">
        <v>14</v>
      </c>
      <c r="E1326" s="14">
        <v>45391</v>
      </c>
      <c r="F1326" s="12" t="s">
        <v>17</v>
      </c>
      <c r="G1326" s="12" t="s">
        <v>19</v>
      </c>
      <c r="H1326" s="12" t="s">
        <v>57</v>
      </c>
      <c r="I1326" s="12">
        <v>231.99600000000001</v>
      </c>
      <c r="J1326" s="12">
        <v>197.21799999999999</v>
      </c>
      <c r="K1326" s="12">
        <v>3.5</v>
      </c>
      <c r="L1326" s="12">
        <v>11.9</v>
      </c>
    </row>
    <row r="1327" spans="1:12" ht="13.9" hidden="1" x14ac:dyDescent="0.25">
      <c r="A1327" s="12">
        <v>7606</v>
      </c>
      <c r="B1327" s="12">
        <v>1081840</v>
      </c>
      <c r="C1327" s="12" t="s">
        <v>13</v>
      </c>
      <c r="D1327" s="12" t="s">
        <v>14</v>
      </c>
      <c r="E1327" s="14">
        <v>45392</v>
      </c>
      <c r="F1327" s="12" t="s">
        <v>17</v>
      </c>
      <c r="G1327" s="12" t="s">
        <v>19</v>
      </c>
      <c r="H1327" s="12" t="s">
        <v>57</v>
      </c>
      <c r="I1327" s="12">
        <v>232.00899999999999</v>
      </c>
      <c r="J1327" s="12">
        <v>198.55600000000001</v>
      </c>
      <c r="K1327" s="12">
        <v>4</v>
      </c>
      <c r="L1327" s="12">
        <v>11.7</v>
      </c>
    </row>
    <row r="1328" spans="1:12" ht="13.9" hidden="1" x14ac:dyDescent="0.25">
      <c r="A1328" s="12">
        <v>7607</v>
      </c>
      <c r="B1328" s="12">
        <v>1082077</v>
      </c>
      <c r="C1328" s="12" t="s">
        <v>13</v>
      </c>
      <c r="D1328" s="12" t="s">
        <v>14</v>
      </c>
      <c r="E1328" s="14">
        <v>45393</v>
      </c>
      <c r="F1328" s="12" t="s">
        <v>64</v>
      </c>
      <c r="G1328" s="12" t="s">
        <v>20</v>
      </c>
      <c r="H1328" s="12" t="s">
        <v>61</v>
      </c>
      <c r="I1328" s="12">
        <v>230.00399999999999</v>
      </c>
      <c r="J1328" s="12">
        <v>200.958</v>
      </c>
      <c r="K1328" s="12">
        <v>3.7</v>
      </c>
      <c r="L1328" s="12">
        <v>11.5</v>
      </c>
    </row>
    <row r="1329" spans="1:12" ht="13.9" hidden="1" x14ac:dyDescent="0.25">
      <c r="A1329" s="12">
        <v>7608</v>
      </c>
      <c r="B1329" s="12">
        <v>1082257</v>
      </c>
      <c r="C1329" s="12" t="s">
        <v>13</v>
      </c>
      <c r="D1329" s="12" t="s">
        <v>14</v>
      </c>
      <c r="E1329" s="14">
        <v>45394</v>
      </c>
      <c r="F1329" s="12" t="s">
        <v>64</v>
      </c>
      <c r="G1329" s="12" t="s">
        <v>20</v>
      </c>
      <c r="H1329" s="12" t="s">
        <v>61</v>
      </c>
      <c r="I1329" s="12">
        <v>230.02099999999999</v>
      </c>
      <c r="J1329" s="12">
        <v>199.042</v>
      </c>
      <c r="K1329" s="12">
        <v>4.5</v>
      </c>
      <c r="L1329" s="12">
        <v>11.5</v>
      </c>
    </row>
    <row r="1330" spans="1:12" ht="13.9" hidden="1" x14ac:dyDescent="0.25">
      <c r="A1330" s="12">
        <v>7609</v>
      </c>
      <c r="B1330" s="12">
        <v>1082567</v>
      </c>
      <c r="C1330" s="12" t="s">
        <v>13</v>
      </c>
      <c r="D1330" s="12" t="s">
        <v>14</v>
      </c>
      <c r="E1330" s="14">
        <v>45395</v>
      </c>
      <c r="F1330" s="12" t="s">
        <v>64</v>
      </c>
      <c r="G1330" s="12" t="s">
        <v>20</v>
      </c>
      <c r="H1330" s="12" t="s">
        <v>61</v>
      </c>
      <c r="I1330" s="12">
        <v>230.02699999999999</v>
      </c>
      <c r="J1330" s="12">
        <v>196.999</v>
      </c>
      <c r="K1330" s="12">
        <v>3.9</v>
      </c>
      <c r="L1330" s="12">
        <v>11.5</v>
      </c>
    </row>
    <row r="1331" spans="1:12" ht="13.9" hidden="1" x14ac:dyDescent="0.25">
      <c r="A1331" s="12">
        <v>7610</v>
      </c>
      <c r="B1331" s="12">
        <v>1082570</v>
      </c>
      <c r="C1331" s="12" t="s">
        <v>13</v>
      </c>
      <c r="D1331" s="12" t="s">
        <v>14</v>
      </c>
      <c r="E1331" s="14">
        <v>45396</v>
      </c>
      <c r="F1331" s="12" t="s">
        <v>64</v>
      </c>
      <c r="G1331" s="12" t="s">
        <v>20</v>
      </c>
      <c r="H1331" s="12" t="s">
        <v>61</v>
      </c>
      <c r="I1331" s="12">
        <v>230.01300000000001</v>
      </c>
      <c r="J1331" s="12">
        <v>195.81299999999999</v>
      </c>
      <c r="K1331" s="12">
        <v>4.7</v>
      </c>
      <c r="L1331" s="12">
        <v>11.5</v>
      </c>
    </row>
    <row r="1332" spans="1:12" ht="13.9" hidden="1" x14ac:dyDescent="0.25">
      <c r="A1332" s="12">
        <v>7611</v>
      </c>
      <c r="B1332" s="12">
        <v>1082675</v>
      </c>
      <c r="C1332" s="12" t="s">
        <v>13</v>
      </c>
      <c r="D1332" s="12" t="s">
        <v>14</v>
      </c>
      <c r="E1332" s="14">
        <v>45397</v>
      </c>
      <c r="F1332" s="12" t="s">
        <v>64</v>
      </c>
      <c r="G1332" s="12" t="s">
        <v>20</v>
      </c>
      <c r="H1332" s="12" t="s">
        <v>61</v>
      </c>
      <c r="I1332" s="12">
        <v>229.959</v>
      </c>
      <c r="J1332" s="12">
        <v>197.78</v>
      </c>
      <c r="K1332" s="12">
        <v>3.6</v>
      </c>
      <c r="L1332" s="12">
        <v>11.6</v>
      </c>
    </row>
    <row r="1333" spans="1:12" ht="13.9" hidden="1" x14ac:dyDescent="0.25">
      <c r="A1333" s="12">
        <v>7612</v>
      </c>
      <c r="B1333" s="20">
        <v>1082677</v>
      </c>
      <c r="C1333" s="12" t="s">
        <v>13</v>
      </c>
      <c r="D1333" s="12" t="s">
        <v>14</v>
      </c>
      <c r="E1333" s="14">
        <v>45398</v>
      </c>
      <c r="F1333" s="12" t="s">
        <v>17</v>
      </c>
      <c r="G1333" s="12" t="s">
        <v>19</v>
      </c>
      <c r="H1333" s="12" t="s">
        <v>72</v>
      </c>
      <c r="I1333" s="12">
        <v>232.01400000000001</v>
      </c>
      <c r="J1333" s="12">
        <v>202.209</v>
      </c>
      <c r="L1333" s="12">
        <v>11.9</v>
      </c>
    </row>
    <row r="1334" spans="1:12" ht="13.9" hidden="1" x14ac:dyDescent="0.25">
      <c r="A1334" s="12">
        <v>7613</v>
      </c>
      <c r="B1334" s="20">
        <v>1082678</v>
      </c>
      <c r="C1334" s="12" t="s">
        <v>13</v>
      </c>
      <c r="D1334" s="12" t="s">
        <v>14</v>
      </c>
      <c r="E1334" s="14">
        <v>45399</v>
      </c>
      <c r="F1334" s="12" t="s">
        <v>17</v>
      </c>
      <c r="G1334" s="12" t="s">
        <v>19</v>
      </c>
      <c r="H1334" s="12" t="s">
        <v>72</v>
      </c>
      <c r="I1334" s="12">
        <v>232.006</v>
      </c>
      <c r="J1334" s="12">
        <v>199.072</v>
      </c>
      <c r="L1334" s="12">
        <v>12</v>
      </c>
    </row>
    <row r="1335" spans="1:12" ht="13.9" hidden="1" x14ac:dyDescent="0.25">
      <c r="A1335" s="12">
        <v>7614</v>
      </c>
      <c r="B1335" s="12">
        <v>1082973</v>
      </c>
      <c r="C1335" s="12" t="s">
        <v>13</v>
      </c>
      <c r="D1335" s="12" t="s">
        <v>14</v>
      </c>
      <c r="E1335" s="14">
        <v>45400</v>
      </c>
      <c r="F1335" s="12" t="s">
        <v>18</v>
      </c>
      <c r="G1335" s="12" t="s">
        <v>19</v>
      </c>
      <c r="H1335" s="12" t="s">
        <v>57</v>
      </c>
      <c r="I1335" s="12">
        <v>232.02199999999999</v>
      </c>
      <c r="J1335" s="12">
        <v>203.88499999999999</v>
      </c>
      <c r="K1335" s="12">
        <v>3.9</v>
      </c>
      <c r="L1335" s="12">
        <v>11.9</v>
      </c>
    </row>
    <row r="1336" spans="1:12" ht="13.9" hidden="1" x14ac:dyDescent="0.25">
      <c r="A1336" s="12">
        <v>7615</v>
      </c>
      <c r="B1336" s="12">
        <v>1083159</v>
      </c>
      <c r="C1336" s="12" t="s">
        <v>13</v>
      </c>
      <c r="D1336" s="12" t="s">
        <v>14</v>
      </c>
      <c r="E1336" s="14">
        <v>45401</v>
      </c>
      <c r="F1336" s="12" t="s">
        <v>18</v>
      </c>
      <c r="G1336" s="12" t="s">
        <v>19</v>
      </c>
      <c r="H1336" s="12" t="s">
        <v>57</v>
      </c>
      <c r="I1336" s="12">
        <v>232.018</v>
      </c>
      <c r="J1336" s="12">
        <v>198.10599999999999</v>
      </c>
      <c r="K1336" s="12">
        <v>3.8</v>
      </c>
      <c r="L1336" s="12">
        <v>11.9</v>
      </c>
    </row>
    <row r="1337" spans="1:12" ht="13.9" hidden="1" x14ac:dyDescent="0.25">
      <c r="A1337" s="12">
        <v>7616</v>
      </c>
      <c r="B1337" s="12">
        <v>1083364</v>
      </c>
      <c r="C1337" s="12" t="s">
        <v>13</v>
      </c>
      <c r="D1337" s="12" t="s">
        <v>14</v>
      </c>
      <c r="E1337" s="14">
        <v>45402</v>
      </c>
      <c r="F1337" s="12" t="s">
        <v>64</v>
      </c>
      <c r="G1337" s="12" t="s">
        <v>20</v>
      </c>
      <c r="H1337" s="12" t="s">
        <v>63</v>
      </c>
      <c r="I1337" s="12">
        <v>230.00399999999999</v>
      </c>
      <c r="J1337" s="12">
        <v>194.13900000000001</v>
      </c>
      <c r="L1337" s="12">
        <v>12.3</v>
      </c>
    </row>
    <row r="1338" spans="1:12" ht="13.9" hidden="1" x14ac:dyDescent="0.25">
      <c r="A1338" s="12">
        <v>7617</v>
      </c>
      <c r="B1338" s="12">
        <v>1083541</v>
      </c>
      <c r="C1338" s="12" t="s">
        <v>13</v>
      </c>
      <c r="D1338" s="12" t="s">
        <v>14</v>
      </c>
      <c r="E1338" s="14">
        <v>45402</v>
      </c>
      <c r="F1338" s="12" t="s">
        <v>64</v>
      </c>
      <c r="G1338" s="12" t="s">
        <v>20</v>
      </c>
      <c r="H1338" s="12" t="s">
        <v>61</v>
      </c>
      <c r="I1338" s="12">
        <v>232.00399999999999</v>
      </c>
      <c r="J1338" s="12">
        <v>196.56100000000001</v>
      </c>
      <c r="K1338" s="12">
        <v>3.5</v>
      </c>
      <c r="L1338" s="12">
        <v>12.8</v>
      </c>
    </row>
    <row r="1339" spans="1:12" ht="13.9" hidden="1" x14ac:dyDescent="0.25">
      <c r="A1339" s="12">
        <v>7618</v>
      </c>
      <c r="B1339" s="12">
        <v>1083543</v>
      </c>
      <c r="C1339" s="12" t="s">
        <v>13</v>
      </c>
      <c r="D1339" s="12" t="s">
        <v>14</v>
      </c>
      <c r="E1339" s="14">
        <v>45403</v>
      </c>
      <c r="F1339" s="12" t="s">
        <v>64</v>
      </c>
      <c r="G1339" s="12" t="s">
        <v>20</v>
      </c>
      <c r="H1339" s="12" t="s">
        <v>61</v>
      </c>
      <c r="I1339" s="12">
        <v>232.00399999999999</v>
      </c>
      <c r="J1339" s="12">
        <v>200.84399999999999</v>
      </c>
      <c r="L1339" s="12">
        <v>12.4</v>
      </c>
    </row>
    <row r="1340" spans="1:12" ht="13.9" hidden="1" x14ac:dyDescent="0.25">
      <c r="A1340" s="12">
        <v>7619</v>
      </c>
      <c r="B1340" s="12">
        <v>1083547</v>
      </c>
      <c r="C1340" s="12" t="s">
        <v>13</v>
      </c>
      <c r="D1340" s="12" t="s">
        <v>14</v>
      </c>
      <c r="E1340" s="14">
        <v>45404</v>
      </c>
      <c r="F1340" s="12" t="s">
        <v>64</v>
      </c>
      <c r="G1340" s="12" t="s">
        <v>20</v>
      </c>
      <c r="H1340" s="12" t="s">
        <v>61</v>
      </c>
      <c r="I1340" s="12">
        <v>232.01400000000001</v>
      </c>
      <c r="J1340" s="12">
        <v>198.191</v>
      </c>
      <c r="K1340" s="12">
        <v>3.6</v>
      </c>
      <c r="L1340" s="12">
        <v>11.6</v>
      </c>
    </row>
    <row r="1341" spans="1:12" ht="13.9" hidden="1" x14ac:dyDescent="0.25">
      <c r="A1341" s="12">
        <v>7620</v>
      </c>
      <c r="B1341" s="12">
        <v>1083755</v>
      </c>
      <c r="C1341" s="12" t="s">
        <v>13</v>
      </c>
      <c r="D1341" s="12" t="s">
        <v>14</v>
      </c>
      <c r="E1341" s="14">
        <v>45405</v>
      </c>
      <c r="F1341" s="12" t="s">
        <v>64</v>
      </c>
      <c r="G1341" s="12" t="s">
        <v>20</v>
      </c>
      <c r="H1341" s="12" t="s">
        <v>61</v>
      </c>
      <c r="I1341" s="12">
        <v>232.01900000000001</v>
      </c>
      <c r="J1341" s="12">
        <v>200.88</v>
      </c>
      <c r="K1341" s="12">
        <v>4.7</v>
      </c>
      <c r="L1341" s="12">
        <v>11.7</v>
      </c>
    </row>
    <row r="1342" spans="1:12" ht="13.9" hidden="1" x14ac:dyDescent="0.25">
      <c r="A1342" s="12">
        <v>7621</v>
      </c>
      <c r="B1342" s="12">
        <v>1083840</v>
      </c>
      <c r="C1342" s="12" t="s">
        <v>13</v>
      </c>
      <c r="D1342" s="12" t="s">
        <v>14</v>
      </c>
      <c r="E1342" s="14">
        <v>45406</v>
      </c>
      <c r="F1342" s="12" t="s">
        <v>64</v>
      </c>
      <c r="G1342" s="12" t="s">
        <v>20</v>
      </c>
      <c r="H1342" s="12" t="s">
        <v>61</v>
      </c>
      <c r="I1342" s="12">
        <v>232.01400000000001</v>
      </c>
      <c r="J1342" s="12">
        <v>195.59200000000001</v>
      </c>
      <c r="K1342" s="12">
        <v>4.0999999999999996</v>
      </c>
      <c r="L1342" s="12">
        <v>11.7</v>
      </c>
    </row>
    <row r="1343" spans="1:12" ht="13.9" hidden="1" x14ac:dyDescent="0.25">
      <c r="A1343" s="12">
        <v>7622</v>
      </c>
      <c r="B1343" s="12">
        <v>1084306</v>
      </c>
      <c r="C1343" s="12" t="s">
        <v>13</v>
      </c>
      <c r="D1343" s="12" t="s">
        <v>14</v>
      </c>
      <c r="E1343" s="14">
        <v>45407</v>
      </c>
      <c r="F1343" s="12" t="s">
        <v>18</v>
      </c>
      <c r="G1343" s="12" t="s">
        <v>20</v>
      </c>
      <c r="H1343" s="12" t="s">
        <v>63</v>
      </c>
      <c r="I1343" s="12">
        <v>232.017</v>
      </c>
      <c r="J1343" s="12">
        <v>197.91800000000001</v>
      </c>
      <c r="L1343" s="12">
        <v>12.2</v>
      </c>
    </row>
    <row r="1344" spans="1:12" ht="13.9" hidden="1" x14ac:dyDescent="0.25">
      <c r="A1344" s="12">
        <v>7623</v>
      </c>
      <c r="B1344" s="12">
        <v>1084486</v>
      </c>
      <c r="C1344" s="12" t="s">
        <v>13</v>
      </c>
      <c r="D1344" s="12" t="s">
        <v>14</v>
      </c>
      <c r="E1344" s="14">
        <v>45408</v>
      </c>
      <c r="F1344" s="12" t="s">
        <v>18</v>
      </c>
      <c r="G1344" s="12" t="s">
        <v>20</v>
      </c>
      <c r="H1344" s="12" t="s">
        <v>63</v>
      </c>
      <c r="I1344" s="12">
        <v>232.01900000000001</v>
      </c>
      <c r="J1344" s="12">
        <v>198.91200000000001</v>
      </c>
      <c r="K1344" s="12">
        <v>3.4</v>
      </c>
      <c r="L1344" s="12">
        <v>12.2</v>
      </c>
    </row>
    <row r="1345" spans="1:12" ht="13.9" hidden="1" x14ac:dyDescent="0.25">
      <c r="A1345" s="12">
        <v>7624</v>
      </c>
      <c r="B1345" s="12">
        <v>1084661</v>
      </c>
      <c r="C1345" s="12" t="s">
        <v>13</v>
      </c>
      <c r="D1345" s="12" t="s">
        <v>14</v>
      </c>
      <c r="E1345" s="14">
        <v>45409</v>
      </c>
      <c r="F1345" s="12" t="s">
        <v>17</v>
      </c>
      <c r="G1345" s="12" t="s">
        <v>20</v>
      </c>
      <c r="H1345" s="12" t="s">
        <v>57</v>
      </c>
      <c r="I1345" s="12">
        <v>236.36699999999999</v>
      </c>
      <c r="J1345" s="12">
        <v>207.447</v>
      </c>
      <c r="K1345" s="12">
        <v>3.9</v>
      </c>
      <c r="L1345" s="12">
        <v>11.8</v>
      </c>
    </row>
    <row r="1346" spans="1:12" ht="13.9" hidden="1" x14ac:dyDescent="0.25">
      <c r="A1346" s="12">
        <v>7625</v>
      </c>
      <c r="B1346" s="12">
        <v>1084662</v>
      </c>
      <c r="C1346" s="12" t="s">
        <v>13</v>
      </c>
      <c r="D1346" s="12" t="s">
        <v>14</v>
      </c>
      <c r="E1346" s="14">
        <v>45410</v>
      </c>
      <c r="F1346" s="12" t="s">
        <v>17</v>
      </c>
      <c r="G1346" s="12" t="s">
        <v>20</v>
      </c>
      <c r="H1346" s="12" t="s">
        <v>57</v>
      </c>
      <c r="I1346" s="12">
        <v>232.017</v>
      </c>
      <c r="J1346" s="12">
        <v>199.04400000000001</v>
      </c>
      <c r="K1346" s="12">
        <v>3.5</v>
      </c>
      <c r="L1346" s="12">
        <v>12</v>
      </c>
    </row>
    <row r="1347" spans="1:12" ht="13.9" hidden="1" x14ac:dyDescent="0.25">
      <c r="A1347" s="12">
        <v>7626</v>
      </c>
      <c r="B1347" s="12">
        <v>1084848</v>
      </c>
      <c r="C1347" s="12" t="s">
        <v>13</v>
      </c>
      <c r="D1347" s="12" t="s">
        <v>14</v>
      </c>
      <c r="E1347" s="14">
        <v>45411</v>
      </c>
      <c r="F1347" s="12" t="s">
        <v>17</v>
      </c>
      <c r="G1347" s="12" t="s">
        <v>20</v>
      </c>
      <c r="H1347" s="12" t="s">
        <v>57</v>
      </c>
      <c r="I1347" s="12">
        <v>231.94300000000001</v>
      </c>
      <c r="J1347" s="12">
        <v>201.316</v>
      </c>
      <c r="L1347" s="12">
        <v>12.2</v>
      </c>
    </row>
    <row r="1348" spans="1:12" ht="13.9" hidden="1" x14ac:dyDescent="0.25">
      <c r="A1348" s="12">
        <v>7627</v>
      </c>
      <c r="B1348" s="12">
        <v>1084849</v>
      </c>
      <c r="C1348" s="12" t="s">
        <v>13</v>
      </c>
      <c r="D1348" s="12" t="s">
        <v>14</v>
      </c>
      <c r="E1348" s="14">
        <v>45412</v>
      </c>
      <c r="F1348" s="12" t="s">
        <v>18</v>
      </c>
      <c r="G1348" s="12" t="s">
        <v>20</v>
      </c>
      <c r="H1348" s="12" t="s">
        <v>61</v>
      </c>
      <c r="I1348" s="12">
        <v>232.04300000000001</v>
      </c>
      <c r="J1348" s="12">
        <v>198.613</v>
      </c>
      <c r="K1348" s="12">
        <v>3.4</v>
      </c>
      <c r="L1348" s="12">
        <v>12.1</v>
      </c>
    </row>
    <row r="1349" spans="1:12" ht="13.9" hidden="1" x14ac:dyDescent="0.25">
      <c r="A1349" s="12">
        <v>7628</v>
      </c>
      <c r="B1349" s="12">
        <v>1084944</v>
      </c>
      <c r="C1349" s="12" t="s">
        <v>13</v>
      </c>
      <c r="D1349" s="12" t="s">
        <v>14</v>
      </c>
      <c r="E1349" s="14">
        <v>45413</v>
      </c>
      <c r="F1349" s="12" t="s">
        <v>18</v>
      </c>
      <c r="G1349" s="12" t="s">
        <v>20</v>
      </c>
      <c r="H1349" s="12" t="s">
        <v>61</v>
      </c>
      <c r="I1349" s="12">
        <v>230.042</v>
      </c>
      <c r="J1349" s="12">
        <v>198.84200000000001</v>
      </c>
      <c r="K1349" s="12">
        <v>4.0999999999999996</v>
      </c>
      <c r="L1349" s="12">
        <v>12</v>
      </c>
    </row>
    <row r="1350" spans="1:12" ht="13.9" hidden="1" x14ac:dyDescent="0.25">
      <c r="A1350" s="12">
        <v>7629</v>
      </c>
      <c r="B1350" s="12">
        <v>1085190</v>
      </c>
      <c r="C1350" s="12" t="s">
        <v>13</v>
      </c>
      <c r="D1350" s="12" t="s">
        <v>14</v>
      </c>
      <c r="E1350" s="14">
        <v>45413</v>
      </c>
      <c r="F1350" s="12" t="s">
        <v>18</v>
      </c>
      <c r="G1350" s="12" t="s">
        <v>19</v>
      </c>
      <c r="H1350" s="12" t="s">
        <v>67</v>
      </c>
      <c r="I1350" s="12">
        <v>230.01400000000001</v>
      </c>
      <c r="J1350" s="12">
        <v>194.96600000000001</v>
      </c>
      <c r="K1350" s="12">
        <v>3.9</v>
      </c>
      <c r="L1350" s="12">
        <v>11.8</v>
      </c>
    </row>
    <row r="1351" spans="1:12" ht="13.9" hidden="1" x14ac:dyDescent="0.25">
      <c r="A1351" s="12">
        <v>7630</v>
      </c>
      <c r="B1351" s="12">
        <v>1085364</v>
      </c>
      <c r="C1351" s="12" t="s">
        <v>13</v>
      </c>
      <c r="D1351" s="12" t="s">
        <v>14</v>
      </c>
      <c r="E1351" s="14">
        <v>45414</v>
      </c>
      <c r="F1351" s="12" t="s">
        <v>18</v>
      </c>
      <c r="G1351" s="12" t="s">
        <v>19</v>
      </c>
      <c r="H1351" s="12" t="s">
        <v>67</v>
      </c>
      <c r="I1351" s="12">
        <v>229.99600000000001</v>
      </c>
      <c r="J1351" s="12">
        <v>196.642</v>
      </c>
      <c r="K1351" s="12">
        <v>4.5999999999999996</v>
      </c>
      <c r="L1351" s="12">
        <v>11.7</v>
      </c>
    </row>
    <row r="1352" spans="1:12" ht="13.9" hidden="1" x14ac:dyDescent="0.25">
      <c r="A1352" s="12">
        <v>7631</v>
      </c>
      <c r="B1352" s="12">
        <v>1085565</v>
      </c>
      <c r="C1352" s="12" t="s">
        <v>13</v>
      </c>
      <c r="D1352" s="12" t="s">
        <v>14</v>
      </c>
      <c r="E1352" s="14">
        <v>45415</v>
      </c>
      <c r="F1352" s="12" t="s">
        <v>18</v>
      </c>
      <c r="G1352" s="12" t="s">
        <v>19</v>
      </c>
      <c r="H1352" s="12" t="s">
        <v>57</v>
      </c>
      <c r="I1352" s="12">
        <v>230</v>
      </c>
      <c r="J1352" s="12">
        <v>197.803</v>
      </c>
      <c r="L1352" s="12">
        <v>11.9</v>
      </c>
    </row>
    <row r="1353" spans="1:12" ht="13.9" hidden="1" x14ac:dyDescent="0.25">
      <c r="A1353" s="12">
        <v>7632</v>
      </c>
      <c r="B1353" s="12">
        <v>1085767</v>
      </c>
      <c r="C1353" s="12" t="s">
        <v>13</v>
      </c>
      <c r="D1353" s="12" t="s">
        <v>14</v>
      </c>
      <c r="E1353" s="14">
        <v>45416</v>
      </c>
      <c r="F1353" s="12" t="s">
        <v>18</v>
      </c>
      <c r="G1353" s="12" t="s">
        <v>19</v>
      </c>
      <c r="H1353" s="12" t="s">
        <v>57</v>
      </c>
      <c r="I1353" s="12">
        <v>230.05500000000001</v>
      </c>
      <c r="J1353" s="12">
        <v>201.333</v>
      </c>
      <c r="K1353" s="12">
        <v>4</v>
      </c>
      <c r="L1353" s="12">
        <v>11.9</v>
      </c>
    </row>
    <row r="1354" spans="1:12" ht="13.9" hidden="1" x14ac:dyDescent="0.25">
      <c r="A1354" s="12">
        <v>7633</v>
      </c>
      <c r="B1354" s="12">
        <v>1085925</v>
      </c>
      <c r="C1354" s="12" t="s">
        <v>13</v>
      </c>
      <c r="D1354" s="12" t="s">
        <v>14</v>
      </c>
      <c r="E1354" s="14">
        <v>45417</v>
      </c>
      <c r="F1354" s="12" t="s">
        <v>18</v>
      </c>
      <c r="G1354" s="12" t="s">
        <v>19</v>
      </c>
      <c r="H1354" s="12" t="s">
        <v>57</v>
      </c>
      <c r="I1354" s="12">
        <v>230</v>
      </c>
      <c r="J1354" s="12">
        <v>194.94399999999999</v>
      </c>
      <c r="K1354" s="12">
        <v>3.6</v>
      </c>
      <c r="L1354" s="12">
        <v>11.8</v>
      </c>
    </row>
    <row r="1355" spans="1:12" ht="13.9" hidden="1" x14ac:dyDescent="0.25">
      <c r="A1355" s="12">
        <v>7634</v>
      </c>
      <c r="B1355" s="12">
        <v>1085926</v>
      </c>
      <c r="C1355" s="12" t="s">
        <v>13</v>
      </c>
      <c r="D1355" s="12" t="s">
        <v>14</v>
      </c>
      <c r="E1355" s="14">
        <v>45418</v>
      </c>
      <c r="F1355" s="12" t="s">
        <v>18</v>
      </c>
      <c r="G1355" s="12" t="s">
        <v>19</v>
      </c>
      <c r="H1355" s="12" t="s">
        <v>57</v>
      </c>
      <c r="I1355" s="12">
        <v>229.97200000000001</v>
      </c>
      <c r="J1355" s="12">
        <v>195.72</v>
      </c>
      <c r="K1355" s="12">
        <v>3.8</v>
      </c>
      <c r="L1355" s="12">
        <v>11.7</v>
      </c>
    </row>
    <row r="1356" spans="1:12" ht="13.9" hidden="1" x14ac:dyDescent="0.25">
      <c r="A1356" s="12">
        <v>7635</v>
      </c>
      <c r="B1356" s="12">
        <v>1085927</v>
      </c>
      <c r="C1356" s="12" t="s">
        <v>13</v>
      </c>
      <c r="D1356" s="12" t="s">
        <v>14</v>
      </c>
      <c r="E1356" s="14">
        <v>45419</v>
      </c>
      <c r="F1356" s="12" t="s">
        <v>18</v>
      </c>
      <c r="G1356" s="12" t="s">
        <v>19</v>
      </c>
      <c r="H1356" s="12" t="s">
        <v>57</v>
      </c>
      <c r="I1356" s="12">
        <v>230.00800000000001</v>
      </c>
      <c r="J1356" s="12">
        <v>195.39099999999999</v>
      </c>
      <c r="K1356" s="12">
        <v>3.5</v>
      </c>
      <c r="L1356" s="12">
        <v>11.5</v>
      </c>
    </row>
    <row r="1357" spans="1:12" ht="13.9" hidden="1" x14ac:dyDescent="0.25">
      <c r="A1357" s="12">
        <v>7636</v>
      </c>
      <c r="B1357" s="12">
        <v>1086203</v>
      </c>
      <c r="C1357" s="12" t="s">
        <v>13</v>
      </c>
      <c r="D1357" s="12" t="s">
        <v>14</v>
      </c>
      <c r="E1357" s="14">
        <v>45420</v>
      </c>
      <c r="F1357" s="12" t="s">
        <v>18</v>
      </c>
      <c r="G1357" s="12" t="s">
        <v>20</v>
      </c>
      <c r="H1357" s="12" t="s">
        <v>61</v>
      </c>
      <c r="I1357" s="12">
        <v>230.012</v>
      </c>
      <c r="J1357" s="12">
        <v>194.21899999999999</v>
      </c>
      <c r="K1357" s="12">
        <v>4.3</v>
      </c>
      <c r="L1357" s="12">
        <v>11.9</v>
      </c>
    </row>
    <row r="1358" spans="1:12" ht="13.9" hidden="1" x14ac:dyDescent="0.25">
      <c r="A1358" s="12">
        <v>7637</v>
      </c>
      <c r="B1358" s="12">
        <v>1086225</v>
      </c>
      <c r="C1358" s="12" t="s">
        <v>13</v>
      </c>
      <c r="D1358" s="12" t="s">
        <v>14</v>
      </c>
      <c r="E1358" s="14">
        <v>45421</v>
      </c>
      <c r="F1358" s="12" t="s">
        <v>18</v>
      </c>
      <c r="G1358" s="12" t="s">
        <v>20</v>
      </c>
      <c r="H1358" s="12" t="s">
        <v>61</v>
      </c>
      <c r="I1358" s="12">
        <v>230.001</v>
      </c>
      <c r="J1358" s="12">
        <v>196.36500000000001</v>
      </c>
      <c r="K1358" s="12">
        <v>3.5</v>
      </c>
      <c r="L1358" s="12">
        <v>12.1</v>
      </c>
    </row>
    <row r="1359" spans="1:12" ht="13.9" hidden="1" x14ac:dyDescent="0.25">
      <c r="A1359" s="12">
        <v>7638</v>
      </c>
      <c r="B1359" s="12">
        <v>1086491</v>
      </c>
      <c r="C1359" s="12" t="s">
        <v>13</v>
      </c>
      <c r="D1359" s="12" t="s">
        <v>14</v>
      </c>
      <c r="E1359" s="14">
        <v>45422</v>
      </c>
      <c r="F1359" s="12" t="s">
        <v>18</v>
      </c>
      <c r="G1359" s="12" t="s">
        <v>20</v>
      </c>
      <c r="H1359" s="12" t="s">
        <v>61</v>
      </c>
      <c r="I1359" s="12">
        <v>230.011</v>
      </c>
      <c r="J1359" s="12">
        <v>195.482</v>
      </c>
      <c r="K1359" s="12">
        <v>3.8</v>
      </c>
      <c r="L1359" s="12">
        <v>12.1</v>
      </c>
    </row>
    <row r="1360" spans="1:12" ht="13.9" hidden="1" x14ac:dyDescent="0.25">
      <c r="A1360" s="12">
        <v>7639</v>
      </c>
      <c r="B1360" s="12">
        <v>1086689</v>
      </c>
      <c r="C1360" s="12" t="s">
        <v>13</v>
      </c>
      <c r="D1360" s="12" t="s">
        <v>14</v>
      </c>
      <c r="E1360" s="14">
        <v>45423</v>
      </c>
      <c r="F1360" s="12" t="s">
        <v>18</v>
      </c>
      <c r="G1360" s="12" t="s">
        <v>20</v>
      </c>
      <c r="H1360" s="12" t="s">
        <v>61</v>
      </c>
      <c r="I1360" s="12">
        <v>230.01599999999999</v>
      </c>
      <c r="J1360" s="12">
        <v>193.40199999999999</v>
      </c>
      <c r="K1360" s="12">
        <v>3.9</v>
      </c>
      <c r="L1360" s="12">
        <v>12.3</v>
      </c>
    </row>
    <row r="1361" spans="1:12" ht="13.9" hidden="1" x14ac:dyDescent="0.25">
      <c r="A1361" s="12">
        <v>7640</v>
      </c>
      <c r="B1361" s="12">
        <v>1086843</v>
      </c>
      <c r="C1361" s="12" t="s">
        <v>13</v>
      </c>
      <c r="D1361" s="12" t="s">
        <v>14</v>
      </c>
      <c r="E1361" s="14">
        <v>45424</v>
      </c>
      <c r="F1361" s="12" t="s">
        <v>18</v>
      </c>
      <c r="G1361" s="12" t="s">
        <v>20</v>
      </c>
      <c r="H1361" s="12" t="s">
        <v>61</v>
      </c>
      <c r="I1361" s="12">
        <v>230.01400000000001</v>
      </c>
      <c r="J1361" s="12">
        <v>193.85</v>
      </c>
      <c r="L1361" s="12">
        <v>12.6</v>
      </c>
    </row>
    <row r="1362" spans="1:12" ht="13.9" hidden="1" x14ac:dyDescent="0.25">
      <c r="A1362" s="12">
        <v>7641</v>
      </c>
      <c r="B1362" s="12">
        <v>1086845</v>
      </c>
      <c r="C1362" s="12" t="s">
        <v>13</v>
      </c>
      <c r="D1362" s="12" t="s">
        <v>14</v>
      </c>
      <c r="E1362" s="14">
        <v>45425</v>
      </c>
      <c r="F1362" s="12" t="s">
        <v>18</v>
      </c>
      <c r="G1362" s="12" t="s">
        <v>20</v>
      </c>
      <c r="H1362" s="12" t="s">
        <v>61</v>
      </c>
      <c r="I1362" s="12">
        <v>229.946</v>
      </c>
      <c r="J1362" s="12">
        <v>194.57599999999999</v>
      </c>
      <c r="L1362" s="12">
        <v>12.4</v>
      </c>
    </row>
    <row r="1363" spans="1:12" ht="13.9" hidden="1" x14ac:dyDescent="0.25">
      <c r="A1363" s="12">
        <v>7642</v>
      </c>
      <c r="B1363" s="12">
        <v>1086846</v>
      </c>
      <c r="C1363" s="12" t="s">
        <v>13</v>
      </c>
      <c r="D1363" s="12" t="s">
        <v>14</v>
      </c>
      <c r="E1363" s="14">
        <v>45426</v>
      </c>
      <c r="F1363" s="12" t="s">
        <v>18</v>
      </c>
      <c r="G1363" s="12" t="s">
        <v>20</v>
      </c>
      <c r="H1363" s="12" t="s">
        <v>61</v>
      </c>
      <c r="I1363" s="12">
        <v>229.94</v>
      </c>
      <c r="J1363" s="12">
        <v>191.76900000000001</v>
      </c>
      <c r="K1363" s="12">
        <v>4</v>
      </c>
      <c r="L1363" s="12">
        <v>12.2</v>
      </c>
    </row>
    <row r="1364" spans="1:12" ht="13.9" hidden="1" x14ac:dyDescent="0.25">
      <c r="A1364" s="12">
        <v>7643</v>
      </c>
      <c r="B1364" s="12">
        <v>1086873</v>
      </c>
      <c r="C1364" s="12" t="s">
        <v>13</v>
      </c>
      <c r="D1364" s="12" t="s">
        <v>14</v>
      </c>
      <c r="E1364" s="14">
        <v>45427</v>
      </c>
      <c r="F1364" s="12" t="s">
        <v>18</v>
      </c>
      <c r="G1364" s="12" t="s">
        <v>20</v>
      </c>
      <c r="H1364" s="12" t="s">
        <v>61</v>
      </c>
      <c r="I1364" s="12">
        <v>229.99799999999999</v>
      </c>
      <c r="J1364" s="12">
        <v>191.84800000000001</v>
      </c>
      <c r="L1364" s="12">
        <v>12</v>
      </c>
    </row>
    <row r="1365" spans="1:12" ht="13.9" hidden="1" x14ac:dyDescent="0.25">
      <c r="A1365" s="12">
        <v>7644</v>
      </c>
      <c r="B1365" s="12">
        <v>1087138</v>
      </c>
      <c r="C1365" s="12" t="s">
        <v>13</v>
      </c>
      <c r="D1365" s="12" t="s">
        <v>14</v>
      </c>
      <c r="E1365" s="14">
        <v>45428</v>
      </c>
      <c r="F1365" s="12" t="s">
        <v>18</v>
      </c>
      <c r="G1365" s="12" t="s">
        <v>20</v>
      </c>
      <c r="H1365" s="12" t="s">
        <v>61</v>
      </c>
      <c r="I1365" s="12">
        <v>230.011</v>
      </c>
      <c r="J1365" s="12">
        <v>196.07400000000001</v>
      </c>
      <c r="K1365" s="12">
        <v>5</v>
      </c>
      <c r="L1365" s="12">
        <v>12.5</v>
      </c>
    </row>
    <row r="1366" spans="1:12" ht="13.9" hidden="1" x14ac:dyDescent="0.25">
      <c r="A1366" s="12">
        <v>7645</v>
      </c>
      <c r="B1366" s="12">
        <v>1087389</v>
      </c>
      <c r="C1366" s="12" t="s">
        <v>13</v>
      </c>
      <c r="D1366" s="12" t="s">
        <v>14</v>
      </c>
      <c r="E1366" s="14">
        <v>45429</v>
      </c>
      <c r="F1366" s="12" t="s">
        <v>18</v>
      </c>
      <c r="G1366" s="12" t="s">
        <v>20</v>
      </c>
      <c r="H1366" s="12" t="s">
        <v>61</v>
      </c>
      <c r="I1366" s="12">
        <v>230.00800000000001</v>
      </c>
      <c r="J1366" s="12">
        <v>193.202</v>
      </c>
      <c r="K1366" s="12">
        <v>3.6</v>
      </c>
      <c r="L1366" s="12">
        <v>12.3</v>
      </c>
    </row>
    <row r="1367" spans="1:12" ht="13.9" hidden="1" x14ac:dyDescent="0.25">
      <c r="A1367" s="12">
        <v>7646</v>
      </c>
      <c r="B1367" s="12">
        <v>1087394</v>
      </c>
      <c r="C1367" s="12" t="s">
        <v>13</v>
      </c>
      <c r="D1367" s="12" t="s">
        <v>14</v>
      </c>
      <c r="E1367" s="14">
        <v>45430</v>
      </c>
      <c r="F1367" s="12" t="s">
        <v>18</v>
      </c>
      <c r="G1367" s="12" t="s">
        <v>19</v>
      </c>
      <c r="H1367" s="12" t="s">
        <v>57</v>
      </c>
      <c r="I1367" s="12">
        <v>229.995</v>
      </c>
      <c r="J1367" s="12">
        <v>195.29400000000001</v>
      </c>
      <c r="L1367" s="12">
        <v>11.8</v>
      </c>
    </row>
    <row r="1368" spans="1:12" ht="13.9" hidden="1" x14ac:dyDescent="0.25">
      <c r="A1368" s="12">
        <v>7647</v>
      </c>
      <c r="B1368" s="12">
        <v>1087549</v>
      </c>
      <c r="C1368" s="12" t="s">
        <v>13</v>
      </c>
      <c r="D1368" s="12" t="s">
        <v>14</v>
      </c>
      <c r="E1368" s="14">
        <v>45431</v>
      </c>
      <c r="F1368" s="12" t="s">
        <v>18</v>
      </c>
      <c r="G1368" s="12" t="s">
        <v>19</v>
      </c>
      <c r="H1368" s="12" t="s">
        <v>57</v>
      </c>
      <c r="I1368" s="12">
        <v>229.98599999999999</v>
      </c>
      <c r="J1368" s="12">
        <v>193.99799999999999</v>
      </c>
      <c r="L1368" s="12">
        <v>11.8</v>
      </c>
    </row>
    <row r="1369" spans="1:12" ht="13.9" hidden="1" x14ac:dyDescent="0.25">
      <c r="A1369" s="12">
        <v>7648</v>
      </c>
      <c r="B1369" s="12">
        <v>1087551</v>
      </c>
      <c r="C1369" s="12" t="s">
        <v>13</v>
      </c>
      <c r="D1369" s="12" t="s">
        <v>14</v>
      </c>
      <c r="E1369" s="14">
        <v>45432</v>
      </c>
      <c r="F1369" s="12" t="s">
        <v>18</v>
      </c>
      <c r="G1369" s="12" t="s">
        <v>19</v>
      </c>
      <c r="H1369" s="12" t="s">
        <v>57</v>
      </c>
      <c r="I1369" s="12">
        <v>229.94300000000001</v>
      </c>
      <c r="J1369" s="12">
        <v>196.40299999999999</v>
      </c>
      <c r="L1369" s="12">
        <v>12.2</v>
      </c>
    </row>
    <row r="1370" spans="1:12" ht="13.9" hidden="1" x14ac:dyDescent="0.25">
      <c r="A1370" s="12">
        <v>7649</v>
      </c>
      <c r="B1370" s="12">
        <v>1087555</v>
      </c>
      <c r="C1370" s="12" t="s">
        <v>13</v>
      </c>
      <c r="D1370" s="12" t="s">
        <v>14</v>
      </c>
      <c r="E1370" s="14">
        <v>45432</v>
      </c>
      <c r="F1370" s="12" t="s">
        <v>18</v>
      </c>
      <c r="G1370" s="12" t="s">
        <v>19</v>
      </c>
      <c r="H1370" s="12" t="s">
        <v>57</v>
      </c>
      <c r="I1370" s="12">
        <v>229.881</v>
      </c>
      <c r="J1370" s="12">
        <v>194.88200000000001</v>
      </c>
      <c r="L1370" s="12">
        <v>12.1</v>
      </c>
    </row>
    <row r="1371" spans="1:12" ht="13.9" hidden="1" x14ac:dyDescent="0.25">
      <c r="A1371" s="12">
        <v>7650</v>
      </c>
      <c r="B1371" s="12">
        <v>1088180</v>
      </c>
      <c r="C1371" s="12" t="s">
        <v>13</v>
      </c>
      <c r="D1371" s="12" t="s">
        <v>14</v>
      </c>
      <c r="E1371" s="14">
        <v>45438</v>
      </c>
      <c r="F1371" s="12" t="s">
        <v>18</v>
      </c>
      <c r="G1371" s="12" t="s">
        <v>19</v>
      </c>
      <c r="H1371" s="12" t="s">
        <v>57</v>
      </c>
      <c r="I1371" s="12">
        <v>229.97</v>
      </c>
      <c r="J1371" s="12">
        <v>194.38800000000001</v>
      </c>
      <c r="L1371" s="12">
        <v>12.1</v>
      </c>
    </row>
    <row r="1372" spans="1:12" ht="13.9" hidden="1" x14ac:dyDescent="0.25">
      <c r="A1372" s="12">
        <v>7651</v>
      </c>
      <c r="B1372" s="12">
        <v>1088915</v>
      </c>
      <c r="C1372" s="12" t="s">
        <v>13</v>
      </c>
      <c r="D1372" s="12" t="s">
        <v>14</v>
      </c>
      <c r="E1372" s="14">
        <v>45439</v>
      </c>
      <c r="F1372" s="12" t="s">
        <v>36</v>
      </c>
      <c r="G1372" s="12" t="s">
        <v>20</v>
      </c>
      <c r="H1372" s="12" t="s">
        <v>61</v>
      </c>
      <c r="I1372" s="12">
        <v>229.999</v>
      </c>
      <c r="J1372" s="12">
        <v>194.62100000000001</v>
      </c>
      <c r="K1372" s="12">
        <v>4</v>
      </c>
      <c r="L1372" s="12">
        <v>12.3</v>
      </c>
    </row>
    <row r="1373" spans="1:12" ht="13.9" hidden="1" x14ac:dyDescent="0.25">
      <c r="A1373" s="12">
        <v>7652</v>
      </c>
      <c r="B1373" s="12">
        <v>1088930</v>
      </c>
      <c r="C1373" s="12" t="s">
        <v>13</v>
      </c>
      <c r="D1373" s="12" t="s">
        <v>14</v>
      </c>
      <c r="E1373" s="14">
        <v>45440</v>
      </c>
      <c r="F1373" s="12" t="s">
        <v>36</v>
      </c>
      <c r="G1373" s="12" t="s">
        <v>20</v>
      </c>
      <c r="H1373" s="12" t="s">
        <v>61</v>
      </c>
      <c r="I1373" s="12">
        <v>229.92699999999999</v>
      </c>
      <c r="J1373" s="12">
        <v>189.90299999999999</v>
      </c>
      <c r="K1373" s="12">
        <v>3.6</v>
      </c>
      <c r="L1373" s="12">
        <v>12.1</v>
      </c>
    </row>
    <row r="1374" spans="1:12" ht="13.9" hidden="1" x14ac:dyDescent="0.25">
      <c r="A1374" s="12">
        <v>7653</v>
      </c>
      <c r="B1374" s="12">
        <v>1089206</v>
      </c>
      <c r="C1374" s="12" t="s">
        <v>13</v>
      </c>
      <c r="D1374" s="12" t="s">
        <v>14</v>
      </c>
      <c r="E1374" s="14">
        <v>45441</v>
      </c>
      <c r="F1374" s="12" t="s">
        <v>17</v>
      </c>
      <c r="G1374" s="12" t="s">
        <v>19</v>
      </c>
      <c r="H1374" s="12" t="s">
        <v>57</v>
      </c>
      <c r="I1374" s="12">
        <v>230.01300000000001</v>
      </c>
      <c r="J1374" s="12">
        <v>197.80600000000001</v>
      </c>
      <c r="L1374" s="12">
        <v>12</v>
      </c>
    </row>
    <row r="1375" spans="1:12" ht="13.9" hidden="1" x14ac:dyDescent="0.25">
      <c r="A1375" s="12">
        <v>7654</v>
      </c>
      <c r="B1375" s="12">
        <v>1089348</v>
      </c>
      <c r="C1375" s="12" t="s">
        <v>13</v>
      </c>
      <c r="D1375" s="12" t="s">
        <v>14</v>
      </c>
      <c r="E1375" s="14">
        <v>45442</v>
      </c>
      <c r="F1375" s="12" t="s">
        <v>17</v>
      </c>
      <c r="G1375" s="12" t="s">
        <v>19</v>
      </c>
      <c r="H1375" s="12" t="s">
        <v>57</v>
      </c>
      <c r="I1375" s="12">
        <v>229.99199999999999</v>
      </c>
      <c r="J1375" s="12">
        <v>194.11799999999999</v>
      </c>
      <c r="K1375" s="12">
        <v>3.6</v>
      </c>
      <c r="L1375" s="12">
        <v>11.8</v>
      </c>
    </row>
    <row r="1376" spans="1:12" ht="13.9" hidden="1" x14ac:dyDescent="0.25">
      <c r="A1376" s="12">
        <v>7655</v>
      </c>
      <c r="B1376" s="12">
        <v>1089565</v>
      </c>
      <c r="C1376" s="12" t="s">
        <v>13</v>
      </c>
      <c r="D1376" s="12" t="s">
        <v>14</v>
      </c>
      <c r="E1376" s="14">
        <v>45443</v>
      </c>
      <c r="F1376" s="12" t="s">
        <v>17</v>
      </c>
      <c r="G1376" s="12" t="s">
        <v>19</v>
      </c>
      <c r="H1376" s="12" t="s">
        <v>57</v>
      </c>
      <c r="I1376" s="12">
        <v>230.01400000000001</v>
      </c>
      <c r="J1376" s="12">
        <v>194.21700000000001</v>
      </c>
      <c r="L1376" s="12">
        <v>11.9</v>
      </c>
    </row>
    <row r="1377" spans="1:12" ht="13.9" hidden="1" x14ac:dyDescent="0.25">
      <c r="A1377" s="12">
        <v>7656</v>
      </c>
      <c r="B1377" s="12">
        <v>1089826</v>
      </c>
      <c r="C1377" s="12" t="s">
        <v>13</v>
      </c>
      <c r="D1377" s="12" t="s">
        <v>14</v>
      </c>
      <c r="E1377" s="14">
        <v>45444</v>
      </c>
      <c r="F1377" s="12" t="s">
        <v>17</v>
      </c>
      <c r="G1377" s="12" t="s">
        <v>19</v>
      </c>
      <c r="H1377" s="12" t="s">
        <v>57</v>
      </c>
      <c r="I1377" s="12">
        <v>230.02199999999999</v>
      </c>
      <c r="J1377" s="12">
        <v>194.858</v>
      </c>
      <c r="L1377" s="12">
        <v>11.9</v>
      </c>
    </row>
    <row r="1378" spans="1:12" ht="13.9" hidden="1" x14ac:dyDescent="0.25">
      <c r="A1378" s="12">
        <v>7657</v>
      </c>
      <c r="B1378" s="12">
        <v>1089978</v>
      </c>
      <c r="C1378" s="12" t="s">
        <v>13</v>
      </c>
      <c r="D1378" s="12" t="s">
        <v>14</v>
      </c>
      <c r="E1378" s="14">
        <v>45445</v>
      </c>
      <c r="F1378" s="12" t="s">
        <v>17</v>
      </c>
      <c r="G1378" s="12" t="s">
        <v>19</v>
      </c>
      <c r="H1378" s="12" t="s">
        <v>57</v>
      </c>
      <c r="I1378" s="12">
        <v>230.011</v>
      </c>
      <c r="J1378" s="12">
        <v>195.05500000000001</v>
      </c>
      <c r="L1378" s="12">
        <v>12</v>
      </c>
    </row>
    <row r="1379" spans="1:12" ht="13.9" hidden="1" x14ac:dyDescent="0.25">
      <c r="A1379" s="12">
        <v>7658</v>
      </c>
      <c r="B1379" s="12">
        <v>1089979</v>
      </c>
      <c r="C1379" s="12" t="s">
        <v>13</v>
      </c>
      <c r="D1379" s="12" t="s">
        <v>14</v>
      </c>
      <c r="E1379" s="14">
        <v>45446</v>
      </c>
      <c r="F1379" s="12" t="s">
        <v>18</v>
      </c>
      <c r="G1379" s="12" t="s">
        <v>20</v>
      </c>
      <c r="H1379" s="12" t="s">
        <v>62</v>
      </c>
      <c r="I1379" s="12">
        <v>230.005</v>
      </c>
      <c r="J1379" s="12">
        <v>194.904</v>
      </c>
      <c r="L1379" s="12">
        <v>11.9</v>
      </c>
    </row>
    <row r="1380" spans="1:12" ht="13.9" hidden="1" x14ac:dyDescent="0.25">
      <c r="A1380" s="12">
        <v>7659</v>
      </c>
      <c r="B1380" s="12">
        <v>1090071</v>
      </c>
      <c r="C1380" s="12" t="s">
        <v>13</v>
      </c>
      <c r="D1380" s="12" t="s">
        <v>14</v>
      </c>
      <c r="E1380" s="14">
        <v>45447</v>
      </c>
      <c r="F1380" s="12" t="s">
        <v>18</v>
      </c>
      <c r="G1380" s="12" t="s">
        <v>20</v>
      </c>
      <c r="H1380" s="12" t="s">
        <v>62</v>
      </c>
      <c r="I1380" s="12">
        <v>229.96199999999999</v>
      </c>
      <c r="J1380" s="12">
        <v>194.953</v>
      </c>
      <c r="L1380" s="12">
        <v>12.1</v>
      </c>
    </row>
    <row r="1381" spans="1:12" ht="13.9" hidden="1" x14ac:dyDescent="0.25">
      <c r="A1381" s="12">
        <v>7660</v>
      </c>
      <c r="B1381" s="12">
        <v>1090297</v>
      </c>
      <c r="C1381" s="12" t="s">
        <v>13</v>
      </c>
      <c r="D1381" s="12" t="s">
        <v>14</v>
      </c>
      <c r="E1381" s="14">
        <v>45448</v>
      </c>
      <c r="F1381" s="12" t="s">
        <v>51</v>
      </c>
      <c r="G1381" s="12" t="s">
        <v>19</v>
      </c>
      <c r="H1381" s="12" t="s">
        <v>57</v>
      </c>
      <c r="I1381" s="12">
        <v>230.01499999999999</v>
      </c>
      <c r="J1381" s="12">
        <v>194.77600000000001</v>
      </c>
      <c r="L1381" s="12">
        <v>11.8</v>
      </c>
    </row>
    <row r="1382" spans="1:12" ht="13.9" hidden="1" x14ac:dyDescent="0.25">
      <c r="A1382" s="12">
        <v>7661</v>
      </c>
      <c r="B1382" s="12">
        <v>1090474</v>
      </c>
      <c r="C1382" s="12" t="s">
        <v>13</v>
      </c>
      <c r="D1382" s="12" t="s">
        <v>14</v>
      </c>
      <c r="E1382" s="14">
        <v>45449</v>
      </c>
      <c r="F1382" s="12" t="s">
        <v>51</v>
      </c>
      <c r="G1382" s="12" t="s">
        <v>19</v>
      </c>
      <c r="H1382" s="12" t="s">
        <v>57</v>
      </c>
      <c r="I1382" s="12">
        <v>229.958</v>
      </c>
      <c r="J1382" s="12">
        <v>195.98699999999999</v>
      </c>
      <c r="L1382" s="12">
        <v>11.9</v>
      </c>
    </row>
    <row r="1383" spans="1:12" ht="13.9" hidden="1" x14ac:dyDescent="0.25">
      <c r="A1383" s="12">
        <v>7662</v>
      </c>
      <c r="B1383" s="12">
        <v>1090643</v>
      </c>
      <c r="C1383" s="12" t="s">
        <v>13</v>
      </c>
      <c r="D1383" s="12" t="s">
        <v>14</v>
      </c>
      <c r="E1383" s="14">
        <v>45450</v>
      </c>
      <c r="F1383" s="12" t="s">
        <v>51</v>
      </c>
      <c r="G1383" s="12" t="s">
        <v>19</v>
      </c>
      <c r="H1383" s="12" t="s">
        <v>57</v>
      </c>
      <c r="I1383" s="12">
        <v>230.005</v>
      </c>
      <c r="J1383" s="12">
        <v>195.93899999999999</v>
      </c>
      <c r="L1383" s="12">
        <v>11.8</v>
      </c>
    </row>
    <row r="1384" spans="1:12" ht="13.9" hidden="1" x14ac:dyDescent="0.25">
      <c r="A1384" s="12">
        <v>7663</v>
      </c>
      <c r="B1384" s="12">
        <v>1090644</v>
      </c>
      <c r="C1384" s="12" t="s">
        <v>13</v>
      </c>
      <c r="D1384" s="12" t="s">
        <v>14</v>
      </c>
      <c r="E1384" s="14">
        <v>45451</v>
      </c>
      <c r="F1384" s="12" t="s">
        <v>51</v>
      </c>
      <c r="G1384" s="12" t="s">
        <v>19</v>
      </c>
      <c r="H1384" s="12" t="s">
        <v>57</v>
      </c>
      <c r="I1384" s="12">
        <v>229.982</v>
      </c>
      <c r="J1384" s="12">
        <v>196.89099999999999</v>
      </c>
      <c r="L1384" s="12">
        <v>11.7</v>
      </c>
    </row>
    <row r="1385" spans="1:12" ht="13.9" hidden="1" x14ac:dyDescent="0.25">
      <c r="A1385" s="12">
        <v>7664</v>
      </c>
      <c r="B1385" s="12">
        <v>1091036</v>
      </c>
      <c r="C1385" s="12" t="s">
        <v>13</v>
      </c>
      <c r="D1385" s="12" t="s">
        <v>14</v>
      </c>
      <c r="E1385" s="14">
        <v>45452</v>
      </c>
      <c r="F1385" s="12" t="s">
        <v>51</v>
      </c>
      <c r="G1385" s="12" t="s">
        <v>19</v>
      </c>
      <c r="H1385" s="12" t="s">
        <v>57</v>
      </c>
      <c r="I1385" s="12">
        <v>229.92699999999999</v>
      </c>
      <c r="J1385" s="12">
        <v>195.178</v>
      </c>
      <c r="L1385" s="12">
        <v>12.1</v>
      </c>
    </row>
    <row r="1386" spans="1:12" ht="13.9" hidden="1" x14ac:dyDescent="0.25">
      <c r="A1386" s="12">
        <v>7665</v>
      </c>
      <c r="B1386" s="12">
        <v>1091037</v>
      </c>
      <c r="C1386" s="12" t="s">
        <v>13</v>
      </c>
      <c r="D1386" s="12" t="s">
        <v>14</v>
      </c>
      <c r="E1386" s="14">
        <v>45452</v>
      </c>
      <c r="F1386" s="12" t="s">
        <v>18</v>
      </c>
      <c r="G1386" s="12" t="s">
        <v>20</v>
      </c>
      <c r="H1386" s="12" t="s">
        <v>61</v>
      </c>
      <c r="I1386" s="12">
        <v>229.935</v>
      </c>
      <c r="J1386" s="12">
        <v>194.90199999999999</v>
      </c>
      <c r="L1386" s="12">
        <v>12.2</v>
      </c>
    </row>
    <row r="1387" spans="1:12" ht="13.9" hidden="1" x14ac:dyDescent="0.25">
      <c r="A1387" s="12">
        <v>7666</v>
      </c>
      <c r="B1387" s="12">
        <v>1091038</v>
      </c>
      <c r="C1387" s="12" t="s">
        <v>13</v>
      </c>
      <c r="D1387" s="12" t="s">
        <v>14</v>
      </c>
      <c r="E1387" s="14">
        <v>45453</v>
      </c>
      <c r="F1387" s="12" t="s">
        <v>18</v>
      </c>
      <c r="G1387" s="12" t="s">
        <v>20</v>
      </c>
      <c r="H1387" s="12" t="s">
        <v>61</v>
      </c>
      <c r="I1387" s="12">
        <v>230.006</v>
      </c>
      <c r="J1387" s="12">
        <v>192.209</v>
      </c>
      <c r="L1387" s="12">
        <v>12.5</v>
      </c>
    </row>
    <row r="1388" spans="1:12" ht="13.9" hidden="1" x14ac:dyDescent="0.25">
      <c r="A1388" s="12">
        <v>7667</v>
      </c>
      <c r="B1388" s="12">
        <v>1091361</v>
      </c>
      <c r="C1388" s="12" t="s">
        <v>13</v>
      </c>
      <c r="D1388" s="12" t="s">
        <v>14</v>
      </c>
      <c r="E1388" s="14">
        <v>45454</v>
      </c>
      <c r="F1388" s="12" t="s">
        <v>18</v>
      </c>
      <c r="G1388" s="12" t="s">
        <v>19</v>
      </c>
      <c r="H1388" s="12" t="s">
        <v>67</v>
      </c>
      <c r="I1388" s="12">
        <v>230.95400000000001</v>
      </c>
      <c r="J1388" s="12">
        <v>199.786</v>
      </c>
      <c r="L1388" s="12">
        <v>11.9</v>
      </c>
    </row>
    <row r="1389" spans="1:12" ht="13.9" hidden="1" x14ac:dyDescent="0.25">
      <c r="A1389" s="12">
        <v>7668</v>
      </c>
      <c r="B1389" s="12">
        <v>1091562</v>
      </c>
      <c r="C1389" s="12" t="s">
        <v>13</v>
      </c>
      <c r="D1389" s="12" t="s">
        <v>14</v>
      </c>
      <c r="E1389" s="14">
        <v>45455</v>
      </c>
      <c r="F1389" s="12" t="s">
        <v>18</v>
      </c>
      <c r="G1389" s="12" t="s">
        <v>19</v>
      </c>
      <c r="H1389" s="12" t="s">
        <v>67</v>
      </c>
      <c r="I1389" s="12">
        <v>230.017</v>
      </c>
      <c r="J1389" s="12">
        <v>198.35300000000001</v>
      </c>
      <c r="L1389" s="12">
        <v>11.7</v>
      </c>
    </row>
    <row r="1390" spans="1:12" ht="13.9" hidden="1" x14ac:dyDescent="0.25">
      <c r="A1390" s="12">
        <v>7669</v>
      </c>
      <c r="B1390" s="12">
        <v>1091804</v>
      </c>
      <c r="C1390" s="12" t="s">
        <v>13</v>
      </c>
      <c r="D1390" s="12" t="s">
        <v>14</v>
      </c>
      <c r="E1390" s="14">
        <v>45456</v>
      </c>
      <c r="F1390" s="12" t="s">
        <v>17</v>
      </c>
      <c r="G1390" s="12" t="s">
        <v>19</v>
      </c>
      <c r="H1390" s="12" t="s">
        <v>57</v>
      </c>
      <c r="I1390" s="12">
        <v>229.99799999999999</v>
      </c>
      <c r="J1390" s="12">
        <v>199.76900000000001</v>
      </c>
      <c r="L1390" s="12">
        <v>11.6</v>
      </c>
    </row>
    <row r="1391" spans="1:12" ht="13.9" hidden="1" x14ac:dyDescent="0.25">
      <c r="A1391" s="12">
        <v>7670</v>
      </c>
      <c r="B1391" s="12">
        <v>1091995</v>
      </c>
      <c r="C1391" s="12" t="s">
        <v>13</v>
      </c>
      <c r="D1391" s="12" t="s">
        <v>14</v>
      </c>
      <c r="E1391" s="14">
        <v>45457</v>
      </c>
      <c r="F1391" s="12" t="s">
        <v>17</v>
      </c>
      <c r="G1391" s="12" t="s">
        <v>19</v>
      </c>
      <c r="H1391" s="12" t="s">
        <v>57</v>
      </c>
      <c r="I1391" s="12">
        <v>230.01</v>
      </c>
      <c r="J1391" s="12">
        <v>197.06700000000001</v>
      </c>
      <c r="L1391" s="12">
        <v>11.8</v>
      </c>
    </row>
    <row r="1392" spans="1:12" ht="13.9" hidden="1" x14ac:dyDescent="0.25">
      <c r="A1392" s="12">
        <v>7671</v>
      </c>
      <c r="B1392" s="12">
        <v>1092049</v>
      </c>
      <c r="C1392" s="12" t="s">
        <v>13</v>
      </c>
      <c r="D1392" s="12" t="s">
        <v>14</v>
      </c>
      <c r="E1392" s="14">
        <v>45458</v>
      </c>
      <c r="F1392" s="12" t="s">
        <v>17</v>
      </c>
      <c r="G1392" s="12" t="s">
        <v>19</v>
      </c>
      <c r="H1392" s="12" t="s">
        <v>57</v>
      </c>
      <c r="I1392" s="12">
        <v>230.00399999999999</v>
      </c>
      <c r="J1392" s="12">
        <v>196.81</v>
      </c>
      <c r="L1392" s="12">
        <v>12.4</v>
      </c>
    </row>
    <row r="1393" spans="1:12" ht="13.9" hidden="1" x14ac:dyDescent="0.25">
      <c r="A1393" s="12">
        <v>7672</v>
      </c>
      <c r="B1393" s="12">
        <v>1092137</v>
      </c>
      <c r="C1393" s="12" t="s">
        <v>13</v>
      </c>
      <c r="D1393" s="12" t="s">
        <v>14</v>
      </c>
      <c r="E1393" s="14">
        <v>45459</v>
      </c>
      <c r="F1393" s="12" t="s">
        <v>17</v>
      </c>
      <c r="G1393" s="12" t="s">
        <v>19</v>
      </c>
      <c r="H1393" s="12" t="s">
        <v>57</v>
      </c>
      <c r="I1393" s="12">
        <v>230.10300000000001</v>
      </c>
      <c r="J1393" s="12">
        <v>198.34700000000001</v>
      </c>
      <c r="L1393" s="12">
        <v>12.3</v>
      </c>
    </row>
    <row r="1394" spans="1:12" ht="13.9" hidden="1" x14ac:dyDescent="0.25">
      <c r="A1394" s="12">
        <v>7673</v>
      </c>
      <c r="B1394" s="12">
        <v>1092138</v>
      </c>
      <c r="C1394" s="12" t="s">
        <v>13</v>
      </c>
      <c r="D1394" s="12" t="s">
        <v>14</v>
      </c>
      <c r="E1394" s="14">
        <v>45460</v>
      </c>
      <c r="F1394" s="12" t="s">
        <v>17</v>
      </c>
      <c r="G1394" s="12" t="s">
        <v>19</v>
      </c>
      <c r="H1394" s="12" t="s">
        <v>57</v>
      </c>
      <c r="I1394" s="12">
        <v>230.083</v>
      </c>
      <c r="J1394" s="12">
        <v>199.71700000000001</v>
      </c>
      <c r="L1394" s="12">
        <v>12.4</v>
      </c>
    </row>
    <row r="1395" spans="1:12" ht="13.9" hidden="1" x14ac:dyDescent="0.25">
      <c r="A1395" s="12">
        <v>7674</v>
      </c>
      <c r="B1395" s="12">
        <v>1092189</v>
      </c>
      <c r="C1395" s="12" t="s">
        <v>13</v>
      </c>
      <c r="D1395" s="12" t="s">
        <v>14</v>
      </c>
      <c r="E1395" s="14">
        <v>45461</v>
      </c>
      <c r="F1395" s="12" t="s">
        <v>18</v>
      </c>
      <c r="G1395" s="12" t="s">
        <v>19</v>
      </c>
      <c r="H1395" s="12" t="s">
        <v>57</v>
      </c>
      <c r="I1395" s="12">
        <v>230.011</v>
      </c>
      <c r="J1395" s="12">
        <v>195.64099999999999</v>
      </c>
      <c r="L1395" s="33"/>
    </row>
    <row r="1396" spans="1:12" ht="13.9" hidden="1" x14ac:dyDescent="0.25">
      <c r="A1396" s="12">
        <v>7675</v>
      </c>
      <c r="B1396" s="12">
        <v>1092488</v>
      </c>
      <c r="C1396" s="12" t="s">
        <v>13</v>
      </c>
      <c r="D1396" s="12" t="s">
        <v>14</v>
      </c>
      <c r="E1396" s="14">
        <v>45462</v>
      </c>
      <c r="F1396" s="12" t="s">
        <v>18</v>
      </c>
      <c r="G1396" s="12" t="s">
        <v>19</v>
      </c>
      <c r="H1396" s="12" t="s">
        <v>57</v>
      </c>
      <c r="I1396" s="12">
        <v>229.93199999999999</v>
      </c>
      <c r="J1396" s="12">
        <v>193.613</v>
      </c>
      <c r="L1396" s="12">
        <v>11.6</v>
      </c>
    </row>
    <row r="1397" spans="1:12" ht="13.9" hidden="1" x14ac:dyDescent="0.25">
      <c r="A1397" s="12">
        <v>7676</v>
      </c>
      <c r="B1397" s="12">
        <v>1092659</v>
      </c>
      <c r="C1397" s="12" t="s">
        <v>13</v>
      </c>
      <c r="D1397" s="12" t="s">
        <v>14</v>
      </c>
      <c r="E1397" s="14">
        <v>45463</v>
      </c>
      <c r="F1397" s="12" t="s">
        <v>18</v>
      </c>
      <c r="G1397" s="12" t="s">
        <v>19</v>
      </c>
      <c r="H1397" s="12" t="s">
        <v>67</v>
      </c>
      <c r="I1397" s="12">
        <v>230.00899999999999</v>
      </c>
      <c r="J1397" s="12">
        <v>193.45699999999999</v>
      </c>
      <c r="L1397" s="12">
        <v>12.2</v>
      </c>
    </row>
    <row r="1398" spans="1:12" ht="13.9" hidden="1" x14ac:dyDescent="0.25">
      <c r="A1398" s="12">
        <v>7677</v>
      </c>
      <c r="B1398" s="12">
        <v>1092873</v>
      </c>
      <c r="C1398" s="12" t="s">
        <v>13</v>
      </c>
      <c r="D1398" s="12" t="s">
        <v>14</v>
      </c>
      <c r="E1398" s="14">
        <v>45464</v>
      </c>
      <c r="F1398" s="12" t="s">
        <v>18</v>
      </c>
      <c r="G1398" s="12" t="s">
        <v>19</v>
      </c>
      <c r="H1398" s="12" t="s">
        <v>67</v>
      </c>
      <c r="I1398" s="12">
        <v>230.01900000000001</v>
      </c>
      <c r="J1398" s="12">
        <v>192.613</v>
      </c>
      <c r="L1398" s="12">
        <v>11.7</v>
      </c>
    </row>
    <row r="1399" spans="1:12" ht="13.9" hidden="1" x14ac:dyDescent="0.25">
      <c r="A1399" s="12">
        <v>7678</v>
      </c>
      <c r="B1399" s="12">
        <v>1093016</v>
      </c>
      <c r="C1399" s="12" t="s">
        <v>13</v>
      </c>
      <c r="D1399" s="12" t="s">
        <v>14</v>
      </c>
      <c r="E1399" s="14">
        <v>45466</v>
      </c>
      <c r="F1399" s="12" t="s">
        <v>18</v>
      </c>
      <c r="G1399" s="12" t="s">
        <v>19</v>
      </c>
      <c r="H1399" s="12" t="s">
        <v>67</v>
      </c>
      <c r="I1399" s="12">
        <v>229.952</v>
      </c>
      <c r="J1399" s="12">
        <v>192.76</v>
      </c>
      <c r="L1399" s="12">
        <v>11.5</v>
      </c>
    </row>
    <row r="1400" spans="1:12" ht="13.9" hidden="1" x14ac:dyDescent="0.25">
      <c r="A1400" s="12">
        <v>7679</v>
      </c>
      <c r="B1400" s="12">
        <v>1093231</v>
      </c>
      <c r="C1400" s="12" t="s">
        <v>13</v>
      </c>
      <c r="D1400" s="12" t="s">
        <v>14</v>
      </c>
      <c r="E1400" s="14">
        <v>45466</v>
      </c>
      <c r="F1400" s="12" t="s">
        <v>18</v>
      </c>
      <c r="G1400" s="12" t="s">
        <v>19</v>
      </c>
      <c r="H1400" s="12" t="s">
        <v>67</v>
      </c>
      <c r="I1400" s="12">
        <v>229.97200000000001</v>
      </c>
      <c r="J1400" s="12">
        <v>192.309</v>
      </c>
      <c r="L1400" s="12">
        <v>12.3</v>
      </c>
    </row>
    <row r="1401" spans="1:12" ht="13.9" hidden="1" x14ac:dyDescent="0.25">
      <c r="A1401" s="12">
        <v>7680</v>
      </c>
      <c r="B1401" s="12">
        <v>1093232</v>
      </c>
      <c r="C1401" s="12" t="s">
        <v>13</v>
      </c>
      <c r="D1401" s="12" t="s">
        <v>14</v>
      </c>
      <c r="E1401" s="14">
        <v>45468</v>
      </c>
      <c r="F1401" s="12" t="s">
        <v>18</v>
      </c>
      <c r="G1401" s="12" t="s">
        <v>19</v>
      </c>
      <c r="H1401" s="12" t="s">
        <v>67</v>
      </c>
      <c r="I1401" s="12">
        <v>230.01499999999999</v>
      </c>
      <c r="J1401" s="12">
        <v>191.86799999999999</v>
      </c>
      <c r="L1401" s="12">
        <v>11.7</v>
      </c>
    </row>
    <row r="1402" spans="1:12" ht="13.9" hidden="1" x14ac:dyDescent="0.25">
      <c r="A1402" s="12">
        <v>7681</v>
      </c>
      <c r="B1402" s="12">
        <v>1093293</v>
      </c>
      <c r="C1402" s="12" t="s">
        <v>13</v>
      </c>
      <c r="D1402" s="12" t="s">
        <v>14</v>
      </c>
      <c r="E1402" s="14">
        <v>45469</v>
      </c>
      <c r="F1402" s="12" t="s">
        <v>18</v>
      </c>
      <c r="G1402" s="12" t="s">
        <v>20</v>
      </c>
      <c r="H1402" s="12" t="s">
        <v>61</v>
      </c>
      <c r="I1402" s="12">
        <v>230.01400000000001</v>
      </c>
      <c r="J1402" s="12">
        <v>191.423</v>
      </c>
      <c r="L1402" s="12">
        <v>12.5</v>
      </c>
    </row>
    <row r="1403" spans="1:12" ht="13.9" hidden="1" x14ac:dyDescent="0.25">
      <c r="A1403" s="12">
        <v>7682</v>
      </c>
      <c r="B1403" s="12">
        <v>1093584</v>
      </c>
      <c r="C1403" s="12" t="s">
        <v>13</v>
      </c>
      <c r="D1403" s="12" t="s">
        <v>14</v>
      </c>
      <c r="E1403" s="14">
        <v>45470</v>
      </c>
      <c r="F1403" s="12" t="s">
        <v>17</v>
      </c>
      <c r="G1403" s="12" t="s">
        <v>19</v>
      </c>
      <c r="H1403" s="12" t="s">
        <v>57</v>
      </c>
      <c r="I1403" s="12">
        <v>229.99799999999999</v>
      </c>
      <c r="J1403" s="12">
        <v>199.07499999999999</v>
      </c>
      <c r="L1403" s="12">
        <v>12.4</v>
      </c>
    </row>
    <row r="1404" spans="1:12" ht="13.9" hidden="1" x14ac:dyDescent="0.25">
      <c r="A1404" s="12">
        <v>7683</v>
      </c>
      <c r="B1404" s="12">
        <v>1093725</v>
      </c>
      <c r="C1404" s="12" t="s">
        <v>13</v>
      </c>
      <c r="D1404" s="12" t="s">
        <v>14</v>
      </c>
      <c r="E1404" s="14">
        <v>45471</v>
      </c>
      <c r="F1404" s="12" t="s">
        <v>18</v>
      </c>
      <c r="G1404" s="12" t="s">
        <v>20</v>
      </c>
      <c r="H1404" s="12" t="s">
        <v>61</v>
      </c>
      <c r="I1404" s="12">
        <v>230.03399999999999</v>
      </c>
      <c r="J1404" s="12">
        <v>187.21100000000001</v>
      </c>
      <c r="L1404" s="12">
        <v>12.1</v>
      </c>
    </row>
    <row r="1405" spans="1:12" ht="13.9" hidden="1" x14ac:dyDescent="0.25">
      <c r="A1405" s="12">
        <v>7684</v>
      </c>
      <c r="B1405" s="12">
        <v>1093918</v>
      </c>
      <c r="C1405" s="12" t="s">
        <v>13</v>
      </c>
      <c r="D1405" s="12" t="s">
        <v>14</v>
      </c>
      <c r="E1405" s="14">
        <v>45472</v>
      </c>
      <c r="F1405" s="12" t="s">
        <v>17</v>
      </c>
      <c r="G1405" s="12" t="s">
        <v>19</v>
      </c>
      <c r="H1405" s="12" t="s">
        <v>57</v>
      </c>
      <c r="I1405" s="12">
        <v>230.006</v>
      </c>
      <c r="J1405" s="12">
        <v>191.01599999999999</v>
      </c>
      <c r="L1405" s="12">
        <v>12.9</v>
      </c>
    </row>
    <row r="1406" spans="1:12" ht="13.9" hidden="1" x14ac:dyDescent="0.25">
      <c r="A1406" s="12">
        <v>7685</v>
      </c>
      <c r="B1406" s="12">
        <v>1094179</v>
      </c>
      <c r="C1406" s="12" t="s">
        <v>13</v>
      </c>
      <c r="D1406" s="12" t="s">
        <v>14</v>
      </c>
      <c r="E1406" s="14">
        <v>45473</v>
      </c>
      <c r="F1406" s="12" t="s">
        <v>17</v>
      </c>
      <c r="G1406" s="12" t="s">
        <v>19</v>
      </c>
      <c r="H1406" s="12" t="s">
        <v>57</v>
      </c>
      <c r="I1406" s="12">
        <v>230.02600000000001</v>
      </c>
      <c r="J1406" s="12">
        <v>191.58099999999999</v>
      </c>
      <c r="L1406" s="12">
        <v>12.7</v>
      </c>
    </row>
    <row r="1407" spans="1:12" ht="13.9" hidden="1" x14ac:dyDescent="0.25">
      <c r="A1407" s="12">
        <v>7686</v>
      </c>
      <c r="B1407" s="12">
        <v>1093887</v>
      </c>
      <c r="C1407" s="12" t="s">
        <v>13</v>
      </c>
      <c r="D1407" s="12" t="s">
        <v>14</v>
      </c>
      <c r="E1407" s="14">
        <v>45474</v>
      </c>
      <c r="F1407" s="12" t="s">
        <v>17</v>
      </c>
      <c r="G1407" s="12" t="s">
        <v>19</v>
      </c>
      <c r="H1407" s="12" t="s">
        <v>57</v>
      </c>
      <c r="I1407" s="29">
        <v>230.02199999999999</v>
      </c>
      <c r="J1407" s="12">
        <v>195.34299999999999</v>
      </c>
      <c r="L1407" s="12">
        <v>12.1</v>
      </c>
    </row>
    <row r="1408" spans="1:12" ht="13.9" hidden="1" x14ac:dyDescent="0.25">
      <c r="A1408" s="12">
        <v>7687</v>
      </c>
      <c r="B1408" s="12">
        <v>1094287</v>
      </c>
      <c r="C1408" s="12" t="s">
        <v>13</v>
      </c>
      <c r="D1408" s="12" t="s">
        <v>14</v>
      </c>
      <c r="E1408" s="14">
        <v>45475</v>
      </c>
      <c r="F1408" s="12" t="s">
        <v>17</v>
      </c>
      <c r="G1408" s="12" t="s">
        <v>19</v>
      </c>
      <c r="H1408" s="12" t="s">
        <v>57</v>
      </c>
      <c r="I1408" s="29">
        <v>229.983</v>
      </c>
      <c r="J1408" s="12">
        <v>194.67400000000001</v>
      </c>
      <c r="L1408" s="12">
        <v>11.8</v>
      </c>
    </row>
    <row r="1409" spans="1:12" ht="13.9" hidden="1" x14ac:dyDescent="0.25">
      <c r="A1409" s="12">
        <v>7688</v>
      </c>
      <c r="B1409" s="12">
        <v>1094303</v>
      </c>
      <c r="C1409" s="12" t="s">
        <v>13</v>
      </c>
      <c r="D1409" s="12" t="s">
        <v>14</v>
      </c>
      <c r="E1409" s="14">
        <v>45476</v>
      </c>
      <c r="F1409" s="12" t="s">
        <v>37</v>
      </c>
      <c r="G1409" s="12" t="s">
        <v>70</v>
      </c>
      <c r="H1409" s="12" t="s">
        <v>71</v>
      </c>
      <c r="I1409" s="29">
        <v>229.934</v>
      </c>
      <c r="J1409" s="12">
        <v>194.53800000000001</v>
      </c>
      <c r="L1409" s="12">
        <v>11.9</v>
      </c>
    </row>
    <row r="1410" spans="1:12" ht="13.9" hidden="1" x14ac:dyDescent="0.25">
      <c r="A1410" s="12">
        <v>7689</v>
      </c>
      <c r="B1410" s="12">
        <v>1094556</v>
      </c>
      <c r="C1410" s="12" t="s">
        <v>13</v>
      </c>
      <c r="D1410" s="12" t="s">
        <v>14</v>
      </c>
      <c r="E1410" s="14">
        <v>45477</v>
      </c>
      <c r="F1410" s="12" t="s">
        <v>18</v>
      </c>
      <c r="G1410" s="12" t="s">
        <v>19</v>
      </c>
      <c r="H1410" s="12" t="s">
        <v>67</v>
      </c>
      <c r="I1410" s="29">
        <v>230.09200000000001</v>
      </c>
      <c r="J1410" s="12">
        <v>195.41200000000001</v>
      </c>
      <c r="L1410" s="12">
        <v>12</v>
      </c>
    </row>
    <row r="1411" spans="1:12" ht="13.9" hidden="1" x14ac:dyDescent="0.25">
      <c r="A1411" s="12">
        <v>7690</v>
      </c>
      <c r="B1411" s="12">
        <v>1094887</v>
      </c>
      <c r="C1411" s="12" t="s">
        <v>13</v>
      </c>
      <c r="D1411" s="12" t="s">
        <v>14</v>
      </c>
      <c r="E1411" s="14">
        <v>45478</v>
      </c>
      <c r="F1411" s="12" t="s">
        <v>18</v>
      </c>
      <c r="G1411" s="12" t="s">
        <v>19</v>
      </c>
      <c r="H1411" s="12" t="s">
        <v>67</v>
      </c>
      <c r="I1411" s="29">
        <v>230.08099999999999</v>
      </c>
      <c r="J1411" s="12">
        <v>198.352</v>
      </c>
      <c r="L1411" s="12">
        <v>11.6</v>
      </c>
    </row>
    <row r="1412" spans="1:12" ht="13.9" hidden="1" x14ac:dyDescent="0.25">
      <c r="A1412" s="12">
        <v>7691</v>
      </c>
      <c r="B1412" s="12">
        <v>1095177</v>
      </c>
      <c r="C1412" s="12" t="s">
        <v>13</v>
      </c>
      <c r="D1412" s="12" t="s">
        <v>14</v>
      </c>
      <c r="E1412" s="14">
        <v>45479</v>
      </c>
      <c r="F1412" s="12" t="s">
        <v>18</v>
      </c>
      <c r="G1412" s="12" t="s">
        <v>19</v>
      </c>
      <c r="H1412" s="12" t="s">
        <v>67</v>
      </c>
      <c r="I1412" s="29">
        <v>230</v>
      </c>
      <c r="J1412" s="12">
        <v>197.624</v>
      </c>
      <c r="L1412" s="12">
        <v>11.4</v>
      </c>
    </row>
    <row r="1413" spans="1:12" ht="13.9" hidden="1" x14ac:dyDescent="0.25">
      <c r="A1413" s="12">
        <v>7692</v>
      </c>
      <c r="B1413" s="12">
        <v>1095431</v>
      </c>
      <c r="C1413" s="12" t="s">
        <v>13</v>
      </c>
      <c r="D1413" s="12" t="s">
        <v>14</v>
      </c>
      <c r="E1413" s="14">
        <v>45480</v>
      </c>
      <c r="F1413" s="12" t="s">
        <v>18</v>
      </c>
      <c r="G1413" s="12" t="s">
        <v>19</v>
      </c>
      <c r="H1413" s="12" t="s">
        <v>67</v>
      </c>
      <c r="I1413" s="29">
        <v>229.88</v>
      </c>
      <c r="J1413" s="12">
        <v>191.93899999999999</v>
      </c>
      <c r="L1413" s="12">
        <v>12.1</v>
      </c>
    </row>
    <row r="1414" spans="1:12" ht="13.9" hidden="1" x14ac:dyDescent="0.25">
      <c r="A1414" s="12">
        <v>7693</v>
      </c>
      <c r="B1414" s="12">
        <v>1095436</v>
      </c>
      <c r="C1414" s="12" t="s">
        <v>13</v>
      </c>
      <c r="D1414" s="12" t="s">
        <v>14</v>
      </c>
      <c r="E1414" s="14">
        <v>45481</v>
      </c>
      <c r="F1414" s="12" t="s">
        <v>18</v>
      </c>
      <c r="G1414" s="12" t="s">
        <v>70</v>
      </c>
      <c r="H1414" s="12" t="s">
        <v>67</v>
      </c>
      <c r="I1414" s="29">
        <v>229.959</v>
      </c>
      <c r="J1414" s="12">
        <v>195.28</v>
      </c>
      <c r="L1414" s="12">
        <v>12.1</v>
      </c>
    </row>
    <row r="1415" spans="1:12" ht="13.9" hidden="1" x14ac:dyDescent="0.25">
      <c r="A1415" s="12">
        <v>7694</v>
      </c>
      <c r="B1415" s="12">
        <v>1095439</v>
      </c>
      <c r="C1415" s="12" t="s">
        <v>13</v>
      </c>
      <c r="D1415" s="12" t="s">
        <v>14</v>
      </c>
      <c r="E1415" s="14">
        <v>45482</v>
      </c>
      <c r="F1415" s="12" t="s">
        <v>18</v>
      </c>
      <c r="G1415" s="12" t="s">
        <v>19</v>
      </c>
      <c r="H1415" s="12" t="s">
        <v>57</v>
      </c>
      <c r="I1415" s="29">
        <v>229.99799999999999</v>
      </c>
      <c r="J1415" s="12">
        <v>197.03899999999999</v>
      </c>
      <c r="L1415" s="12">
        <v>12.1</v>
      </c>
    </row>
    <row r="1416" spans="1:12" ht="13.9" hidden="1" x14ac:dyDescent="0.25">
      <c r="A1416" s="12">
        <v>7695</v>
      </c>
      <c r="B1416" s="12">
        <v>1095697</v>
      </c>
      <c r="C1416" s="12" t="s">
        <v>13</v>
      </c>
      <c r="D1416" s="12" t="s">
        <v>14</v>
      </c>
      <c r="E1416" s="14">
        <v>45483</v>
      </c>
      <c r="F1416" s="12" t="s">
        <v>18</v>
      </c>
      <c r="G1416" s="12" t="s">
        <v>19</v>
      </c>
      <c r="H1416" s="12" t="s">
        <v>57</v>
      </c>
      <c r="I1416" s="29">
        <v>230.005</v>
      </c>
      <c r="J1416" s="12">
        <v>197.066</v>
      </c>
      <c r="L1416" s="12">
        <v>12.4</v>
      </c>
    </row>
    <row r="1417" spans="1:12" ht="13.9" hidden="1" x14ac:dyDescent="0.25">
      <c r="A1417" s="12">
        <v>7696</v>
      </c>
      <c r="B1417" s="12">
        <v>1096000</v>
      </c>
      <c r="C1417" s="12" t="s">
        <v>13</v>
      </c>
      <c r="D1417" s="12" t="s">
        <v>14</v>
      </c>
      <c r="E1417" s="14">
        <v>45483</v>
      </c>
      <c r="F1417" s="12" t="s">
        <v>18</v>
      </c>
      <c r="G1417" s="12" t="s">
        <v>19</v>
      </c>
      <c r="H1417" s="12" t="s">
        <v>57</v>
      </c>
      <c r="I1417" s="29">
        <v>230.01300000000001</v>
      </c>
      <c r="J1417" s="12">
        <v>194.56100000000001</v>
      </c>
      <c r="L1417" s="12">
        <v>12</v>
      </c>
    </row>
    <row r="1418" spans="1:12" ht="13.9" hidden="1" x14ac:dyDescent="0.25">
      <c r="A1418" s="12">
        <v>7697</v>
      </c>
      <c r="B1418" s="12">
        <v>1096190</v>
      </c>
      <c r="C1418" s="12" t="s">
        <v>13</v>
      </c>
      <c r="D1418" s="12" t="s">
        <v>14</v>
      </c>
      <c r="E1418" s="14">
        <v>45484</v>
      </c>
      <c r="F1418" s="12" t="s">
        <v>18</v>
      </c>
      <c r="G1418" s="12" t="s">
        <v>19</v>
      </c>
      <c r="H1418" s="12" t="s">
        <v>57</v>
      </c>
      <c r="I1418" s="29">
        <v>229.999</v>
      </c>
      <c r="J1418" s="12">
        <v>197.21299999999999</v>
      </c>
      <c r="L1418" s="12">
        <v>12</v>
      </c>
    </row>
    <row r="1419" spans="1:12" ht="13.9" hidden="1" x14ac:dyDescent="0.25">
      <c r="A1419" s="12">
        <v>7698</v>
      </c>
      <c r="B1419" s="12">
        <v>1096336</v>
      </c>
      <c r="C1419" s="12" t="s">
        <v>13</v>
      </c>
      <c r="D1419" s="12" t="s">
        <v>14</v>
      </c>
      <c r="E1419" s="14">
        <v>45485</v>
      </c>
      <c r="F1419" s="12" t="s">
        <v>18</v>
      </c>
      <c r="G1419" s="12" t="s">
        <v>19</v>
      </c>
      <c r="H1419" s="12" t="s">
        <v>57</v>
      </c>
      <c r="I1419" s="29">
        <v>230.00299999999999</v>
      </c>
      <c r="J1419" s="12">
        <v>194.78700000000001</v>
      </c>
      <c r="L1419" s="12">
        <v>11.7</v>
      </c>
    </row>
    <row r="1420" spans="1:12" ht="13.9" hidden="1" x14ac:dyDescent="0.25">
      <c r="A1420" s="12">
        <v>7699</v>
      </c>
      <c r="B1420" s="12">
        <v>1096552</v>
      </c>
      <c r="C1420" s="12" t="s">
        <v>13</v>
      </c>
      <c r="D1420" s="12" t="s">
        <v>14</v>
      </c>
      <c r="E1420" s="14">
        <v>45486</v>
      </c>
      <c r="F1420" s="12" t="s">
        <v>17</v>
      </c>
      <c r="G1420" s="12" t="s">
        <v>19</v>
      </c>
      <c r="H1420" s="12" t="s">
        <v>57</v>
      </c>
      <c r="I1420" s="29">
        <v>229.96899999999999</v>
      </c>
      <c r="J1420" s="12">
        <v>194.005</v>
      </c>
      <c r="L1420" s="12">
        <v>11.7</v>
      </c>
    </row>
    <row r="1421" spans="1:12" ht="13.9" hidden="1" x14ac:dyDescent="0.25">
      <c r="A1421" s="12">
        <v>7700</v>
      </c>
      <c r="B1421" s="12">
        <v>1096721</v>
      </c>
      <c r="C1421" s="12" t="s">
        <v>13</v>
      </c>
      <c r="D1421" s="12" t="s">
        <v>14</v>
      </c>
      <c r="E1421" s="14">
        <v>45487</v>
      </c>
      <c r="F1421" s="12" t="s">
        <v>17</v>
      </c>
      <c r="G1421" s="12" t="s">
        <v>19</v>
      </c>
      <c r="H1421" s="12" t="s">
        <v>57</v>
      </c>
      <c r="I1421" s="29">
        <v>229.982</v>
      </c>
      <c r="J1421" s="12">
        <v>194.863</v>
      </c>
      <c r="L1421" s="12">
        <v>12</v>
      </c>
    </row>
    <row r="1422" spans="1:12" ht="13.9" hidden="1" x14ac:dyDescent="0.25">
      <c r="A1422" s="12">
        <v>7701</v>
      </c>
      <c r="B1422" s="12">
        <v>1096722</v>
      </c>
      <c r="C1422" s="12" t="s">
        <v>13</v>
      </c>
      <c r="D1422" s="12" t="s">
        <v>14</v>
      </c>
      <c r="E1422" s="14">
        <v>45488</v>
      </c>
      <c r="F1422" s="12" t="s">
        <v>17</v>
      </c>
      <c r="G1422" s="12" t="s">
        <v>19</v>
      </c>
      <c r="H1422" s="12" t="s">
        <v>57</v>
      </c>
      <c r="I1422" s="29">
        <v>230.011</v>
      </c>
      <c r="J1422" s="12">
        <v>195.43600000000001</v>
      </c>
      <c r="L1422" s="12">
        <v>11.9</v>
      </c>
    </row>
    <row r="1423" spans="1:12" ht="13.9" hidden="1" x14ac:dyDescent="0.25">
      <c r="A1423" s="12">
        <v>7702</v>
      </c>
      <c r="B1423" s="12">
        <v>1096791</v>
      </c>
      <c r="C1423" s="12" t="s">
        <v>13</v>
      </c>
      <c r="D1423" s="12" t="s">
        <v>14</v>
      </c>
      <c r="E1423" s="14">
        <v>45489</v>
      </c>
      <c r="F1423" s="12" t="s">
        <v>17</v>
      </c>
      <c r="G1423" s="12" t="s">
        <v>19</v>
      </c>
      <c r="H1423" s="12" t="s">
        <v>57</v>
      </c>
      <c r="I1423" s="29">
        <v>229.988</v>
      </c>
      <c r="J1423" s="12">
        <v>194.25399999999999</v>
      </c>
      <c r="L1423" s="12">
        <v>11.7</v>
      </c>
    </row>
    <row r="1424" spans="1:12" ht="13.9" hidden="1" x14ac:dyDescent="0.25">
      <c r="A1424" s="12">
        <v>7703</v>
      </c>
      <c r="B1424" s="12">
        <v>1097093</v>
      </c>
      <c r="C1424" s="12" t="s">
        <v>13</v>
      </c>
      <c r="D1424" s="12" t="s">
        <v>14</v>
      </c>
      <c r="E1424" s="14">
        <v>45490</v>
      </c>
      <c r="F1424" s="12" t="s">
        <v>17</v>
      </c>
      <c r="G1424" s="12" t="s">
        <v>19</v>
      </c>
      <c r="H1424" s="12" t="s">
        <v>57</v>
      </c>
      <c r="I1424" s="29">
        <v>229.916</v>
      </c>
      <c r="J1424" s="12">
        <v>198.24700000000001</v>
      </c>
      <c r="L1424" s="12">
        <v>11.5</v>
      </c>
    </row>
    <row r="1425" spans="1:12" ht="13.9" hidden="1" x14ac:dyDescent="0.25">
      <c r="A1425" s="12">
        <v>7704</v>
      </c>
      <c r="B1425" s="12">
        <v>1097133</v>
      </c>
      <c r="C1425" s="12" t="s">
        <v>13</v>
      </c>
      <c r="D1425" s="12" t="s">
        <v>14</v>
      </c>
      <c r="E1425" s="14">
        <v>45491</v>
      </c>
      <c r="F1425" s="12" t="s">
        <v>18</v>
      </c>
      <c r="G1425" s="12" t="s">
        <v>20</v>
      </c>
      <c r="H1425" s="12" t="s">
        <v>61</v>
      </c>
      <c r="I1425" s="29">
        <v>229.93700000000001</v>
      </c>
      <c r="J1425" s="12">
        <v>193.678</v>
      </c>
      <c r="L1425" s="12">
        <v>11.9</v>
      </c>
    </row>
    <row r="1426" spans="1:12" ht="13.9" hidden="1" x14ac:dyDescent="0.25">
      <c r="A1426" s="12">
        <v>7705</v>
      </c>
      <c r="B1426" s="12">
        <v>1097391</v>
      </c>
      <c r="C1426" s="12" t="s">
        <v>13</v>
      </c>
      <c r="D1426" s="12" t="s">
        <v>14</v>
      </c>
      <c r="E1426" s="14">
        <v>45492</v>
      </c>
      <c r="F1426" s="12" t="s">
        <v>18</v>
      </c>
      <c r="G1426" s="12" t="s">
        <v>20</v>
      </c>
      <c r="H1426" s="12" t="s">
        <v>61</v>
      </c>
      <c r="I1426" s="29">
        <v>229.92500000000001</v>
      </c>
      <c r="J1426" s="12">
        <v>192.34899999999999</v>
      </c>
      <c r="L1426" s="12">
        <v>11.8</v>
      </c>
    </row>
    <row r="1427" spans="1:12" ht="13.9" hidden="1" x14ac:dyDescent="0.25">
      <c r="A1427" s="12">
        <v>7706</v>
      </c>
      <c r="B1427" s="12">
        <v>1097652</v>
      </c>
      <c r="C1427" s="12" t="s">
        <v>13</v>
      </c>
      <c r="D1427" s="12" t="s">
        <v>14</v>
      </c>
      <c r="E1427" s="14">
        <v>45493</v>
      </c>
      <c r="F1427" s="12" t="s">
        <v>18</v>
      </c>
      <c r="G1427" s="12" t="s">
        <v>19</v>
      </c>
      <c r="H1427" s="12" t="s">
        <v>57</v>
      </c>
      <c r="I1427" s="29">
        <v>230.01300000000001</v>
      </c>
      <c r="J1427" s="12">
        <v>196.63300000000001</v>
      </c>
      <c r="L1427" s="12">
        <v>11.8</v>
      </c>
    </row>
    <row r="1428" spans="1:12" ht="13.9" hidden="1" x14ac:dyDescent="0.25">
      <c r="A1428" s="12">
        <v>7707</v>
      </c>
      <c r="B1428" s="12">
        <v>1097880</v>
      </c>
      <c r="C1428" s="12" t="s">
        <v>13</v>
      </c>
      <c r="D1428" s="12" t="s">
        <v>14</v>
      </c>
      <c r="E1428" s="14">
        <v>45494</v>
      </c>
      <c r="F1428" s="12" t="s">
        <v>18</v>
      </c>
      <c r="G1428" s="12" t="s">
        <v>19</v>
      </c>
      <c r="H1428" s="12" t="s">
        <v>57</v>
      </c>
      <c r="I1428" s="29">
        <v>229.989</v>
      </c>
      <c r="J1428" s="12">
        <v>196.143</v>
      </c>
      <c r="L1428" s="12">
        <v>12</v>
      </c>
    </row>
    <row r="1429" spans="1:12" ht="13.9" hidden="1" x14ac:dyDescent="0.25">
      <c r="A1429" s="12">
        <v>7708</v>
      </c>
      <c r="B1429" s="12">
        <v>1098067</v>
      </c>
      <c r="C1429" s="12" t="s">
        <v>13</v>
      </c>
      <c r="D1429" s="12" t="s">
        <v>14</v>
      </c>
      <c r="E1429" s="14">
        <v>45495</v>
      </c>
      <c r="F1429" s="12" t="s">
        <v>18</v>
      </c>
      <c r="G1429" s="12" t="s">
        <v>19</v>
      </c>
      <c r="H1429" s="12" t="s">
        <v>57</v>
      </c>
      <c r="I1429" s="29">
        <v>230</v>
      </c>
      <c r="J1429" s="12">
        <v>195.03800000000001</v>
      </c>
      <c r="L1429" s="12">
        <v>11.9</v>
      </c>
    </row>
    <row r="1430" spans="1:12" ht="13.9" hidden="1" x14ac:dyDescent="0.25">
      <c r="A1430" s="12">
        <v>7709</v>
      </c>
      <c r="B1430" s="12">
        <v>1098068</v>
      </c>
      <c r="C1430" s="12" t="s">
        <v>13</v>
      </c>
      <c r="D1430" s="12" t="s">
        <v>14</v>
      </c>
      <c r="E1430" s="14">
        <v>45496</v>
      </c>
      <c r="F1430" s="12" t="s">
        <v>18</v>
      </c>
      <c r="G1430" s="12" t="s">
        <v>19</v>
      </c>
      <c r="H1430" s="12" t="s">
        <v>57</v>
      </c>
      <c r="I1430" s="29">
        <v>229.98699999999999</v>
      </c>
      <c r="J1430" s="12">
        <v>196.57400000000001</v>
      </c>
      <c r="L1430" s="12">
        <v>11.8</v>
      </c>
    </row>
    <row r="1431" spans="1:12" ht="13.9" hidden="1" x14ac:dyDescent="0.25">
      <c r="A1431" s="12">
        <v>7710</v>
      </c>
      <c r="B1431" s="12">
        <v>1098144</v>
      </c>
      <c r="C1431" s="12" t="s">
        <v>13</v>
      </c>
      <c r="D1431" s="12" t="s">
        <v>14</v>
      </c>
      <c r="E1431" s="14">
        <v>45497</v>
      </c>
      <c r="F1431" s="12" t="s">
        <v>18</v>
      </c>
      <c r="G1431" s="12" t="s">
        <v>19</v>
      </c>
      <c r="H1431" s="12" t="s">
        <v>57</v>
      </c>
      <c r="I1431" s="29">
        <v>229.947</v>
      </c>
      <c r="J1431" s="12">
        <v>192.8</v>
      </c>
      <c r="L1431" s="12">
        <v>11.8</v>
      </c>
    </row>
    <row r="1432" spans="1:12" ht="13.9" hidden="1" x14ac:dyDescent="0.25">
      <c r="A1432" s="12">
        <v>7711</v>
      </c>
      <c r="B1432" s="12">
        <v>1098399</v>
      </c>
      <c r="C1432" s="12" t="s">
        <v>13</v>
      </c>
      <c r="D1432" s="12" t="s">
        <v>14</v>
      </c>
      <c r="E1432" s="14">
        <v>45498</v>
      </c>
      <c r="F1432" s="12" t="s">
        <v>17</v>
      </c>
      <c r="G1432" s="12" t="s">
        <v>20</v>
      </c>
      <c r="H1432" s="12" t="s">
        <v>66</v>
      </c>
      <c r="I1432" s="29">
        <v>230.00299999999999</v>
      </c>
      <c r="J1432" s="12">
        <v>192.23699999999999</v>
      </c>
      <c r="L1432" s="12">
        <v>12.6</v>
      </c>
    </row>
    <row r="1433" spans="1:12" ht="13.9" hidden="1" x14ac:dyDescent="0.25">
      <c r="A1433" s="12">
        <v>7712</v>
      </c>
      <c r="B1433" s="12">
        <v>1098747</v>
      </c>
      <c r="C1433" s="12" t="s">
        <v>13</v>
      </c>
      <c r="D1433" s="12" t="s">
        <v>14</v>
      </c>
      <c r="E1433" s="14">
        <v>45499</v>
      </c>
      <c r="F1433" s="12" t="s">
        <v>17</v>
      </c>
      <c r="G1433" s="12" t="s">
        <v>20</v>
      </c>
      <c r="H1433" s="12" t="s">
        <v>66</v>
      </c>
      <c r="I1433" s="29">
        <v>230.00899999999999</v>
      </c>
      <c r="J1433" s="12">
        <v>194.41499999999999</v>
      </c>
      <c r="L1433" s="12">
        <v>13</v>
      </c>
    </row>
    <row r="1434" spans="1:12" ht="13.9" hidden="1" x14ac:dyDescent="0.25">
      <c r="A1434" s="12">
        <v>7713</v>
      </c>
      <c r="B1434" s="12">
        <v>1099133</v>
      </c>
      <c r="C1434" s="12" t="s">
        <v>13</v>
      </c>
      <c r="D1434" s="12" t="s">
        <v>14</v>
      </c>
      <c r="E1434" s="14">
        <v>45500</v>
      </c>
      <c r="F1434" s="12" t="s">
        <v>17</v>
      </c>
      <c r="G1434" s="12" t="s">
        <v>19</v>
      </c>
      <c r="H1434" s="12" t="s">
        <v>67</v>
      </c>
      <c r="I1434" s="29">
        <v>229.881</v>
      </c>
      <c r="J1434" s="12">
        <v>193.28</v>
      </c>
      <c r="L1434" s="12">
        <v>11.4</v>
      </c>
    </row>
    <row r="1435" spans="1:12" ht="13.9" hidden="1" x14ac:dyDescent="0.25">
      <c r="A1435" s="12">
        <v>7714</v>
      </c>
      <c r="B1435" s="12">
        <v>1099134</v>
      </c>
      <c r="C1435" s="12" t="s">
        <v>13</v>
      </c>
      <c r="D1435" s="12" t="s">
        <v>14</v>
      </c>
      <c r="E1435" s="14">
        <v>45501</v>
      </c>
      <c r="F1435" s="12" t="s">
        <v>17</v>
      </c>
      <c r="G1435" s="12" t="s">
        <v>19</v>
      </c>
      <c r="H1435" s="12" t="s">
        <v>67</v>
      </c>
      <c r="I1435" s="29">
        <v>230.01900000000001</v>
      </c>
      <c r="J1435" s="12">
        <v>194.73</v>
      </c>
      <c r="L1435" s="12">
        <v>11.6</v>
      </c>
    </row>
    <row r="1436" spans="1:12" ht="13.9" hidden="1" x14ac:dyDescent="0.25">
      <c r="A1436" s="12">
        <v>7715</v>
      </c>
      <c r="B1436" s="12">
        <v>1099332</v>
      </c>
      <c r="C1436" s="12" t="s">
        <v>13</v>
      </c>
      <c r="D1436" s="12" t="s">
        <v>14</v>
      </c>
      <c r="E1436" s="14">
        <v>45502</v>
      </c>
      <c r="F1436" s="12" t="s">
        <v>17</v>
      </c>
      <c r="G1436" s="12" t="s">
        <v>19</v>
      </c>
      <c r="H1436" s="12" t="s">
        <v>67</v>
      </c>
      <c r="I1436" s="29">
        <v>229.98500000000001</v>
      </c>
      <c r="J1436" s="12">
        <v>196.13499999999999</v>
      </c>
      <c r="L1436" s="12">
        <v>11.8</v>
      </c>
    </row>
    <row r="1437" spans="1:12" ht="13.9" hidden="1" x14ac:dyDescent="0.25">
      <c r="A1437" s="12">
        <v>7716</v>
      </c>
      <c r="B1437" s="12">
        <v>1099333</v>
      </c>
      <c r="C1437" s="12" t="s">
        <v>13</v>
      </c>
      <c r="D1437" s="12" t="s">
        <v>14</v>
      </c>
      <c r="E1437" s="14">
        <v>45503</v>
      </c>
      <c r="F1437" s="12" t="s">
        <v>17</v>
      </c>
      <c r="G1437" s="12" t="s">
        <v>19</v>
      </c>
      <c r="H1437" s="12" t="s">
        <v>67</v>
      </c>
      <c r="I1437" s="29">
        <v>229.94</v>
      </c>
      <c r="J1437" s="12">
        <v>194.00700000000001</v>
      </c>
      <c r="L1437" s="12">
        <v>11.6</v>
      </c>
    </row>
    <row r="1438" spans="1:12" ht="13.9" hidden="1" x14ac:dyDescent="0.25">
      <c r="A1438" s="12">
        <v>7717</v>
      </c>
      <c r="B1438" s="12">
        <v>1099334</v>
      </c>
      <c r="C1438" s="12" t="s">
        <v>13</v>
      </c>
      <c r="D1438" s="12" t="s">
        <v>14</v>
      </c>
      <c r="E1438" s="14">
        <v>45504</v>
      </c>
      <c r="F1438" s="12" t="s">
        <v>17</v>
      </c>
      <c r="G1438" s="12" t="s">
        <v>19</v>
      </c>
      <c r="H1438" s="12" t="s">
        <v>67</v>
      </c>
      <c r="I1438" s="29">
        <v>229.98099999999999</v>
      </c>
      <c r="J1438" s="12">
        <v>195.32</v>
      </c>
      <c r="L1438" s="12">
        <v>11.6</v>
      </c>
    </row>
    <row r="1439" spans="1:12" ht="13.9" hidden="1" x14ac:dyDescent="0.25">
      <c r="A1439" s="12">
        <v>7718</v>
      </c>
      <c r="B1439" s="12">
        <v>1099760</v>
      </c>
      <c r="C1439" s="12" t="s">
        <v>13</v>
      </c>
      <c r="D1439" s="12" t="s">
        <v>14</v>
      </c>
      <c r="E1439" s="14">
        <v>45505</v>
      </c>
      <c r="F1439" s="12" t="s">
        <v>18</v>
      </c>
      <c r="G1439" s="12" t="s">
        <v>20</v>
      </c>
      <c r="H1439" s="12" t="s">
        <v>61</v>
      </c>
      <c r="I1439" s="29">
        <v>230.01599999999999</v>
      </c>
      <c r="J1439" s="12">
        <v>193.239</v>
      </c>
      <c r="K1439" s="12">
        <v>4.2</v>
      </c>
      <c r="L1439" s="12">
        <v>11.9</v>
      </c>
    </row>
    <row r="1440" spans="1:12" ht="13.9" hidden="1" x14ac:dyDescent="0.25">
      <c r="A1440" s="12">
        <v>7719</v>
      </c>
      <c r="B1440" s="12">
        <v>1099990</v>
      </c>
      <c r="C1440" s="12" t="s">
        <v>13</v>
      </c>
      <c r="D1440" s="12" t="s">
        <v>14</v>
      </c>
      <c r="E1440" s="14">
        <v>45506</v>
      </c>
      <c r="F1440" s="12" t="s">
        <v>18</v>
      </c>
      <c r="G1440" s="12" t="s">
        <v>20</v>
      </c>
      <c r="H1440" s="12" t="s">
        <v>61</v>
      </c>
      <c r="I1440" s="29">
        <v>230.00399999999999</v>
      </c>
      <c r="J1440" s="12">
        <v>194.78</v>
      </c>
      <c r="L1440" s="12">
        <v>12.3</v>
      </c>
    </row>
    <row r="1441" spans="1:12" ht="13.9" hidden="1" x14ac:dyDescent="0.25">
      <c r="A1441" s="12">
        <v>7720</v>
      </c>
      <c r="B1441" s="12">
        <v>1100133</v>
      </c>
      <c r="C1441" s="12" t="s">
        <v>13</v>
      </c>
      <c r="D1441" s="12" t="s">
        <v>14</v>
      </c>
      <c r="E1441" s="14">
        <v>45507</v>
      </c>
      <c r="F1441" s="12" t="s">
        <v>73</v>
      </c>
      <c r="G1441" s="12" t="s">
        <v>19</v>
      </c>
      <c r="H1441" s="12" t="s">
        <v>57</v>
      </c>
      <c r="I1441" s="29">
        <v>230.00200000000001</v>
      </c>
      <c r="J1441" s="12">
        <v>193.703</v>
      </c>
      <c r="K1441" s="12">
        <v>5.0999999999999996</v>
      </c>
      <c r="L1441" s="12">
        <v>11.8</v>
      </c>
    </row>
    <row r="1442" spans="1:12" ht="13.9" hidden="1" x14ac:dyDescent="0.25">
      <c r="A1442" s="12">
        <v>7721</v>
      </c>
      <c r="B1442" s="12">
        <v>1100333</v>
      </c>
      <c r="C1442" s="12" t="s">
        <v>13</v>
      </c>
      <c r="D1442" s="12" t="s">
        <v>14</v>
      </c>
      <c r="E1442" s="14">
        <v>45508</v>
      </c>
      <c r="F1442" s="12" t="s">
        <v>73</v>
      </c>
      <c r="G1442" s="12" t="s">
        <v>19</v>
      </c>
      <c r="H1442" s="12" t="s">
        <v>57</v>
      </c>
      <c r="I1442" s="29">
        <v>229.751</v>
      </c>
      <c r="J1442" s="12">
        <v>194.47399999999999</v>
      </c>
      <c r="L1442" s="12">
        <v>11.7</v>
      </c>
    </row>
    <row r="1443" spans="1:12" ht="13.9" hidden="1" x14ac:dyDescent="0.25">
      <c r="A1443" s="12">
        <v>7722</v>
      </c>
      <c r="B1443" s="12">
        <v>1100477</v>
      </c>
      <c r="C1443" s="12" t="s">
        <v>13</v>
      </c>
      <c r="D1443" s="12" t="s">
        <v>14</v>
      </c>
      <c r="E1443" s="14">
        <v>45509</v>
      </c>
      <c r="F1443" s="12" t="s">
        <v>73</v>
      </c>
      <c r="G1443" s="12" t="s">
        <v>19</v>
      </c>
      <c r="H1443" s="12" t="s">
        <v>57</v>
      </c>
      <c r="I1443" s="29">
        <v>229.91900000000001</v>
      </c>
      <c r="J1443" s="12">
        <v>196.88300000000001</v>
      </c>
      <c r="L1443" s="12">
        <v>11.9</v>
      </c>
    </row>
    <row r="1444" spans="1:12" ht="13.9" hidden="1" x14ac:dyDescent="0.25">
      <c r="A1444" s="12">
        <v>7723</v>
      </c>
      <c r="B1444" s="12">
        <v>1100569</v>
      </c>
      <c r="C1444" s="12" t="s">
        <v>13</v>
      </c>
      <c r="D1444" s="12" t="s">
        <v>14</v>
      </c>
      <c r="E1444" s="14">
        <v>45510</v>
      </c>
      <c r="F1444" s="12" t="s">
        <v>73</v>
      </c>
      <c r="G1444" s="12" t="s">
        <v>19</v>
      </c>
      <c r="H1444" s="12" t="s">
        <v>57</v>
      </c>
      <c r="I1444" s="29">
        <v>229.92400000000001</v>
      </c>
      <c r="J1444" s="12">
        <v>192.97300000000001</v>
      </c>
      <c r="L1444" s="12">
        <v>11.5</v>
      </c>
    </row>
    <row r="1445" spans="1:12" ht="13.9" hidden="1" x14ac:dyDescent="0.25">
      <c r="A1445" s="12">
        <v>7724</v>
      </c>
      <c r="B1445" s="12">
        <v>1100570</v>
      </c>
      <c r="C1445" s="12" t="s">
        <v>13</v>
      </c>
      <c r="D1445" s="12" t="s">
        <v>14</v>
      </c>
      <c r="E1445" s="14">
        <v>45511</v>
      </c>
      <c r="F1445" s="12" t="s">
        <v>73</v>
      </c>
      <c r="G1445" s="12" t="s">
        <v>19</v>
      </c>
      <c r="H1445" s="12" t="s">
        <v>57</v>
      </c>
      <c r="I1445" s="29">
        <v>229.96700000000001</v>
      </c>
      <c r="J1445" s="12">
        <v>193.88399999999999</v>
      </c>
      <c r="L1445" s="12">
        <v>11.8</v>
      </c>
    </row>
    <row r="1446" spans="1:12" ht="13.9" hidden="1" x14ac:dyDescent="0.25">
      <c r="A1446" s="12">
        <v>7725</v>
      </c>
      <c r="B1446" s="12">
        <v>1100962</v>
      </c>
      <c r="C1446" s="12" t="s">
        <v>13</v>
      </c>
      <c r="D1446" s="12" t="s">
        <v>14</v>
      </c>
      <c r="E1446" s="14">
        <v>45512</v>
      </c>
      <c r="F1446" s="12" t="s">
        <v>17</v>
      </c>
      <c r="G1446" s="12" t="s">
        <v>20</v>
      </c>
      <c r="H1446" s="12" t="s">
        <v>62</v>
      </c>
      <c r="I1446" s="12">
        <v>230.01</v>
      </c>
      <c r="J1446" s="12">
        <v>186.58699999999999</v>
      </c>
      <c r="L1446" s="12">
        <v>12.8</v>
      </c>
    </row>
    <row r="1447" spans="1:12" ht="13.9" hidden="1" x14ac:dyDescent="0.25">
      <c r="A1447" s="12">
        <v>7726</v>
      </c>
      <c r="B1447" s="12">
        <v>1101191</v>
      </c>
      <c r="C1447" s="12" t="s">
        <v>13</v>
      </c>
      <c r="D1447" s="12" t="s">
        <v>14</v>
      </c>
      <c r="E1447" s="14">
        <v>45513</v>
      </c>
      <c r="F1447" s="12" t="s">
        <v>17</v>
      </c>
      <c r="G1447" s="12" t="s">
        <v>20</v>
      </c>
      <c r="H1447" s="12" t="s">
        <v>62</v>
      </c>
      <c r="I1447" s="12">
        <v>230.00800000000001</v>
      </c>
      <c r="J1447" s="12">
        <v>186.768</v>
      </c>
      <c r="L1447" s="12">
        <v>11.8</v>
      </c>
    </row>
    <row r="1448" spans="1:12" ht="13.9" hidden="1" x14ac:dyDescent="0.25">
      <c r="A1448" s="12">
        <v>7727</v>
      </c>
      <c r="B1448" s="12">
        <v>1101508</v>
      </c>
      <c r="C1448" s="12" t="s">
        <v>13</v>
      </c>
      <c r="D1448" s="12" t="s">
        <v>14</v>
      </c>
      <c r="E1448" s="14">
        <v>45514</v>
      </c>
      <c r="F1448" s="12" t="s">
        <v>17</v>
      </c>
      <c r="G1448" s="12" t="s">
        <v>20</v>
      </c>
      <c r="H1448" s="12" t="s">
        <v>62</v>
      </c>
      <c r="I1448" s="12">
        <v>230.041</v>
      </c>
      <c r="J1448" s="12">
        <v>195</v>
      </c>
      <c r="L1448" s="12">
        <v>12.6</v>
      </c>
    </row>
    <row r="1449" spans="1:12" ht="13.9" hidden="1" x14ac:dyDescent="0.25">
      <c r="A1449" s="12">
        <v>7728</v>
      </c>
      <c r="B1449" s="12">
        <v>1101709</v>
      </c>
      <c r="C1449" s="12" t="s">
        <v>13</v>
      </c>
      <c r="D1449" s="12" t="s">
        <v>14</v>
      </c>
      <c r="E1449" s="14">
        <v>45515</v>
      </c>
      <c r="F1449" s="12" t="s">
        <v>18</v>
      </c>
      <c r="G1449" s="12" t="s">
        <v>19</v>
      </c>
      <c r="H1449" s="12" t="s">
        <v>57</v>
      </c>
      <c r="I1449" s="12">
        <v>230.005</v>
      </c>
      <c r="J1449" s="12">
        <v>187.72800000000001</v>
      </c>
      <c r="L1449" s="12">
        <v>12.4</v>
      </c>
    </row>
    <row r="1450" spans="1:12" ht="13.9" hidden="1" x14ac:dyDescent="0.25">
      <c r="A1450" s="12">
        <v>7729</v>
      </c>
      <c r="B1450" s="12">
        <v>1101921</v>
      </c>
      <c r="C1450" s="12" t="s">
        <v>13</v>
      </c>
      <c r="D1450" s="12" t="s">
        <v>14</v>
      </c>
      <c r="E1450" s="14">
        <v>45516</v>
      </c>
      <c r="F1450" s="12" t="s">
        <v>73</v>
      </c>
      <c r="G1450" s="12" t="s">
        <v>20</v>
      </c>
      <c r="H1450" s="12" t="s">
        <v>74</v>
      </c>
      <c r="I1450" s="12">
        <v>229.999</v>
      </c>
      <c r="J1450" s="12">
        <v>194.631</v>
      </c>
      <c r="L1450" s="12">
        <v>12.6</v>
      </c>
    </row>
    <row r="1451" spans="1:12" ht="13.9" hidden="1" x14ac:dyDescent="0.25">
      <c r="A1451" s="12">
        <v>7730</v>
      </c>
      <c r="B1451" s="12">
        <v>1101839</v>
      </c>
      <c r="C1451" s="12" t="s">
        <v>13</v>
      </c>
      <c r="D1451" s="12" t="s">
        <v>14</v>
      </c>
      <c r="E1451" s="14">
        <v>45517</v>
      </c>
      <c r="F1451" s="12" t="s">
        <v>17</v>
      </c>
      <c r="G1451" s="12" t="s">
        <v>19</v>
      </c>
      <c r="H1451" s="12" t="s">
        <v>71</v>
      </c>
      <c r="I1451" s="12">
        <v>229.93199999999999</v>
      </c>
      <c r="J1451" s="12">
        <v>198</v>
      </c>
      <c r="L1451" s="12">
        <v>11.7</v>
      </c>
    </row>
    <row r="1452" spans="1:12" ht="13.9" hidden="1" x14ac:dyDescent="0.25">
      <c r="A1452" s="12">
        <v>7731</v>
      </c>
      <c r="B1452" s="12">
        <v>1101854</v>
      </c>
      <c r="C1452" s="12" t="s">
        <v>13</v>
      </c>
      <c r="D1452" s="12" t="s">
        <v>14</v>
      </c>
      <c r="E1452" s="14">
        <v>45518</v>
      </c>
      <c r="F1452" s="12" t="s">
        <v>18</v>
      </c>
      <c r="G1452" s="12" t="s">
        <v>19</v>
      </c>
      <c r="H1452" s="12" t="s">
        <v>57</v>
      </c>
      <c r="I1452" s="12">
        <v>229.95</v>
      </c>
      <c r="J1452" s="12">
        <v>195.678</v>
      </c>
      <c r="L1452" s="12">
        <v>11.8</v>
      </c>
    </row>
    <row r="1453" spans="1:12" ht="13.9" hidden="1" x14ac:dyDescent="0.25">
      <c r="A1453" s="12">
        <v>7732</v>
      </c>
      <c r="B1453" s="12">
        <v>1102074</v>
      </c>
      <c r="C1453" s="12" t="s">
        <v>13</v>
      </c>
      <c r="D1453" s="12" t="s">
        <v>14</v>
      </c>
      <c r="E1453" s="14">
        <v>45519</v>
      </c>
      <c r="F1453" s="12" t="s">
        <v>18</v>
      </c>
      <c r="G1453" s="12" t="s">
        <v>19</v>
      </c>
      <c r="H1453" s="12" t="s">
        <v>57</v>
      </c>
      <c r="I1453" s="12">
        <v>230.00800000000001</v>
      </c>
      <c r="J1453" s="12">
        <v>191.78100000000001</v>
      </c>
      <c r="L1453" s="12">
        <v>12</v>
      </c>
    </row>
    <row r="1454" spans="1:12" ht="13.9" hidden="1" x14ac:dyDescent="0.25">
      <c r="A1454" s="12">
        <v>7733</v>
      </c>
      <c r="B1454" s="12">
        <v>1102284</v>
      </c>
      <c r="C1454" s="12" t="s">
        <v>13</v>
      </c>
      <c r="D1454" s="12" t="s">
        <v>14</v>
      </c>
      <c r="E1454" s="14">
        <v>45520</v>
      </c>
      <c r="F1454" s="12" t="s">
        <v>18</v>
      </c>
      <c r="G1454" s="12" t="s">
        <v>19</v>
      </c>
      <c r="H1454" s="12" t="s">
        <v>57</v>
      </c>
      <c r="I1454" s="12">
        <v>230.02500000000001</v>
      </c>
      <c r="J1454" s="12">
        <v>194.07599999999999</v>
      </c>
    </row>
    <row r="1455" spans="1:12" ht="13.9" hidden="1" x14ac:dyDescent="0.25">
      <c r="A1455" s="12">
        <v>7734</v>
      </c>
      <c r="B1455" s="12">
        <v>1102456</v>
      </c>
      <c r="C1455" s="12" t="s">
        <v>13</v>
      </c>
      <c r="D1455" s="12" t="s">
        <v>14</v>
      </c>
      <c r="E1455" s="14">
        <v>45521</v>
      </c>
      <c r="F1455" s="12" t="s">
        <v>18</v>
      </c>
      <c r="G1455" s="12" t="s">
        <v>19</v>
      </c>
      <c r="H1455" s="12" t="s">
        <v>57</v>
      </c>
      <c r="I1455" s="12">
        <v>230.01</v>
      </c>
      <c r="J1455" s="12">
        <v>191.995</v>
      </c>
      <c r="L1455" s="12">
        <v>11.7</v>
      </c>
    </row>
    <row r="1456" spans="1:12" ht="13.9" hidden="1" x14ac:dyDescent="0.25">
      <c r="A1456" s="12">
        <v>7735</v>
      </c>
      <c r="B1456" s="12">
        <v>1102666</v>
      </c>
      <c r="C1456" s="12" t="s">
        <v>13</v>
      </c>
      <c r="D1456" s="12" t="s">
        <v>14</v>
      </c>
      <c r="E1456" s="14">
        <v>45522</v>
      </c>
      <c r="F1456" s="12" t="s">
        <v>18</v>
      </c>
      <c r="G1456" s="12" t="s">
        <v>19</v>
      </c>
      <c r="H1456" s="12" t="s">
        <v>57</v>
      </c>
      <c r="I1456" s="12">
        <v>230.011</v>
      </c>
      <c r="J1456" s="12">
        <v>194.92699999999999</v>
      </c>
      <c r="L1456" s="12">
        <v>11.7</v>
      </c>
    </row>
    <row r="1457" spans="1:12" ht="13.9" hidden="1" x14ac:dyDescent="0.25">
      <c r="A1457" s="12">
        <v>7736</v>
      </c>
      <c r="B1457" s="12">
        <v>1102802</v>
      </c>
      <c r="C1457" s="12" t="s">
        <v>13</v>
      </c>
      <c r="D1457" s="12" t="s">
        <v>14</v>
      </c>
      <c r="E1457" s="14">
        <v>45523</v>
      </c>
      <c r="F1457" s="12" t="s">
        <v>18</v>
      </c>
      <c r="G1457" s="12" t="s">
        <v>19</v>
      </c>
      <c r="H1457" s="12" t="s">
        <v>67</v>
      </c>
      <c r="I1457" s="12">
        <v>229.858</v>
      </c>
      <c r="J1457" s="12">
        <v>192.06100000000001</v>
      </c>
      <c r="L1457" s="12">
        <v>11.8</v>
      </c>
    </row>
    <row r="1458" spans="1:12" ht="13.9" hidden="1" x14ac:dyDescent="0.25">
      <c r="A1458" s="12">
        <v>7737</v>
      </c>
      <c r="B1458" s="12">
        <v>1102805</v>
      </c>
      <c r="C1458" s="12" t="s">
        <v>13</v>
      </c>
      <c r="D1458" s="12" t="s">
        <v>14</v>
      </c>
      <c r="E1458" s="14">
        <v>45524</v>
      </c>
      <c r="F1458" s="12" t="s">
        <v>18</v>
      </c>
      <c r="G1458" s="12" t="s">
        <v>19</v>
      </c>
      <c r="H1458" s="12" t="s">
        <v>67</v>
      </c>
      <c r="I1458" s="12">
        <v>229.977</v>
      </c>
      <c r="J1458" s="12">
        <v>191.25</v>
      </c>
      <c r="L1458" s="12">
        <v>12</v>
      </c>
    </row>
    <row r="1459" spans="1:12" ht="13.9" hidden="1" x14ac:dyDescent="0.25">
      <c r="A1459" s="12">
        <v>7738</v>
      </c>
      <c r="B1459" s="12">
        <v>1102879</v>
      </c>
      <c r="C1459" s="12" t="s">
        <v>13</v>
      </c>
      <c r="D1459" s="12" t="s">
        <v>14</v>
      </c>
      <c r="E1459" s="14">
        <v>45525</v>
      </c>
      <c r="F1459" s="12" t="s">
        <v>18</v>
      </c>
      <c r="G1459" s="12" t="s">
        <v>19</v>
      </c>
      <c r="H1459" s="12" t="s">
        <v>67</v>
      </c>
      <c r="I1459" s="12">
        <v>229.98099999999999</v>
      </c>
      <c r="J1459" s="12">
        <v>191.86799999999999</v>
      </c>
      <c r="L1459" s="12">
        <v>12.1</v>
      </c>
    </row>
    <row r="1460" spans="1:12" ht="13.9" hidden="1" x14ac:dyDescent="0.25">
      <c r="A1460" s="12">
        <v>7739</v>
      </c>
      <c r="B1460" s="12">
        <v>1103130</v>
      </c>
      <c r="C1460" s="12" t="s">
        <v>13</v>
      </c>
      <c r="D1460" s="12" t="s">
        <v>14</v>
      </c>
      <c r="E1460" s="14">
        <v>45526</v>
      </c>
      <c r="F1460" s="12" t="s">
        <v>73</v>
      </c>
      <c r="G1460" s="12" t="s">
        <v>20</v>
      </c>
      <c r="H1460" s="12" t="s">
        <v>74</v>
      </c>
      <c r="I1460" s="12">
        <v>230.01300000000001</v>
      </c>
      <c r="J1460" s="12">
        <v>189.429</v>
      </c>
      <c r="L1460" s="12">
        <v>13.3</v>
      </c>
    </row>
    <row r="1461" spans="1:12" ht="13.9" hidden="1" x14ac:dyDescent="0.25">
      <c r="A1461" s="12">
        <v>7740</v>
      </c>
      <c r="B1461" s="12">
        <v>1103332</v>
      </c>
      <c r="C1461" s="12" t="s">
        <v>13</v>
      </c>
      <c r="D1461" s="12" t="s">
        <v>14</v>
      </c>
      <c r="E1461" s="14">
        <v>45527</v>
      </c>
      <c r="F1461" s="12" t="s">
        <v>73</v>
      </c>
      <c r="G1461" s="12" t="s">
        <v>20</v>
      </c>
      <c r="H1461" s="12" t="s">
        <v>74</v>
      </c>
      <c r="I1461" s="12">
        <v>230.01300000000001</v>
      </c>
      <c r="J1461" s="12">
        <v>188.18899999999999</v>
      </c>
      <c r="L1461" s="12">
        <v>13.3</v>
      </c>
    </row>
    <row r="1462" spans="1:12" ht="13.9" hidden="1" x14ac:dyDescent="0.25">
      <c r="A1462" s="12">
        <v>7741</v>
      </c>
      <c r="B1462" s="12">
        <v>1103334</v>
      </c>
      <c r="C1462" s="12" t="s">
        <v>13</v>
      </c>
      <c r="D1462" s="12" t="s">
        <v>14</v>
      </c>
      <c r="E1462" s="14">
        <v>45528</v>
      </c>
      <c r="F1462" s="12" t="s">
        <v>73</v>
      </c>
      <c r="G1462" s="12" t="s">
        <v>20</v>
      </c>
      <c r="H1462" s="12" t="s">
        <v>74</v>
      </c>
      <c r="I1462" s="12">
        <v>230.00700000000001</v>
      </c>
      <c r="J1462" s="12">
        <v>193.21700000000001</v>
      </c>
      <c r="L1462" s="12">
        <v>13.2</v>
      </c>
    </row>
    <row r="1463" spans="1:12" ht="13.9" hidden="1" x14ac:dyDescent="0.25">
      <c r="A1463" s="12">
        <v>7742</v>
      </c>
      <c r="B1463" s="12">
        <v>1103861</v>
      </c>
      <c r="C1463" s="12" t="s">
        <v>13</v>
      </c>
      <c r="D1463" s="12" t="s">
        <v>14</v>
      </c>
      <c r="E1463" s="14">
        <v>45529</v>
      </c>
      <c r="F1463" s="12" t="s">
        <v>73</v>
      </c>
      <c r="G1463" s="12" t="s">
        <v>20</v>
      </c>
      <c r="H1463" s="12" t="s">
        <v>74</v>
      </c>
      <c r="I1463" s="12">
        <v>230.01</v>
      </c>
      <c r="J1463" s="12">
        <v>190.876</v>
      </c>
      <c r="L1463" s="12">
        <v>13.4</v>
      </c>
    </row>
    <row r="1464" spans="1:12" ht="13.9" hidden="1" x14ac:dyDescent="0.25">
      <c r="A1464" s="12">
        <v>7743</v>
      </c>
      <c r="B1464" s="12">
        <v>1103864</v>
      </c>
      <c r="C1464" s="12" t="s">
        <v>13</v>
      </c>
      <c r="D1464" s="12" t="s">
        <v>14</v>
      </c>
      <c r="E1464" s="14">
        <v>45530</v>
      </c>
      <c r="F1464" s="12" t="s">
        <v>73</v>
      </c>
      <c r="G1464" s="12" t="s">
        <v>20</v>
      </c>
      <c r="H1464" s="12" t="s">
        <v>74</v>
      </c>
      <c r="I1464" s="12">
        <v>230.00800000000001</v>
      </c>
      <c r="J1464" s="12">
        <v>190.261</v>
      </c>
      <c r="L1464" s="12">
        <v>13.5</v>
      </c>
    </row>
    <row r="1465" spans="1:12" ht="13.9" hidden="1" x14ac:dyDescent="0.25">
      <c r="A1465" s="12">
        <v>7744</v>
      </c>
      <c r="B1465" s="12">
        <v>1103891</v>
      </c>
      <c r="C1465" s="12" t="s">
        <v>13</v>
      </c>
      <c r="D1465" s="12" t="s">
        <v>14</v>
      </c>
      <c r="E1465" s="14">
        <v>45531</v>
      </c>
      <c r="F1465" s="12" t="s">
        <v>18</v>
      </c>
      <c r="G1465" s="12" t="s">
        <v>19</v>
      </c>
      <c r="H1465" s="12" t="s">
        <v>75</v>
      </c>
      <c r="I1465" s="12">
        <v>230.012</v>
      </c>
      <c r="J1465" s="12">
        <v>188.40299999999999</v>
      </c>
      <c r="L1465" s="12">
        <v>13.7</v>
      </c>
    </row>
    <row r="1466" spans="1:12" ht="13.9" hidden="1" x14ac:dyDescent="0.25">
      <c r="A1466" s="12">
        <v>7745</v>
      </c>
      <c r="B1466" s="12">
        <v>1104077</v>
      </c>
      <c r="C1466" s="12" t="s">
        <v>13</v>
      </c>
      <c r="D1466" s="12" t="s">
        <v>14</v>
      </c>
      <c r="E1466" s="14">
        <v>45532</v>
      </c>
      <c r="F1466" s="12" t="s">
        <v>17</v>
      </c>
      <c r="G1466" s="12" t="s">
        <v>19</v>
      </c>
      <c r="H1466" s="12" t="s">
        <v>57</v>
      </c>
      <c r="I1466" s="12">
        <v>230.012</v>
      </c>
      <c r="J1466" s="12">
        <v>198.114</v>
      </c>
      <c r="L1466" s="12">
        <v>11.8</v>
      </c>
    </row>
    <row r="1467" spans="1:12" ht="13.9" hidden="1" x14ac:dyDescent="0.25">
      <c r="A1467" s="12">
        <v>7746</v>
      </c>
      <c r="B1467" s="12">
        <v>1104258</v>
      </c>
      <c r="C1467" s="12" t="s">
        <v>13</v>
      </c>
      <c r="D1467" s="12" t="s">
        <v>14</v>
      </c>
      <c r="E1467" s="14">
        <v>45533</v>
      </c>
      <c r="F1467" s="12" t="s">
        <v>17</v>
      </c>
      <c r="G1467" s="12" t="s">
        <v>19</v>
      </c>
      <c r="H1467" s="12" t="s">
        <v>57</v>
      </c>
      <c r="I1467" s="12">
        <v>230.00899999999999</v>
      </c>
      <c r="J1467" s="12">
        <v>194.57300000000001</v>
      </c>
      <c r="L1467" s="12">
        <v>11.8</v>
      </c>
    </row>
    <row r="1468" spans="1:12" ht="13.9" hidden="1" x14ac:dyDescent="0.25">
      <c r="A1468" s="12">
        <v>7747</v>
      </c>
      <c r="B1468" s="12">
        <v>1104517</v>
      </c>
      <c r="C1468" s="12" t="s">
        <v>13</v>
      </c>
      <c r="D1468" s="12" t="s">
        <v>14</v>
      </c>
      <c r="E1468" s="14">
        <v>45534</v>
      </c>
      <c r="F1468" s="12" t="s">
        <v>17</v>
      </c>
      <c r="G1468" s="12" t="s">
        <v>19</v>
      </c>
      <c r="H1468" s="12" t="s">
        <v>57</v>
      </c>
      <c r="I1468" s="12">
        <v>230.02</v>
      </c>
      <c r="J1468" s="12">
        <v>196.09899999999999</v>
      </c>
      <c r="L1468" s="12">
        <v>11.8</v>
      </c>
    </row>
    <row r="1469" spans="1:12" ht="13.9" hidden="1" x14ac:dyDescent="0.25">
      <c r="A1469" s="12">
        <v>7748</v>
      </c>
      <c r="B1469" s="12">
        <v>1104728</v>
      </c>
      <c r="C1469" s="12" t="s">
        <v>13</v>
      </c>
      <c r="D1469" s="12" t="s">
        <v>14</v>
      </c>
      <c r="E1469" s="14">
        <v>45535</v>
      </c>
      <c r="F1469" s="12" t="s">
        <v>17</v>
      </c>
      <c r="G1469" s="12" t="s">
        <v>19</v>
      </c>
      <c r="H1469" s="12" t="s">
        <v>57</v>
      </c>
      <c r="I1469" s="12">
        <v>231.24</v>
      </c>
      <c r="J1469" s="12">
        <v>197.476</v>
      </c>
      <c r="L1469" s="12">
        <v>11.9</v>
      </c>
    </row>
    <row r="1470" spans="1:12" ht="13.9" hidden="1" x14ac:dyDescent="0.25">
      <c r="A1470" s="12">
        <v>7749</v>
      </c>
      <c r="B1470" s="12">
        <v>1104972</v>
      </c>
      <c r="C1470" s="12" t="s">
        <v>13</v>
      </c>
      <c r="D1470" s="12" t="s">
        <v>14</v>
      </c>
      <c r="E1470" s="14">
        <v>45536</v>
      </c>
      <c r="F1470" s="12" t="s">
        <v>17</v>
      </c>
      <c r="G1470" s="12" t="s">
        <v>19</v>
      </c>
      <c r="H1470" s="12" t="s">
        <v>57</v>
      </c>
      <c r="I1470" s="12">
        <v>229.99799999999999</v>
      </c>
      <c r="J1470" s="12">
        <v>194.77699999999999</v>
      </c>
      <c r="L1470" s="12">
        <v>11.9</v>
      </c>
    </row>
    <row r="1471" spans="1:12" ht="13.9" hidden="1" x14ac:dyDescent="0.25">
      <c r="A1471" s="12">
        <v>7750</v>
      </c>
      <c r="B1471" s="12">
        <v>1105146</v>
      </c>
      <c r="C1471" s="12" t="s">
        <v>13</v>
      </c>
      <c r="D1471" s="12" t="s">
        <v>14</v>
      </c>
      <c r="E1471" s="14">
        <v>45537</v>
      </c>
      <c r="F1471" s="12" t="s">
        <v>18</v>
      </c>
      <c r="G1471" s="12" t="s">
        <v>20</v>
      </c>
      <c r="H1471" s="12" t="s">
        <v>76</v>
      </c>
      <c r="I1471" s="12">
        <v>229.96799999999999</v>
      </c>
      <c r="J1471" s="12">
        <v>193.83500000000001</v>
      </c>
      <c r="L1471" s="12">
        <v>12.5</v>
      </c>
    </row>
    <row r="1472" spans="1:12" ht="13.9" hidden="1" x14ac:dyDescent="0.25">
      <c r="A1472" s="12">
        <v>7751</v>
      </c>
      <c r="B1472" s="12">
        <v>1105152</v>
      </c>
      <c r="C1472" s="12" t="s">
        <v>13</v>
      </c>
      <c r="D1472" s="12" t="s">
        <v>14</v>
      </c>
      <c r="E1472" s="14">
        <v>45538</v>
      </c>
      <c r="F1472" s="12" t="s">
        <v>18</v>
      </c>
      <c r="G1472" s="12" t="s">
        <v>19</v>
      </c>
      <c r="H1472" s="12" t="s">
        <v>67</v>
      </c>
      <c r="I1472" s="12">
        <v>229.928</v>
      </c>
      <c r="J1472" s="12">
        <v>193.47499999999999</v>
      </c>
      <c r="L1472" s="12">
        <v>12.9</v>
      </c>
    </row>
    <row r="1473" spans="1:24" ht="13.9" hidden="1" x14ac:dyDescent="0.2">
      <c r="A1473" s="12">
        <v>7752</v>
      </c>
      <c r="B1473" s="12">
        <v>1105154</v>
      </c>
      <c r="C1473" s="12" t="s">
        <v>13</v>
      </c>
      <c r="D1473" s="12" t="s">
        <v>14</v>
      </c>
      <c r="E1473" s="14">
        <v>45539</v>
      </c>
      <c r="F1473" s="12" t="s">
        <v>18</v>
      </c>
      <c r="G1473" s="12" t="s">
        <v>19</v>
      </c>
      <c r="H1473" s="12" t="s">
        <v>67</v>
      </c>
      <c r="I1473" s="12">
        <v>229.96</v>
      </c>
      <c r="J1473" s="12">
        <v>193.43799999999999</v>
      </c>
      <c r="L1473" s="12">
        <v>12.3</v>
      </c>
      <c r="U1473" s="35" t="s">
        <v>94</v>
      </c>
    </row>
    <row r="1474" spans="1:24" ht="13.9" hidden="1" x14ac:dyDescent="0.25">
      <c r="A1474" s="12">
        <v>7753</v>
      </c>
      <c r="B1474" s="12">
        <v>1105562</v>
      </c>
      <c r="C1474" s="12" t="s">
        <v>13</v>
      </c>
      <c r="D1474" s="12" t="s">
        <v>14</v>
      </c>
      <c r="E1474" s="14">
        <v>45540</v>
      </c>
      <c r="F1474" s="12" t="s">
        <v>17</v>
      </c>
      <c r="G1474" s="12" t="s">
        <v>19</v>
      </c>
      <c r="H1474" s="12" t="s">
        <v>75</v>
      </c>
      <c r="I1474" s="12">
        <v>229.99299999999999</v>
      </c>
      <c r="J1474" s="12">
        <v>193.23400000000001</v>
      </c>
      <c r="L1474" s="12">
        <v>12</v>
      </c>
    </row>
    <row r="1475" spans="1:24" ht="13.9" hidden="1" x14ac:dyDescent="0.25">
      <c r="A1475" s="12">
        <v>7754</v>
      </c>
      <c r="B1475" s="12">
        <v>1105776</v>
      </c>
      <c r="C1475" s="12" t="s">
        <v>13</v>
      </c>
      <c r="D1475" s="12" t="s">
        <v>14</v>
      </c>
      <c r="E1475" s="14">
        <v>45541</v>
      </c>
      <c r="F1475" s="12" t="s">
        <v>18</v>
      </c>
      <c r="G1475" s="12" t="s">
        <v>20</v>
      </c>
      <c r="H1475" s="12" t="s">
        <v>74</v>
      </c>
      <c r="I1475" s="12">
        <v>230.00700000000001</v>
      </c>
      <c r="J1475" s="12">
        <v>188.637</v>
      </c>
      <c r="L1475" s="12" t="s">
        <v>90</v>
      </c>
    </row>
    <row r="1476" spans="1:24" ht="13.9" hidden="1" x14ac:dyDescent="0.25">
      <c r="A1476" s="12">
        <v>7755</v>
      </c>
      <c r="B1476" s="12">
        <v>1106004</v>
      </c>
      <c r="C1476" s="12" t="s">
        <v>13</v>
      </c>
      <c r="D1476" s="12" t="s">
        <v>14</v>
      </c>
      <c r="E1476" s="14">
        <v>45542</v>
      </c>
      <c r="F1476" s="12" t="s">
        <v>18</v>
      </c>
      <c r="G1476" s="12" t="s">
        <v>20</v>
      </c>
      <c r="H1476" s="12" t="s">
        <v>74</v>
      </c>
      <c r="I1476" s="12">
        <v>230.01400000000001</v>
      </c>
      <c r="J1476" s="12">
        <v>190.00299999999999</v>
      </c>
      <c r="L1476" s="12">
        <v>13</v>
      </c>
    </row>
    <row r="1477" spans="1:24" ht="13.9" hidden="1" x14ac:dyDescent="0.25">
      <c r="A1477" s="12">
        <v>7756</v>
      </c>
      <c r="B1477" s="12">
        <v>1106239</v>
      </c>
      <c r="C1477" s="12" t="s">
        <v>13</v>
      </c>
      <c r="D1477" s="12" t="s">
        <v>14</v>
      </c>
      <c r="E1477" s="14">
        <v>45543</v>
      </c>
      <c r="F1477" s="12" t="s">
        <v>18</v>
      </c>
      <c r="G1477" s="12" t="s">
        <v>20</v>
      </c>
      <c r="H1477" s="12" t="s">
        <v>74</v>
      </c>
      <c r="I1477" s="12">
        <v>230.00800000000001</v>
      </c>
      <c r="J1477" s="12">
        <v>191.7</v>
      </c>
      <c r="L1477" s="12" t="s">
        <v>91</v>
      </c>
    </row>
    <row r="1478" spans="1:24" ht="13.9" hidden="1" x14ac:dyDescent="0.2">
      <c r="A1478" s="12">
        <v>7757</v>
      </c>
      <c r="B1478" s="12">
        <v>1106242</v>
      </c>
      <c r="C1478" s="12" t="s">
        <v>13</v>
      </c>
      <c r="D1478" s="12" t="s">
        <v>14</v>
      </c>
      <c r="E1478" s="14">
        <v>45543</v>
      </c>
      <c r="F1478" s="12" t="s">
        <v>18</v>
      </c>
      <c r="G1478" s="12" t="s">
        <v>20</v>
      </c>
      <c r="H1478" s="12" t="s">
        <v>74</v>
      </c>
      <c r="I1478" s="12">
        <v>230.02</v>
      </c>
      <c r="J1478" s="12">
        <v>191.501</v>
      </c>
      <c r="L1478" s="12" t="s">
        <v>92</v>
      </c>
      <c r="X1478" s="35" t="s">
        <v>93</v>
      </c>
    </row>
    <row r="1479" spans="1:24" ht="13.9" hidden="1" x14ac:dyDescent="0.25">
      <c r="A1479" s="12">
        <v>7758</v>
      </c>
      <c r="B1479" s="12">
        <v>1106639</v>
      </c>
      <c r="C1479" s="12" t="s">
        <v>13</v>
      </c>
      <c r="D1479" s="12" t="s">
        <v>14</v>
      </c>
      <c r="E1479" s="14">
        <v>45544</v>
      </c>
      <c r="F1479" s="12" t="s">
        <v>18</v>
      </c>
      <c r="G1479" s="12" t="s">
        <v>20</v>
      </c>
      <c r="H1479" s="12" t="s">
        <v>74</v>
      </c>
      <c r="I1479" s="12">
        <v>230.01400000000001</v>
      </c>
      <c r="J1479" s="12">
        <v>189.00299999999999</v>
      </c>
      <c r="L1479" s="12" t="s">
        <v>91</v>
      </c>
    </row>
    <row r="1480" spans="1:24" ht="13.9" hidden="1" x14ac:dyDescent="0.25">
      <c r="A1480" s="12">
        <v>7759</v>
      </c>
      <c r="B1480" s="12">
        <v>1106642</v>
      </c>
      <c r="C1480" s="12" t="s">
        <v>13</v>
      </c>
      <c r="D1480" s="12" t="s">
        <v>14</v>
      </c>
      <c r="E1480" s="14">
        <v>45545</v>
      </c>
      <c r="F1480" s="12" t="s">
        <v>18</v>
      </c>
      <c r="G1480" s="12" t="s">
        <v>19</v>
      </c>
      <c r="H1480" s="12" t="s">
        <v>57</v>
      </c>
      <c r="I1480" s="12">
        <v>230</v>
      </c>
      <c r="J1480" s="12">
        <v>193.92699999999999</v>
      </c>
      <c r="L1480" s="12" t="s">
        <v>93</v>
      </c>
    </row>
    <row r="1481" spans="1:24" ht="13.9" hidden="1" x14ac:dyDescent="0.25">
      <c r="A1481" s="12">
        <v>7760</v>
      </c>
      <c r="B1481" s="12">
        <v>1106857</v>
      </c>
      <c r="C1481" s="12" t="s">
        <v>13</v>
      </c>
      <c r="D1481" s="12" t="s">
        <v>14</v>
      </c>
      <c r="E1481" s="14">
        <v>45546</v>
      </c>
      <c r="F1481" s="12" t="s">
        <v>18</v>
      </c>
      <c r="G1481" s="12" t="s">
        <v>19</v>
      </c>
      <c r="H1481" s="12" t="s">
        <v>57</v>
      </c>
      <c r="I1481" s="12">
        <v>230.01</v>
      </c>
      <c r="J1481" s="12">
        <v>196.251</v>
      </c>
      <c r="L1481" s="12" t="s">
        <v>93</v>
      </c>
    </row>
    <row r="1482" spans="1:24" ht="13.9" hidden="1" x14ac:dyDescent="0.25">
      <c r="A1482" s="12">
        <v>7761</v>
      </c>
      <c r="B1482" s="12">
        <v>1106863</v>
      </c>
      <c r="C1482" s="12" t="s">
        <v>13</v>
      </c>
      <c r="D1482" s="12" t="s">
        <v>14</v>
      </c>
      <c r="E1482" s="14">
        <v>45547</v>
      </c>
      <c r="F1482" s="12" t="s">
        <v>18</v>
      </c>
      <c r="G1482" s="12" t="s">
        <v>19</v>
      </c>
      <c r="H1482" s="12" t="s">
        <v>57</v>
      </c>
      <c r="I1482" s="12">
        <v>230.00700000000001</v>
      </c>
      <c r="J1482" s="12">
        <v>194.32599999999999</v>
      </c>
      <c r="L1482" s="12" t="s">
        <v>94</v>
      </c>
    </row>
    <row r="1483" spans="1:24" ht="13.9" hidden="1" x14ac:dyDescent="0.25">
      <c r="A1483" s="12">
        <v>7762</v>
      </c>
      <c r="B1483" s="12">
        <v>1107003</v>
      </c>
      <c r="C1483" s="12" t="s">
        <v>13</v>
      </c>
      <c r="D1483" s="12" t="s">
        <v>14</v>
      </c>
      <c r="E1483" s="14">
        <v>45548</v>
      </c>
      <c r="F1483" s="12" t="s">
        <v>18</v>
      </c>
      <c r="G1483" s="12" t="s">
        <v>19</v>
      </c>
      <c r="H1483" s="12" t="s">
        <v>57</v>
      </c>
      <c r="I1483" s="12">
        <v>229.95699999999999</v>
      </c>
      <c r="J1483" s="12">
        <v>192.83099999999999</v>
      </c>
      <c r="L1483" s="12" t="s">
        <v>94</v>
      </c>
    </row>
    <row r="1484" spans="1:24" ht="13.9" hidden="1" x14ac:dyDescent="0.25">
      <c r="A1484" s="12">
        <v>7763</v>
      </c>
      <c r="B1484" s="12">
        <v>1107176</v>
      </c>
      <c r="C1484" s="12" t="s">
        <v>13</v>
      </c>
      <c r="D1484" s="12" t="s">
        <v>14</v>
      </c>
      <c r="E1484" s="14">
        <v>45549</v>
      </c>
      <c r="F1484" s="12" t="s">
        <v>18</v>
      </c>
      <c r="G1484" s="12" t="s">
        <v>19</v>
      </c>
      <c r="H1484" s="12" t="s">
        <v>57</v>
      </c>
      <c r="I1484" s="12">
        <v>230.006</v>
      </c>
      <c r="J1484" s="12">
        <v>193.66</v>
      </c>
      <c r="L1484" s="12" t="s">
        <v>95</v>
      </c>
    </row>
    <row r="1485" spans="1:24" ht="13.9" hidden="1" x14ac:dyDescent="0.25">
      <c r="A1485" s="12">
        <v>7764</v>
      </c>
      <c r="B1485" s="12">
        <v>1107350</v>
      </c>
      <c r="C1485" s="12" t="s">
        <v>13</v>
      </c>
      <c r="D1485" s="12" t="s">
        <v>14</v>
      </c>
      <c r="E1485" s="14">
        <v>45550</v>
      </c>
      <c r="F1485" s="12" t="s">
        <v>73</v>
      </c>
      <c r="G1485" s="12" t="s">
        <v>20</v>
      </c>
      <c r="H1485" s="12" t="s">
        <v>63</v>
      </c>
      <c r="I1485" s="12">
        <v>229.95400000000001</v>
      </c>
      <c r="J1485" s="12">
        <v>198.17</v>
      </c>
      <c r="L1485" s="12" t="s">
        <v>96</v>
      </c>
    </row>
    <row r="1486" spans="1:24" ht="13.9" hidden="1" x14ac:dyDescent="0.25">
      <c r="A1486" s="12">
        <v>7765</v>
      </c>
      <c r="B1486" s="12">
        <v>1107569</v>
      </c>
      <c r="C1486" s="12" t="s">
        <v>13</v>
      </c>
      <c r="D1486" s="12" t="s">
        <v>14</v>
      </c>
      <c r="E1486" s="14">
        <v>45551</v>
      </c>
      <c r="F1486" s="12" t="s">
        <v>73</v>
      </c>
      <c r="G1486" s="12" t="s">
        <v>20</v>
      </c>
      <c r="H1486" s="12" t="s">
        <v>63</v>
      </c>
      <c r="I1486" s="12">
        <v>230.011</v>
      </c>
      <c r="J1486" s="12">
        <v>195.28800000000001</v>
      </c>
      <c r="L1486" s="12" t="s">
        <v>97</v>
      </c>
    </row>
    <row r="1487" spans="1:24" ht="13.9" hidden="1" x14ac:dyDescent="0.25">
      <c r="A1487" s="12">
        <v>7766</v>
      </c>
      <c r="B1487" s="12">
        <v>1107570</v>
      </c>
      <c r="C1487" s="12" t="s">
        <v>13</v>
      </c>
      <c r="D1487" s="12" t="s">
        <v>14</v>
      </c>
      <c r="E1487" s="14">
        <v>45552</v>
      </c>
      <c r="F1487" s="12" t="s">
        <v>73</v>
      </c>
      <c r="G1487" s="12" t="s">
        <v>20</v>
      </c>
      <c r="H1487" s="12" t="s">
        <v>74</v>
      </c>
      <c r="I1487" s="12">
        <v>231.017</v>
      </c>
      <c r="J1487" s="12">
        <v>194.059</v>
      </c>
      <c r="L1487" s="12">
        <v>13</v>
      </c>
    </row>
    <row r="1488" spans="1:24" ht="13.9" hidden="1" x14ac:dyDescent="0.25">
      <c r="A1488" s="12">
        <v>7767</v>
      </c>
      <c r="B1488" s="12">
        <v>1107571</v>
      </c>
      <c r="C1488" s="12" t="s">
        <v>13</v>
      </c>
      <c r="D1488" s="12" t="s">
        <v>14</v>
      </c>
      <c r="E1488" s="14">
        <v>45553</v>
      </c>
      <c r="F1488" s="12" t="s">
        <v>73</v>
      </c>
      <c r="G1488" s="12" t="s">
        <v>20</v>
      </c>
      <c r="H1488" s="12" t="s">
        <v>74</v>
      </c>
      <c r="I1488" s="12">
        <v>229.994</v>
      </c>
      <c r="J1488" s="12">
        <v>193.54499999999999</v>
      </c>
      <c r="L1488" s="12" t="s">
        <v>91</v>
      </c>
    </row>
    <row r="1489" spans="1:12" ht="13.9" hidden="1" x14ac:dyDescent="0.25">
      <c r="A1489" s="12">
        <v>7768</v>
      </c>
      <c r="B1489" s="12">
        <v>1108132</v>
      </c>
      <c r="C1489" s="12" t="s">
        <v>13</v>
      </c>
      <c r="D1489" s="12" t="s">
        <v>14</v>
      </c>
      <c r="E1489" s="14">
        <v>45554</v>
      </c>
      <c r="F1489" s="12" t="s">
        <v>73</v>
      </c>
      <c r="G1489" s="12" t="s">
        <v>20</v>
      </c>
      <c r="H1489" s="12" t="s">
        <v>74</v>
      </c>
      <c r="I1489" s="12">
        <v>229.86099999999999</v>
      </c>
      <c r="J1489" s="12">
        <v>193.428</v>
      </c>
      <c r="L1489" s="12" t="s">
        <v>97</v>
      </c>
    </row>
    <row r="1490" spans="1:12" ht="13.9" hidden="1" x14ac:dyDescent="0.25">
      <c r="A1490" s="12">
        <v>7769</v>
      </c>
      <c r="B1490" s="12">
        <v>1108560</v>
      </c>
      <c r="C1490" s="12" t="s">
        <v>13</v>
      </c>
      <c r="D1490" s="12" t="s">
        <v>14</v>
      </c>
      <c r="E1490" s="14">
        <v>45555</v>
      </c>
      <c r="F1490" s="12" t="s">
        <v>18</v>
      </c>
      <c r="G1490" s="12" t="s">
        <v>19</v>
      </c>
      <c r="H1490" s="12" t="s">
        <v>75</v>
      </c>
      <c r="I1490" s="12">
        <v>231.553</v>
      </c>
      <c r="J1490" s="12">
        <v>192.39699999999999</v>
      </c>
      <c r="L1490" s="12" t="s">
        <v>98</v>
      </c>
    </row>
    <row r="1491" spans="1:12" ht="13.9" hidden="1" x14ac:dyDescent="0.25">
      <c r="A1491" s="12">
        <v>7770</v>
      </c>
      <c r="B1491" s="12">
        <v>1108577</v>
      </c>
      <c r="C1491" s="12" t="s">
        <v>13</v>
      </c>
      <c r="D1491" s="12" t="s">
        <v>14</v>
      </c>
      <c r="E1491" s="14">
        <v>45556</v>
      </c>
      <c r="F1491" s="12" t="s">
        <v>18</v>
      </c>
      <c r="G1491" s="12" t="s">
        <v>20</v>
      </c>
      <c r="H1491" s="12" t="s">
        <v>76</v>
      </c>
      <c r="I1491" s="12">
        <v>229.99299999999999</v>
      </c>
      <c r="J1491" s="12">
        <v>192.898</v>
      </c>
      <c r="L1491" s="12" t="s">
        <v>96</v>
      </c>
    </row>
    <row r="1492" spans="1:12" ht="13.9" hidden="1" x14ac:dyDescent="0.25">
      <c r="A1492" s="12">
        <v>7771</v>
      </c>
      <c r="B1492" s="12">
        <v>1108610</v>
      </c>
      <c r="C1492" s="12" t="s">
        <v>13</v>
      </c>
      <c r="D1492" s="12" t="s">
        <v>14</v>
      </c>
      <c r="E1492" s="14">
        <v>45557</v>
      </c>
      <c r="F1492" s="12" t="s">
        <v>17</v>
      </c>
      <c r="G1492" s="12" t="s">
        <v>19</v>
      </c>
      <c r="H1492" s="12" t="s">
        <v>87</v>
      </c>
      <c r="I1492" s="12">
        <v>229.92400000000001</v>
      </c>
      <c r="J1492" s="12">
        <v>195.34399999999999</v>
      </c>
      <c r="L1492" s="12" t="s">
        <v>97</v>
      </c>
    </row>
    <row r="1493" spans="1:12" ht="13.9" hidden="1" x14ac:dyDescent="0.25">
      <c r="A1493" s="12">
        <v>7772</v>
      </c>
      <c r="B1493" s="12">
        <v>1108704</v>
      </c>
      <c r="C1493" s="12" t="s">
        <v>13</v>
      </c>
      <c r="D1493" s="12" t="s">
        <v>14</v>
      </c>
      <c r="E1493" s="14">
        <v>45558</v>
      </c>
      <c r="F1493" s="12" t="s">
        <v>18</v>
      </c>
      <c r="G1493" s="12" t="s">
        <v>19</v>
      </c>
      <c r="H1493" s="12" t="s">
        <v>57</v>
      </c>
      <c r="I1493" s="12">
        <v>229.995</v>
      </c>
      <c r="J1493" s="12">
        <v>195.22300000000001</v>
      </c>
      <c r="L1493" s="12" t="s">
        <v>99</v>
      </c>
    </row>
    <row r="1494" spans="1:12" ht="13.9" hidden="1" x14ac:dyDescent="0.25">
      <c r="A1494" s="12">
        <v>7773</v>
      </c>
      <c r="B1494" s="12">
        <v>1108705</v>
      </c>
      <c r="C1494" s="12" t="s">
        <v>13</v>
      </c>
      <c r="D1494" s="12" t="s">
        <v>14</v>
      </c>
      <c r="E1494" s="14">
        <v>45559</v>
      </c>
      <c r="F1494" s="12" t="s">
        <v>18</v>
      </c>
      <c r="G1494" s="12" t="s">
        <v>19</v>
      </c>
      <c r="H1494" s="12" t="s">
        <v>57</v>
      </c>
      <c r="I1494" s="12">
        <v>230.001</v>
      </c>
      <c r="J1494" s="12">
        <v>193.21700000000001</v>
      </c>
      <c r="K1494" s="12" t="s">
        <v>106</v>
      </c>
    </row>
    <row r="1495" spans="1:12" ht="13.9" hidden="1" x14ac:dyDescent="0.25">
      <c r="A1495" s="12">
        <v>7774</v>
      </c>
      <c r="B1495" s="12">
        <v>1108793</v>
      </c>
      <c r="C1495" s="12" t="s">
        <v>13</v>
      </c>
      <c r="D1495" s="12" t="s">
        <v>14</v>
      </c>
      <c r="E1495" s="14">
        <v>45560</v>
      </c>
      <c r="F1495" s="12" t="s">
        <v>18</v>
      </c>
      <c r="G1495" s="12" t="s">
        <v>19</v>
      </c>
      <c r="H1495" s="12" t="s">
        <v>57</v>
      </c>
      <c r="I1495" s="12">
        <v>230.011</v>
      </c>
      <c r="J1495" s="12">
        <v>196.392</v>
      </c>
      <c r="L1495" s="12" t="s">
        <v>99</v>
      </c>
    </row>
    <row r="1496" spans="1:12" ht="13.9" hidden="1" x14ac:dyDescent="0.25">
      <c r="A1496" s="12">
        <v>7775</v>
      </c>
      <c r="B1496" s="12">
        <v>1109402</v>
      </c>
      <c r="C1496" s="12" t="s">
        <v>13</v>
      </c>
      <c r="D1496" s="12" t="s">
        <v>14</v>
      </c>
      <c r="E1496" s="14">
        <v>45560</v>
      </c>
      <c r="F1496" s="12" t="s">
        <v>18</v>
      </c>
      <c r="G1496" s="12" t="s">
        <v>19</v>
      </c>
      <c r="H1496" s="12" t="s">
        <v>57</v>
      </c>
      <c r="I1496" s="12">
        <v>229.98599999999999</v>
      </c>
      <c r="J1496" s="12">
        <v>196.90299999999999</v>
      </c>
      <c r="L1496" s="12">
        <v>12</v>
      </c>
    </row>
    <row r="1497" spans="1:12" ht="13.9" hidden="1" x14ac:dyDescent="0.25">
      <c r="A1497" s="12">
        <v>7776</v>
      </c>
      <c r="B1497" s="12">
        <v>1109405</v>
      </c>
      <c r="C1497" s="12" t="s">
        <v>13</v>
      </c>
      <c r="D1497" s="12" t="s">
        <v>14</v>
      </c>
      <c r="E1497" s="14">
        <v>45561</v>
      </c>
      <c r="F1497" s="12" t="s">
        <v>18</v>
      </c>
      <c r="G1497" s="12" t="s">
        <v>19</v>
      </c>
      <c r="H1497" s="12" t="s">
        <v>57</v>
      </c>
      <c r="I1497" s="12">
        <v>229.982</v>
      </c>
      <c r="J1497" s="12">
        <v>194.27</v>
      </c>
      <c r="K1497" s="12" t="s">
        <v>107</v>
      </c>
      <c r="L1497" s="12" t="s">
        <v>100</v>
      </c>
    </row>
    <row r="1498" spans="1:12" ht="13.9" hidden="1" x14ac:dyDescent="0.25">
      <c r="A1498" s="12">
        <v>7777</v>
      </c>
      <c r="B1498" s="12">
        <v>1109407</v>
      </c>
      <c r="C1498" s="12" t="s">
        <v>13</v>
      </c>
      <c r="D1498" s="12" t="s">
        <v>14</v>
      </c>
      <c r="E1498" s="14">
        <v>45562</v>
      </c>
      <c r="F1498" s="12" t="s">
        <v>18</v>
      </c>
      <c r="G1498" s="12" t="s">
        <v>20</v>
      </c>
      <c r="H1498" s="12" t="s">
        <v>74</v>
      </c>
      <c r="I1498" s="12">
        <v>230.01300000000001</v>
      </c>
      <c r="J1498" s="12">
        <v>192.52500000000001</v>
      </c>
      <c r="K1498" s="12" t="s">
        <v>108</v>
      </c>
      <c r="L1498" s="12" t="s">
        <v>97</v>
      </c>
    </row>
    <row r="1499" spans="1:12" ht="13.9" hidden="1" x14ac:dyDescent="0.25">
      <c r="A1499" s="12">
        <v>7778</v>
      </c>
      <c r="B1499" s="12">
        <v>1109482</v>
      </c>
      <c r="C1499" s="12" t="s">
        <v>13</v>
      </c>
      <c r="D1499" s="12" t="s">
        <v>14</v>
      </c>
      <c r="E1499" s="14">
        <v>45563</v>
      </c>
      <c r="F1499" s="12" t="s">
        <v>18</v>
      </c>
      <c r="G1499" s="12" t="s">
        <v>20</v>
      </c>
      <c r="H1499" s="12" t="s">
        <v>74</v>
      </c>
      <c r="I1499" s="12">
        <v>230.00800000000001</v>
      </c>
      <c r="J1499" s="12">
        <v>191.202</v>
      </c>
      <c r="K1499" s="12" t="s">
        <v>107</v>
      </c>
      <c r="L1499" s="12" t="s">
        <v>101</v>
      </c>
    </row>
    <row r="1500" spans="1:12" ht="13.9" hidden="1" x14ac:dyDescent="0.25">
      <c r="A1500" s="12">
        <v>7779</v>
      </c>
      <c r="B1500" s="12">
        <v>1109651</v>
      </c>
      <c r="C1500" s="12" t="s">
        <v>13</v>
      </c>
      <c r="D1500" s="12" t="s">
        <v>14</v>
      </c>
      <c r="E1500" s="14">
        <v>45564</v>
      </c>
      <c r="F1500" s="12" t="s">
        <v>17</v>
      </c>
      <c r="G1500" s="12" t="s">
        <v>19</v>
      </c>
      <c r="H1500" s="12" t="s">
        <v>75</v>
      </c>
      <c r="I1500" s="12">
        <v>230.001</v>
      </c>
      <c r="J1500" s="12">
        <v>189.60400000000001</v>
      </c>
      <c r="K1500" s="12">
        <v>4</v>
      </c>
      <c r="L1500" s="12" t="s">
        <v>95</v>
      </c>
    </row>
    <row r="1501" spans="1:12" ht="13.9" hidden="1" x14ac:dyDescent="0.25">
      <c r="A1501" s="12">
        <v>7780</v>
      </c>
      <c r="B1501" s="12">
        <v>1109871</v>
      </c>
      <c r="C1501" s="12" t="s">
        <v>13</v>
      </c>
      <c r="D1501" s="12" t="s">
        <v>14</v>
      </c>
      <c r="E1501" s="14">
        <v>45565</v>
      </c>
      <c r="F1501" s="12" t="s">
        <v>17</v>
      </c>
      <c r="G1501" s="12" t="s">
        <v>19</v>
      </c>
      <c r="H1501" s="12" t="s">
        <v>86</v>
      </c>
      <c r="I1501" s="12">
        <v>230.249</v>
      </c>
      <c r="J1501" s="12">
        <v>195.44499999999999</v>
      </c>
      <c r="K1501" s="12" t="s">
        <v>109</v>
      </c>
      <c r="L1501" s="12" t="s">
        <v>92</v>
      </c>
    </row>
    <row r="1502" spans="1:12" ht="13.9" hidden="1" x14ac:dyDescent="0.25">
      <c r="A1502" s="12">
        <v>7781</v>
      </c>
      <c r="B1502" s="12">
        <v>1109903</v>
      </c>
      <c r="C1502" s="12" t="s">
        <v>13</v>
      </c>
      <c r="D1502" s="12" t="s">
        <v>14</v>
      </c>
      <c r="E1502" s="14">
        <v>45566</v>
      </c>
      <c r="F1502" s="12" t="s">
        <v>18</v>
      </c>
      <c r="G1502" s="12" t="s">
        <v>20</v>
      </c>
      <c r="H1502" s="12" t="s">
        <v>76</v>
      </c>
      <c r="I1502" s="12">
        <v>230.029</v>
      </c>
      <c r="J1502" s="12">
        <v>195.82900000000001</v>
      </c>
      <c r="K1502" s="12" t="s">
        <v>106</v>
      </c>
      <c r="L1502" s="12" t="s">
        <v>102</v>
      </c>
    </row>
    <row r="1503" spans="1:12" ht="13.9" hidden="1" x14ac:dyDescent="0.25">
      <c r="A1503" s="12">
        <v>7782</v>
      </c>
      <c r="B1503" s="12">
        <v>1110121</v>
      </c>
      <c r="C1503" s="12" t="s">
        <v>13</v>
      </c>
      <c r="D1503" s="12" t="s">
        <v>14</v>
      </c>
      <c r="E1503" s="14">
        <v>45567</v>
      </c>
      <c r="F1503" s="12" t="s">
        <v>18</v>
      </c>
      <c r="G1503" s="12" t="s">
        <v>19</v>
      </c>
      <c r="H1503" s="12" t="s">
        <v>75</v>
      </c>
      <c r="I1503" s="12">
        <v>229.99799999999999</v>
      </c>
      <c r="J1503" s="12">
        <v>193</v>
      </c>
      <c r="K1503" s="12" t="s">
        <v>110</v>
      </c>
      <c r="L1503" s="12" t="s">
        <v>90</v>
      </c>
    </row>
    <row r="1504" spans="1:12" ht="13.9" hidden="1" x14ac:dyDescent="0.25">
      <c r="A1504" s="12">
        <v>7783</v>
      </c>
      <c r="B1504" s="12">
        <v>1110373</v>
      </c>
      <c r="C1504" s="12" t="s">
        <v>13</v>
      </c>
      <c r="D1504" s="12" t="s">
        <v>14</v>
      </c>
      <c r="E1504" s="14">
        <v>45568</v>
      </c>
      <c r="F1504" s="12" t="s">
        <v>18</v>
      </c>
      <c r="G1504" s="12" t="s">
        <v>19</v>
      </c>
      <c r="H1504" s="12" t="s">
        <v>75</v>
      </c>
      <c r="I1504" s="12">
        <v>230.00800000000001</v>
      </c>
      <c r="J1504" s="12">
        <v>192.24600000000001</v>
      </c>
      <c r="K1504" s="12" t="s">
        <v>111</v>
      </c>
    </row>
    <row r="1505" spans="1:12" ht="13.9" hidden="1" x14ac:dyDescent="0.25">
      <c r="A1505" s="12">
        <v>7784</v>
      </c>
      <c r="B1505" s="12">
        <v>1110617</v>
      </c>
      <c r="C1505" s="12" t="s">
        <v>13</v>
      </c>
      <c r="D1505" s="12" t="s">
        <v>14</v>
      </c>
      <c r="E1505" s="14">
        <v>45569</v>
      </c>
      <c r="F1505" s="12" t="s">
        <v>18</v>
      </c>
      <c r="G1505" s="12" t="s">
        <v>19</v>
      </c>
      <c r="H1505" s="12" t="s">
        <v>75</v>
      </c>
      <c r="I1505" s="12">
        <v>230.012</v>
      </c>
      <c r="J1505" s="12">
        <v>192.429</v>
      </c>
      <c r="K1505" s="12">
        <v>4</v>
      </c>
      <c r="L1505" s="12" t="s">
        <v>103</v>
      </c>
    </row>
    <row r="1506" spans="1:12" ht="13.9" hidden="1" x14ac:dyDescent="0.25">
      <c r="A1506" s="12">
        <v>7785</v>
      </c>
      <c r="B1506" s="12">
        <v>1110979</v>
      </c>
      <c r="C1506" s="12" t="s">
        <v>13</v>
      </c>
      <c r="D1506" s="12" t="s">
        <v>14</v>
      </c>
      <c r="E1506" s="14">
        <v>45570</v>
      </c>
      <c r="F1506" s="12" t="s">
        <v>18</v>
      </c>
      <c r="G1506" s="12" t="s">
        <v>19</v>
      </c>
      <c r="H1506" s="12" t="s">
        <v>75</v>
      </c>
      <c r="I1506" s="12">
        <v>230.001</v>
      </c>
      <c r="J1506" s="12">
        <v>191.143</v>
      </c>
      <c r="K1506" s="12" t="s">
        <v>108</v>
      </c>
      <c r="L1506" s="12" t="s">
        <v>90</v>
      </c>
    </row>
    <row r="1507" spans="1:12" ht="13.9" hidden="1" x14ac:dyDescent="0.25">
      <c r="A1507" s="12">
        <v>7786</v>
      </c>
      <c r="B1507" s="12">
        <v>1110980</v>
      </c>
      <c r="C1507" s="12" t="s">
        <v>13</v>
      </c>
      <c r="D1507" s="12" t="s">
        <v>14</v>
      </c>
      <c r="E1507" s="14">
        <v>45571</v>
      </c>
      <c r="F1507" s="12" t="s">
        <v>18</v>
      </c>
      <c r="G1507" s="12" t="s">
        <v>19</v>
      </c>
      <c r="H1507" s="12" t="s">
        <v>75</v>
      </c>
      <c r="I1507" s="12">
        <v>230.012</v>
      </c>
      <c r="J1507" s="12">
        <v>190.87700000000001</v>
      </c>
      <c r="K1507" s="12">
        <v>4</v>
      </c>
      <c r="L1507" s="12" t="s">
        <v>104</v>
      </c>
    </row>
    <row r="1508" spans="1:12" ht="13.9" hidden="1" x14ac:dyDescent="0.25">
      <c r="A1508" s="12">
        <v>7787</v>
      </c>
      <c r="B1508" s="12">
        <v>1110981</v>
      </c>
      <c r="C1508" s="12" t="s">
        <v>13</v>
      </c>
      <c r="D1508" s="12" t="s">
        <v>14</v>
      </c>
      <c r="E1508" s="14">
        <v>45572</v>
      </c>
      <c r="F1508" s="12" t="s">
        <v>18</v>
      </c>
      <c r="G1508" s="12" t="s">
        <v>20</v>
      </c>
      <c r="H1508" s="12" t="s">
        <v>76</v>
      </c>
      <c r="I1508" s="12">
        <v>229.99700000000001</v>
      </c>
      <c r="J1508" s="12">
        <v>198.697</v>
      </c>
      <c r="K1508" s="12" t="s">
        <v>112</v>
      </c>
      <c r="L1508" s="12" t="s">
        <v>105</v>
      </c>
    </row>
    <row r="1509" spans="1:12" ht="13.9" hidden="1" x14ac:dyDescent="0.25">
      <c r="A1509" s="12">
        <v>7788</v>
      </c>
      <c r="B1509" s="12">
        <v>1111125</v>
      </c>
      <c r="C1509" s="12" t="s">
        <v>13</v>
      </c>
      <c r="D1509" s="12" t="s">
        <v>14</v>
      </c>
      <c r="E1509" s="14">
        <v>45573</v>
      </c>
      <c r="F1509" s="12" t="s">
        <v>18</v>
      </c>
      <c r="G1509" s="12" t="s">
        <v>20</v>
      </c>
      <c r="H1509" s="12" t="s">
        <v>76</v>
      </c>
      <c r="I1509" s="12">
        <v>229.999</v>
      </c>
      <c r="J1509" s="12">
        <v>194.988</v>
      </c>
      <c r="K1509" s="12">
        <v>5</v>
      </c>
      <c r="L1509" s="12">
        <v>13</v>
      </c>
    </row>
    <row r="1510" spans="1:12" ht="13.9" hidden="1" x14ac:dyDescent="0.25">
      <c r="A1510" s="12">
        <v>7789</v>
      </c>
      <c r="B1510" s="12">
        <v>1111433</v>
      </c>
      <c r="C1510" s="12" t="s">
        <v>13</v>
      </c>
      <c r="D1510" s="12" t="s">
        <v>14</v>
      </c>
      <c r="E1510" s="14">
        <v>45574</v>
      </c>
      <c r="F1510" s="12" t="s">
        <v>18</v>
      </c>
      <c r="G1510" s="12" t="s">
        <v>20</v>
      </c>
      <c r="H1510" s="12" t="s">
        <v>88</v>
      </c>
      <c r="I1510" s="12">
        <v>230.00899999999999</v>
      </c>
      <c r="J1510" s="12">
        <v>193.93600000000001</v>
      </c>
      <c r="K1510" s="12" t="s">
        <v>110</v>
      </c>
    </row>
    <row r="1511" spans="1:12" ht="13.9" hidden="1" x14ac:dyDescent="0.25">
      <c r="A1511" s="12">
        <v>7790</v>
      </c>
      <c r="B1511" s="12">
        <v>1111676</v>
      </c>
      <c r="C1511" s="12" t="s">
        <v>13</v>
      </c>
      <c r="D1511" s="12" t="s">
        <v>14</v>
      </c>
      <c r="E1511" s="14">
        <v>45575</v>
      </c>
      <c r="F1511" s="12" t="s">
        <v>18</v>
      </c>
      <c r="G1511" s="12" t="s">
        <v>20</v>
      </c>
      <c r="H1511" s="12" t="s">
        <v>88</v>
      </c>
      <c r="I1511" s="12">
        <v>230.01300000000001</v>
      </c>
      <c r="J1511" s="12">
        <v>191.297</v>
      </c>
      <c r="K1511" s="12" t="s">
        <v>113</v>
      </c>
    </row>
    <row r="1512" spans="1:12" ht="13.9" hidden="1" x14ac:dyDescent="0.25">
      <c r="A1512" s="12">
        <v>7791</v>
      </c>
      <c r="B1512" s="12">
        <v>1111686</v>
      </c>
      <c r="C1512" s="12" t="s">
        <v>13</v>
      </c>
      <c r="D1512" s="12" t="s">
        <v>14</v>
      </c>
      <c r="E1512" s="14">
        <v>45576</v>
      </c>
      <c r="F1512" s="12" t="s">
        <v>18</v>
      </c>
      <c r="G1512" s="12" t="s">
        <v>20</v>
      </c>
      <c r="H1512" s="12" t="s">
        <v>88</v>
      </c>
      <c r="I1512" s="12">
        <v>229.93100000000001</v>
      </c>
      <c r="J1512" s="12">
        <v>191.33199999999999</v>
      </c>
      <c r="K1512" s="12" t="s">
        <v>114</v>
      </c>
    </row>
    <row r="1513" spans="1:12" ht="13.9" hidden="1" x14ac:dyDescent="0.25">
      <c r="A1513" s="12">
        <v>7792</v>
      </c>
      <c r="B1513" s="12">
        <v>1111928</v>
      </c>
      <c r="C1513" s="12" t="s">
        <v>13</v>
      </c>
      <c r="D1513" s="12" t="s">
        <v>14</v>
      </c>
      <c r="E1513" s="14">
        <v>45577</v>
      </c>
      <c r="F1513" s="12" t="s">
        <v>18</v>
      </c>
      <c r="G1513" s="12" t="s">
        <v>20</v>
      </c>
      <c r="H1513" s="12" t="s">
        <v>88</v>
      </c>
      <c r="I1513" s="12">
        <v>229.999</v>
      </c>
      <c r="J1513" s="12">
        <v>183.43899999999999</v>
      </c>
      <c r="K1513" s="12" t="s">
        <v>112</v>
      </c>
    </row>
    <row r="1514" spans="1:12" ht="13.9" hidden="1" x14ac:dyDescent="0.25">
      <c r="A1514" s="12">
        <v>7793</v>
      </c>
      <c r="B1514" s="12">
        <v>1112051</v>
      </c>
      <c r="C1514" s="12" t="s">
        <v>13</v>
      </c>
      <c r="D1514" s="12" t="s">
        <v>14</v>
      </c>
      <c r="E1514" s="14">
        <v>45578</v>
      </c>
      <c r="F1514" s="12" t="s">
        <v>18</v>
      </c>
      <c r="G1514" s="12" t="s">
        <v>20</v>
      </c>
      <c r="H1514" s="12" t="s">
        <v>88</v>
      </c>
      <c r="I1514" s="12">
        <v>229.99700000000001</v>
      </c>
      <c r="J1514" s="12">
        <v>194.35499999999999</v>
      </c>
      <c r="K1514" s="12" t="s">
        <v>115</v>
      </c>
    </row>
    <row r="1515" spans="1:12" ht="13.9" hidden="1" x14ac:dyDescent="0.25">
      <c r="A1515" s="12">
        <v>7794</v>
      </c>
      <c r="B1515" s="12">
        <v>1112052</v>
      </c>
      <c r="C1515" s="12" t="s">
        <v>13</v>
      </c>
      <c r="D1515" s="12" t="s">
        <v>14</v>
      </c>
      <c r="E1515" s="14">
        <v>45579</v>
      </c>
      <c r="F1515" s="12" t="s">
        <v>18</v>
      </c>
      <c r="G1515" s="12" t="s">
        <v>19</v>
      </c>
      <c r="H1515" s="12" t="s">
        <v>75</v>
      </c>
      <c r="I1515" s="12">
        <v>229.99799999999999</v>
      </c>
      <c r="J1515" s="12">
        <v>192.90100000000001</v>
      </c>
      <c r="K1515" s="12" t="s">
        <v>110</v>
      </c>
    </row>
    <row r="1516" spans="1:12" ht="13.9" hidden="1" x14ac:dyDescent="0.25">
      <c r="A1516" s="12">
        <v>7795</v>
      </c>
      <c r="B1516" s="12">
        <v>1112053</v>
      </c>
      <c r="C1516" s="12" t="s">
        <v>13</v>
      </c>
      <c r="D1516" s="12" t="s">
        <v>14</v>
      </c>
      <c r="E1516" s="14">
        <v>45580</v>
      </c>
      <c r="F1516" s="12" t="s">
        <v>18</v>
      </c>
      <c r="G1516" s="12" t="s">
        <v>19</v>
      </c>
      <c r="H1516" s="12" t="s">
        <v>75</v>
      </c>
      <c r="I1516" s="12">
        <v>229.999</v>
      </c>
      <c r="J1516" s="12">
        <v>194.57499999999999</v>
      </c>
      <c r="K1516" s="12" t="s">
        <v>116</v>
      </c>
    </row>
    <row r="1517" spans="1:12" ht="13.9" hidden="1" x14ac:dyDescent="0.25">
      <c r="A1517" s="12">
        <v>7796</v>
      </c>
      <c r="B1517" s="12">
        <v>1112354</v>
      </c>
      <c r="C1517" s="12" t="s">
        <v>13</v>
      </c>
      <c r="D1517" s="12" t="s">
        <v>14</v>
      </c>
      <c r="E1517" s="14">
        <v>45581</v>
      </c>
      <c r="F1517" s="12" t="s">
        <v>18</v>
      </c>
      <c r="G1517" s="12" t="s">
        <v>19</v>
      </c>
      <c r="H1517" s="12" t="s">
        <v>75</v>
      </c>
      <c r="I1517" s="12">
        <v>230.285</v>
      </c>
      <c r="J1517" s="12">
        <v>196.88399999999999</v>
      </c>
      <c r="K1517" s="12" t="s">
        <v>110</v>
      </c>
    </row>
    <row r="1518" spans="1:12" ht="13.9" hidden="1" x14ac:dyDescent="0.25">
      <c r="A1518" s="12">
        <v>7797</v>
      </c>
      <c r="B1518" s="12">
        <v>1112563</v>
      </c>
      <c r="C1518" s="12" t="s">
        <v>13</v>
      </c>
      <c r="D1518" s="12" t="s">
        <v>14</v>
      </c>
      <c r="E1518" s="14">
        <v>45582</v>
      </c>
      <c r="F1518" s="12" t="s">
        <v>18</v>
      </c>
      <c r="G1518" s="12" t="s">
        <v>19</v>
      </c>
      <c r="H1518" s="12" t="s">
        <v>75</v>
      </c>
      <c r="I1518" s="12">
        <v>229.99799999999999</v>
      </c>
      <c r="J1518" s="12">
        <v>195.58799999999999</v>
      </c>
      <c r="K1518" s="12" t="s">
        <v>112</v>
      </c>
    </row>
    <row r="1519" spans="1:12" ht="13.9" hidden="1" x14ac:dyDescent="0.25">
      <c r="A1519" s="12">
        <v>7798</v>
      </c>
      <c r="B1519" s="12">
        <v>1112875</v>
      </c>
      <c r="C1519" s="12" t="s">
        <v>13</v>
      </c>
      <c r="D1519" s="12" t="s">
        <v>14</v>
      </c>
      <c r="E1519" s="14">
        <v>45582</v>
      </c>
      <c r="F1519" s="12" t="s">
        <v>18</v>
      </c>
      <c r="G1519" s="12" t="s">
        <v>19</v>
      </c>
      <c r="H1519" s="12" t="s">
        <v>75</v>
      </c>
      <c r="I1519" s="12">
        <v>229.999</v>
      </c>
      <c r="J1519" s="12">
        <v>189.85900000000001</v>
      </c>
      <c r="K1519" s="12" t="s">
        <v>109</v>
      </c>
    </row>
    <row r="1520" spans="1:12" ht="13.9" hidden="1" x14ac:dyDescent="0.25">
      <c r="A1520" s="12">
        <v>7799</v>
      </c>
      <c r="B1520" s="12">
        <v>1113019</v>
      </c>
      <c r="C1520" s="12" t="s">
        <v>13</v>
      </c>
      <c r="D1520" s="12" t="s">
        <v>14</v>
      </c>
      <c r="E1520" s="14">
        <v>45583</v>
      </c>
      <c r="F1520" s="12" t="s">
        <v>18</v>
      </c>
      <c r="G1520" s="12" t="s">
        <v>20</v>
      </c>
      <c r="H1520" s="12" t="s">
        <v>76</v>
      </c>
      <c r="I1520" s="12">
        <v>230.01499999999999</v>
      </c>
      <c r="J1520" s="12">
        <v>192.03399999999999</v>
      </c>
      <c r="K1520" s="12" t="s">
        <v>112</v>
      </c>
    </row>
    <row r="1521" spans="1:11" ht="13.9" hidden="1" x14ac:dyDescent="0.25">
      <c r="A1521" s="12">
        <v>7800</v>
      </c>
      <c r="B1521" s="12">
        <v>1113041</v>
      </c>
      <c r="C1521" s="12" t="s">
        <v>13</v>
      </c>
      <c r="D1521" s="12" t="s">
        <v>14</v>
      </c>
      <c r="E1521" s="14">
        <v>45584</v>
      </c>
      <c r="F1521" s="12" t="s">
        <v>18</v>
      </c>
      <c r="G1521" s="12" t="s">
        <v>20</v>
      </c>
      <c r="H1521" s="12" t="s">
        <v>76</v>
      </c>
      <c r="I1521" s="12">
        <v>230.006</v>
      </c>
      <c r="J1521" s="12">
        <v>192.84899999999999</v>
      </c>
      <c r="K1521" s="12" t="s">
        <v>106</v>
      </c>
    </row>
    <row r="1522" spans="1:11" ht="13.9" hidden="1" x14ac:dyDescent="0.25">
      <c r="A1522" s="12">
        <v>7801</v>
      </c>
      <c r="B1522" s="12">
        <v>1113174</v>
      </c>
      <c r="C1522" s="12" t="s">
        <v>13</v>
      </c>
      <c r="D1522" s="12" t="s">
        <v>14</v>
      </c>
      <c r="E1522" s="14">
        <v>45585</v>
      </c>
      <c r="F1522" s="12" t="s">
        <v>18</v>
      </c>
      <c r="G1522" s="12" t="s">
        <v>20</v>
      </c>
      <c r="H1522" s="12" t="s">
        <v>76</v>
      </c>
      <c r="I1522" s="12">
        <v>230.011</v>
      </c>
      <c r="J1522" s="12">
        <v>193.815</v>
      </c>
    </row>
    <row r="1523" spans="1:11" ht="13.9" hidden="1" x14ac:dyDescent="0.25">
      <c r="A1523" s="12">
        <v>7802</v>
      </c>
      <c r="B1523" s="12">
        <v>1113175</v>
      </c>
      <c r="C1523" s="12" t="s">
        <v>13</v>
      </c>
      <c r="D1523" s="12" t="s">
        <v>14</v>
      </c>
      <c r="E1523" s="14">
        <v>45586</v>
      </c>
      <c r="F1523" s="12" t="s">
        <v>18</v>
      </c>
      <c r="G1523" s="12" t="s">
        <v>20</v>
      </c>
      <c r="H1523" s="12" t="s">
        <v>76</v>
      </c>
      <c r="I1523" s="12">
        <v>224.99600000000001</v>
      </c>
      <c r="J1523" s="12">
        <v>189.79</v>
      </c>
    </row>
    <row r="1524" spans="1:11" ht="13.9" hidden="1" x14ac:dyDescent="0.25">
      <c r="A1524" s="12">
        <v>7803</v>
      </c>
      <c r="B1524" s="12">
        <v>1113492</v>
      </c>
      <c r="C1524" s="12" t="s">
        <v>13</v>
      </c>
      <c r="D1524" s="12" t="s">
        <v>14</v>
      </c>
      <c r="E1524" s="14">
        <v>45587</v>
      </c>
      <c r="F1524" s="12" t="s">
        <v>18</v>
      </c>
      <c r="G1524" s="12" t="s">
        <v>20</v>
      </c>
      <c r="H1524" s="12" t="s">
        <v>76</v>
      </c>
      <c r="I1524" s="12">
        <v>225.00899999999999</v>
      </c>
      <c r="J1524" s="12">
        <v>189.41200000000001</v>
      </c>
    </row>
    <row r="1525" spans="1:11" ht="13.9" hidden="1" x14ac:dyDescent="0.25">
      <c r="A1525" s="12">
        <v>7804</v>
      </c>
      <c r="B1525" s="12">
        <v>1113692</v>
      </c>
      <c r="C1525" s="12" t="s">
        <v>13</v>
      </c>
      <c r="D1525" s="12" t="s">
        <v>14</v>
      </c>
      <c r="E1525" s="14">
        <v>45588</v>
      </c>
      <c r="F1525" s="12" t="s">
        <v>18</v>
      </c>
      <c r="G1525" s="12" t="s">
        <v>19</v>
      </c>
      <c r="H1525" s="12" t="s">
        <v>75</v>
      </c>
      <c r="I1525" s="12">
        <v>230.00700000000001</v>
      </c>
      <c r="J1525" s="12">
        <v>193.02099999999999</v>
      </c>
    </row>
    <row r="1526" spans="1:11" ht="13.9" hidden="1" x14ac:dyDescent="0.25">
      <c r="A1526" s="12">
        <v>7805</v>
      </c>
      <c r="B1526" s="12">
        <v>1113731</v>
      </c>
      <c r="C1526" s="12" t="s">
        <v>13</v>
      </c>
      <c r="D1526" s="12" t="s">
        <v>14</v>
      </c>
      <c r="E1526" s="14">
        <v>45589</v>
      </c>
      <c r="F1526" s="12" t="s">
        <v>18</v>
      </c>
      <c r="G1526" s="12" t="s">
        <v>19</v>
      </c>
      <c r="H1526" s="12" t="s">
        <v>75</v>
      </c>
      <c r="I1526" s="12">
        <v>230.01499999999999</v>
      </c>
      <c r="J1526" s="12">
        <v>193.73400000000001</v>
      </c>
    </row>
    <row r="1527" spans="1:11" ht="13.9" hidden="1" x14ac:dyDescent="0.25">
      <c r="A1527" s="12">
        <v>7806</v>
      </c>
      <c r="B1527" s="12">
        <v>1113828</v>
      </c>
      <c r="C1527" s="12" t="s">
        <v>13</v>
      </c>
      <c r="D1527" s="12" t="s">
        <v>14</v>
      </c>
      <c r="E1527" s="14">
        <v>45590</v>
      </c>
      <c r="F1527" s="12" t="s">
        <v>17</v>
      </c>
      <c r="G1527" s="12" t="s">
        <v>19</v>
      </c>
      <c r="H1527" s="12" t="s">
        <v>75</v>
      </c>
      <c r="I1527" s="12">
        <v>230.00399999999999</v>
      </c>
      <c r="J1527" s="12">
        <v>191.364</v>
      </c>
    </row>
    <row r="1528" spans="1:11" ht="13.9" hidden="1" x14ac:dyDescent="0.25">
      <c r="A1528" s="12">
        <v>7807</v>
      </c>
      <c r="B1528" s="12">
        <v>1114016</v>
      </c>
      <c r="C1528" s="12" t="s">
        <v>13</v>
      </c>
      <c r="D1528" s="12" t="s">
        <v>14</v>
      </c>
      <c r="E1528" s="14">
        <v>45591</v>
      </c>
      <c r="F1528" s="12" t="s">
        <v>17</v>
      </c>
      <c r="G1528" s="12" t="s">
        <v>19</v>
      </c>
      <c r="H1528" s="12" t="s">
        <v>75</v>
      </c>
      <c r="I1528" s="12">
        <v>230.011</v>
      </c>
      <c r="J1528" s="12">
        <v>192.52199999999999</v>
      </c>
    </row>
    <row r="1529" spans="1:11" ht="13.9" hidden="1" x14ac:dyDescent="0.25">
      <c r="A1529" s="12">
        <v>7808</v>
      </c>
      <c r="B1529" s="12">
        <v>1114153</v>
      </c>
      <c r="C1529" s="12" t="s">
        <v>13</v>
      </c>
      <c r="D1529" s="12" t="s">
        <v>14</v>
      </c>
      <c r="E1529" s="14">
        <v>45592</v>
      </c>
      <c r="F1529" s="12" t="s">
        <v>17</v>
      </c>
      <c r="G1529" s="12" t="s">
        <v>19</v>
      </c>
      <c r="H1529" s="12" t="s">
        <v>75</v>
      </c>
      <c r="I1529" s="12">
        <v>230.012</v>
      </c>
      <c r="J1529" s="12">
        <v>192.87299999999999</v>
      </c>
    </row>
    <row r="1530" spans="1:11" ht="13.9" hidden="1" x14ac:dyDescent="0.25">
      <c r="A1530" s="12">
        <v>7809</v>
      </c>
      <c r="B1530" s="12">
        <v>1114157</v>
      </c>
      <c r="C1530" s="12" t="s">
        <v>13</v>
      </c>
      <c r="D1530" s="12" t="s">
        <v>14</v>
      </c>
      <c r="E1530" s="14">
        <v>45593</v>
      </c>
      <c r="F1530" s="12" t="s">
        <v>17</v>
      </c>
      <c r="G1530" s="12" t="s">
        <v>19</v>
      </c>
      <c r="H1530" s="12" t="s">
        <v>75</v>
      </c>
      <c r="I1530" s="12">
        <v>229.99600000000001</v>
      </c>
      <c r="J1530" s="12">
        <v>189.518</v>
      </c>
    </row>
    <row r="1531" spans="1:11" ht="13.9" hidden="1" x14ac:dyDescent="0.25">
      <c r="A1531" s="12">
        <v>7810</v>
      </c>
      <c r="B1531" s="12">
        <v>1114250</v>
      </c>
      <c r="C1531" s="12" t="s">
        <v>13</v>
      </c>
      <c r="D1531" s="12" t="s">
        <v>14</v>
      </c>
      <c r="E1531" s="14">
        <v>45594</v>
      </c>
      <c r="F1531" s="12" t="s">
        <v>17</v>
      </c>
      <c r="G1531" s="12" t="s">
        <v>19</v>
      </c>
      <c r="H1531" s="12" t="s">
        <v>75</v>
      </c>
      <c r="I1531" s="12">
        <v>229.96299999999999</v>
      </c>
      <c r="J1531" s="12">
        <v>189.19900000000001</v>
      </c>
    </row>
    <row r="1532" spans="1:11" ht="13.9" hidden="1" x14ac:dyDescent="0.25">
      <c r="A1532" s="12">
        <v>7811</v>
      </c>
      <c r="B1532" s="12">
        <v>1114584</v>
      </c>
      <c r="C1532" s="12" t="s">
        <v>13</v>
      </c>
      <c r="D1532" s="12" t="s">
        <v>14</v>
      </c>
      <c r="E1532" s="14">
        <v>45595</v>
      </c>
      <c r="F1532" s="12" t="s">
        <v>17</v>
      </c>
      <c r="G1532" s="12" t="s">
        <v>20</v>
      </c>
      <c r="H1532" s="12" t="s">
        <v>89</v>
      </c>
      <c r="I1532" s="12">
        <v>225.001</v>
      </c>
      <c r="J1532" s="12">
        <v>184.833</v>
      </c>
    </row>
    <row r="1533" spans="1:11" ht="13.9" hidden="1" x14ac:dyDescent="0.25">
      <c r="A1533" s="12">
        <v>7812</v>
      </c>
      <c r="B1533" s="12">
        <v>1114832</v>
      </c>
      <c r="C1533" s="12" t="s">
        <v>13</v>
      </c>
      <c r="D1533" s="12" t="s">
        <v>14</v>
      </c>
      <c r="E1533" s="14">
        <v>45596</v>
      </c>
      <c r="F1533" s="12" t="s">
        <v>18</v>
      </c>
      <c r="G1533" s="12" t="s">
        <v>19</v>
      </c>
      <c r="H1533" s="12" t="s">
        <v>75</v>
      </c>
      <c r="I1533" s="12">
        <v>230.018</v>
      </c>
      <c r="J1533" s="12">
        <v>189.61699999999999</v>
      </c>
    </row>
    <row r="1534" spans="1:11" ht="13.9" hidden="1" x14ac:dyDescent="0.25">
      <c r="A1534" s="12">
        <v>7813</v>
      </c>
      <c r="B1534" s="12">
        <v>1114959</v>
      </c>
      <c r="C1534" s="12" t="s">
        <v>13</v>
      </c>
      <c r="D1534" s="12" t="s">
        <v>14</v>
      </c>
      <c r="E1534" s="14">
        <v>45597</v>
      </c>
      <c r="F1534" s="12" t="s">
        <v>18</v>
      </c>
      <c r="G1534" s="12" t="s">
        <v>19</v>
      </c>
      <c r="H1534" s="12" t="s">
        <v>75</v>
      </c>
      <c r="I1534" s="12">
        <v>230.00899999999999</v>
      </c>
      <c r="J1534" s="12">
        <v>190.768</v>
      </c>
    </row>
    <row r="1535" spans="1:11" ht="13.9" hidden="1" x14ac:dyDescent="0.25">
      <c r="A1535" s="12">
        <v>7814</v>
      </c>
      <c r="B1535" s="12">
        <v>1115199</v>
      </c>
      <c r="C1535" s="12" t="s">
        <v>13</v>
      </c>
      <c r="D1535" s="12" t="s">
        <v>14</v>
      </c>
      <c r="E1535" s="14">
        <v>45598</v>
      </c>
      <c r="F1535" s="12" t="s">
        <v>18</v>
      </c>
      <c r="G1535" s="12" t="s">
        <v>19</v>
      </c>
      <c r="H1535" s="12" t="s">
        <v>75</v>
      </c>
      <c r="I1535" s="12">
        <v>229.959</v>
      </c>
      <c r="J1535" s="12">
        <v>191.364</v>
      </c>
    </row>
    <row r="1536" spans="1:11" ht="13.9" hidden="1" x14ac:dyDescent="0.25">
      <c r="A1536" s="12">
        <v>7815</v>
      </c>
      <c r="B1536" s="12">
        <v>1115435</v>
      </c>
      <c r="C1536" s="12" t="s">
        <v>13</v>
      </c>
      <c r="D1536" s="12" t="s">
        <v>14</v>
      </c>
      <c r="E1536" s="14">
        <v>45599</v>
      </c>
      <c r="F1536" s="12" t="s">
        <v>18</v>
      </c>
      <c r="G1536" s="12" t="s">
        <v>19</v>
      </c>
      <c r="H1536" s="12" t="s">
        <v>75</v>
      </c>
      <c r="I1536" s="12">
        <v>230.012</v>
      </c>
      <c r="J1536" s="12">
        <v>188.59200000000001</v>
      </c>
    </row>
    <row r="1537" spans="1:10" ht="13.9" hidden="1" x14ac:dyDescent="0.25">
      <c r="A1537" s="12">
        <v>7816</v>
      </c>
      <c r="B1537" s="12">
        <v>1115476</v>
      </c>
      <c r="C1537" s="12" t="s">
        <v>13</v>
      </c>
      <c r="D1537" s="12" t="s">
        <v>14</v>
      </c>
      <c r="E1537" s="14">
        <v>45600</v>
      </c>
      <c r="F1537" s="12" t="s">
        <v>18</v>
      </c>
      <c r="G1537" s="12" t="s">
        <v>19</v>
      </c>
      <c r="H1537" s="12" t="s">
        <v>75</v>
      </c>
      <c r="I1537" s="12">
        <v>230.01300000000001</v>
      </c>
      <c r="J1537" s="12">
        <v>188.923</v>
      </c>
    </row>
    <row r="1538" spans="1:10" ht="13.9" hidden="1" x14ac:dyDescent="0.25">
      <c r="A1538" s="12">
        <v>7817</v>
      </c>
      <c r="B1538" s="12">
        <v>1115608</v>
      </c>
      <c r="C1538" s="12" t="s">
        <v>13</v>
      </c>
      <c r="D1538" s="12" t="s">
        <v>14</v>
      </c>
      <c r="E1538" s="14">
        <v>45601</v>
      </c>
      <c r="F1538" s="12" t="s">
        <v>18</v>
      </c>
      <c r="G1538" s="12" t="s">
        <v>19</v>
      </c>
      <c r="H1538" s="12" t="s">
        <v>75</v>
      </c>
      <c r="I1538" s="12">
        <v>230.00800000000001</v>
      </c>
      <c r="J1538" s="12">
        <v>191.56399999999999</v>
      </c>
    </row>
    <row r="1539" spans="1:10" ht="13.9" hidden="1" x14ac:dyDescent="0.25">
      <c r="A1539" s="12">
        <v>7818</v>
      </c>
      <c r="B1539" s="12">
        <v>1115612</v>
      </c>
      <c r="C1539" s="12" t="s">
        <v>13</v>
      </c>
      <c r="D1539" s="12" t="s">
        <v>14</v>
      </c>
      <c r="E1539" s="14">
        <v>45602</v>
      </c>
      <c r="F1539" s="12" t="s">
        <v>18</v>
      </c>
      <c r="G1539" s="12" t="s">
        <v>19</v>
      </c>
      <c r="H1539" s="12" t="s">
        <v>75</v>
      </c>
      <c r="I1539" s="12">
        <v>230.01400000000001</v>
      </c>
      <c r="J1539" s="12">
        <v>191.64099999999999</v>
      </c>
    </row>
    <row r="1540" spans="1:10" ht="13.9" hidden="1" x14ac:dyDescent="0.25">
      <c r="A1540" s="12">
        <v>7819</v>
      </c>
      <c r="B1540" s="12">
        <v>1115722</v>
      </c>
      <c r="C1540" s="12" t="s">
        <v>13</v>
      </c>
      <c r="D1540" s="12" t="s">
        <v>14</v>
      </c>
      <c r="E1540" s="14">
        <v>45603</v>
      </c>
      <c r="F1540" s="12" t="s">
        <v>18</v>
      </c>
      <c r="G1540" s="12" t="s">
        <v>19</v>
      </c>
      <c r="H1540" s="12" t="s">
        <v>75</v>
      </c>
      <c r="I1540" s="12">
        <v>230.00399999999999</v>
      </c>
    </row>
    <row r="1541" spans="1:10" ht="13.9" hidden="1" x14ac:dyDescent="0.25">
      <c r="A1541" s="12">
        <v>7820</v>
      </c>
      <c r="B1541" s="12">
        <v>1115963</v>
      </c>
      <c r="C1541" s="12" t="s">
        <v>13</v>
      </c>
      <c r="D1541" s="12" t="s">
        <v>14</v>
      </c>
      <c r="E1541" s="14">
        <v>45604</v>
      </c>
      <c r="F1541" s="12" t="s">
        <v>18</v>
      </c>
      <c r="G1541" s="12" t="s">
        <v>19</v>
      </c>
      <c r="H1541" s="12" t="s">
        <v>75</v>
      </c>
      <c r="I1541" s="12">
        <v>229.93</v>
      </c>
    </row>
    <row r="1542" spans="1:10" ht="13.9" hidden="1" x14ac:dyDescent="0.25">
      <c r="A1542" s="12">
        <v>7821</v>
      </c>
      <c r="B1542" s="12">
        <v>1116276</v>
      </c>
      <c r="C1542" s="12" t="s">
        <v>13</v>
      </c>
      <c r="D1542" s="12" t="s">
        <v>14</v>
      </c>
      <c r="E1542" s="14">
        <v>45605</v>
      </c>
      <c r="F1542" s="12" t="s">
        <v>18</v>
      </c>
      <c r="G1542" s="12" t="s">
        <v>19</v>
      </c>
      <c r="H1542" s="12" t="s">
        <v>75</v>
      </c>
      <c r="I1542" s="12">
        <v>230.00399999999999</v>
      </c>
    </row>
    <row r="1543" spans="1:10" ht="13.9" hidden="1" x14ac:dyDescent="0.25">
      <c r="A1543" s="12">
        <v>7822</v>
      </c>
      <c r="B1543" s="12">
        <v>1116566</v>
      </c>
      <c r="C1543" s="12" t="s">
        <v>13</v>
      </c>
      <c r="D1543" s="12" t="s">
        <v>14</v>
      </c>
      <c r="E1543" s="14">
        <v>45606</v>
      </c>
      <c r="F1543" s="12" t="s">
        <v>17</v>
      </c>
      <c r="G1543" s="12" t="s">
        <v>19</v>
      </c>
      <c r="H1543" s="12" t="s">
        <v>87</v>
      </c>
      <c r="I1543" s="12">
        <v>230.01300000000001</v>
      </c>
    </row>
    <row r="1544" spans="1:10" ht="13.9" hidden="1" x14ac:dyDescent="0.25">
      <c r="A1544" s="12">
        <v>7823</v>
      </c>
      <c r="B1544" s="12">
        <v>1116575</v>
      </c>
      <c r="C1544" s="12" t="s">
        <v>13</v>
      </c>
      <c r="D1544" s="12" t="s">
        <v>14</v>
      </c>
      <c r="E1544" s="14">
        <v>45607</v>
      </c>
      <c r="F1544" s="12" t="s">
        <v>17</v>
      </c>
      <c r="G1544" s="12" t="s">
        <v>19</v>
      </c>
      <c r="H1544" s="12" t="s">
        <v>87</v>
      </c>
      <c r="I1544" s="12">
        <v>229.98</v>
      </c>
    </row>
    <row r="1545" spans="1:10" ht="13.9" hidden="1" x14ac:dyDescent="0.25">
      <c r="A1545" s="12">
        <v>7824</v>
      </c>
      <c r="B1545" s="12">
        <v>1116577</v>
      </c>
      <c r="C1545" s="12" t="s">
        <v>13</v>
      </c>
      <c r="D1545" s="12" t="s">
        <v>14</v>
      </c>
      <c r="E1545" s="14">
        <v>45608</v>
      </c>
      <c r="F1545" s="12" t="s">
        <v>18</v>
      </c>
      <c r="G1545" s="12" t="s">
        <v>19</v>
      </c>
      <c r="H1545" s="12" t="s">
        <v>75</v>
      </c>
      <c r="I1545" s="12">
        <v>220.00700000000001</v>
      </c>
    </row>
    <row r="1546" spans="1:10" ht="13.9" hidden="1" x14ac:dyDescent="0.25">
      <c r="A1546" s="12">
        <v>7825</v>
      </c>
      <c r="B1546" s="12">
        <v>1116623</v>
      </c>
      <c r="C1546" s="12" t="s">
        <v>13</v>
      </c>
      <c r="D1546" s="12" t="s">
        <v>14</v>
      </c>
      <c r="E1546" s="14">
        <v>45609</v>
      </c>
      <c r="F1546" s="12" t="s">
        <v>18</v>
      </c>
      <c r="G1546" s="12" t="s">
        <v>19</v>
      </c>
      <c r="H1546" s="12" t="s">
        <v>75</v>
      </c>
      <c r="I1546" s="12">
        <v>219.96299999999999</v>
      </c>
    </row>
    <row r="1547" spans="1:10" ht="13.9" hidden="1" x14ac:dyDescent="0.25">
      <c r="A1547" s="12">
        <v>7826</v>
      </c>
      <c r="B1547" s="12">
        <v>1116867</v>
      </c>
      <c r="C1547" s="12" t="s">
        <v>13</v>
      </c>
      <c r="D1547" s="12" t="s">
        <v>14</v>
      </c>
      <c r="E1547" s="14">
        <v>45610</v>
      </c>
      <c r="F1547" s="12" t="s">
        <v>18</v>
      </c>
      <c r="G1547" s="12" t="s">
        <v>19</v>
      </c>
      <c r="H1547" s="12" t="s">
        <v>75</v>
      </c>
      <c r="I1547" s="12">
        <v>219.958</v>
      </c>
    </row>
    <row r="1548" spans="1:10" ht="13.9" hidden="1" x14ac:dyDescent="0.25">
      <c r="A1548" s="12">
        <v>7827</v>
      </c>
      <c r="B1548" s="12">
        <v>1117028</v>
      </c>
      <c r="C1548" s="12" t="s">
        <v>13</v>
      </c>
      <c r="D1548" s="12" t="s">
        <v>14</v>
      </c>
      <c r="E1548" s="14">
        <v>45611</v>
      </c>
      <c r="F1548" s="12" t="s">
        <v>18</v>
      </c>
      <c r="G1548" s="12" t="s">
        <v>19</v>
      </c>
      <c r="H1548" s="12" t="s">
        <v>75</v>
      </c>
      <c r="I1548" s="12">
        <v>220.00800000000001</v>
      </c>
    </row>
    <row r="1549" spans="1:10" ht="13.9" hidden="1" x14ac:dyDescent="0.25">
      <c r="A1549" s="12">
        <v>7828</v>
      </c>
      <c r="E1549" s="14">
        <v>45612</v>
      </c>
      <c r="F1549" s="12" t="s">
        <v>18</v>
      </c>
      <c r="G1549" s="12" t="s">
        <v>19</v>
      </c>
      <c r="H1549" s="12" t="s">
        <v>75</v>
      </c>
      <c r="I1549" s="12">
        <v>220</v>
      </c>
    </row>
    <row r="1550" spans="1:10" ht="13.9" hidden="1" x14ac:dyDescent="0.25">
      <c r="A1550" s="12">
        <v>7829</v>
      </c>
      <c r="E1550" s="14">
        <v>45613</v>
      </c>
      <c r="F1550" s="12" t="s">
        <v>17</v>
      </c>
      <c r="G1550" s="12" t="s">
        <v>19</v>
      </c>
      <c r="H1550" s="12" t="s">
        <v>75</v>
      </c>
      <c r="I1550" s="12">
        <v>220</v>
      </c>
    </row>
    <row r="1551" spans="1:10" ht="13.9" hidden="1" x14ac:dyDescent="0.25">
      <c r="A1551" s="12">
        <v>7830</v>
      </c>
      <c r="E1551" s="14">
        <v>45614</v>
      </c>
      <c r="F1551" s="12" t="s">
        <v>17</v>
      </c>
      <c r="G1551" s="12" t="s">
        <v>19</v>
      </c>
      <c r="H1551" s="12" t="s">
        <v>75</v>
      </c>
      <c r="I1551" s="12">
        <v>220</v>
      </c>
    </row>
    <row r="1552" spans="1:10" ht="13.9" hidden="1" x14ac:dyDescent="0.25">
      <c r="A1552" s="12">
        <v>7831</v>
      </c>
      <c r="E1552" s="14">
        <v>45615</v>
      </c>
      <c r="F1552" s="12" t="s">
        <v>17</v>
      </c>
      <c r="G1552" s="12" t="s">
        <v>19</v>
      </c>
      <c r="H1552" s="12" t="s">
        <v>75</v>
      </c>
      <c r="I1552" s="12">
        <v>220</v>
      </c>
    </row>
    <row r="1553" spans="1:9" ht="13.9" hidden="1" x14ac:dyDescent="0.25">
      <c r="A1553" s="12">
        <v>7832</v>
      </c>
      <c r="E1553" s="14">
        <v>45616</v>
      </c>
      <c r="F1553" s="12" t="s">
        <v>17</v>
      </c>
      <c r="G1553" s="12" t="s">
        <v>19</v>
      </c>
      <c r="H1553" s="12" t="s">
        <v>75</v>
      </c>
      <c r="I1553" s="12">
        <v>220</v>
      </c>
    </row>
    <row r="1554" spans="1:9" ht="13.9" hidden="1" x14ac:dyDescent="0.25">
      <c r="A1554" s="12">
        <v>7833</v>
      </c>
      <c r="E1554" s="14">
        <v>45617</v>
      </c>
      <c r="F1554" s="12" t="s">
        <v>17</v>
      </c>
      <c r="G1554" s="12" t="s">
        <v>19</v>
      </c>
      <c r="H1554" s="12" t="s">
        <v>75</v>
      </c>
      <c r="I1554" s="12">
        <v>220</v>
      </c>
    </row>
    <row r="1555" spans="1:9" ht="13.9" hidden="1" x14ac:dyDescent="0.25">
      <c r="A1555" s="12">
        <v>7834</v>
      </c>
      <c r="E1555" s="14">
        <v>45618</v>
      </c>
    </row>
    <row r="1556" spans="1:9" ht="13.9" hidden="1" x14ac:dyDescent="0.25">
      <c r="A1556" s="12">
        <v>7835</v>
      </c>
      <c r="E1556" s="14">
        <v>45619</v>
      </c>
    </row>
    <row r="1557" spans="1:9" ht="13.9" hidden="1" x14ac:dyDescent="0.25">
      <c r="A1557" s="12">
        <v>7836</v>
      </c>
      <c r="E1557" s="14">
        <v>45620</v>
      </c>
    </row>
    <row r="1558" spans="1:9" ht="13.9" hidden="1" x14ac:dyDescent="0.25">
      <c r="A1558" s="12">
        <v>7837</v>
      </c>
      <c r="E1558" s="14">
        <v>45621</v>
      </c>
    </row>
    <row r="1559" spans="1:9" ht="13.9" hidden="1" x14ac:dyDescent="0.25">
      <c r="A1559" s="12">
        <v>7838</v>
      </c>
      <c r="E1559" s="14">
        <v>45622</v>
      </c>
    </row>
    <row r="1560" spans="1:9" ht="13.9" hidden="1" x14ac:dyDescent="0.25">
      <c r="A1560" s="12">
        <v>7839</v>
      </c>
      <c r="E1560" s="14">
        <v>45623</v>
      </c>
    </row>
    <row r="1561" spans="1:9" ht="13.9" hidden="1" x14ac:dyDescent="0.25">
      <c r="A1561" s="12">
        <v>7840</v>
      </c>
      <c r="E1561" s="14">
        <v>45624</v>
      </c>
    </row>
    <row r="1562" spans="1:9" ht="13.9" hidden="1" x14ac:dyDescent="0.25">
      <c r="A1562" s="12">
        <v>7841</v>
      </c>
      <c r="E1562" s="14">
        <v>45625</v>
      </c>
    </row>
  </sheetData>
  <autoFilter ref="A1:L1562" xr:uid="{1E77CE36-3CB8-4864-8E54-11BC5244A69D}">
    <filterColumn colId="4">
      <filters>
        <dateGroupItem year="2023" month="1" dateTimeGrouping="month"/>
        <dateGroupItem year="2023" month="2" dateTimeGrouping="month"/>
        <dateGroupItem year="2023" month="3" dateTimeGrouping="month"/>
        <dateGroupItem year="2023" month="4" dateTimeGrouping="month"/>
        <dateGroupItem year="2023" month="5" dateTimeGrouping="month"/>
        <dateGroupItem year="2023" month="6" dateTimeGrouping="month"/>
        <dateGroupItem year="2023" month="7" dateTimeGrouping="month"/>
        <dateGroupItem year="2023" month="8" dateTimeGrouping="month"/>
        <dateGroupItem year="2022" dateTimeGrouping="year"/>
        <dateGroupItem year="2021" dateTimeGrouping="year"/>
      </filters>
    </filterColumn>
    <filterColumn colId="10">
      <filters>
        <filter val="3,1"/>
        <filter val="3,2"/>
        <filter val="3,3"/>
        <filter val="3,4"/>
        <filter val="3,5"/>
        <filter val="3,6"/>
        <filter val="3,7"/>
        <filter val="3,8"/>
        <filter val="3,9"/>
        <filter val="3.8"/>
        <filter val="4"/>
        <filter val="4,1"/>
        <filter val="4,2"/>
        <filter val="4,3"/>
        <filter val="4,4"/>
        <filter val="4,5"/>
        <filter val="4,6"/>
        <filter val="4,7"/>
        <filter val="4,8"/>
        <filter val="4,9"/>
        <filter val="4.1"/>
        <filter val="4.2"/>
        <filter val="4.3"/>
        <filter val="4.4"/>
        <filter val="4.5"/>
        <filter val="4.6"/>
        <filter val="4.7"/>
        <filter val="4.8"/>
        <filter val="5"/>
        <filter val="5,1"/>
        <filter val="5,2"/>
        <filter val="5,3"/>
        <filter val="5,4"/>
        <filter val="5,5"/>
        <filter val="5,6"/>
        <filter val="5,7"/>
        <filter val="5,8"/>
        <filter val="5,9"/>
        <filter val="5.1"/>
        <filter val="5.8"/>
        <filter val="6"/>
        <filter val="6,2"/>
        <filter val="6,3"/>
        <filter val="6,4"/>
        <filter val="6,6"/>
        <filter val="7"/>
      </filters>
    </filterColumn>
    <filterColumn colId="11">
      <customFilters>
        <customFilter operator="notEqual" val=" "/>
      </customFilters>
    </filterColumn>
    <sortState xmlns:xlrd2="http://schemas.microsoft.com/office/spreadsheetml/2017/richdata2" ref="A2:L1476">
      <sortCondition ref="A1:A1474"/>
    </sortState>
  </autoFilter>
  <phoneticPr fontId="8" type="noConversion"/>
  <conditionalFormatting sqref="A1:D1">
    <cfRule type="duplicateValues" dxfId="8" priority="16"/>
  </conditionalFormatting>
  <conditionalFormatting sqref="A1:L1 A2:J418 K2:L1258 E419:J1108 A419:D1109 C1110:D1562 N1142:N1144 K1259:K1438 L1259:L1509">
    <cfRule type="containsBlanks" dxfId="7" priority="7">
      <formula>LEN(TRIM(A1))=0</formula>
    </cfRule>
  </conditionalFormatting>
  <conditionalFormatting sqref="B1475:B1562">
    <cfRule type="containsBlanks" dxfId="6" priority="4">
      <formula>LEN(TRIM(B1475))=0</formula>
    </cfRule>
  </conditionalFormatting>
  <conditionalFormatting sqref="D1475:K1562">
    <cfRule type="containsBlanks" dxfId="5" priority="1">
      <formula>LEN(TRIM(D1475))=0</formula>
    </cfRule>
  </conditionalFormatting>
  <conditionalFormatting sqref="K1440">
    <cfRule type="containsBlanks" dxfId="4" priority="6">
      <formula>LEN(TRIM(K1440))=0</formula>
    </cfRule>
  </conditionalFormatting>
  <conditionalFormatting sqref="K1442:K1474">
    <cfRule type="containsBlanks" dxfId="3" priority="5">
      <formula>LEN(TRIM(K1442))=0</formula>
    </cfRule>
  </conditionalFormatting>
  <conditionalFormatting sqref="K1287:L1562 M1498">
    <cfRule type="containsBlanks" dxfId="2" priority="2">
      <formula>LEN(TRIM(K1287))=0</formula>
    </cfRule>
  </conditionalFormatting>
  <conditionalFormatting sqref="N1">
    <cfRule type="duplicateValues" dxfId="1" priority="8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1D3-B043-4086-A681-FFD4CB2A3C5A}">
  <dimension ref="A1:AA150"/>
  <sheetViews>
    <sheetView workbookViewId="0">
      <selection sqref="A1:L1048576"/>
    </sheetView>
  </sheetViews>
  <sheetFormatPr baseColWidth="10" defaultRowHeight="15" x14ac:dyDescent="0.25"/>
  <cols>
    <col min="2" max="3" width="11.42578125" style="36"/>
    <col min="9" max="9" width="13.28515625" bestFit="1" customWidth="1"/>
    <col min="10" max="10" width="13.5703125" bestFit="1" customWidth="1"/>
    <col min="14" max="14" width="29" bestFit="1" customWidth="1"/>
    <col min="15" max="15" width="24.42578125" bestFit="1" customWidth="1"/>
    <col min="16" max="16" width="12.5703125" bestFit="1" customWidth="1"/>
    <col min="17" max="19" width="3" bestFit="1" customWidth="1"/>
    <col min="20" max="20" width="2" bestFit="1" customWidth="1"/>
    <col min="21" max="22" width="3" bestFit="1" customWidth="1"/>
    <col min="23" max="23" width="2" bestFit="1" customWidth="1"/>
    <col min="24" max="26" width="3" bestFit="1" customWidth="1"/>
    <col min="27" max="27" width="12.5703125" bestFit="1" customWidth="1"/>
  </cols>
  <sheetData>
    <row r="1" spans="1:27" x14ac:dyDescent="0.25">
      <c r="A1" t="s">
        <v>6</v>
      </c>
      <c r="B1" s="36" t="s">
        <v>2</v>
      </c>
      <c r="C1" s="36" t="s">
        <v>16</v>
      </c>
      <c r="D1" t="s">
        <v>3</v>
      </c>
      <c r="E1" t="s">
        <v>7</v>
      </c>
      <c r="F1" t="s">
        <v>8</v>
      </c>
      <c r="G1" t="s">
        <v>0</v>
      </c>
      <c r="H1" t="s">
        <v>1</v>
      </c>
      <c r="I1" t="s">
        <v>82</v>
      </c>
      <c r="J1" t="s">
        <v>5</v>
      </c>
      <c r="K1" t="s">
        <v>117</v>
      </c>
      <c r="L1" t="s">
        <v>28</v>
      </c>
      <c r="N1" s="38" t="s">
        <v>0</v>
      </c>
      <c r="O1" t="s">
        <v>122</v>
      </c>
      <c r="P1" s="39" t="s">
        <v>127</v>
      </c>
    </row>
    <row r="2" spans="1:27" x14ac:dyDescent="0.25">
      <c r="A2">
        <v>6701</v>
      </c>
      <c r="B2" s="36">
        <v>44495</v>
      </c>
      <c r="C2" s="37">
        <f>MONTH(B2)</f>
        <v>10</v>
      </c>
      <c r="D2" t="s">
        <v>18</v>
      </c>
      <c r="E2" t="s">
        <v>20</v>
      </c>
      <c r="F2" t="s">
        <v>44</v>
      </c>
      <c r="G2">
        <v>225.04900000000001</v>
      </c>
      <c r="H2">
        <v>195.54</v>
      </c>
      <c r="I2">
        <v>3.8</v>
      </c>
      <c r="J2">
        <v>13.7</v>
      </c>
      <c r="K2">
        <f>H2/G2*100</f>
        <v>86.887744446764927</v>
      </c>
      <c r="L2">
        <f>(H2 - (H2*(I2/100))) / (G2 - (G2*(J2/100)))*100</f>
        <v>96.855168201376429</v>
      </c>
      <c r="N2" s="38" t="s">
        <v>1</v>
      </c>
      <c r="O2" t="s">
        <v>122</v>
      </c>
      <c r="P2" t="s">
        <v>128</v>
      </c>
    </row>
    <row r="3" spans="1:27" x14ac:dyDescent="0.25">
      <c r="A3">
        <v>6706</v>
      </c>
      <c r="B3" s="36">
        <v>44500</v>
      </c>
      <c r="C3" s="37">
        <f t="shared" ref="C3:C66" si="0">MONTH(B3)</f>
        <v>10</v>
      </c>
      <c r="D3" t="s">
        <v>17</v>
      </c>
      <c r="E3" t="s">
        <v>19</v>
      </c>
      <c r="F3" t="s">
        <v>41</v>
      </c>
      <c r="G3">
        <v>230.01599999999999</v>
      </c>
      <c r="H3">
        <v>193.58600000000001</v>
      </c>
      <c r="I3">
        <v>3.6</v>
      </c>
      <c r="J3">
        <v>13.6</v>
      </c>
      <c r="K3">
        <f t="shared" ref="K3:K66" si="1">H3/G3*100</f>
        <v>84.161971341124115</v>
      </c>
      <c r="L3">
        <f t="shared" ref="L3:L66" si="2">(H3 - (H3*(I3/100))) / (G3 - (G3*(J3/100)))*100</f>
        <v>93.902940246346802</v>
      </c>
      <c r="N3" s="38" t="s">
        <v>5</v>
      </c>
      <c r="O3" t="s">
        <v>122</v>
      </c>
      <c r="P3" t="s">
        <v>123</v>
      </c>
    </row>
    <row r="4" spans="1:27" x14ac:dyDescent="0.25">
      <c r="A4">
        <v>6711</v>
      </c>
      <c r="B4" s="36">
        <v>44505</v>
      </c>
      <c r="C4" s="37">
        <f t="shared" si="0"/>
        <v>11</v>
      </c>
      <c r="D4" t="s">
        <v>18</v>
      </c>
      <c r="E4" t="s">
        <v>20</v>
      </c>
      <c r="F4" t="s">
        <v>44</v>
      </c>
      <c r="G4">
        <v>225.024</v>
      </c>
      <c r="H4">
        <v>191.89500000000001</v>
      </c>
      <c r="I4">
        <v>4.3</v>
      </c>
      <c r="J4">
        <v>13.4</v>
      </c>
      <c r="K4">
        <f t="shared" si="1"/>
        <v>85.277570392491469</v>
      </c>
      <c r="L4">
        <f t="shared" si="2"/>
        <v>94.238608389854889</v>
      </c>
      <c r="N4" s="38" t="s">
        <v>82</v>
      </c>
      <c r="O4" t="s">
        <v>129</v>
      </c>
      <c r="P4" t="s">
        <v>124</v>
      </c>
    </row>
    <row r="5" spans="1:27" x14ac:dyDescent="0.25">
      <c r="A5">
        <v>6716</v>
      </c>
      <c r="B5" s="36">
        <v>44510</v>
      </c>
      <c r="C5" s="37">
        <f t="shared" si="0"/>
        <v>11</v>
      </c>
      <c r="D5" t="s">
        <v>37</v>
      </c>
      <c r="E5" t="s">
        <v>19</v>
      </c>
      <c r="F5" t="s">
        <v>40</v>
      </c>
      <c r="G5">
        <v>230.00800000000001</v>
      </c>
      <c r="H5">
        <v>192.04499999999999</v>
      </c>
      <c r="I5">
        <v>3.5</v>
      </c>
      <c r="J5">
        <v>14.6</v>
      </c>
      <c r="K5">
        <f t="shared" si="1"/>
        <v>83.494921915759448</v>
      </c>
      <c r="L5">
        <f t="shared" si="2"/>
        <v>94.347306380219976</v>
      </c>
      <c r="N5" s="38" t="s">
        <v>117</v>
      </c>
      <c r="O5" t="s">
        <v>129</v>
      </c>
      <c r="P5" t="s">
        <v>125</v>
      </c>
    </row>
    <row r="6" spans="1:27" x14ac:dyDescent="0.25">
      <c r="A6">
        <v>6721</v>
      </c>
      <c r="B6" s="36">
        <v>44515</v>
      </c>
      <c r="C6" s="37">
        <f t="shared" si="0"/>
        <v>11</v>
      </c>
      <c r="D6" t="s">
        <v>18</v>
      </c>
      <c r="E6" t="s">
        <v>20</v>
      </c>
      <c r="F6" t="s">
        <v>44</v>
      </c>
      <c r="G6">
        <v>224.995</v>
      </c>
      <c r="H6">
        <v>189.10300000000001</v>
      </c>
      <c r="I6">
        <v>4</v>
      </c>
      <c r="J6">
        <v>12.9</v>
      </c>
      <c r="K6">
        <f t="shared" si="1"/>
        <v>84.047645503233397</v>
      </c>
      <c r="L6">
        <f t="shared" si="2"/>
        <v>92.635751645354844</v>
      </c>
      <c r="N6" s="38" t="s">
        <v>28</v>
      </c>
      <c r="O6" t="s">
        <v>129</v>
      </c>
      <c r="P6" t="s">
        <v>126</v>
      </c>
    </row>
    <row r="7" spans="1:27" x14ac:dyDescent="0.25">
      <c r="A7">
        <v>6732</v>
      </c>
      <c r="B7" s="36">
        <v>44526</v>
      </c>
      <c r="C7" s="37">
        <f t="shared" si="0"/>
        <v>11</v>
      </c>
      <c r="D7" t="s">
        <v>18</v>
      </c>
      <c r="E7" t="s">
        <v>20</v>
      </c>
      <c r="F7" t="s">
        <v>45</v>
      </c>
      <c r="G7">
        <v>225.001</v>
      </c>
      <c r="H7">
        <v>185.64599999999999</v>
      </c>
      <c r="I7">
        <v>3.8</v>
      </c>
      <c r="J7">
        <v>12</v>
      </c>
      <c r="K7">
        <f t="shared" si="1"/>
        <v>82.508966626814981</v>
      </c>
      <c r="L7">
        <f t="shared" si="2"/>
        <v>90.197302153404564</v>
      </c>
    </row>
    <row r="8" spans="1:27" x14ac:dyDescent="0.25">
      <c r="A8">
        <v>6733</v>
      </c>
      <c r="B8" s="36">
        <v>44527</v>
      </c>
      <c r="C8" s="37">
        <f t="shared" si="0"/>
        <v>11</v>
      </c>
      <c r="D8" t="s">
        <v>18</v>
      </c>
      <c r="E8" t="s">
        <v>20</v>
      </c>
      <c r="F8" t="s">
        <v>45</v>
      </c>
      <c r="G8">
        <v>225.001</v>
      </c>
      <c r="H8">
        <v>204.24</v>
      </c>
      <c r="I8">
        <v>4.2</v>
      </c>
      <c r="J8">
        <v>12</v>
      </c>
      <c r="K8">
        <f t="shared" si="1"/>
        <v>90.772929898089345</v>
      </c>
      <c r="L8">
        <f t="shared" si="2"/>
        <v>98.818712320874539</v>
      </c>
      <c r="N8" s="38" t="s">
        <v>121</v>
      </c>
      <c r="O8" s="38" t="s">
        <v>120</v>
      </c>
    </row>
    <row r="9" spans="1:27" x14ac:dyDescent="0.25">
      <c r="A9">
        <v>6734</v>
      </c>
      <c r="B9" s="36">
        <v>44528</v>
      </c>
      <c r="C9" s="37">
        <f t="shared" si="0"/>
        <v>11</v>
      </c>
      <c r="D9" t="s">
        <v>18</v>
      </c>
      <c r="E9" t="s">
        <v>20</v>
      </c>
      <c r="F9" t="s">
        <v>42</v>
      </c>
      <c r="G9">
        <v>225.00200000000001</v>
      </c>
      <c r="H9">
        <v>189.059</v>
      </c>
      <c r="I9">
        <v>4.4000000000000004</v>
      </c>
      <c r="J9">
        <v>13.5</v>
      </c>
      <c r="K9">
        <f t="shared" si="1"/>
        <v>84.025475329108176</v>
      </c>
      <c r="L9">
        <f t="shared" si="2"/>
        <v>92.865149612286018</v>
      </c>
      <c r="N9" s="38" t="s">
        <v>118</v>
      </c>
      <c r="O9">
        <v>1</v>
      </c>
      <c r="P9">
        <v>2</v>
      </c>
      <c r="Q9">
        <v>3</v>
      </c>
      <c r="R9">
        <v>4</v>
      </c>
      <c r="S9">
        <v>5</v>
      </c>
      <c r="T9">
        <v>6</v>
      </c>
      <c r="U9">
        <v>7</v>
      </c>
      <c r="V9">
        <v>8</v>
      </c>
      <c r="W9">
        <v>9</v>
      </c>
      <c r="X9">
        <v>10</v>
      </c>
      <c r="Y9">
        <v>11</v>
      </c>
      <c r="Z9">
        <v>12</v>
      </c>
      <c r="AA9" t="s">
        <v>119</v>
      </c>
    </row>
    <row r="10" spans="1:27" x14ac:dyDescent="0.25">
      <c r="A10">
        <v>6739</v>
      </c>
      <c r="B10" s="36">
        <v>44533</v>
      </c>
      <c r="C10" s="37">
        <f t="shared" si="0"/>
        <v>12</v>
      </c>
      <c r="D10" t="s">
        <v>46</v>
      </c>
      <c r="E10" t="s">
        <v>19</v>
      </c>
      <c r="F10" t="s">
        <v>47</v>
      </c>
      <c r="G10">
        <v>225.018</v>
      </c>
      <c r="H10">
        <v>192.15299999999999</v>
      </c>
      <c r="I10">
        <v>4.9000000000000004</v>
      </c>
      <c r="J10">
        <v>13.3</v>
      </c>
      <c r="K10">
        <f t="shared" si="1"/>
        <v>85.394501773191479</v>
      </c>
      <c r="L10">
        <f t="shared" si="2"/>
        <v>93.668017515922827</v>
      </c>
      <c r="N10" s="39" t="s">
        <v>20</v>
      </c>
      <c r="O10" s="37"/>
      <c r="P10" s="37"/>
      <c r="Q10" s="37"/>
      <c r="R10" s="37"/>
      <c r="S10" s="37">
        <v>1</v>
      </c>
      <c r="T10" s="37"/>
      <c r="U10" s="37"/>
      <c r="V10" s="37"/>
      <c r="W10" s="37"/>
      <c r="X10" s="37"/>
      <c r="Y10" s="37"/>
      <c r="Z10" s="37"/>
      <c r="AA10" s="37">
        <v>1</v>
      </c>
    </row>
    <row r="11" spans="1:27" x14ac:dyDescent="0.25">
      <c r="A11">
        <v>6744</v>
      </c>
      <c r="B11" s="36">
        <v>44538</v>
      </c>
      <c r="C11" s="37">
        <f t="shared" si="0"/>
        <v>12</v>
      </c>
      <c r="D11" t="s">
        <v>18</v>
      </c>
      <c r="E11" t="s">
        <v>19</v>
      </c>
      <c r="F11" t="s">
        <v>40</v>
      </c>
      <c r="G11">
        <v>229.95400000000001</v>
      </c>
      <c r="H11">
        <v>192.9</v>
      </c>
      <c r="I11">
        <v>3.9</v>
      </c>
      <c r="J11">
        <v>13.8</v>
      </c>
      <c r="K11">
        <f t="shared" si="1"/>
        <v>83.886342485888477</v>
      </c>
      <c r="L11">
        <f t="shared" si="2"/>
        <v>93.520620799232987</v>
      </c>
      <c r="N11" s="39" t="s">
        <v>19</v>
      </c>
      <c r="O11" s="37"/>
      <c r="P11" s="37"/>
      <c r="Q11" s="37"/>
      <c r="R11" s="37"/>
      <c r="S11" s="37">
        <v>5</v>
      </c>
      <c r="T11" s="37"/>
      <c r="U11" s="37"/>
      <c r="V11" s="37"/>
      <c r="W11" s="37"/>
      <c r="X11" s="37"/>
      <c r="Y11" s="37"/>
      <c r="Z11" s="37"/>
      <c r="AA11" s="37">
        <v>5</v>
      </c>
    </row>
    <row r="12" spans="1:27" x14ac:dyDescent="0.25">
      <c r="A12">
        <v>6747</v>
      </c>
      <c r="B12" s="36">
        <v>44541</v>
      </c>
      <c r="C12" s="37">
        <f t="shared" si="0"/>
        <v>12</v>
      </c>
      <c r="D12" t="s">
        <v>18</v>
      </c>
      <c r="E12" t="s">
        <v>20</v>
      </c>
      <c r="F12" t="s">
        <v>44</v>
      </c>
      <c r="G12">
        <v>225</v>
      </c>
      <c r="H12">
        <v>198.16800000000001</v>
      </c>
      <c r="I12">
        <v>5.3</v>
      </c>
      <c r="J12">
        <v>13.9</v>
      </c>
      <c r="K12">
        <f t="shared" si="1"/>
        <v>88.074666666666673</v>
      </c>
      <c r="L12">
        <f t="shared" si="2"/>
        <v>96.871903987611304</v>
      </c>
      <c r="N12" s="39" t="s">
        <v>52</v>
      </c>
      <c r="O12" s="37"/>
      <c r="P12" s="37"/>
      <c r="Q12" s="37"/>
      <c r="R12" s="37"/>
      <c r="S12" s="37"/>
      <c r="T12" s="37">
        <v>1</v>
      </c>
      <c r="U12" s="37">
        <v>2</v>
      </c>
      <c r="V12" s="37">
        <v>1</v>
      </c>
      <c r="W12" s="37"/>
      <c r="X12" s="37"/>
      <c r="Y12" s="37"/>
      <c r="Z12" s="37"/>
      <c r="AA12" s="37">
        <v>4</v>
      </c>
    </row>
    <row r="13" spans="1:27" x14ac:dyDescent="0.25">
      <c r="A13">
        <v>6752</v>
      </c>
      <c r="B13" s="36">
        <v>44546</v>
      </c>
      <c r="C13" s="37">
        <f t="shared" si="0"/>
        <v>12</v>
      </c>
      <c r="D13" t="s">
        <v>17</v>
      </c>
      <c r="E13" t="s">
        <v>19</v>
      </c>
      <c r="F13" t="s">
        <v>35</v>
      </c>
      <c r="G13">
        <v>225</v>
      </c>
      <c r="H13">
        <v>190.273</v>
      </c>
      <c r="I13">
        <v>4.2</v>
      </c>
      <c r="J13">
        <v>14.1</v>
      </c>
      <c r="K13">
        <f t="shared" si="1"/>
        <v>84.565777777777768</v>
      </c>
      <c r="L13">
        <f t="shared" si="2"/>
        <v>94.312008278359855</v>
      </c>
      <c r="N13" s="39" t="s">
        <v>18</v>
      </c>
      <c r="O13" s="37">
        <v>7</v>
      </c>
      <c r="P13" s="37">
        <v>4</v>
      </c>
      <c r="Q13" s="37">
        <v>5</v>
      </c>
      <c r="R13" s="37">
        <v>7</v>
      </c>
      <c r="S13" s="37">
        <v>5</v>
      </c>
      <c r="T13" s="37">
        <v>5</v>
      </c>
      <c r="U13" s="37">
        <v>9</v>
      </c>
      <c r="V13" s="37">
        <v>11</v>
      </c>
      <c r="W13" s="37">
        <v>5</v>
      </c>
      <c r="X13" s="37">
        <v>5</v>
      </c>
      <c r="Y13" s="37">
        <v>10</v>
      </c>
      <c r="Z13" s="37">
        <v>7</v>
      </c>
      <c r="AA13" s="37">
        <v>80</v>
      </c>
    </row>
    <row r="14" spans="1:27" x14ac:dyDescent="0.25">
      <c r="A14">
        <v>6757</v>
      </c>
      <c r="B14" s="36">
        <v>44551</v>
      </c>
      <c r="C14" s="37">
        <f t="shared" si="0"/>
        <v>12</v>
      </c>
      <c r="D14" t="s">
        <v>18</v>
      </c>
      <c r="E14" t="s">
        <v>19</v>
      </c>
      <c r="F14" t="s">
        <v>39</v>
      </c>
      <c r="G14">
        <v>230.00399999999999</v>
      </c>
      <c r="H14">
        <v>194.078</v>
      </c>
      <c r="I14">
        <v>3.4</v>
      </c>
      <c r="J14">
        <v>13.3</v>
      </c>
      <c r="K14">
        <f t="shared" si="1"/>
        <v>84.380271647449618</v>
      </c>
      <c r="L14">
        <f t="shared" si="2"/>
        <v>94.015389171206849</v>
      </c>
      <c r="N14" s="39" t="s">
        <v>17</v>
      </c>
      <c r="O14" s="37">
        <v>1</v>
      </c>
      <c r="P14" s="37">
        <v>2</v>
      </c>
      <c r="Q14" s="37">
        <v>4</v>
      </c>
      <c r="R14" s="37">
        <v>1</v>
      </c>
      <c r="S14" s="37"/>
      <c r="T14" s="37">
        <v>1</v>
      </c>
      <c r="U14" s="37"/>
      <c r="V14" s="37">
        <v>4</v>
      </c>
      <c r="W14" s="37">
        <v>1</v>
      </c>
      <c r="X14" s="37">
        <v>5</v>
      </c>
      <c r="Y14" s="37"/>
      <c r="Z14" s="37">
        <v>5</v>
      </c>
      <c r="AA14" s="37">
        <v>24</v>
      </c>
    </row>
    <row r="15" spans="1:27" x14ac:dyDescent="0.25">
      <c r="A15">
        <v>6758</v>
      </c>
      <c r="B15" s="36">
        <v>44552</v>
      </c>
      <c r="C15" s="37">
        <f t="shared" si="0"/>
        <v>12</v>
      </c>
      <c r="D15" t="s">
        <v>17</v>
      </c>
      <c r="E15" t="s">
        <v>19</v>
      </c>
      <c r="F15" t="s">
        <v>40</v>
      </c>
      <c r="G15">
        <v>230.00399999999999</v>
      </c>
      <c r="H15">
        <v>197.399</v>
      </c>
      <c r="I15">
        <v>3.7</v>
      </c>
      <c r="J15">
        <v>13.9</v>
      </c>
      <c r="K15">
        <f t="shared" si="1"/>
        <v>85.824159579833406</v>
      </c>
      <c r="L15">
        <f t="shared" si="2"/>
        <v>95.991481620649907</v>
      </c>
      <c r="N15" s="39" t="s">
        <v>37</v>
      </c>
      <c r="O15" s="37">
        <v>1</v>
      </c>
      <c r="P15" s="37"/>
      <c r="Q15" s="37">
        <v>1</v>
      </c>
      <c r="R15" s="37">
        <v>1</v>
      </c>
      <c r="S15" s="37">
        <v>1</v>
      </c>
      <c r="T15" s="37"/>
      <c r="U15" s="37"/>
      <c r="V15" s="37">
        <v>1</v>
      </c>
      <c r="W15" s="37"/>
      <c r="X15" s="37"/>
      <c r="Y15" s="37">
        <v>1</v>
      </c>
      <c r="Z15" s="37"/>
      <c r="AA15" s="37">
        <v>6</v>
      </c>
    </row>
    <row r="16" spans="1:27" x14ac:dyDescent="0.25">
      <c r="A16">
        <v>6759</v>
      </c>
      <c r="B16" s="36">
        <v>44553</v>
      </c>
      <c r="C16" s="37">
        <f t="shared" si="0"/>
        <v>12</v>
      </c>
      <c r="D16" t="s">
        <v>17</v>
      </c>
      <c r="E16" t="s">
        <v>19</v>
      </c>
      <c r="F16" t="s">
        <v>40</v>
      </c>
      <c r="G16">
        <v>230.005</v>
      </c>
      <c r="H16">
        <v>200.97900000000001</v>
      </c>
      <c r="I16">
        <v>4.2</v>
      </c>
      <c r="J16">
        <v>13.9</v>
      </c>
      <c r="K16">
        <f t="shared" si="1"/>
        <v>87.380274341862147</v>
      </c>
      <c r="L16">
        <f t="shared" si="2"/>
        <v>97.224509662606195</v>
      </c>
      <c r="N16" s="39" t="s">
        <v>38</v>
      </c>
      <c r="O16" s="37"/>
      <c r="P16" s="37"/>
      <c r="Q16" s="37">
        <v>2</v>
      </c>
      <c r="R16" s="37">
        <v>1</v>
      </c>
      <c r="S16" s="37"/>
      <c r="T16" s="37">
        <v>2</v>
      </c>
      <c r="U16" s="37">
        <v>2</v>
      </c>
      <c r="V16" s="37">
        <v>6</v>
      </c>
      <c r="W16" s="37"/>
      <c r="X16" s="37"/>
      <c r="Y16" s="37"/>
      <c r="Z16" s="37"/>
      <c r="AA16" s="37">
        <v>13</v>
      </c>
    </row>
    <row r="17" spans="1:27" x14ac:dyDescent="0.25">
      <c r="A17">
        <v>6762</v>
      </c>
      <c r="B17" s="36">
        <v>44556</v>
      </c>
      <c r="C17" s="37">
        <f t="shared" si="0"/>
        <v>12</v>
      </c>
      <c r="D17" t="s">
        <v>17</v>
      </c>
      <c r="E17" t="s">
        <v>19</v>
      </c>
      <c r="F17" t="s">
        <v>40</v>
      </c>
      <c r="G17">
        <v>230.00299999999999</v>
      </c>
      <c r="H17">
        <v>197.30600000000001</v>
      </c>
      <c r="I17">
        <v>6.2</v>
      </c>
      <c r="J17">
        <v>12.8</v>
      </c>
      <c r="K17">
        <f t="shared" si="1"/>
        <v>85.78409846828086</v>
      </c>
      <c r="L17">
        <f t="shared" si="2"/>
        <v>92.276931609228726</v>
      </c>
      <c r="N17" s="39" t="s">
        <v>46</v>
      </c>
      <c r="O17" s="37">
        <v>2</v>
      </c>
      <c r="P17" s="37">
        <v>1</v>
      </c>
      <c r="Q17" s="37"/>
      <c r="R17" s="37"/>
      <c r="S17" s="37"/>
      <c r="T17" s="37"/>
      <c r="U17" s="37"/>
      <c r="V17" s="37"/>
      <c r="W17" s="37"/>
      <c r="X17" s="37"/>
      <c r="Y17" s="37"/>
      <c r="Z17" s="37">
        <v>1</v>
      </c>
      <c r="AA17" s="37">
        <v>4</v>
      </c>
    </row>
    <row r="18" spans="1:27" x14ac:dyDescent="0.25">
      <c r="A18">
        <v>6764</v>
      </c>
      <c r="B18" s="36">
        <v>44558</v>
      </c>
      <c r="C18" s="37">
        <f t="shared" si="0"/>
        <v>12</v>
      </c>
      <c r="D18" t="s">
        <v>17</v>
      </c>
      <c r="E18" t="s">
        <v>19</v>
      </c>
      <c r="F18" t="s">
        <v>41</v>
      </c>
      <c r="G18">
        <v>230</v>
      </c>
      <c r="H18">
        <v>197.202</v>
      </c>
      <c r="I18">
        <v>3.7</v>
      </c>
      <c r="J18">
        <v>14</v>
      </c>
      <c r="K18">
        <f t="shared" si="1"/>
        <v>85.74</v>
      </c>
      <c r="L18">
        <f t="shared" si="2"/>
        <v>96.008860465116271</v>
      </c>
      <c r="N18" s="39" t="s">
        <v>119</v>
      </c>
      <c r="O18" s="37">
        <v>11</v>
      </c>
      <c r="P18" s="37">
        <v>7</v>
      </c>
      <c r="Q18" s="37">
        <v>12</v>
      </c>
      <c r="R18" s="37">
        <v>10</v>
      </c>
      <c r="S18" s="37">
        <v>12</v>
      </c>
      <c r="T18" s="37">
        <v>9</v>
      </c>
      <c r="U18" s="37">
        <v>13</v>
      </c>
      <c r="V18" s="37">
        <v>23</v>
      </c>
      <c r="W18" s="37">
        <v>6</v>
      </c>
      <c r="X18" s="37">
        <v>10</v>
      </c>
      <c r="Y18" s="37">
        <v>11</v>
      </c>
      <c r="Z18" s="37">
        <v>13</v>
      </c>
      <c r="AA18" s="37">
        <v>137</v>
      </c>
    </row>
    <row r="19" spans="1:27" x14ac:dyDescent="0.25">
      <c r="A19">
        <v>6769</v>
      </c>
      <c r="B19" s="36">
        <v>44563</v>
      </c>
      <c r="C19" s="37">
        <f t="shared" si="0"/>
        <v>1</v>
      </c>
      <c r="D19" t="s">
        <v>18</v>
      </c>
      <c r="E19" t="s">
        <v>19</v>
      </c>
      <c r="F19" t="s">
        <v>41</v>
      </c>
      <c r="G19">
        <v>230.01300000000001</v>
      </c>
      <c r="H19">
        <v>187.98599999999999</v>
      </c>
      <c r="I19">
        <v>3.4</v>
      </c>
      <c r="J19">
        <v>13.8</v>
      </c>
      <c r="K19">
        <f t="shared" si="1"/>
        <v>81.728424045597421</v>
      </c>
      <c r="L19">
        <f t="shared" si="2"/>
        <v>91.588929962931672</v>
      </c>
    </row>
    <row r="20" spans="1:27" x14ac:dyDescent="0.25">
      <c r="A20">
        <v>6773</v>
      </c>
      <c r="B20" s="36">
        <v>44567</v>
      </c>
      <c r="C20" s="37">
        <f t="shared" si="0"/>
        <v>1</v>
      </c>
      <c r="D20" t="s">
        <v>18</v>
      </c>
      <c r="E20" t="s">
        <v>19</v>
      </c>
      <c r="F20" t="s">
        <v>40</v>
      </c>
      <c r="G20">
        <v>230.02099999999999</v>
      </c>
      <c r="H20">
        <v>192.42599999999999</v>
      </c>
      <c r="I20">
        <v>3.6</v>
      </c>
      <c r="J20">
        <v>14.3</v>
      </c>
      <c r="K20">
        <f t="shared" si="1"/>
        <v>83.655840118945662</v>
      </c>
      <c r="L20">
        <f t="shared" si="2"/>
        <v>94.100618290155907</v>
      </c>
    </row>
    <row r="21" spans="1:27" x14ac:dyDescent="0.25">
      <c r="A21">
        <v>6778</v>
      </c>
      <c r="B21" s="36">
        <v>44572</v>
      </c>
      <c r="C21" s="37">
        <f t="shared" si="0"/>
        <v>1</v>
      </c>
      <c r="D21" t="s">
        <v>46</v>
      </c>
      <c r="E21" t="s">
        <v>20</v>
      </c>
      <c r="F21" t="s">
        <v>48</v>
      </c>
      <c r="G21">
        <v>225.01599999999999</v>
      </c>
      <c r="H21">
        <v>190.58799999999999</v>
      </c>
      <c r="I21">
        <v>4.8</v>
      </c>
      <c r="J21">
        <v>12.7</v>
      </c>
      <c r="K21">
        <f t="shared" si="1"/>
        <v>84.699754684111355</v>
      </c>
      <c r="L21">
        <f t="shared" si="2"/>
        <v>92.364451843383748</v>
      </c>
    </row>
    <row r="22" spans="1:27" x14ac:dyDescent="0.25">
      <c r="A22">
        <v>6783</v>
      </c>
      <c r="B22" s="36">
        <v>44577</v>
      </c>
      <c r="C22" s="37">
        <f t="shared" si="0"/>
        <v>1</v>
      </c>
      <c r="D22" t="s">
        <v>37</v>
      </c>
      <c r="E22" t="s">
        <v>19</v>
      </c>
      <c r="F22" t="s">
        <v>40</v>
      </c>
      <c r="G22">
        <v>229.994</v>
      </c>
      <c r="H22">
        <v>194.578</v>
      </c>
      <c r="I22">
        <v>3.6</v>
      </c>
      <c r="J22">
        <v>13.1</v>
      </c>
      <c r="K22">
        <f t="shared" si="1"/>
        <v>84.601337426193723</v>
      </c>
      <c r="L22">
        <f t="shared" si="2"/>
        <v>93.850045200058403</v>
      </c>
    </row>
    <row r="23" spans="1:27" x14ac:dyDescent="0.25">
      <c r="A23">
        <v>6787</v>
      </c>
      <c r="B23" s="36">
        <v>44581</v>
      </c>
      <c r="C23" s="37">
        <f t="shared" si="0"/>
        <v>1</v>
      </c>
      <c r="D23" t="s">
        <v>17</v>
      </c>
      <c r="E23" t="s">
        <v>19</v>
      </c>
      <c r="F23" t="s">
        <v>41</v>
      </c>
      <c r="G23">
        <v>230.001</v>
      </c>
      <c r="H23">
        <v>191.428</v>
      </c>
      <c r="I23">
        <v>3.5</v>
      </c>
      <c r="J23">
        <v>13.7</v>
      </c>
      <c r="K23">
        <f t="shared" si="1"/>
        <v>83.229203351289769</v>
      </c>
      <c r="L23">
        <f t="shared" si="2"/>
        <v>93.066258672067931</v>
      </c>
    </row>
    <row r="24" spans="1:27" x14ac:dyDescent="0.25">
      <c r="A24">
        <v>6791</v>
      </c>
      <c r="B24" s="36">
        <v>44585</v>
      </c>
      <c r="C24" s="37">
        <f t="shared" si="0"/>
        <v>1</v>
      </c>
      <c r="D24" t="s">
        <v>46</v>
      </c>
      <c r="E24" t="s">
        <v>19</v>
      </c>
      <c r="F24" t="s">
        <v>49</v>
      </c>
      <c r="G24">
        <v>225</v>
      </c>
      <c r="H24">
        <v>188.1</v>
      </c>
      <c r="I24">
        <v>3.2</v>
      </c>
      <c r="J24">
        <v>13.8</v>
      </c>
      <c r="K24">
        <f t="shared" si="1"/>
        <v>83.6</v>
      </c>
      <c r="L24">
        <f t="shared" si="2"/>
        <v>93.880278422273776</v>
      </c>
    </row>
    <row r="25" spans="1:27" x14ac:dyDescent="0.25">
      <c r="A25">
        <v>6796</v>
      </c>
      <c r="B25" s="36">
        <v>44590</v>
      </c>
      <c r="C25" s="37">
        <f t="shared" si="0"/>
        <v>1</v>
      </c>
      <c r="D25" t="s">
        <v>18</v>
      </c>
      <c r="E25" t="s">
        <v>19</v>
      </c>
      <c r="F25" t="s">
        <v>41</v>
      </c>
      <c r="G25">
        <v>230.00399999999999</v>
      </c>
      <c r="H25">
        <v>197.3</v>
      </c>
      <c r="I25">
        <v>3.6</v>
      </c>
      <c r="J25">
        <v>13.2</v>
      </c>
      <c r="K25">
        <f t="shared" si="1"/>
        <v>85.781116850141743</v>
      </c>
      <c r="L25">
        <f t="shared" si="2"/>
        <v>95.268429312830222</v>
      </c>
    </row>
    <row r="26" spans="1:27" x14ac:dyDescent="0.25">
      <c r="A26">
        <v>6801</v>
      </c>
      <c r="B26" s="36">
        <v>44595</v>
      </c>
      <c r="C26" s="37">
        <f t="shared" si="0"/>
        <v>2</v>
      </c>
      <c r="D26" t="s">
        <v>17</v>
      </c>
      <c r="E26" t="s">
        <v>19</v>
      </c>
      <c r="F26" t="s">
        <v>40</v>
      </c>
      <c r="G26">
        <v>230.06800000000001</v>
      </c>
      <c r="H26">
        <v>195.119</v>
      </c>
      <c r="I26">
        <v>3.7</v>
      </c>
      <c r="J26">
        <v>14.2</v>
      </c>
      <c r="K26">
        <f t="shared" si="1"/>
        <v>84.809273779925931</v>
      </c>
      <c r="L26">
        <f t="shared" si="2"/>
        <v>95.1880310606861</v>
      </c>
    </row>
    <row r="27" spans="1:27" x14ac:dyDescent="0.25">
      <c r="A27">
        <v>6802</v>
      </c>
      <c r="B27" s="36">
        <v>44596</v>
      </c>
      <c r="C27" s="37">
        <f t="shared" si="0"/>
        <v>2</v>
      </c>
      <c r="D27" t="s">
        <v>17</v>
      </c>
      <c r="E27" t="s">
        <v>19</v>
      </c>
      <c r="F27" t="s">
        <v>40</v>
      </c>
      <c r="G27">
        <v>229.99700000000001</v>
      </c>
      <c r="H27">
        <v>181.58699999999999</v>
      </c>
      <c r="I27">
        <v>4.0999999999999996</v>
      </c>
      <c r="J27">
        <v>14</v>
      </c>
      <c r="K27">
        <f t="shared" si="1"/>
        <v>78.951899372600494</v>
      </c>
      <c r="L27">
        <f t="shared" si="2"/>
        <v>88.040548253864984</v>
      </c>
    </row>
    <row r="28" spans="1:27" x14ac:dyDescent="0.25">
      <c r="A28">
        <v>6803</v>
      </c>
      <c r="B28" s="36">
        <v>44597</v>
      </c>
      <c r="C28" s="37">
        <f t="shared" si="0"/>
        <v>2</v>
      </c>
      <c r="D28" t="s">
        <v>17</v>
      </c>
      <c r="E28" t="s">
        <v>19</v>
      </c>
      <c r="F28" t="s">
        <v>40</v>
      </c>
      <c r="G28">
        <v>229.99700000000001</v>
      </c>
      <c r="H28">
        <v>205.32499999999999</v>
      </c>
      <c r="I28">
        <v>3.5</v>
      </c>
      <c r="J28">
        <v>14</v>
      </c>
      <c r="K28">
        <f t="shared" si="1"/>
        <v>89.272903559611635</v>
      </c>
      <c r="L28">
        <f t="shared" si="2"/>
        <v>100.17250225002934</v>
      </c>
    </row>
    <row r="29" spans="1:27" x14ac:dyDescent="0.25">
      <c r="A29">
        <v>6805</v>
      </c>
      <c r="B29" s="36">
        <v>44599</v>
      </c>
      <c r="C29" s="37">
        <f t="shared" si="0"/>
        <v>2</v>
      </c>
      <c r="D29" t="s">
        <v>17</v>
      </c>
      <c r="E29" t="s">
        <v>20</v>
      </c>
      <c r="F29" t="s">
        <v>42</v>
      </c>
      <c r="G29">
        <v>230.001</v>
      </c>
      <c r="H29">
        <v>206.887</v>
      </c>
      <c r="I29">
        <v>5</v>
      </c>
      <c r="J29">
        <v>13.5</v>
      </c>
      <c r="K29">
        <f t="shared" si="1"/>
        <v>89.950478476180535</v>
      </c>
      <c r="L29">
        <f t="shared" si="2"/>
        <v>98.789542835111575</v>
      </c>
    </row>
    <row r="30" spans="1:27" x14ac:dyDescent="0.25">
      <c r="A30">
        <v>6806</v>
      </c>
      <c r="B30" s="36">
        <v>44600</v>
      </c>
      <c r="C30" s="37">
        <f t="shared" si="0"/>
        <v>2</v>
      </c>
      <c r="D30" t="s">
        <v>17</v>
      </c>
      <c r="E30" t="s">
        <v>20</v>
      </c>
      <c r="F30" t="s">
        <v>42</v>
      </c>
      <c r="G30">
        <v>230.00200000000001</v>
      </c>
      <c r="H30">
        <v>196.00700000000001</v>
      </c>
      <c r="I30">
        <v>4.5</v>
      </c>
      <c r="J30">
        <v>12.7</v>
      </c>
      <c r="K30">
        <f t="shared" si="1"/>
        <v>85.219693741793549</v>
      </c>
      <c r="L30">
        <f t="shared" si="2"/>
        <v>93.224292695776441</v>
      </c>
    </row>
    <row r="31" spans="1:27" x14ac:dyDescent="0.25">
      <c r="A31">
        <v>6814</v>
      </c>
      <c r="B31" s="36">
        <v>44608</v>
      </c>
      <c r="C31" s="37">
        <f t="shared" si="0"/>
        <v>2</v>
      </c>
      <c r="D31" t="s">
        <v>18</v>
      </c>
      <c r="E31" t="s">
        <v>19</v>
      </c>
      <c r="F31" t="s">
        <v>40</v>
      </c>
      <c r="G31">
        <v>230.108</v>
      </c>
      <c r="H31">
        <v>195.03899999999999</v>
      </c>
      <c r="I31">
        <v>5.7</v>
      </c>
      <c r="J31">
        <v>13.5</v>
      </c>
      <c r="K31">
        <f t="shared" si="1"/>
        <v>84.759764979922465</v>
      </c>
      <c r="L31">
        <f t="shared" si="2"/>
        <v>92.402842053256521</v>
      </c>
    </row>
    <row r="32" spans="1:27" x14ac:dyDescent="0.25">
      <c r="A32">
        <v>6819</v>
      </c>
      <c r="B32" s="36">
        <v>44613</v>
      </c>
      <c r="C32" s="37">
        <f t="shared" si="0"/>
        <v>2</v>
      </c>
      <c r="D32" t="s">
        <v>46</v>
      </c>
      <c r="E32" t="s">
        <v>20</v>
      </c>
      <c r="F32" t="s">
        <v>48</v>
      </c>
      <c r="G32">
        <v>225.001</v>
      </c>
      <c r="H32">
        <v>193.733</v>
      </c>
      <c r="I32">
        <v>4.4000000000000004</v>
      </c>
      <c r="J32">
        <v>12.5</v>
      </c>
      <c r="K32">
        <f t="shared" si="1"/>
        <v>86.103172874787219</v>
      </c>
      <c r="L32">
        <f t="shared" si="2"/>
        <v>94.073866592338959</v>
      </c>
    </row>
    <row r="33" spans="1:12" x14ac:dyDescent="0.25">
      <c r="A33">
        <v>6822</v>
      </c>
      <c r="B33" s="36">
        <v>44616</v>
      </c>
      <c r="C33" s="37">
        <f t="shared" si="0"/>
        <v>2</v>
      </c>
      <c r="D33" t="s">
        <v>18</v>
      </c>
      <c r="E33" t="s">
        <v>19</v>
      </c>
      <c r="F33" t="s">
        <v>43</v>
      </c>
      <c r="G33">
        <v>230.03800000000001</v>
      </c>
      <c r="H33">
        <v>195.30600000000001</v>
      </c>
      <c r="I33">
        <v>4.2</v>
      </c>
      <c r="J33">
        <v>14</v>
      </c>
      <c r="K33">
        <f t="shared" si="1"/>
        <v>84.90162494892148</v>
      </c>
      <c r="L33">
        <f t="shared" si="2"/>
        <v>94.576461280310212</v>
      </c>
    </row>
    <row r="34" spans="1:12" x14ac:dyDescent="0.25">
      <c r="A34">
        <v>6827</v>
      </c>
      <c r="B34" s="36">
        <v>44621</v>
      </c>
      <c r="C34" s="37">
        <f t="shared" si="0"/>
        <v>3</v>
      </c>
      <c r="D34" t="s">
        <v>17</v>
      </c>
      <c r="E34" t="s">
        <v>19</v>
      </c>
      <c r="F34" t="s">
        <v>35</v>
      </c>
      <c r="G34">
        <v>230.00299999999999</v>
      </c>
      <c r="H34">
        <v>194.506</v>
      </c>
      <c r="I34">
        <v>3.6</v>
      </c>
      <c r="J34">
        <v>13.9</v>
      </c>
      <c r="K34">
        <f t="shared" si="1"/>
        <v>84.566723042742936</v>
      </c>
      <c r="L34">
        <f t="shared" si="2"/>
        <v>94.683299666903807</v>
      </c>
    </row>
    <row r="35" spans="1:12" x14ac:dyDescent="0.25">
      <c r="A35">
        <v>6832</v>
      </c>
      <c r="B35" s="36">
        <v>44626</v>
      </c>
      <c r="C35" s="37">
        <f t="shared" si="0"/>
        <v>3</v>
      </c>
      <c r="D35" t="s">
        <v>18</v>
      </c>
      <c r="E35" t="s">
        <v>19</v>
      </c>
      <c r="F35" t="s">
        <v>40</v>
      </c>
      <c r="G35">
        <v>230</v>
      </c>
      <c r="H35">
        <v>195.333</v>
      </c>
      <c r="I35">
        <v>3.7</v>
      </c>
      <c r="J35">
        <v>14.2</v>
      </c>
      <c r="K35">
        <f t="shared" si="1"/>
        <v>84.927391304347822</v>
      </c>
      <c r="L35">
        <f t="shared" si="2"/>
        <v>95.320603526907874</v>
      </c>
    </row>
    <row r="36" spans="1:12" x14ac:dyDescent="0.25">
      <c r="A36">
        <v>6839</v>
      </c>
      <c r="B36" s="36">
        <v>44633</v>
      </c>
      <c r="C36" s="37">
        <f t="shared" si="0"/>
        <v>3</v>
      </c>
      <c r="D36" t="s">
        <v>18</v>
      </c>
      <c r="E36" t="s">
        <v>19</v>
      </c>
      <c r="F36" t="s">
        <v>40</v>
      </c>
      <c r="G36">
        <v>230.03</v>
      </c>
      <c r="H36">
        <v>195.126</v>
      </c>
      <c r="I36">
        <v>3.5</v>
      </c>
      <c r="J36">
        <v>14.2</v>
      </c>
      <c r="K36">
        <f t="shared" si="1"/>
        <v>84.826327000825984</v>
      </c>
      <c r="L36">
        <f t="shared" si="2"/>
        <v>95.404901580183065</v>
      </c>
    </row>
    <row r="37" spans="1:12" x14ac:dyDescent="0.25">
      <c r="A37">
        <v>6848</v>
      </c>
      <c r="B37" s="36">
        <v>44642</v>
      </c>
      <c r="C37" s="37">
        <f t="shared" si="0"/>
        <v>3</v>
      </c>
      <c r="D37" t="s">
        <v>17</v>
      </c>
      <c r="E37" t="s">
        <v>19</v>
      </c>
      <c r="F37" t="s">
        <v>49</v>
      </c>
      <c r="G37">
        <v>230.011</v>
      </c>
      <c r="H37">
        <v>193.92500000000001</v>
      </c>
      <c r="I37">
        <v>3.8</v>
      </c>
      <c r="J37">
        <v>13.9</v>
      </c>
      <c r="K37">
        <f t="shared" si="1"/>
        <v>84.311185117233535</v>
      </c>
      <c r="L37">
        <f t="shared" si="2"/>
        <v>94.201347366758029</v>
      </c>
    </row>
    <row r="38" spans="1:12" x14ac:dyDescent="0.25">
      <c r="A38">
        <v>6853</v>
      </c>
      <c r="B38" s="36">
        <v>44647</v>
      </c>
      <c r="C38" s="37">
        <f t="shared" si="0"/>
        <v>3</v>
      </c>
      <c r="D38" t="s">
        <v>18</v>
      </c>
      <c r="E38" t="s">
        <v>19</v>
      </c>
      <c r="F38" t="s">
        <v>40</v>
      </c>
      <c r="G38">
        <v>230.018</v>
      </c>
      <c r="H38">
        <v>191.596</v>
      </c>
      <c r="I38">
        <v>3.1</v>
      </c>
      <c r="J38">
        <v>13.5</v>
      </c>
      <c r="K38">
        <f t="shared" si="1"/>
        <v>83.29608987122748</v>
      </c>
      <c r="L38">
        <f t="shared" si="2"/>
        <v>93.310879867305673</v>
      </c>
    </row>
    <row r="39" spans="1:12" x14ac:dyDescent="0.25">
      <c r="A39">
        <v>6858</v>
      </c>
      <c r="B39" s="36">
        <v>44652</v>
      </c>
      <c r="C39" s="37">
        <f t="shared" si="0"/>
        <v>4</v>
      </c>
      <c r="D39" t="s">
        <v>18</v>
      </c>
      <c r="E39" t="s">
        <v>19</v>
      </c>
      <c r="F39" t="s">
        <v>40</v>
      </c>
      <c r="G39">
        <v>230.005</v>
      </c>
      <c r="H39">
        <v>195.34800000000001</v>
      </c>
      <c r="I39">
        <v>4.9000000000000004</v>
      </c>
      <c r="J39">
        <v>13.3</v>
      </c>
      <c r="K39">
        <f t="shared" si="1"/>
        <v>84.932066694202319</v>
      </c>
      <c r="L39">
        <f t="shared" si="2"/>
        <v>93.160779038277269</v>
      </c>
    </row>
    <row r="40" spans="1:12" x14ac:dyDescent="0.25">
      <c r="A40">
        <v>6863</v>
      </c>
      <c r="B40" s="36">
        <v>44657</v>
      </c>
      <c r="C40" s="37">
        <f t="shared" si="0"/>
        <v>4</v>
      </c>
      <c r="D40" t="s">
        <v>18</v>
      </c>
      <c r="E40" t="s">
        <v>19</v>
      </c>
      <c r="F40" t="s">
        <v>40</v>
      </c>
      <c r="G40">
        <v>229.99100000000001</v>
      </c>
      <c r="H40">
        <v>192.99</v>
      </c>
      <c r="I40">
        <v>4.4000000000000004</v>
      </c>
      <c r="J40">
        <v>13.9</v>
      </c>
      <c r="K40">
        <f t="shared" si="1"/>
        <v>83.911979164402084</v>
      </c>
      <c r="L40">
        <f t="shared" si="2"/>
        <v>93.170559908441803</v>
      </c>
    </row>
    <row r="41" spans="1:12" x14ac:dyDescent="0.25">
      <c r="A41">
        <v>6872</v>
      </c>
      <c r="B41" s="36">
        <v>44666</v>
      </c>
      <c r="C41" s="37">
        <f t="shared" si="0"/>
        <v>4</v>
      </c>
      <c r="D41" t="s">
        <v>18</v>
      </c>
      <c r="E41" t="s">
        <v>19</v>
      </c>
      <c r="F41" t="s">
        <v>40</v>
      </c>
      <c r="G41">
        <v>230.02099999999999</v>
      </c>
      <c r="H41">
        <v>194.45099999999999</v>
      </c>
      <c r="I41">
        <v>3.9</v>
      </c>
      <c r="J41">
        <v>13.6</v>
      </c>
      <c r="K41">
        <f t="shared" si="1"/>
        <v>84.536194521369794</v>
      </c>
      <c r="L41">
        <f t="shared" si="2"/>
        <v>94.026947841477295</v>
      </c>
    </row>
    <row r="42" spans="1:12" x14ac:dyDescent="0.25">
      <c r="A42">
        <v>6879</v>
      </c>
      <c r="B42" s="36">
        <v>44673</v>
      </c>
      <c r="C42" s="37">
        <f t="shared" si="0"/>
        <v>4</v>
      </c>
      <c r="D42" t="s">
        <v>18</v>
      </c>
      <c r="E42" t="s">
        <v>19</v>
      </c>
      <c r="F42" t="s">
        <v>40</v>
      </c>
      <c r="G42">
        <v>230</v>
      </c>
      <c r="H42">
        <v>200.30199999999999</v>
      </c>
      <c r="I42">
        <v>3.5</v>
      </c>
      <c r="J42">
        <v>13.6</v>
      </c>
      <c r="K42">
        <f t="shared" si="1"/>
        <v>87.087826086956525</v>
      </c>
      <c r="L42">
        <f t="shared" si="2"/>
        <v>97.268231682769724</v>
      </c>
    </row>
    <row r="43" spans="1:12" x14ac:dyDescent="0.25">
      <c r="A43">
        <v>6880</v>
      </c>
      <c r="B43" s="36">
        <v>44674</v>
      </c>
      <c r="C43" s="37">
        <f t="shared" si="0"/>
        <v>4</v>
      </c>
      <c r="D43" t="s">
        <v>18</v>
      </c>
      <c r="E43" t="s">
        <v>19</v>
      </c>
      <c r="F43" t="s">
        <v>40</v>
      </c>
      <c r="G43">
        <v>230</v>
      </c>
      <c r="H43">
        <v>198.39500000000001</v>
      </c>
      <c r="I43">
        <v>4.3</v>
      </c>
      <c r="J43">
        <v>13.6</v>
      </c>
      <c r="K43">
        <f t="shared" si="1"/>
        <v>86.258695652173927</v>
      </c>
      <c r="L43">
        <f t="shared" si="2"/>
        <v>95.543485809178748</v>
      </c>
    </row>
    <row r="44" spans="1:12" x14ac:dyDescent="0.25">
      <c r="A44">
        <v>6891</v>
      </c>
      <c r="B44" s="36">
        <v>44685</v>
      </c>
      <c r="C44" s="37">
        <f t="shared" si="0"/>
        <v>5</v>
      </c>
      <c r="D44" t="s">
        <v>37</v>
      </c>
      <c r="E44" t="s">
        <v>19</v>
      </c>
      <c r="F44" t="s">
        <v>41</v>
      </c>
      <c r="G44">
        <v>230.00899999999999</v>
      </c>
      <c r="H44">
        <v>192.37</v>
      </c>
      <c r="I44">
        <v>3.7</v>
      </c>
      <c r="J44">
        <v>13.7</v>
      </c>
      <c r="K44">
        <f t="shared" si="1"/>
        <v>83.63585772730633</v>
      </c>
      <c r="L44">
        <f t="shared" si="2"/>
        <v>93.327150627341823</v>
      </c>
    </row>
    <row r="45" spans="1:12" x14ac:dyDescent="0.25">
      <c r="A45">
        <v>6896</v>
      </c>
      <c r="B45" s="36">
        <v>44690</v>
      </c>
      <c r="C45" s="37">
        <f t="shared" si="0"/>
        <v>5</v>
      </c>
      <c r="D45" t="s">
        <v>18</v>
      </c>
      <c r="E45" t="s">
        <v>19</v>
      </c>
      <c r="F45" t="s">
        <v>40</v>
      </c>
      <c r="G45">
        <v>230.005</v>
      </c>
      <c r="H45">
        <v>193.42699999999999</v>
      </c>
      <c r="I45">
        <v>4.7</v>
      </c>
      <c r="J45">
        <v>13.9</v>
      </c>
      <c r="K45">
        <f t="shared" si="1"/>
        <v>84.096867459403057</v>
      </c>
      <c r="L45">
        <f t="shared" si="2"/>
        <v>93.082827745425206</v>
      </c>
    </row>
    <row r="46" spans="1:12" x14ac:dyDescent="0.25">
      <c r="A46">
        <v>6901</v>
      </c>
      <c r="B46" s="36">
        <v>44695</v>
      </c>
      <c r="C46" s="37">
        <f t="shared" si="0"/>
        <v>5</v>
      </c>
      <c r="D46" t="s">
        <v>18</v>
      </c>
      <c r="E46" t="s">
        <v>19</v>
      </c>
      <c r="F46" t="s">
        <v>40</v>
      </c>
      <c r="G46">
        <v>230.02099999999999</v>
      </c>
      <c r="H46">
        <v>199.999</v>
      </c>
      <c r="I46">
        <v>3.9</v>
      </c>
      <c r="J46">
        <v>13.7</v>
      </c>
      <c r="K46">
        <f t="shared" si="1"/>
        <v>86.948148212554514</v>
      </c>
      <c r="L46">
        <f t="shared" si="2"/>
        <v>96.821750211199173</v>
      </c>
    </row>
    <row r="47" spans="1:12" x14ac:dyDescent="0.25">
      <c r="A47">
        <v>6906</v>
      </c>
      <c r="B47" s="36">
        <v>44700</v>
      </c>
      <c r="C47" s="37">
        <f t="shared" si="0"/>
        <v>5</v>
      </c>
      <c r="D47" t="s">
        <v>18</v>
      </c>
      <c r="E47" t="s">
        <v>20</v>
      </c>
      <c r="F47" t="s">
        <v>45</v>
      </c>
      <c r="G47">
        <v>230.03299999999999</v>
      </c>
      <c r="H47">
        <v>196.76300000000001</v>
      </c>
      <c r="I47">
        <v>5</v>
      </c>
      <c r="J47">
        <v>13.8</v>
      </c>
      <c r="K47">
        <f t="shared" si="1"/>
        <v>85.536857755191647</v>
      </c>
      <c r="L47">
        <f t="shared" si="2"/>
        <v>94.269158778923511</v>
      </c>
    </row>
    <row r="48" spans="1:12" x14ac:dyDescent="0.25">
      <c r="A48">
        <v>6911</v>
      </c>
      <c r="B48" s="36">
        <v>44705</v>
      </c>
      <c r="C48" s="37">
        <f t="shared" si="0"/>
        <v>5</v>
      </c>
      <c r="D48" t="s">
        <v>18</v>
      </c>
      <c r="E48" t="s">
        <v>19</v>
      </c>
      <c r="F48" t="s">
        <v>40</v>
      </c>
      <c r="G48">
        <v>230.01599999999999</v>
      </c>
      <c r="H48">
        <v>190.90799999999999</v>
      </c>
      <c r="I48">
        <v>4.2</v>
      </c>
      <c r="J48">
        <v>14</v>
      </c>
      <c r="K48">
        <f t="shared" si="1"/>
        <v>82.997704507512509</v>
      </c>
      <c r="L48">
        <f t="shared" si="2"/>
        <v>92.455582463019752</v>
      </c>
    </row>
    <row r="49" spans="1:12" x14ac:dyDescent="0.25">
      <c r="A49">
        <v>6916</v>
      </c>
      <c r="B49" s="36">
        <v>44710</v>
      </c>
      <c r="C49" s="37">
        <f t="shared" si="0"/>
        <v>5</v>
      </c>
      <c r="D49" t="s">
        <v>18</v>
      </c>
      <c r="E49" t="s">
        <v>19</v>
      </c>
      <c r="F49" t="s">
        <v>40</v>
      </c>
      <c r="G49">
        <v>230.005</v>
      </c>
      <c r="H49">
        <v>194.11</v>
      </c>
      <c r="I49">
        <v>4.5999999999999996</v>
      </c>
      <c r="J49">
        <v>13.9</v>
      </c>
      <c r="K49">
        <f t="shared" si="1"/>
        <v>84.39381752570597</v>
      </c>
      <c r="L49">
        <f t="shared" si="2"/>
        <v>93.509526038935547</v>
      </c>
    </row>
    <row r="50" spans="1:12" x14ac:dyDescent="0.25">
      <c r="A50">
        <v>6923</v>
      </c>
      <c r="B50" s="36">
        <v>44717</v>
      </c>
      <c r="C50" s="37">
        <f t="shared" si="0"/>
        <v>6</v>
      </c>
      <c r="D50" t="s">
        <v>18</v>
      </c>
      <c r="E50" t="s">
        <v>19</v>
      </c>
      <c r="F50" t="s">
        <v>40</v>
      </c>
      <c r="G50">
        <v>230.001</v>
      </c>
      <c r="H50">
        <v>194.32900000000001</v>
      </c>
      <c r="I50">
        <v>4.0999999999999996</v>
      </c>
      <c r="J50">
        <v>14</v>
      </c>
      <c r="K50">
        <f t="shared" si="1"/>
        <v>84.490502215207769</v>
      </c>
      <c r="L50">
        <f t="shared" si="2"/>
        <v>94.216734446958426</v>
      </c>
    </row>
    <row r="51" spans="1:12" x14ac:dyDescent="0.25">
      <c r="A51">
        <v>6928</v>
      </c>
      <c r="B51" s="36">
        <v>44722</v>
      </c>
      <c r="C51" s="37">
        <f t="shared" si="0"/>
        <v>6</v>
      </c>
      <c r="D51" t="s">
        <v>38</v>
      </c>
      <c r="E51" t="s">
        <v>19</v>
      </c>
      <c r="F51" t="s">
        <v>40</v>
      </c>
      <c r="G51">
        <v>230.00899999999999</v>
      </c>
      <c r="H51">
        <v>189.22300000000001</v>
      </c>
      <c r="I51">
        <v>4</v>
      </c>
      <c r="J51">
        <v>14.3</v>
      </c>
      <c r="K51">
        <f t="shared" si="1"/>
        <v>82.267650396288843</v>
      </c>
      <c r="L51">
        <f t="shared" si="2"/>
        <v>92.15512763178215</v>
      </c>
    </row>
    <row r="52" spans="1:12" x14ac:dyDescent="0.25">
      <c r="A52">
        <v>6937</v>
      </c>
      <c r="B52" s="36">
        <v>44731</v>
      </c>
      <c r="C52" s="37">
        <f t="shared" si="0"/>
        <v>6</v>
      </c>
      <c r="D52" t="s">
        <v>18</v>
      </c>
      <c r="E52" t="s">
        <v>19</v>
      </c>
      <c r="F52" t="s">
        <v>40</v>
      </c>
      <c r="G52">
        <v>230.00200000000001</v>
      </c>
      <c r="H52">
        <v>188.15</v>
      </c>
      <c r="I52">
        <v>3.5</v>
      </c>
      <c r="J52">
        <v>13.9</v>
      </c>
      <c r="K52">
        <f t="shared" si="1"/>
        <v>81.803636490117484</v>
      </c>
      <c r="L52">
        <f t="shared" si="2"/>
        <v>91.684679689852928</v>
      </c>
    </row>
    <row r="53" spans="1:12" x14ac:dyDescent="0.25">
      <c r="A53">
        <v>6942</v>
      </c>
      <c r="B53" s="36">
        <v>44736</v>
      </c>
      <c r="C53" s="37">
        <f t="shared" si="0"/>
        <v>6</v>
      </c>
      <c r="D53" t="s">
        <v>36</v>
      </c>
      <c r="E53" t="s">
        <v>20</v>
      </c>
      <c r="F53" t="s">
        <v>42</v>
      </c>
      <c r="G53">
        <v>230</v>
      </c>
      <c r="H53">
        <v>183.75800000000001</v>
      </c>
      <c r="I53">
        <v>4.8</v>
      </c>
      <c r="J53">
        <v>13.6</v>
      </c>
      <c r="K53">
        <f t="shared" si="1"/>
        <v>79.894782608695664</v>
      </c>
      <c r="L53">
        <f t="shared" si="2"/>
        <v>88.032214170692441</v>
      </c>
    </row>
    <row r="54" spans="1:12" x14ac:dyDescent="0.25">
      <c r="A54">
        <v>6953</v>
      </c>
      <c r="B54" s="36">
        <v>44747</v>
      </c>
      <c r="C54" s="37">
        <f t="shared" si="0"/>
        <v>7</v>
      </c>
      <c r="D54" t="s">
        <v>18</v>
      </c>
      <c r="E54" t="s">
        <v>19</v>
      </c>
      <c r="F54" t="s">
        <v>40</v>
      </c>
      <c r="G54">
        <v>230.00200000000001</v>
      </c>
      <c r="H54">
        <v>186.6</v>
      </c>
      <c r="I54">
        <v>3.6</v>
      </c>
      <c r="J54">
        <v>14.2</v>
      </c>
      <c r="K54">
        <f t="shared" si="1"/>
        <v>81.129729306701677</v>
      </c>
      <c r="L54">
        <f t="shared" si="2"/>
        <v>91.152749477459679</v>
      </c>
    </row>
    <row r="55" spans="1:12" x14ac:dyDescent="0.25">
      <c r="A55">
        <v>6958</v>
      </c>
      <c r="B55" s="36">
        <v>44752</v>
      </c>
      <c r="C55" s="37">
        <f t="shared" si="0"/>
        <v>7</v>
      </c>
      <c r="D55" t="s">
        <v>52</v>
      </c>
      <c r="E55" t="s">
        <v>20</v>
      </c>
      <c r="F55" t="s">
        <v>44</v>
      </c>
      <c r="G55">
        <v>225.00399999999999</v>
      </c>
      <c r="H55">
        <v>183.51400000000001</v>
      </c>
      <c r="I55">
        <v>4.4000000000000004</v>
      </c>
      <c r="J55">
        <v>13.7</v>
      </c>
      <c r="K55">
        <f t="shared" si="1"/>
        <v>81.560327816394391</v>
      </c>
      <c r="L55">
        <f t="shared" si="2"/>
        <v>90.349563606573625</v>
      </c>
    </row>
    <row r="56" spans="1:12" x14ac:dyDescent="0.25">
      <c r="A56">
        <v>6959</v>
      </c>
      <c r="B56" s="36">
        <v>44753</v>
      </c>
      <c r="C56" s="37">
        <f t="shared" si="0"/>
        <v>7</v>
      </c>
      <c r="D56" t="s">
        <v>52</v>
      </c>
      <c r="E56" t="s">
        <v>20</v>
      </c>
      <c r="F56" t="s">
        <v>42</v>
      </c>
      <c r="G56">
        <v>224.99600000000001</v>
      </c>
      <c r="H56">
        <v>184.83199999999999</v>
      </c>
      <c r="I56">
        <v>3.7</v>
      </c>
      <c r="J56">
        <v>13.2</v>
      </c>
      <c r="K56">
        <f t="shared" si="1"/>
        <v>82.149015982506342</v>
      </c>
      <c r="L56">
        <f t="shared" si="2"/>
        <v>91.139979713310609</v>
      </c>
    </row>
    <row r="57" spans="1:12" x14ac:dyDescent="0.25">
      <c r="A57">
        <v>6963</v>
      </c>
      <c r="B57" s="36">
        <v>44757</v>
      </c>
      <c r="C57" s="37">
        <f t="shared" si="0"/>
        <v>7</v>
      </c>
      <c r="D57" t="s">
        <v>18</v>
      </c>
      <c r="E57" t="s">
        <v>19</v>
      </c>
      <c r="F57" t="s">
        <v>40</v>
      </c>
      <c r="G57">
        <v>229.99600000000001</v>
      </c>
      <c r="H57">
        <v>193.483</v>
      </c>
      <c r="I57">
        <v>3.6</v>
      </c>
      <c r="J57">
        <v>13.8</v>
      </c>
      <c r="K57">
        <f t="shared" si="1"/>
        <v>84.124506513156746</v>
      </c>
      <c r="L57">
        <f t="shared" si="2"/>
        <v>94.078914476430526</v>
      </c>
    </row>
    <row r="58" spans="1:12" x14ac:dyDescent="0.25">
      <c r="A58">
        <v>6964</v>
      </c>
      <c r="B58" s="36">
        <v>44758</v>
      </c>
      <c r="C58" s="37">
        <f t="shared" si="0"/>
        <v>7</v>
      </c>
      <c r="D58" t="s">
        <v>18</v>
      </c>
      <c r="E58" t="s">
        <v>19</v>
      </c>
      <c r="F58" t="s">
        <v>40</v>
      </c>
      <c r="G58">
        <v>229.99600000000001</v>
      </c>
      <c r="H58">
        <v>183.834</v>
      </c>
      <c r="I58">
        <v>4.2</v>
      </c>
      <c r="J58">
        <v>13.8</v>
      </c>
      <c r="K58">
        <f t="shared" si="1"/>
        <v>79.929216160281044</v>
      </c>
      <c r="L58">
        <f t="shared" si="2"/>
        <v>88.830845802261322</v>
      </c>
    </row>
    <row r="59" spans="1:12" x14ac:dyDescent="0.25">
      <c r="A59">
        <v>6967</v>
      </c>
      <c r="B59" s="36">
        <v>44761</v>
      </c>
      <c r="C59" s="37">
        <f t="shared" si="0"/>
        <v>7</v>
      </c>
      <c r="D59" t="s">
        <v>18</v>
      </c>
      <c r="E59" t="s">
        <v>19</v>
      </c>
      <c r="F59" t="s">
        <v>40</v>
      </c>
      <c r="G59">
        <v>230.01400000000001</v>
      </c>
      <c r="H59">
        <v>186.58199999999999</v>
      </c>
      <c r="I59">
        <v>3.6</v>
      </c>
      <c r="J59">
        <v>14</v>
      </c>
      <c r="K59">
        <f t="shared" si="1"/>
        <v>81.117671098280965</v>
      </c>
      <c r="L59">
        <f t="shared" si="2"/>
        <v>90.927249928770777</v>
      </c>
    </row>
    <row r="60" spans="1:12" x14ac:dyDescent="0.25">
      <c r="A60">
        <v>6969</v>
      </c>
      <c r="B60" s="36">
        <v>44763</v>
      </c>
      <c r="C60" s="37">
        <f t="shared" si="0"/>
        <v>7</v>
      </c>
      <c r="D60" t="s">
        <v>18</v>
      </c>
      <c r="E60" t="s">
        <v>19</v>
      </c>
      <c r="F60" t="s">
        <v>40</v>
      </c>
      <c r="G60">
        <v>230.00700000000001</v>
      </c>
      <c r="H60">
        <v>185.42599999999999</v>
      </c>
      <c r="I60">
        <v>4.0999999999999996</v>
      </c>
      <c r="J60">
        <v>14.1</v>
      </c>
      <c r="K60">
        <f t="shared" si="1"/>
        <v>80.617546422500169</v>
      </c>
      <c r="L60">
        <f t="shared" si="2"/>
        <v>90.002592571801713</v>
      </c>
    </row>
    <row r="61" spans="1:12" x14ac:dyDescent="0.25">
      <c r="A61">
        <v>6976</v>
      </c>
      <c r="B61" s="36">
        <v>44770</v>
      </c>
      <c r="C61" s="37">
        <f t="shared" si="0"/>
        <v>7</v>
      </c>
      <c r="D61" t="s">
        <v>18</v>
      </c>
      <c r="E61" t="s">
        <v>19</v>
      </c>
      <c r="F61" t="s">
        <v>40</v>
      </c>
      <c r="G61">
        <v>229.999</v>
      </c>
      <c r="H61">
        <v>187.86199999999999</v>
      </c>
      <c r="I61">
        <v>3.7</v>
      </c>
      <c r="J61">
        <v>14.4</v>
      </c>
      <c r="K61">
        <f t="shared" si="1"/>
        <v>81.679485562980702</v>
      </c>
      <c r="L61">
        <f t="shared" si="2"/>
        <v>91.889421258353295</v>
      </c>
    </row>
    <row r="62" spans="1:12" x14ac:dyDescent="0.25">
      <c r="A62">
        <v>6981</v>
      </c>
      <c r="B62" s="36">
        <v>44775</v>
      </c>
      <c r="C62" s="37">
        <f t="shared" si="0"/>
        <v>8</v>
      </c>
      <c r="D62" t="s">
        <v>18</v>
      </c>
      <c r="E62" t="s">
        <v>19</v>
      </c>
      <c r="F62" t="s">
        <v>40</v>
      </c>
      <c r="G62">
        <v>230.005</v>
      </c>
      <c r="H62">
        <v>191.41800000000001</v>
      </c>
      <c r="I62">
        <v>3.7</v>
      </c>
      <c r="J62">
        <v>12.9</v>
      </c>
      <c r="K62">
        <f t="shared" si="1"/>
        <v>83.223408186778556</v>
      </c>
      <c r="L62">
        <f t="shared" si="2"/>
        <v>92.013940394796492</v>
      </c>
    </row>
    <row r="63" spans="1:12" x14ac:dyDescent="0.25">
      <c r="A63">
        <v>6986</v>
      </c>
      <c r="B63" s="36">
        <v>44780</v>
      </c>
      <c r="C63" s="37">
        <f t="shared" si="0"/>
        <v>8</v>
      </c>
      <c r="D63" t="s">
        <v>52</v>
      </c>
      <c r="E63" t="s">
        <v>20</v>
      </c>
      <c r="F63" t="s">
        <v>53</v>
      </c>
      <c r="G63">
        <v>225.001</v>
      </c>
      <c r="H63">
        <v>197.21700000000001</v>
      </c>
      <c r="I63">
        <v>4.7</v>
      </c>
      <c r="J63">
        <v>12.3</v>
      </c>
      <c r="K63">
        <f t="shared" si="1"/>
        <v>87.651610437286948</v>
      </c>
      <c r="L63">
        <f t="shared" si="2"/>
        <v>95.247417043026772</v>
      </c>
    </row>
    <row r="64" spans="1:12" x14ac:dyDescent="0.25">
      <c r="A64">
        <v>6987</v>
      </c>
      <c r="B64" s="36">
        <v>44781</v>
      </c>
      <c r="C64" s="37">
        <f t="shared" si="0"/>
        <v>8</v>
      </c>
      <c r="D64" t="s">
        <v>52</v>
      </c>
      <c r="E64" t="s">
        <v>20</v>
      </c>
      <c r="F64" t="s">
        <v>42</v>
      </c>
      <c r="G64">
        <v>225.00899999999999</v>
      </c>
      <c r="H64">
        <v>181.08600000000001</v>
      </c>
      <c r="I64">
        <v>5</v>
      </c>
      <c r="J64">
        <v>13.5</v>
      </c>
      <c r="K64">
        <f t="shared" si="1"/>
        <v>80.479447488767136</v>
      </c>
      <c r="L64">
        <f t="shared" si="2"/>
        <v>88.387832502114179</v>
      </c>
    </row>
    <row r="65" spans="1:12" x14ac:dyDescent="0.25">
      <c r="A65">
        <v>6990</v>
      </c>
      <c r="B65" s="36">
        <v>44784</v>
      </c>
      <c r="C65" s="37">
        <f t="shared" si="0"/>
        <v>8</v>
      </c>
      <c r="D65" t="s">
        <v>18</v>
      </c>
      <c r="E65" t="s">
        <v>19</v>
      </c>
      <c r="F65" t="s">
        <v>40</v>
      </c>
      <c r="G65">
        <v>230.01400000000001</v>
      </c>
      <c r="H65">
        <v>191.124</v>
      </c>
      <c r="I65">
        <v>4</v>
      </c>
      <c r="J65">
        <v>13.8</v>
      </c>
      <c r="K65">
        <f t="shared" si="1"/>
        <v>83.092333510134168</v>
      </c>
      <c r="L65">
        <f t="shared" si="2"/>
        <v>92.539025718942924</v>
      </c>
    </row>
    <row r="66" spans="1:12" x14ac:dyDescent="0.25">
      <c r="A66">
        <v>6995</v>
      </c>
      <c r="B66" s="36">
        <v>44789</v>
      </c>
      <c r="C66" s="37">
        <f t="shared" si="0"/>
        <v>8</v>
      </c>
      <c r="D66" t="s">
        <v>18</v>
      </c>
      <c r="E66" t="s">
        <v>19</v>
      </c>
      <c r="F66" t="s">
        <v>40</v>
      </c>
      <c r="G66">
        <v>229.98699999999999</v>
      </c>
      <c r="H66">
        <v>184.26599999999999</v>
      </c>
      <c r="I66">
        <v>4</v>
      </c>
      <c r="J66">
        <v>14</v>
      </c>
      <c r="K66">
        <f t="shared" si="1"/>
        <v>80.120180705865991</v>
      </c>
      <c r="L66">
        <f t="shared" si="2"/>
        <v>89.436480787943424</v>
      </c>
    </row>
    <row r="67" spans="1:12" x14ac:dyDescent="0.25">
      <c r="A67">
        <v>6996</v>
      </c>
      <c r="B67" s="36">
        <v>44790</v>
      </c>
      <c r="C67" s="37">
        <f t="shared" ref="C67:C130" si="3">MONTH(B67)</f>
        <v>8</v>
      </c>
      <c r="D67" t="s">
        <v>18</v>
      </c>
      <c r="E67" t="s">
        <v>19</v>
      </c>
      <c r="F67" t="s">
        <v>40</v>
      </c>
      <c r="G67">
        <v>230.00299999999999</v>
      </c>
      <c r="H67">
        <v>193.93700000000001</v>
      </c>
      <c r="I67">
        <v>4.4000000000000004</v>
      </c>
      <c r="J67">
        <v>13</v>
      </c>
      <c r="K67">
        <f t="shared" ref="K67:K130" si="4">H67/G67*100</f>
        <v>84.31933496519612</v>
      </c>
      <c r="L67">
        <f t="shared" ref="L67:L130" si="5">(H67 - (H67*(I67/100))) / (G67 - (G67*(J67/100)))*100</f>
        <v>92.654349685893649</v>
      </c>
    </row>
    <row r="68" spans="1:12" x14ac:dyDescent="0.25">
      <c r="A68">
        <v>7000</v>
      </c>
      <c r="B68" s="36">
        <v>44794</v>
      </c>
      <c r="C68" s="37">
        <f t="shared" si="3"/>
        <v>8</v>
      </c>
      <c r="D68" t="s">
        <v>37</v>
      </c>
      <c r="E68" t="s">
        <v>20</v>
      </c>
      <c r="F68" t="s">
        <v>44</v>
      </c>
      <c r="G68">
        <v>224.999</v>
      </c>
      <c r="H68">
        <v>182.53700000000001</v>
      </c>
      <c r="I68">
        <v>4.2</v>
      </c>
      <c r="J68">
        <v>13</v>
      </c>
      <c r="K68">
        <f t="shared" si="4"/>
        <v>81.12791612407166</v>
      </c>
      <c r="L68">
        <f t="shared" si="5"/>
        <v>89.333958214782371</v>
      </c>
    </row>
    <row r="69" spans="1:12" x14ac:dyDescent="0.25">
      <c r="A69">
        <v>7002</v>
      </c>
      <c r="B69" s="36">
        <v>44796</v>
      </c>
      <c r="C69" s="37">
        <f t="shared" si="3"/>
        <v>8</v>
      </c>
      <c r="D69" t="s">
        <v>17</v>
      </c>
      <c r="E69" t="s">
        <v>19</v>
      </c>
      <c r="F69" t="s">
        <v>54</v>
      </c>
      <c r="G69">
        <v>229.99299999999999</v>
      </c>
      <c r="H69">
        <v>192.40899999999999</v>
      </c>
      <c r="I69">
        <v>5.0999999999999996</v>
      </c>
      <c r="J69">
        <v>12.3</v>
      </c>
      <c r="K69">
        <f t="shared" si="4"/>
        <v>83.658633088833128</v>
      </c>
      <c r="L69">
        <f t="shared" si="5"/>
        <v>90.526844699318872</v>
      </c>
    </row>
    <row r="70" spans="1:12" x14ac:dyDescent="0.25">
      <c r="A70">
        <v>7008</v>
      </c>
      <c r="B70" s="36">
        <v>44802</v>
      </c>
      <c r="C70" s="37">
        <f t="shared" si="3"/>
        <v>8</v>
      </c>
      <c r="D70" t="s">
        <v>18</v>
      </c>
      <c r="E70" t="s">
        <v>19</v>
      </c>
      <c r="F70" t="s">
        <v>40</v>
      </c>
      <c r="G70">
        <v>230.00899999999999</v>
      </c>
      <c r="H70">
        <v>186.65299999999999</v>
      </c>
      <c r="I70">
        <v>3.8</v>
      </c>
      <c r="J70">
        <v>13.7</v>
      </c>
      <c r="K70">
        <f t="shared" si="4"/>
        <v>81.150302814237705</v>
      </c>
      <c r="L70">
        <f t="shared" si="5"/>
        <v>90.45954960289302</v>
      </c>
    </row>
    <row r="71" spans="1:12" x14ac:dyDescent="0.25">
      <c r="A71">
        <v>7013</v>
      </c>
      <c r="B71" s="36">
        <v>44807</v>
      </c>
      <c r="C71" s="37">
        <f t="shared" si="3"/>
        <v>9</v>
      </c>
      <c r="D71" t="s">
        <v>17</v>
      </c>
      <c r="E71" t="s">
        <v>20</v>
      </c>
      <c r="F71" t="s">
        <v>44</v>
      </c>
      <c r="G71">
        <v>230.00800000000001</v>
      </c>
      <c r="H71">
        <v>182.7</v>
      </c>
      <c r="I71">
        <v>4.3</v>
      </c>
      <c r="J71">
        <v>12.9</v>
      </c>
      <c r="K71">
        <f t="shared" si="4"/>
        <v>79.432019755834574</v>
      </c>
      <c r="L71">
        <f t="shared" si="5"/>
        <v>87.274905747799863</v>
      </c>
    </row>
    <row r="72" spans="1:12" x14ac:dyDescent="0.25">
      <c r="A72">
        <v>7018</v>
      </c>
      <c r="B72" s="36">
        <v>44812</v>
      </c>
      <c r="C72" s="37">
        <f t="shared" si="3"/>
        <v>9</v>
      </c>
      <c r="D72" t="s">
        <v>18</v>
      </c>
      <c r="E72" t="s">
        <v>19</v>
      </c>
      <c r="F72" t="s">
        <v>40</v>
      </c>
      <c r="G72">
        <v>229.994</v>
      </c>
      <c r="H72">
        <v>186.20699999999999</v>
      </c>
      <c r="I72">
        <v>4.0999999999999996</v>
      </c>
      <c r="J72">
        <v>13.6</v>
      </c>
      <c r="K72">
        <f t="shared" si="4"/>
        <v>80.961677261145937</v>
      </c>
      <c r="L72">
        <f t="shared" si="5"/>
        <v>89.863713534072858</v>
      </c>
    </row>
    <row r="73" spans="1:12" x14ac:dyDescent="0.25">
      <c r="A73">
        <v>7022</v>
      </c>
      <c r="B73" s="36">
        <v>44816</v>
      </c>
      <c r="C73" s="37">
        <f t="shared" si="3"/>
        <v>9</v>
      </c>
      <c r="D73" t="s">
        <v>18</v>
      </c>
      <c r="E73" t="s">
        <v>20</v>
      </c>
      <c r="F73" t="s">
        <v>42</v>
      </c>
      <c r="G73">
        <v>229.99799999999999</v>
      </c>
      <c r="H73">
        <v>197.32900000000001</v>
      </c>
      <c r="I73">
        <v>4.7</v>
      </c>
      <c r="J73">
        <v>10.8</v>
      </c>
      <c r="K73">
        <f t="shared" si="4"/>
        <v>85.795963443160389</v>
      </c>
      <c r="L73">
        <f t="shared" si="5"/>
        <v>91.663176189833919</v>
      </c>
    </row>
    <row r="74" spans="1:12" x14ac:dyDescent="0.25">
      <c r="A74">
        <v>7033</v>
      </c>
      <c r="B74" s="36">
        <v>44827</v>
      </c>
      <c r="C74" s="37">
        <f t="shared" si="3"/>
        <v>9</v>
      </c>
      <c r="D74" t="s">
        <v>17</v>
      </c>
      <c r="E74" t="s">
        <v>19</v>
      </c>
      <c r="F74" t="s">
        <v>54</v>
      </c>
      <c r="G74">
        <v>229.99700000000001</v>
      </c>
      <c r="H74">
        <v>195.53100000000001</v>
      </c>
      <c r="I74">
        <v>3.9</v>
      </c>
      <c r="J74">
        <v>12</v>
      </c>
      <c r="K74">
        <f t="shared" si="4"/>
        <v>85.01458714678887</v>
      </c>
      <c r="L74">
        <f t="shared" si="5"/>
        <v>92.839793463709213</v>
      </c>
    </row>
    <row r="75" spans="1:12" x14ac:dyDescent="0.25">
      <c r="A75">
        <v>7036</v>
      </c>
      <c r="B75" s="36">
        <v>44830</v>
      </c>
      <c r="C75" s="37">
        <f t="shared" si="3"/>
        <v>9</v>
      </c>
      <c r="D75" t="s">
        <v>18</v>
      </c>
      <c r="E75" t="s">
        <v>19</v>
      </c>
      <c r="F75" t="s">
        <v>40</v>
      </c>
      <c r="G75">
        <v>229.995</v>
      </c>
      <c r="H75">
        <v>191.22900000000001</v>
      </c>
      <c r="I75">
        <v>4.3</v>
      </c>
      <c r="J75">
        <v>13.7</v>
      </c>
      <c r="K75">
        <f t="shared" si="4"/>
        <v>83.1448509750212</v>
      </c>
      <c r="L75">
        <f t="shared" si="5"/>
        <v>92.201184684930809</v>
      </c>
    </row>
    <row r="76" spans="1:12" x14ac:dyDescent="0.25">
      <c r="A76">
        <v>7037</v>
      </c>
      <c r="B76" s="36">
        <v>44831</v>
      </c>
      <c r="C76" s="37">
        <f t="shared" si="3"/>
        <v>9</v>
      </c>
      <c r="D76" t="s">
        <v>18</v>
      </c>
      <c r="E76" t="s">
        <v>19</v>
      </c>
      <c r="F76" t="s">
        <v>40</v>
      </c>
      <c r="G76">
        <v>230.00399999999999</v>
      </c>
      <c r="H76">
        <v>189.994</v>
      </c>
      <c r="I76">
        <v>3.9</v>
      </c>
      <c r="J76">
        <v>13.9</v>
      </c>
      <c r="K76">
        <f t="shared" si="4"/>
        <v>82.604650353906891</v>
      </c>
      <c r="L76">
        <f t="shared" si="5"/>
        <v>92.198686399656836</v>
      </c>
    </row>
    <row r="77" spans="1:12" x14ac:dyDescent="0.25">
      <c r="A77">
        <v>7038</v>
      </c>
      <c r="B77" s="36">
        <v>44832</v>
      </c>
      <c r="C77" s="37">
        <f t="shared" si="3"/>
        <v>9</v>
      </c>
      <c r="D77" t="s">
        <v>18</v>
      </c>
      <c r="E77" t="s">
        <v>19</v>
      </c>
      <c r="F77" t="s">
        <v>40</v>
      </c>
      <c r="G77">
        <v>230.00299999999999</v>
      </c>
      <c r="H77">
        <v>192.19900000000001</v>
      </c>
      <c r="I77">
        <v>4.0999999999999996</v>
      </c>
      <c r="J77">
        <v>13.9</v>
      </c>
      <c r="K77">
        <f t="shared" si="4"/>
        <v>83.563692647487215</v>
      </c>
      <c r="L77">
        <f t="shared" si="5"/>
        <v>93.075007257770309</v>
      </c>
    </row>
    <row r="78" spans="1:12" x14ac:dyDescent="0.25">
      <c r="A78">
        <v>7041</v>
      </c>
      <c r="B78" s="36">
        <v>44835</v>
      </c>
      <c r="C78" s="37">
        <f t="shared" si="3"/>
        <v>10</v>
      </c>
      <c r="D78" t="s">
        <v>17</v>
      </c>
      <c r="E78" t="s">
        <v>19</v>
      </c>
      <c r="F78" t="s">
        <v>55</v>
      </c>
      <c r="G78">
        <v>230.02500000000001</v>
      </c>
      <c r="H78">
        <v>195.571</v>
      </c>
      <c r="I78">
        <v>4.3</v>
      </c>
      <c r="J78">
        <v>12</v>
      </c>
      <c r="K78">
        <f t="shared" si="4"/>
        <v>85.02162808390392</v>
      </c>
      <c r="L78">
        <f t="shared" si="5"/>
        <v>92.461020541245517</v>
      </c>
    </row>
    <row r="79" spans="1:12" x14ac:dyDescent="0.25">
      <c r="A79">
        <v>7044</v>
      </c>
      <c r="B79" s="36">
        <v>44838</v>
      </c>
      <c r="C79" s="37">
        <f t="shared" si="3"/>
        <v>10</v>
      </c>
      <c r="D79" t="s">
        <v>18</v>
      </c>
      <c r="E79" t="s">
        <v>19</v>
      </c>
      <c r="F79" t="s">
        <v>40</v>
      </c>
      <c r="G79">
        <v>230.00399999999999</v>
      </c>
      <c r="H79">
        <v>192.571</v>
      </c>
      <c r="I79">
        <v>4.4000000000000004</v>
      </c>
      <c r="J79">
        <v>13.6</v>
      </c>
      <c r="K79">
        <f t="shared" si="4"/>
        <v>83.725065651032153</v>
      </c>
      <c r="L79">
        <f t="shared" si="5"/>
        <v>92.640234678688344</v>
      </c>
    </row>
    <row r="80" spans="1:12" x14ac:dyDescent="0.25">
      <c r="A80">
        <v>7046</v>
      </c>
      <c r="B80" s="36">
        <v>44840</v>
      </c>
      <c r="C80" s="37">
        <f t="shared" si="3"/>
        <v>10</v>
      </c>
      <c r="D80" t="s">
        <v>18</v>
      </c>
      <c r="E80" t="s">
        <v>19</v>
      </c>
      <c r="F80" t="s">
        <v>40</v>
      </c>
      <c r="G80">
        <v>230.005</v>
      </c>
      <c r="H80">
        <v>189.00200000000001</v>
      </c>
      <c r="I80">
        <v>3.9</v>
      </c>
      <c r="J80">
        <v>14</v>
      </c>
      <c r="K80">
        <f t="shared" si="4"/>
        <v>82.172996239212196</v>
      </c>
      <c r="L80">
        <f t="shared" si="5"/>
        <v>91.823545797538273</v>
      </c>
    </row>
    <row r="81" spans="1:12" x14ac:dyDescent="0.25">
      <c r="A81">
        <v>7047</v>
      </c>
      <c r="B81" s="36">
        <v>44841</v>
      </c>
      <c r="C81" s="37">
        <f t="shared" si="3"/>
        <v>10</v>
      </c>
      <c r="D81" t="s">
        <v>17</v>
      </c>
      <c r="E81" t="s">
        <v>19</v>
      </c>
      <c r="F81" t="s">
        <v>78</v>
      </c>
      <c r="G81">
        <v>230.02500000000001</v>
      </c>
      <c r="H81">
        <v>192.78800000000001</v>
      </c>
      <c r="I81">
        <v>3.8</v>
      </c>
      <c r="J81">
        <v>11.7</v>
      </c>
      <c r="K81">
        <f t="shared" si="4"/>
        <v>83.811759591348761</v>
      </c>
      <c r="L81">
        <f t="shared" si="5"/>
        <v>91.310206938706145</v>
      </c>
    </row>
    <row r="82" spans="1:12" x14ac:dyDescent="0.25">
      <c r="A82">
        <v>7048</v>
      </c>
      <c r="B82" s="36">
        <v>44842</v>
      </c>
      <c r="C82" s="37">
        <f t="shared" si="3"/>
        <v>10</v>
      </c>
      <c r="D82" t="s">
        <v>17</v>
      </c>
      <c r="E82" t="s">
        <v>19</v>
      </c>
      <c r="F82" t="s">
        <v>41</v>
      </c>
      <c r="G82">
        <v>230.006</v>
      </c>
      <c r="H82">
        <v>188.601</v>
      </c>
      <c r="I82">
        <v>3.7</v>
      </c>
      <c r="J82">
        <v>13.9</v>
      </c>
      <c r="K82">
        <f t="shared" si="4"/>
        <v>81.998295696634003</v>
      </c>
      <c r="L82">
        <f t="shared" si="5"/>
        <v>91.712379507385066</v>
      </c>
    </row>
    <row r="83" spans="1:12" x14ac:dyDescent="0.25">
      <c r="A83">
        <v>7049</v>
      </c>
      <c r="B83" s="36">
        <v>44856</v>
      </c>
      <c r="C83" s="37">
        <f t="shared" si="3"/>
        <v>10</v>
      </c>
      <c r="D83" t="s">
        <v>18</v>
      </c>
      <c r="E83" t="s">
        <v>20</v>
      </c>
      <c r="F83" t="s">
        <v>53</v>
      </c>
      <c r="G83">
        <v>230</v>
      </c>
      <c r="H83">
        <v>198.874</v>
      </c>
      <c r="I83">
        <v>3.6</v>
      </c>
      <c r="J83">
        <v>14.2</v>
      </c>
      <c r="K83">
        <f t="shared" si="4"/>
        <v>86.466956521739121</v>
      </c>
      <c r="L83">
        <f t="shared" si="5"/>
        <v>97.149354413702227</v>
      </c>
    </row>
    <row r="84" spans="1:12" x14ac:dyDescent="0.25">
      <c r="A84">
        <v>7054</v>
      </c>
      <c r="B84" s="36">
        <v>44848</v>
      </c>
      <c r="C84" s="37">
        <f t="shared" si="3"/>
        <v>10</v>
      </c>
      <c r="D84" t="s">
        <v>17</v>
      </c>
      <c r="E84" t="s">
        <v>19</v>
      </c>
      <c r="F84" t="s">
        <v>58</v>
      </c>
      <c r="G84">
        <v>232</v>
      </c>
      <c r="H84">
        <v>197.88300000000001</v>
      </c>
      <c r="I84">
        <v>4.4000000000000004</v>
      </c>
      <c r="J84">
        <v>12</v>
      </c>
      <c r="K84">
        <f t="shared" si="4"/>
        <v>85.294396551724134</v>
      </c>
      <c r="L84">
        <f t="shared" si="5"/>
        <v>92.660730799373042</v>
      </c>
    </row>
    <row r="85" spans="1:12" x14ac:dyDescent="0.25">
      <c r="A85">
        <v>7064</v>
      </c>
      <c r="B85" s="36">
        <v>44859</v>
      </c>
      <c r="C85" s="37">
        <f t="shared" si="3"/>
        <v>10</v>
      </c>
      <c r="D85" t="s">
        <v>18</v>
      </c>
      <c r="E85" t="s">
        <v>19</v>
      </c>
      <c r="F85" t="s">
        <v>40</v>
      </c>
      <c r="G85">
        <v>230.006</v>
      </c>
      <c r="H85">
        <v>185.45400000000001</v>
      </c>
      <c r="I85">
        <v>4.3</v>
      </c>
      <c r="J85">
        <v>13.8</v>
      </c>
      <c r="K85">
        <f t="shared" si="4"/>
        <v>80.63007051989949</v>
      </c>
      <c r="L85">
        <f t="shared" si="5"/>
        <v>89.516215182765436</v>
      </c>
    </row>
    <row r="86" spans="1:12" x14ac:dyDescent="0.25">
      <c r="A86">
        <v>7074</v>
      </c>
      <c r="B86" s="36">
        <v>44869</v>
      </c>
      <c r="C86" s="37">
        <f t="shared" si="3"/>
        <v>11</v>
      </c>
      <c r="D86" t="s">
        <v>18</v>
      </c>
      <c r="E86" t="s">
        <v>20</v>
      </c>
      <c r="F86" t="s">
        <v>56</v>
      </c>
      <c r="G86">
        <v>235.01400000000001</v>
      </c>
      <c r="H86">
        <v>198.38200000000001</v>
      </c>
      <c r="I86">
        <v>5.7</v>
      </c>
      <c r="J86">
        <v>11.6</v>
      </c>
      <c r="K86">
        <f t="shared" si="4"/>
        <v>84.41284349017505</v>
      </c>
      <c r="L86">
        <f t="shared" si="5"/>
        <v>90.046732365650527</v>
      </c>
    </row>
    <row r="87" spans="1:12" x14ac:dyDescent="0.25">
      <c r="A87">
        <v>7079</v>
      </c>
      <c r="B87" s="36">
        <v>44874</v>
      </c>
      <c r="C87" s="37">
        <f t="shared" si="3"/>
        <v>11</v>
      </c>
      <c r="D87" t="s">
        <v>18</v>
      </c>
      <c r="E87" t="s">
        <v>19</v>
      </c>
      <c r="F87" t="s">
        <v>55</v>
      </c>
      <c r="G87">
        <v>231.99700000000001</v>
      </c>
      <c r="H87">
        <v>201.74199999999999</v>
      </c>
      <c r="I87">
        <v>3.5</v>
      </c>
      <c r="J87">
        <v>12.1</v>
      </c>
      <c r="K87">
        <f t="shared" si="4"/>
        <v>86.958883089005454</v>
      </c>
      <c r="L87">
        <f t="shared" si="5"/>
        <v>95.466805666541816</v>
      </c>
    </row>
    <row r="88" spans="1:12" x14ac:dyDescent="0.25">
      <c r="A88">
        <v>7084</v>
      </c>
      <c r="B88" s="36">
        <v>44879</v>
      </c>
      <c r="C88" s="37">
        <f t="shared" si="3"/>
        <v>11</v>
      </c>
      <c r="D88" t="s">
        <v>18</v>
      </c>
      <c r="E88" t="s">
        <v>20</v>
      </c>
      <c r="F88" t="s">
        <v>53</v>
      </c>
      <c r="G88">
        <v>234.999</v>
      </c>
      <c r="H88">
        <v>201.46299999999999</v>
      </c>
      <c r="I88">
        <v>4.5</v>
      </c>
      <c r="J88">
        <v>11.2</v>
      </c>
      <c r="K88">
        <f t="shared" si="4"/>
        <v>85.729300975748828</v>
      </c>
      <c r="L88">
        <f t="shared" si="5"/>
        <v>92.197615351171322</v>
      </c>
    </row>
    <row r="89" spans="1:12" x14ac:dyDescent="0.25">
      <c r="A89">
        <v>7089</v>
      </c>
      <c r="B89" s="36">
        <v>44884</v>
      </c>
      <c r="C89" s="37">
        <f t="shared" si="3"/>
        <v>11</v>
      </c>
      <c r="D89" t="s">
        <v>18</v>
      </c>
      <c r="E89" t="s">
        <v>19</v>
      </c>
      <c r="F89" t="s">
        <v>55</v>
      </c>
      <c r="G89">
        <v>232</v>
      </c>
      <c r="H89">
        <v>199.21299999999999</v>
      </c>
      <c r="I89">
        <v>3.8</v>
      </c>
      <c r="J89">
        <v>12.7</v>
      </c>
      <c r="K89">
        <f t="shared" si="4"/>
        <v>85.867672413793102</v>
      </c>
      <c r="L89">
        <f t="shared" si="5"/>
        <v>94.621650472014835</v>
      </c>
    </row>
    <row r="90" spans="1:12" x14ac:dyDescent="0.25">
      <c r="A90">
        <v>7094</v>
      </c>
      <c r="B90" s="36">
        <v>44889</v>
      </c>
      <c r="C90" s="37">
        <f t="shared" si="3"/>
        <v>11</v>
      </c>
      <c r="D90" t="s">
        <v>18</v>
      </c>
      <c r="E90" t="s">
        <v>19</v>
      </c>
      <c r="F90" t="s">
        <v>55</v>
      </c>
      <c r="G90">
        <v>232.006</v>
      </c>
      <c r="H90">
        <v>197.65100000000001</v>
      </c>
      <c r="I90">
        <v>4.0999999999999996</v>
      </c>
      <c r="J90">
        <v>12.3</v>
      </c>
      <c r="K90">
        <f t="shared" si="4"/>
        <v>85.192193305345555</v>
      </c>
      <c r="L90">
        <f t="shared" si="5"/>
        <v>93.157711949631008</v>
      </c>
    </row>
    <row r="91" spans="1:12" x14ac:dyDescent="0.25">
      <c r="A91">
        <v>7099</v>
      </c>
      <c r="B91" s="36">
        <v>44894</v>
      </c>
      <c r="C91" s="37">
        <f t="shared" si="3"/>
        <v>11</v>
      </c>
      <c r="D91" t="s">
        <v>18</v>
      </c>
      <c r="E91" t="s">
        <v>19</v>
      </c>
      <c r="F91" t="s">
        <v>54</v>
      </c>
      <c r="G91">
        <v>231.99600000000001</v>
      </c>
      <c r="H91">
        <v>196.41900000000001</v>
      </c>
      <c r="I91">
        <v>4.3</v>
      </c>
      <c r="J91">
        <v>10.8</v>
      </c>
      <c r="K91">
        <f t="shared" si="4"/>
        <v>84.664821807272546</v>
      </c>
      <c r="L91">
        <f t="shared" si="5"/>
        <v>90.834343575739709</v>
      </c>
    </row>
    <row r="92" spans="1:12" x14ac:dyDescent="0.25">
      <c r="A92">
        <v>7104</v>
      </c>
      <c r="B92" s="36">
        <v>44899</v>
      </c>
      <c r="C92" s="37">
        <f t="shared" si="3"/>
        <v>12</v>
      </c>
      <c r="D92" t="s">
        <v>18</v>
      </c>
      <c r="E92" t="s">
        <v>19</v>
      </c>
      <c r="F92" t="s">
        <v>55</v>
      </c>
      <c r="G92">
        <v>232.01400000000001</v>
      </c>
      <c r="H92">
        <v>196.75200000000001</v>
      </c>
      <c r="I92">
        <v>4.4000000000000004</v>
      </c>
      <c r="J92">
        <v>12.8</v>
      </c>
      <c r="K92">
        <f t="shared" si="4"/>
        <v>84.801779202979134</v>
      </c>
      <c r="L92">
        <f t="shared" si="5"/>
        <v>92.97075793354135</v>
      </c>
    </row>
    <row r="93" spans="1:12" x14ac:dyDescent="0.25">
      <c r="A93">
        <v>7115</v>
      </c>
      <c r="B93" s="36">
        <v>44910</v>
      </c>
      <c r="C93" s="37">
        <f t="shared" si="3"/>
        <v>12</v>
      </c>
      <c r="D93" t="s">
        <v>18</v>
      </c>
      <c r="E93" t="s">
        <v>20</v>
      </c>
      <c r="F93" t="s">
        <v>79</v>
      </c>
      <c r="G93">
        <v>234.98699999999999</v>
      </c>
      <c r="H93">
        <v>202.5</v>
      </c>
      <c r="I93">
        <v>3.3</v>
      </c>
      <c r="J93">
        <v>11.4</v>
      </c>
      <c r="K93">
        <f t="shared" si="4"/>
        <v>86.174979892504695</v>
      </c>
      <c r="L93">
        <f t="shared" si="5"/>
        <v>94.053279408636612</v>
      </c>
    </row>
    <row r="94" spans="1:12" x14ac:dyDescent="0.25">
      <c r="A94">
        <v>7116</v>
      </c>
      <c r="B94" s="36">
        <v>44911</v>
      </c>
      <c r="C94" s="37">
        <f t="shared" si="3"/>
        <v>12</v>
      </c>
      <c r="D94" t="s">
        <v>18</v>
      </c>
      <c r="E94" t="s">
        <v>19</v>
      </c>
      <c r="F94" t="s">
        <v>55</v>
      </c>
      <c r="G94">
        <v>232.999</v>
      </c>
      <c r="H94">
        <v>194.351</v>
      </c>
      <c r="I94">
        <v>4.0999999999999996</v>
      </c>
      <c r="J94">
        <v>10.9</v>
      </c>
      <c r="K94">
        <f t="shared" si="4"/>
        <v>83.412804346799774</v>
      </c>
      <c r="L94">
        <f t="shared" si="5"/>
        <v>89.778764723435458</v>
      </c>
    </row>
    <row r="95" spans="1:12" x14ac:dyDescent="0.25">
      <c r="A95">
        <v>7119</v>
      </c>
      <c r="B95" s="36">
        <v>44914</v>
      </c>
      <c r="C95" s="37">
        <f t="shared" si="3"/>
        <v>12</v>
      </c>
      <c r="D95" t="s">
        <v>18</v>
      </c>
      <c r="E95" t="s">
        <v>19</v>
      </c>
      <c r="F95" t="s">
        <v>55</v>
      </c>
      <c r="G95">
        <v>233.00399999999999</v>
      </c>
      <c r="H95">
        <v>198.21199999999999</v>
      </c>
      <c r="I95">
        <v>3.6</v>
      </c>
      <c r="J95">
        <v>12.4</v>
      </c>
      <c r="K95">
        <f t="shared" si="4"/>
        <v>85.068067500987112</v>
      </c>
      <c r="L95">
        <f t="shared" si="5"/>
        <v>93.613718117524627</v>
      </c>
    </row>
    <row r="96" spans="1:12" x14ac:dyDescent="0.25">
      <c r="A96">
        <v>7124</v>
      </c>
      <c r="B96" s="36">
        <v>44919</v>
      </c>
      <c r="C96" s="37">
        <f t="shared" si="3"/>
        <v>12</v>
      </c>
      <c r="D96" t="s">
        <v>17</v>
      </c>
      <c r="E96" t="s">
        <v>19</v>
      </c>
      <c r="F96" t="s">
        <v>58</v>
      </c>
      <c r="G96">
        <v>232.00299999999999</v>
      </c>
      <c r="H96">
        <v>194.89</v>
      </c>
      <c r="I96">
        <v>5.6</v>
      </c>
      <c r="J96">
        <v>11.9</v>
      </c>
      <c r="K96">
        <f t="shared" si="4"/>
        <v>84.003224096240132</v>
      </c>
      <c r="L96">
        <f t="shared" si="5"/>
        <v>90.010265092906565</v>
      </c>
    </row>
    <row r="97" spans="1:12" x14ac:dyDescent="0.25">
      <c r="A97">
        <v>7129</v>
      </c>
      <c r="B97" s="36">
        <v>44924</v>
      </c>
      <c r="C97" s="37">
        <f t="shared" si="3"/>
        <v>12</v>
      </c>
      <c r="D97" t="s">
        <v>18</v>
      </c>
      <c r="E97" t="s">
        <v>19</v>
      </c>
      <c r="F97" t="s">
        <v>55</v>
      </c>
      <c r="G97">
        <v>232.999</v>
      </c>
      <c r="H97">
        <v>196.38900000000001</v>
      </c>
      <c r="I97">
        <v>3.7</v>
      </c>
      <c r="J97">
        <v>12.4</v>
      </c>
      <c r="K97">
        <f t="shared" si="4"/>
        <v>84.287486212387179</v>
      </c>
      <c r="L97">
        <f t="shared" si="5"/>
        <v>92.658503678685918</v>
      </c>
    </row>
    <row r="98" spans="1:12" x14ac:dyDescent="0.25">
      <c r="A98">
        <v>7136</v>
      </c>
      <c r="B98" s="36">
        <v>44930</v>
      </c>
      <c r="C98" s="37">
        <f t="shared" si="3"/>
        <v>1</v>
      </c>
      <c r="D98" t="s">
        <v>18</v>
      </c>
      <c r="E98" t="s">
        <v>19</v>
      </c>
      <c r="F98" t="s">
        <v>55</v>
      </c>
      <c r="G98">
        <v>233.012</v>
      </c>
      <c r="H98">
        <v>178.84100000000001</v>
      </c>
      <c r="I98">
        <v>3.9</v>
      </c>
      <c r="J98">
        <v>12.6</v>
      </c>
      <c r="K98">
        <f t="shared" si="4"/>
        <v>76.751841106895796</v>
      </c>
      <c r="L98">
        <f t="shared" si="5"/>
        <v>84.391898516849949</v>
      </c>
    </row>
    <row r="99" spans="1:12" x14ac:dyDescent="0.25">
      <c r="A99">
        <v>7141</v>
      </c>
      <c r="B99" s="36">
        <v>44935</v>
      </c>
      <c r="C99" s="37">
        <f t="shared" si="3"/>
        <v>1</v>
      </c>
      <c r="D99" t="s">
        <v>18</v>
      </c>
      <c r="E99" t="s">
        <v>20</v>
      </c>
      <c r="F99" t="s">
        <v>79</v>
      </c>
      <c r="G99">
        <v>232.999</v>
      </c>
      <c r="H99">
        <v>196.304</v>
      </c>
      <c r="I99">
        <v>3.4</v>
      </c>
      <c r="J99">
        <v>11.5</v>
      </c>
      <c r="K99">
        <f t="shared" si="4"/>
        <v>84.251005369121756</v>
      </c>
      <c r="L99">
        <f t="shared" si="5"/>
        <v>91.962114335109163</v>
      </c>
    </row>
    <row r="100" spans="1:12" x14ac:dyDescent="0.25">
      <c r="A100">
        <v>7146</v>
      </c>
      <c r="B100" s="36">
        <v>44940</v>
      </c>
      <c r="C100" s="37">
        <f t="shared" si="3"/>
        <v>1</v>
      </c>
      <c r="D100" t="s">
        <v>18</v>
      </c>
      <c r="E100" t="s">
        <v>19</v>
      </c>
      <c r="F100" t="s">
        <v>55</v>
      </c>
      <c r="G100">
        <v>233.00399999999999</v>
      </c>
      <c r="H100">
        <v>195.434</v>
      </c>
      <c r="I100">
        <v>3.9</v>
      </c>
      <c r="J100">
        <v>12.5</v>
      </c>
      <c r="K100">
        <f t="shared" si="4"/>
        <v>83.875813290758956</v>
      </c>
      <c r="L100">
        <f t="shared" si="5"/>
        <v>92.119607511336412</v>
      </c>
    </row>
    <row r="101" spans="1:12" x14ac:dyDescent="0.25">
      <c r="A101">
        <v>7154</v>
      </c>
      <c r="B101" s="36">
        <v>44948</v>
      </c>
      <c r="C101" s="37">
        <f t="shared" si="3"/>
        <v>1</v>
      </c>
      <c r="D101" t="s">
        <v>18</v>
      </c>
      <c r="E101" t="s">
        <v>19</v>
      </c>
      <c r="F101" t="s">
        <v>55</v>
      </c>
      <c r="G101">
        <v>233</v>
      </c>
      <c r="H101">
        <v>197.81299999999999</v>
      </c>
      <c r="I101">
        <v>4.3</v>
      </c>
      <c r="J101">
        <v>11.9</v>
      </c>
      <c r="K101">
        <f t="shared" si="4"/>
        <v>84.898283261802561</v>
      </c>
      <c r="L101">
        <f t="shared" si="5"/>
        <v>92.22208522309316</v>
      </c>
    </row>
    <row r="102" spans="1:12" x14ac:dyDescent="0.25">
      <c r="A102">
        <v>7159</v>
      </c>
      <c r="B102" s="36">
        <v>44953</v>
      </c>
      <c r="C102" s="37">
        <f t="shared" si="3"/>
        <v>1</v>
      </c>
      <c r="D102" t="s">
        <v>18</v>
      </c>
      <c r="E102" t="s">
        <v>19</v>
      </c>
      <c r="F102" t="s">
        <v>55</v>
      </c>
      <c r="G102">
        <v>235.01599999999999</v>
      </c>
      <c r="H102">
        <v>198.23599999999999</v>
      </c>
      <c r="I102">
        <v>3.4</v>
      </c>
      <c r="J102">
        <v>12</v>
      </c>
      <c r="K102">
        <f t="shared" si="4"/>
        <v>84.350001702011781</v>
      </c>
      <c r="L102">
        <f t="shared" si="5"/>
        <v>92.593297322890194</v>
      </c>
    </row>
    <row r="103" spans="1:12" x14ac:dyDescent="0.25">
      <c r="A103">
        <v>7172</v>
      </c>
      <c r="B103" s="36">
        <v>44966</v>
      </c>
      <c r="C103" s="37">
        <f t="shared" si="3"/>
        <v>2</v>
      </c>
      <c r="D103" t="s">
        <v>18</v>
      </c>
      <c r="E103" t="s">
        <v>19</v>
      </c>
      <c r="F103" t="s">
        <v>54</v>
      </c>
      <c r="G103">
        <v>229.99299999999999</v>
      </c>
      <c r="H103">
        <v>194.79</v>
      </c>
      <c r="I103">
        <v>4.9000000000000004</v>
      </c>
      <c r="J103">
        <v>11.4</v>
      </c>
      <c r="K103">
        <f t="shared" si="4"/>
        <v>84.693881987712672</v>
      </c>
      <c r="L103">
        <f t="shared" si="5"/>
        <v>90.907315767849596</v>
      </c>
    </row>
    <row r="104" spans="1:12" x14ac:dyDescent="0.25">
      <c r="A104">
        <v>7177</v>
      </c>
      <c r="B104" s="36">
        <v>44971</v>
      </c>
      <c r="C104" s="37">
        <f t="shared" si="3"/>
        <v>2</v>
      </c>
      <c r="D104" t="s">
        <v>18</v>
      </c>
      <c r="E104" t="s">
        <v>19</v>
      </c>
      <c r="F104" t="s">
        <v>55</v>
      </c>
      <c r="G104">
        <v>235.00299999999999</v>
      </c>
      <c r="H104">
        <v>200.864</v>
      </c>
      <c r="I104">
        <v>3.6</v>
      </c>
      <c r="J104">
        <v>12</v>
      </c>
      <c r="K104">
        <f t="shared" si="4"/>
        <v>85.472951409130957</v>
      </c>
      <c r="L104">
        <f t="shared" si="5"/>
        <v>93.631733134548</v>
      </c>
    </row>
    <row r="105" spans="1:12" x14ac:dyDescent="0.25">
      <c r="A105">
        <v>7195</v>
      </c>
      <c r="B105" s="36">
        <v>44990</v>
      </c>
      <c r="C105" s="37">
        <f t="shared" si="3"/>
        <v>3</v>
      </c>
      <c r="D105" t="s">
        <v>37</v>
      </c>
      <c r="E105" t="s">
        <v>19</v>
      </c>
      <c r="F105" t="s">
        <v>55</v>
      </c>
      <c r="G105">
        <v>235.08</v>
      </c>
      <c r="H105">
        <v>194.886</v>
      </c>
      <c r="I105">
        <v>3.7</v>
      </c>
      <c r="J105">
        <v>12.6</v>
      </c>
      <c r="K105">
        <f t="shared" si="4"/>
        <v>82.901990811638584</v>
      </c>
      <c r="L105">
        <f t="shared" si="5"/>
        <v>91.34395555103886</v>
      </c>
    </row>
    <row r="106" spans="1:12" x14ac:dyDescent="0.25">
      <c r="A106">
        <v>7200</v>
      </c>
      <c r="B106" s="36">
        <v>44995</v>
      </c>
      <c r="C106" s="37">
        <f t="shared" si="3"/>
        <v>3</v>
      </c>
      <c r="D106" t="s">
        <v>17</v>
      </c>
      <c r="E106" t="s">
        <v>20</v>
      </c>
      <c r="F106" t="s">
        <v>48</v>
      </c>
      <c r="G106">
        <v>235.06899999999999</v>
      </c>
      <c r="H106">
        <v>201.35499999999999</v>
      </c>
      <c r="I106">
        <v>4.2</v>
      </c>
      <c r="J106">
        <v>12.3</v>
      </c>
      <c r="K106">
        <f t="shared" si="4"/>
        <v>85.657828127060569</v>
      </c>
      <c r="L106">
        <f t="shared" si="5"/>
        <v>93.569212480871172</v>
      </c>
    </row>
    <row r="107" spans="1:12" x14ac:dyDescent="0.25">
      <c r="A107">
        <v>7205</v>
      </c>
      <c r="B107" s="36">
        <v>44999</v>
      </c>
      <c r="C107" s="37">
        <f t="shared" si="3"/>
        <v>3</v>
      </c>
      <c r="D107" t="s">
        <v>18</v>
      </c>
      <c r="E107" t="s">
        <v>19</v>
      </c>
      <c r="F107" t="s">
        <v>55</v>
      </c>
      <c r="G107">
        <v>235.01</v>
      </c>
      <c r="H107">
        <v>199.61099999999999</v>
      </c>
      <c r="I107">
        <v>4.0999999999999996</v>
      </c>
      <c r="J107">
        <v>12.2</v>
      </c>
      <c r="K107">
        <f t="shared" si="4"/>
        <v>84.937236713331345</v>
      </c>
      <c r="L107">
        <f t="shared" si="5"/>
        <v>92.773132127659181</v>
      </c>
    </row>
    <row r="108" spans="1:12" x14ac:dyDescent="0.25">
      <c r="A108">
        <v>7207</v>
      </c>
      <c r="B108" s="36">
        <v>45001</v>
      </c>
      <c r="C108" s="37">
        <f t="shared" si="3"/>
        <v>3</v>
      </c>
      <c r="D108" t="s">
        <v>17</v>
      </c>
      <c r="E108" t="s">
        <v>20</v>
      </c>
      <c r="F108" t="s">
        <v>48</v>
      </c>
      <c r="G108">
        <v>234.93600000000001</v>
      </c>
      <c r="H108">
        <v>200.63499999999999</v>
      </c>
      <c r="I108">
        <v>3.9</v>
      </c>
      <c r="J108">
        <v>12.2</v>
      </c>
      <c r="K108">
        <f t="shared" si="4"/>
        <v>85.399853577144398</v>
      </c>
      <c r="L108">
        <f t="shared" si="5"/>
        <v>93.472960464277648</v>
      </c>
    </row>
    <row r="109" spans="1:12" x14ac:dyDescent="0.25">
      <c r="A109">
        <v>7208</v>
      </c>
      <c r="B109" s="36">
        <v>45002</v>
      </c>
      <c r="C109" s="37">
        <f t="shared" si="3"/>
        <v>3</v>
      </c>
      <c r="D109" t="s">
        <v>17</v>
      </c>
      <c r="E109" t="s">
        <v>20</v>
      </c>
      <c r="F109" t="s">
        <v>48</v>
      </c>
      <c r="G109">
        <v>235</v>
      </c>
      <c r="H109">
        <v>206.82499999999999</v>
      </c>
      <c r="I109">
        <v>4</v>
      </c>
      <c r="J109">
        <v>11.4</v>
      </c>
      <c r="K109">
        <f t="shared" si="4"/>
        <v>88.010638297872333</v>
      </c>
      <c r="L109">
        <f t="shared" si="5"/>
        <v>95.361413957062567</v>
      </c>
    </row>
    <row r="110" spans="1:12" x14ac:dyDescent="0.25">
      <c r="A110">
        <v>7210</v>
      </c>
      <c r="B110" s="36">
        <v>45004</v>
      </c>
      <c r="C110" s="37">
        <f t="shared" si="3"/>
        <v>3</v>
      </c>
      <c r="D110" t="s">
        <v>18</v>
      </c>
      <c r="E110" t="s">
        <v>19</v>
      </c>
      <c r="F110" t="s">
        <v>55</v>
      </c>
      <c r="G110">
        <v>235.03299999999999</v>
      </c>
      <c r="H110">
        <v>192.52600000000001</v>
      </c>
      <c r="I110">
        <v>3.9</v>
      </c>
      <c r="J110">
        <v>12.2</v>
      </c>
      <c r="K110">
        <f t="shared" si="4"/>
        <v>81.914454565954571</v>
      </c>
      <c r="L110">
        <f t="shared" si="5"/>
        <v>89.658076125150743</v>
      </c>
    </row>
    <row r="111" spans="1:12" x14ac:dyDescent="0.25">
      <c r="A111">
        <v>7217</v>
      </c>
      <c r="B111" s="36">
        <v>45011</v>
      </c>
      <c r="C111" s="37">
        <f t="shared" si="3"/>
        <v>3</v>
      </c>
      <c r="D111" t="s">
        <v>38</v>
      </c>
      <c r="E111" t="s">
        <v>19</v>
      </c>
      <c r="F111" t="s">
        <v>55</v>
      </c>
      <c r="G111">
        <v>235.011</v>
      </c>
      <c r="H111">
        <v>192.17599999999999</v>
      </c>
      <c r="I111">
        <v>3.7</v>
      </c>
      <c r="J111">
        <v>12.6</v>
      </c>
      <c r="K111">
        <f t="shared" si="4"/>
        <v>81.773193595193419</v>
      </c>
      <c r="L111">
        <f t="shared" si="5"/>
        <v>90.100212164955678</v>
      </c>
    </row>
    <row r="112" spans="1:12" x14ac:dyDescent="0.25">
      <c r="A112">
        <v>7222</v>
      </c>
      <c r="B112" s="36">
        <v>45016</v>
      </c>
      <c r="C112" s="37">
        <f t="shared" si="3"/>
        <v>3</v>
      </c>
      <c r="D112" t="s">
        <v>38</v>
      </c>
      <c r="E112" t="s">
        <v>19</v>
      </c>
      <c r="F112" t="s">
        <v>55</v>
      </c>
      <c r="G112">
        <v>234.93899999999999</v>
      </c>
      <c r="H112">
        <v>197.84899999999999</v>
      </c>
      <c r="I112">
        <v>4.0999999999999996</v>
      </c>
      <c r="J112">
        <v>12.6</v>
      </c>
      <c r="K112">
        <f t="shared" si="4"/>
        <v>84.212923354572894</v>
      </c>
      <c r="L112">
        <f t="shared" si="5"/>
        <v>92.402967387912355</v>
      </c>
    </row>
    <row r="113" spans="1:12" x14ac:dyDescent="0.25">
      <c r="A113">
        <v>7232</v>
      </c>
      <c r="B113" s="36">
        <v>45026</v>
      </c>
      <c r="C113" s="37">
        <f t="shared" si="3"/>
        <v>4</v>
      </c>
      <c r="D113" t="s">
        <v>18</v>
      </c>
      <c r="E113" t="s">
        <v>19</v>
      </c>
      <c r="F113" t="s">
        <v>55</v>
      </c>
      <c r="G113">
        <v>235.02099999999999</v>
      </c>
      <c r="H113">
        <v>199.626</v>
      </c>
      <c r="I113">
        <v>3.7</v>
      </c>
      <c r="J113">
        <v>12.4</v>
      </c>
      <c r="K113">
        <f t="shared" si="4"/>
        <v>84.939643691414815</v>
      </c>
      <c r="L113">
        <f t="shared" si="5"/>
        <v>93.375430222411495</v>
      </c>
    </row>
    <row r="114" spans="1:12" x14ac:dyDescent="0.25">
      <c r="A114">
        <v>7237</v>
      </c>
      <c r="B114" s="36">
        <v>45031</v>
      </c>
      <c r="C114" s="37">
        <f t="shared" si="3"/>
        <v>4</v>
      </c>
      <c r="D114" t="s">
        <v>38</v>
      </c>
      <c r="E114" t="s">
        <v>19</v>
      </c>
      <c r="F114" t="s">
        <v>55</v>
      </c>
      <c r="G114">
        <v>234.99799999999999</v>
      </c>
      <c r="H114">
        <v>198.703</v>
      </c>
      <c r="I114">
        <v>3.5</v>
      </c>
      <c r="J114">
        <v>12.2</v>
      </c>
      <c r="K114">
        <f t="shared" si="4"/>
        <v>84.555187703725139</v>
      </c>
      <c r="L114">
        <f t="shared" si="5"/>
        <v>92.933663022886975</v>
      </c>
    </row>
    <row r="115" spans="1:12" x14ac:dyDescent="0.25">
      <c r="A115">
        <v>7242</v>
      </c>
      <c r="B115" s="36">
        <v>45036</v>
      </c>
      <c r="C115" s="37">
        <f t="shared" si="3"/>
        <v>4</v>
      </c>
      <c r="D115" t="s">
        <v>37</v>
      </c>
      <c r="E115" t="s">
        <v>19</v>
      </c>
      <c r="F115" t="s">
        <v>55</v>
      </c>
      <c r="G115">
        <v>235.017</v>
      </c>
      <c r="H115">
        <v>199.744</v>
      </c>
      <c r="I115">
        <v>4.2</v>
      </c>
      <c r="J115">
        <v>12.3</v>
      </c>
      <c r="K115">
        <f t="shared" si="4"/>
        <v>84.991298501810505</v>
      </c>
      <c r="L115">
        <f t="shared" si="5"/>
        <v>92.841121966629942</v>
      </c>
    </row>
    <row r="116" spans="1:12" x14ac:dyDescent="0.25">
      <c r="A116">
        <v>7247</v>
      </c>
      <c r="B116" s="36">
        <v>45041</v>
      </c>
      <c r="C116" s="37">
        <f t="shared" si="3"/>
        <v>4</v>
      </c>
      <c r="D116" t="s">
        <v>18</v>
      </c>
      <c r="E116" t="s">
        <v>19</v>
      </c>
      <c r="F116" t="s">
        <v>55</v>
      </c>
      <c r="G116">
        <v>235.01900000000001</v>
      </c>
      <c r="H116">
        <v>199.18799999999999</v>
      </c>
      <c r="I116">
        <v>4.7</v>
      </c>
      <c r="J116">
        <v>11.4</v>
      </c>
      <c r="K116">
        <f t="shared" si="4"/>
        <v>84.753998612878107</v>
      </c>
      <c r="L116">
        <f t="shared" si="5"/>
        <v>91.163161036199583</v>
      </c>
    </row>
    <row r="117" spans="1:12" x14ac:dyDescent="0.25">
      <c r="A117">
        <v>7251</v>
      </c>
      <c r="B117" s="36">
        <v>45045</v>
      </c>
      <c r="C117" s="37">
        <f t="shared" si="3"/>
        <v>4</v>
      </c>
      <c r="D117" t="s">
        <v>17</v>
      </c>
      <c r="E117" t="s">
        <v>20</v>
      </c>
      <c r="F117" t="s">
        <v>80</v>
      </c>
      <c r="G117">
        <v>230.01599999999999</v>
      </c>
      <c r="H117">
        <v>196.70400000000001</v>
      </c>
      <c r="I117">
        <v>5.2</v>
      </c>
      <c r="J117">
        <v>10.8</v>
      </c>
      <c r="K117">
        <f t="shared" si="4"/>
        <v>85.517529215358934</v>
      </c>
      <c r="L117">
        <f t="shared" si="5"/>
        <v>90.886342708699857</v>
      </c>
    </row>
    <row r="118" spans="1:12" x14ac:dyDescent="0.25">
      <c r="A118">
        <v>7254</v>
      </c>
      <c r="B118" s="36">
        <v>45048</v>
      </c>
      <c r="C118" s="37">
        <f t="shared" si="3"/>
        <v>5</v>
      </c>
      <c r="D118" t="s">
        <v>19</v>
      </c>
      <c r="E118" t="s">
        <v>55</v>
      </c>
      <c r="F118" t="s">
        <v>18</v>
      </c>
      <c r="G118">
        <v>234.97399999999999</v>
      </c>
      <c r="H118">
        <v>198.11</v>
      </c>
      <c r="I118">
        <v>3.9</v>
      </c>
      <c r="J118">
        <v>11.6</v>
      </c>
      <c r="K118">
        <f t="shared" si="4"/>
        <v>84.311455735528199</v>
      </c>
      <c r="L118">
        <f t="shared" si="5"/>
        <v>91.655326879912437</v>
      </c>
    </row>
    <row r="119" spans="1:12" x14ac:dyDescent="0.25">
      <c r="A119">
        <v>7259</v>
      </c>
      <c r="B119" s="36">
        <v>45053</v>
      </c>
      <c r="C119" s="37">
        <f t="shared" si="3"/>
        <v>5</v>
      </c>
      <c r="D119" t="s">
        <v>19</v>
      </c>
      <c r="E119" t="s">
        <v>55</v>
      </c>
      <c r="F119" t="s">
        <v>18</v>
      </c>
      <c r="G119">
        <v>235.05500000000001</v>
      </c>
      <c r="H119">
        <v>199.3</v>
      </c>
      <c r="I119">
        <v>3.6</v>
      </c>
      <c r="J119">
        <v>12.2</v>
      </c>
      <c r="K119">
        <f t="shared" si="4"/>
        <v>84.788666482312664</v>
      </c>
      <c r="L119">
        <f t="shared" si="5"/>
        <v>93.093706707231661</v>
      </c>
    </row>
    <row r="120" spans="1:12" x14ac:dyDescent="0.25">
      <c r="A120">
        <v>7266</v>
      </c>
      <c r="B120" s="36">
        <v>45060</v>
      </c>
      <c r="C120" s="37">
        <f t="shared" si="3"/>
        <v>5</v>
      </c>
      <c r="D120" t="s">
        <v>19</v>
      </c>
      <c r="E120" t="s">
        <v>55</v>
      </c>
      <c r="F120" t="s">
        <v>18</v>
      </c>
      <c r="G120">
        <v>235.072</v>
      </c>
      <c r="H120">
        <v>200.48099999999999</v>
      </c>
      <c r="I120">
        <v>4.8</v>
      </c>
      <c r="J120">
        <v>11.8</v>
      </c>
      <c r="K120">
        <f t="shared" si="4"/>
        <v>85.284933977674925</v>
      </c>
      <c r="L120">
        <f t="shared" si="5"/>
        <v>92.053579531458652</v>
      </c>
    </row>
    <row r="121" spans="1:12" x14ac:dyDescent="0.25">
      <c r="A121">
        <v>7278</v>
      </c>
      <c r="B121" s="36">
        <v>45072</v>
      </c>
      <c r="C121" s="37">
        <f t="shared" si="3"/>
        <v>5</v>
      </c>
      <c r="D121" t="s">
        <v>19</v>
      </c>
      <c r="E121" t="s">
        <v>55</v>
      </c>
      <c r="F121" t="s">
        <v>18</v>
      </c>
      <c r="G121">
        <v>235.006</v>
      </c>
      <c r="H121">
        <v>198.74600000000001</v>
      </c>
      <c r="I121">
        <v>4.2</v>
      </c>
      <c r="J121">
        <v>11.4</v>
      </c>
      <c r="K121">
        <f t="shared" si="4"/>
        <v>84.570606707913839</v>
      </c>
      <c r="L121">
        <f t="shared" si="5"/>
        <v>91.443161654832352</v>
      </c>
    </row>
    <row r="122" spans="1:12" x14ac:dyDescent="0.25">
      <c r="A122">
        <v>7279</v>
      </c>
      <c r="B122" s="36">
        <v>45073</v>
      </c>
      <c r="C122" s="37">
        <f t="shared" si="3"/>
        <v>5</v>
      </c>
      <c r="D122" t="s">
        <v>19</v>
      </c>
      <c r="E122" t="s">
        <v>55</v>
      </c>
      <c r="F122" t="s">
        <v>18</v>
      </c>
      <c r="G122">
        <v>235</v>
      </c>
      <c r="H122">
        <v>197.934</v>
      </c>
      <c r="I122">
        <v>4</v>
      </c>
      <c r="J122">
        <v>11.9</v>
      </c>
      <c r="K122">
        <f t="shared" si="4"/>
        <v>84.227234042553192</v>
      </c>
      <c r="L122">
        <f t="shared" si="5"/>
        <v>91.779959910160116</v>
      </c>
    </row>
    <row r="123" spans="1:12" x14ac:dyDescent="0.25">
      <c r="A123">
        <v>7283</v>
      </c>
      <c r="B123" s="36">
        <v>45077</v>
      </c>
      <c r="C123" s="37">
        <f t="shared" si="3"/>
        <v>5</v>
      </c>
      <c r="D123" t="s">
        <v>20</v>
      </c>
      <c r="E123" t="s">
        <v>80</v>
      </c>
      <c r="F123" t="s">
        <v>17</v>
      </c>
      <c r="G123">
        <v>230.00899999999999</v>
      </c>
      <c r="H123">
        <v>199.952</v>
      </c>
      <c r="I123">
        <v>5.3</v>
      </c>
      <c r="J123">
        <v>10.3</v>
      </c>
      <c r="K123">
        <f t="shared" si="4"/>
        <v>86.93225047715525</v>
      </c>
      <c r="L123">
        <f t="shared" si="5"/>
        <v>91.777972354365687</v>
      </c>
    </row>
    <row r="124" spans="1:12" x14ac:dyDescent="0.25">
      <c r="A124">
        <v>7288</v>
      </c>
      <c r="B124" s="36">
        <v>45082</v>
      </c>
      <c r="C124" s="37">
        <f t="shared" si="3"/>
        <v>6</v>
      </c>
      <c r="D124" t="s">
        <v>17</v>
      </c>
      <c r="E124" t="s">
        <v>19</v>
      </c>
      <c r="F124" t="s">
        <v>55</v>
      </c>
      <c r="G124">
        <v>230.00800000000001</v>
      </c>
      <c r="H124">
        <v>196.27199999999999</v>
      </c>
      <c r="I124">
        <v>4.0999999999999996</v>
      </c>
      <c r="J124">
        <v>11.9</v>
      </c>
      <c r="K124">
        <f t="shared" si="4"/>
        <v>85.332684080553705</v>
      </c>
      <c r="L124">
        <f t="shared" si="5"/>
        <v>92.887677676788897</v>
      </c>
    </row>
    <row r="125" spans="1:12" x14ac:dyDescent="0.25">
      <c r="A125">
        <v>7289</v>
      </c>
      <c r="B125" s="36">
        <v>45083</v>
      </c>
      <c r="C125" s="37">
        <f t="shared" si="3"/>
        <v>6</v>
      </c>
      <c r="D125" t="s">
        <v>18</v>
      </c>
      <c r="E125" t="s">
        <v>20</v>
      </c>
      <c r="F125" t="s">
        <v>48</v>
      </c>
      <c r="G125">
        <v>230.036</v>
      </c>
      <c r="H125">
        <v>196.73</v>
      </c>
      <c r="I125">
        <v>3.9</v>
      </c>
      <c r="J125">
        <v>12</v>
      </c>
      <c r="K125">
        <f t="shared" si="4"/>
        <v>85.521396650958977</v>
      </c>
      <c r="L125">
        <f t="shared" si="5"/>
        <v>93.393252479058603</v>
      </c>
    </row>
    <row r="126" spans="1:12" x14ac:dyDescent="0.25">
      <c r="A126">
        <v>7290</v>
      </c>
      <c r="B126" s="36">
        <v>45084</v>
      </c>
      <c r="C126" s="37">
        <f t="shared" si="3"/>
        <v>6</v>
      </c>
      <c r="D126" t="s">
        <v>52</v>
      </c>
      <c r="E126" t="s">
        <v>20</v>
      </c>
      <c r="F126" t="s">
        <v>53</v>
      </c>
      <c r="G126">
        <v>229.95099999999999</v>
      </c>
      <c r="H126">
        <v>192.68100000000001</v>
      </c>
      <c r="I126">
        <v>4.3</v>
      </c>
      <c r="J126">
        <v>12</v>
      </c>
      <c r="K126">
        <f t="shared" si="4"/>
        <v>83.792199207657291</v>
      </c>
      <c r="L126">
        <f t="shared" si="5"/>
        <v>91.124016638327305</v>
      </c>
    </row>
    <row r="127" spans="1:12" x14ac:dyDescent="0.25">
      <c r="A127">
        <v>7293</v>
      </c>
      <c r="B127" s="36">
        <v>45087</v>
      </c>
      <c r="C127" s="37">
        <f t="shared" si="3"/>
        <v>6</v>
      </c>
      <c r="D127" t="s">
        <v>18</v>
      </c>
      <c r="E127" t="s">
        <v>19</v>
      </c>
      <c r="F127" t="s">
        <v>55</v>
      </c>
      <c r="G127">
        <v>230.01</v>
      </c>
      <c r="H127">
        <v>191.73500000000001</v>
      </c>
      <c r="I127">
        <v>4.0999999999999996</v>
      </c>
      <c r="J127">
        <v>12.6</v>
      </c>
      <c r="K127">
        <f t="shared" si="4"/>
        <v>83.359419155688897</v>
      </c>
      <c r="L127">
        <f t="shared" si="5"/>
        <v>91.466456487763907</v>
      </c>
    </row>
    <row r="128" spans="1:12" x14ac:dyDescent="0.25">
      <c r="A128">
        <v>7300</v>
      </c>
      <c r="B128" s="36">
        <v>45094</v>
      </c>
      <c r="C128" s="37">
        <f t="shared" si="3"/>
        <v>6</v>
      </c>
      <c r="D128" t="s">
        <v>18</v>
      </c>
      <c r="E128" t="s">
        <v>19</v>
      </c>
      <c r="F128" t="s">
        <v>55</v>
      </c>
      <c r="G128">
        <v>230.006</v>
      </c>
      <c r="H128">
        <v>193.54499999999999</v>
      </c>
      <c r="I128">
        <v>3.9</v>
      </c>
      <c r="J128">
        <v>12.3</v>
      </c>
      <c r="K128">
        <f t="shared" si="4"/>
        <v>84.147804839873743</v>
      </c>
      <c r="L128">
        <f t="shared" si="5"/>
        <v>92.207571780066885</v>
      </c>
    </row>
    <row r="129" spans="1:12" x14ac:dyDescent="0.25">
      <c r="A129">
        <v>7305</v>
      </c>
      <c r="B129" s="36">
        <v>45099</v>
      </c>
      <c r="C129" s="37">
        <f t="shared" si="3"/>
        <v>6</v>
      </c>
      <c r="D129" t="s">
        <v>38</v>
      </c>
      <c r="E129" t="s">
        <v>19</v>
      </c>
      <c r="F129" t="s">
        <v>55</v>
      </c>
      <c r="G129">
        <v>229.99700000000001</v>
      </c>
      <c r="H129">
        <v>191.88300000000001</v>
      </c>
      <c r="I129">
        <v>5.0999999999999996</v>
      </c>
      <c r="J129">
        <v>12.8</v>
      </c>
      <c r="K129">
        <f t="shared" si="4"/>
        <v>83.428479501906551</v>
      </c>
      <c r="L129">
        <f t="shared" si="5"/>
        <v>90.795443861593256</v>
      </c>
    </row>
    <row r="130" spans="1:12" x14ac:dyDescent="0.25">
      <c r="A130">
        <v>7314</v>
      </c>
      <c r="B130" s="36">
        <v>45108</v>
      </c>
      <c r="C130" s="37">
        <f t="shared" si="3"/>
        <v>7</v>
      </c>
      <c r="D130" t="s">
        <v>18</v>
      </c>
      <c r="E130" t="s">
        <v>19</v>
      </c>
      <c r="F130" t="s">
        <v>55</v>
      </c>
      <c r="G130">
        <v>230.00200000000001</v>
      </c>
      <c r="H130">
        <v>189.958</v>
      </c>
      <c r="I130">
        <v>3.9</v>
      </c>
      <c r="J130">
        <v>12.4</v>
      </c>
      <c r="K130">
        <f t="shared" si="4"/>
        <v>82.589716611159901</v>
      </c>
      <c r="L130">
        <f t="shared" si="5"/>
        <v>90.60355897639802</v>
      </c>
    </row>
    <row r="131" spans="1:12" x14ac:dyDescent="0.25">
      <c r="A131">
        <v>7319</v>
      </c>
      <c r="B131" s="36">
        <v>45113</v>
      </c>
      <c r="C131" s="37">
        <f t="shared" ref="C131:C150" si="6">MONTH(B131)</f>
        <v>7</v>
      </c>
      <c r="D131" t="s">
        <v>38</v>
      </c>
      <c r="E131" t="s">
        <v>19</v>
      </c>
      <c r="F131" t="s">
        <v>55</v>
      </c>
      <c r="G131">
        <v>229.99799999999999</v>
      </c>
      <c r="H131">
        <v>195.17099999999999</v>
      </c>
      <c r="I131">
        <v>3.9</v>
      </c>
      <c r="J131">
        <v>13.1</v>
      </c>
      <c r="K131">
        <f t="shared" ref="K131:K150" si="7">H131/G131*100</f>
        <v>84.857694414734041</v>
      </c>
      <c r="L131">
        <f t="shared" ref="L131:L150" si="8">(H131 - (H131*(I131/100))) / (G131 - (G131*(J131/100)))*100</f>
        <v>93.841477943106341</v>
      </c>
    </row>
    <row r="132" spans="1:12" x14ac:dyDescent="0.25">
      <c r="A132">
        <v>7326</v>
      </c>
      <c r="B132" s="36">
        <v>45120</v>
      </c>
      <c r="C132" s="37">
        <f t="shared" si="6"/>
        <v>7</v>
      </c>
      <c r="D132" t="s">
        <v>38</v>
      </c>
      <c r="E132" t="s">
        <v>19</v>
      </c>
      <c r="F132" t="s">
        <v>55</v>
      </c>
      <c r="G132">
        <v>229.999</v>
      </c>
      <c r="H132">
        <v>189.60599999999999</v>
      </c>
      <c r="I132">
        <v>4</v>
      </c>
      <c r="J132">
        <v>12.2</v>
      </c>
      <c r="K132">
        <f t="shared" si="7"/>
        <v>82.437749729346649</v>
      </c>
      <c r="L132">
        <f t="shared" si="8"/>
        <v>90.136947312269683</v>
      </c>
    </row>
    <row r="133" spans="1:12" x14ac:dyDescent="0.25">
      <c r="A133">
        <v>7333</v>
      </c>
      <c r="B133" s="36">
        <v>45127</v>
      </c>
      <c r="C133" s="37">
        <f t="shared" si="6"/>
        <v>7</v>
      </c>
      <c r="D133" t="s">
        <v>18</v>
      </c>
      <c r="E133" t="s">
        <v>19</v>
      </c>
      <c r="F133" t="s">
        <v>55</v>
      </c>
      <c r="G133">
        <v>230.01300000000001</v>
      </c>
      <c r="H133">
        <v>193.31899999999999</v>
      </c>
      <c r="I133">
        <v>3.9</v>
      </c>
      <c r="J133">
        <v>12</v>
      </c>
      <c r="K133">
        <f t="shared" si="7"/>
        <v>84.046988648467689</v>
      </c>
      <c r="L133">
        <f t="shared" si="8"/>
        <v>91.783131921792545</v>
      </c>
    </row>
    <row r="134" spans="1:12" x14ac:dyDescent="0.25">
      <c r="A134">
        <v>7340</v>
      </c>
      <c r="B134" s="36">
        <v>45134</v>
      </c>
      <c r="C134" s="37">
        <f t="shared" si="6"/>
        <v>7</v>
      </c>
      <c r="D134" t="s">
        <v>18</v>
      </c>
      <c r="E134" t="s">
        <v>19</v>
      </c>
      <c r="F134" t="s">
        <v>55</v>
      </c>
      <c r="G134">
        <v>230.00200000000001</v>
      </c>
      <c r="H134">
        <v>193.64400000000001</v>
      </c>
      <c r="I134">
        <v>4.0999999999999996</v>
      </c>
      <c r="J134">
        <v>12.1</v>
      </c>
      <c r="K134">
        <f t="shared" si="7"/>
        <v>84.192311371205463</v>
      </c>
      <c r="L134">
        <f t="shared" si="8"/>
        <v>91.854865307151357</v>
      </c>
    </row>
    <row r="135" spans="1:12" x14ac:dyDescent="0.25">
      <c r="A135">
        <v>7343</v>
      </c>
      <c r="B135" s="36">
        <v>45137</v>
      </c>
      <c r="C135" s="37">
        <f t="shared" si="6"/>
        <v>7</v>
      </c>
      <c r="D135" t="s">
        <v>18</v>
      </c>
      <c r="E135" t="s">
        <v>19</v>
      </c>
      <c r="F135" t="s">
        <v>55</v>
      </c>
      <c r="G135">
        <v>229.96</v>
      </c>
      <c r="H135">
        <v>191.864</v>
      </c>
      <c r="I135">
        <v>4.5999999999999996</v>
      </c>
      <c r="J135">
        <v>12.3</v>
      </c>
      <c r="K135">
        <f t="shared" si="7"/>
        <v>83.433640633153601</v>
      </c>
      <c r="L135">
        <f t="shared" si="8"/>
        <v>90.759057199576418</v>
      </c>
    </row>
    <row r="136" spans="1:12" x14ac:dyDescent="0.25">
      <c r="A136">
        <v>7346</v>
      </c>
      <c r="B136" s="36">
        <v>45140</v>
      </c>
      <c r="C136" s="37">
        <f t="shared" si="6"/>
        <v>8</v>
      </c>
      <c r="D136" t="s">
        <v>38</v>
      </c>
      <c r="E136" t="s">
        <v>19</v>
      </c>
      <c r="F136" t="s">
        <v>55</v>
      </c>
      <c r="G136">
        <v>230.01</v>
      </c>
      <c r="H136">
        <v>190.989</v>
      </c>
      <c r="I136">
        <v>4.2</v>
      </c>
      <c r="J136">
        <v>11.9</v>
      </c>
      <c r="K136">
        <f t="shared" si="7"/>
        <v>83.035085431068225</v>
      </c>
      <c r="L136">
        <f t="shared" si="8"/>
        <v>90.292408448312557</v>
      </c>
    </row>
    <row r="137" spans="1:12" x14ac:dyDescent="0.25">
      <c r="A137">
        <v>7351</v>
      </c>
      <c r="B137" s="36">
        <v>45145</v>
      </c>
      <c r="C137" s="37">
        <f t="shared" si="6"/>
        <v>8</v>
      </c>
      <c r="D137" t="s">
        <v>17</v>
      </c>
      <c r="E137" t="s">
        <v>19</v>
      </c>
      <c r="F137" t="s">
        <v>57</v>
      </c>
      <c r="G137">
        <v>225.012</v>
      </c>
      <c r="H137">
        <v>190.75</v>
      </c>
      <c r="I137">
        <v>4.2</v>
      </c>
      <c r="J137">
        <v>12</v>
      </c>
      <c r="K137">
        <f t="shared" si="7"/>
        <v>84.77325653742912</v>
      </c>
      <c r="L137">
        <f t="shared" si="8"/>
        <v>92.28724973051942</v>
      </c>
    </row>
    <row r="138" spans="1:12" x14ac:dyDescent="0.25">
      <c r="A138">
        <v>7352</v>
      </c>
      <c r="B138" s="36">
        <v>45146</v>
      </c>
      <c r="C138" s="37">
        <f t="shared" si="6"/>
        <v>8</v>
      </c>
      <c r="D138" t="s">
        <v>38</v>
      </c>
      <c r="E138" t="s">
        <v>19</v>
      </c>
      <c r="F138" t="s">
        <v>55</v>
      </c>
      <c r="G138">
        <v>230</v>
      </c>
      <c r="H138">
        <v>196.05500000000001</v>
      </c>
      <c r="I138">
        <v>4.3</v>
      </c>
      <c r="J138">
        <v>11.9</v>
      </c>
      <c r="K138">
        <f t="shared" si="7"/>
        <v>85.241304347826087</v>
      </c>
      <c r="L138">
        <f t="shared" si="8"/>
        <v>92.594697231407011</v>
      </c>
    </row>
    <row r="139" spans="1:12" x14ac:dyDescent="0.25">
      <c r="A139">
        <v>7353</v>
      </c>
      <c r="B139" s="36">
        <v>45147</v>
      </c>
      <c r="C139" s="37">
        <f t="shared" si="6"/>
        <v>8</v>
      </c>
      <c r="D139" t="s">
        <v>38</v>
      </c>
      <c r="E139" t="s">
        <v>19</v>
      </c>
      <c r="F139" t="s">
        <v>55</v>
      </c>
      <c r="G139">
        <v>230.13</v>
      </c>
      <c r="H139">
        <v>196.36199999999999</v>
      </c>
      <c r="I139">
        <v>3.7</v>
      </c>
      <c r="J139">
        <v>12.2</v>
      </c>
      <c r="K139">
        <f t="shared" si="7"/>
        <v>85.326554556120442</v>
      </c>
      <c r="L139">
        <f t="shared" si="8"/>
        <v>93.587097992646932</v>
      </c>
    </row>
    <row r="140" spans="1:12" x14ac:dyDescent="0.25">
      <c r="A140">
        <v>7354</v>
      </c>
      <c r="B140" s="36">
        <v>45148</v>
      </c>
      <c r="C140" s="37">
        <f t="shared" si="6"/>
        <v>8</v>
      </c>
      <c r="D140" t="s">
        <v>38</v>
      </c>
      <c r="E140" t="s">
        <v>19</v>
      </c>
      <c r="F140" t="s">
        <v>55</v>
      </c>
      <c r="G140">
        <v>229.994</v>
      </c>
      <c r="H140">
        <v>194.22399999999999</v>
      </c>
      <c r="I140">
        <v>4.0999999999999996</v>
      </c>
      <c r="J140">
        <v>11.7</v>
      </c>
      <c r="K140">
        <f t="shared" si="7"/>
        <v>84.447420367487851</v>
      </c>
      <c r="L140">
        <f t="shared" si="8"/>
        <v>91.715828009536622</v>
      </c>
    </row>
    <row r="141" spans="1:12" x14ac:dyDescent="0.25">
      <c r="A141">
        <v>7355</v>
      </c>
      <c r="B141" s="36">
        <v>45149</v>
      </c>
      <c r="C141" s="37">
        <f t="shared" si="6"/>
        <v>8</v>
      </c>
      <c r="D141" t="s">
        <v>18</v>
      </c>
      <c r="E141" t="s">
        <v>20</v>
      </c>
      <c r="F141" t="s">
        <v>56</v>
      </c>
      <c r="G141">
        <v>230.00700000000001</v>
      </c>
      <c r="H141">
        <v>196.16300000000001</v>
      </c>
      <c r="I141">
        <v>4.4000000000000004</v>
      </c>
      <c r="J141">
        <v>11.4</v>
      </c>
      <c r="K141">
        <f t="shared" si="7"/>
        <v>85.285665218884645</v>
      </c>
      <c r="L141">
        <f t="shared" si="8"/>
        <v>92.023810326471477</v>
      </c>
    </row>
    <row r="142" spans="1:12" x14ac:dyDescent="0.25">
      <c r="A142">
        <v>7358</v>
      </c>
      <c r="B142" s="36">
        <v>45152</v>
      </c>
      <c r="C142" s="37">
        <f t="shared" si="6"/>
        <v>8</v>
      </c>
      <c r="D142" t="s">
        <v>18</v>
      </c>
      <c r="E142" t="s">
        <v>20</v>
      </c>
      <c r="F142" t="s">
        <v>48</v>
      </c>
      <c r="G142">
        <v>230.011</v>
      </c>
      <c r="H142">
        <v>195.114</v>
      </c>
      <c r="I142">
        <v>5</v>
      </c>
      <c r="J142">
        <v>12.1</v>
      </c>
      <c r="K142">
        <f t="shared" si="7"/>
        <v>84.828116916147493</v>
      </c>
      <c r="L142">
        <f t="shared" si="8"/>
        <v>91.679989841115045</v>
      </c>
    </row>
    <row r="143" spans="1:12" x14ac:dyDescent="0.25">
      <c r="A143">
        <v>7359</v>
      </c>
      <c r="B143" s="36">
        <v>45153</v>
      </c>
      <c r="C143" s="37">
        <f t="shared" si="6"/>
        <v>8</v>
      </c>
      <c r="D143" t="s">
        <v>18</v>
      </c>
      <c r="E143" t="s">
        <v>20</v>
      </c>
      <c r="F143" t="s">
        <v>48</v>
      </c>
      <c r="G143">
        <v>230.00899999999999</v>
      </c>
      <c r="H143">
        <v>190.87200000000001</v>
      </c>
      <c r="I143">
        <v>4.2</v>
      </c>
      <c r="J143">
        <v>11.8</v>
      </c>
      <c r="K143">
        <f t="shared" si="7"/>
        <v>82.98457886430532</v>
      </c>
      <c r="L143">
        <f t="shared" si="8"/>
        <v>90.135177496603731</v>
      </c>
    </row>
    <row r="144" spans="1:12" x14ac:dyDescent="0.25">
      <c r="A144">
        <v>7360</v>
      </c>
      <c r="B144" s="36">
        <v>45154</v>
      </c>
      <c r="C144" s="37">
        <f t="shared" si="6"/>
        <v>8</v>
      </c>
      <c r="D144" t="s">
        <v>17</v>
      </c>
      <c r="E144" t="s">
        <v>19</v>
      </c>
      <c r="F144" t="s">
        <v>58</v>
      </c>
      <c r="G144">
        <v>229.999</v>
      </c>
      <c r="H144">
        <v>190.12899999999999</v>
      </c>
      <c r="I144">
        <v>4</v>
      </c>
      <c r="J144">
        <v>11.4</v>
      </c>
      <c r="K144">
        <f t="shared" si="7"/>
        <v>82.665142022356619</v>
      </c>
      <c r="L144">
        <f t="shared" si="8"/>
        <v>89.569454110002638</v>
      </c>
    </row>
    <row r="145" spans="1:12" x14ac:dyDescent="0.25">
      <c r="A145">
        <v>7361</v>
      </c>
      <c r="B145" s="36">
        <v>45155</v>
      </c>
      <c r="C145" s="37">
        <f t="shared" si="6"/>
        <v>8</v>
      </c>
      <c r="D145" t="s">
        <v>17</v>
      </c>
      <c r="E145" t="s">
        <v>19</v>
      </c>
      <c r="F145" t="s">
        <v>57</v>
      </c>
      <c r="G145">
        <v>225.001</v>
      </c>
      <c r="H145">
        <v>191.37799999999999</v>
      </c>
      <c r="I145">
        <v>4.2</v>
      </c>
      <c r="J145">
        <v>11.9</v>
      </c>
      <c r="K145">
        <f t="shared" si="7"/>
        <v>85.056510859951729</v>
      </c>
      <c r="L145">
        <f t="shared" si="8"/>
        <v>92.490507836360663</v>
      </c>
    </row>
    <row r="146" spans="1:12" x14ac:dyDescent="0.25">
      <c r="A146">
        <v>7362</v>
      </c>
      <c r="B146" s="36">
        <v>45156</v>
      </c>
      <c r="C146" s="37">
        <f t="shared" si="6"/>
        <v>8</v>
      </c>
      <c r="D146" t="s">
        <v>38</v>
      </c>
      <c r="E146" t="s">
        <v>19</v>
      </c>
      <c r="F146" t="s">
        <v>55</v>
      </c>
      <c r="G146">
        <v>230.001</v>
      </c>
      <c r="H146">
        <v>191.44800000000001</v>
      </c>
      <c r="I146">
        <v>4.2</v>
      </c>
      <c r="J146">
        <v>13.3</v>
      </c>
      <c r="K146">
        <f t="shared" si="7"/>
        <v>83.237898965656683</v>
      </c>
      <c r="L146">
        <f t="shared" si="8"/>
        <v>91.974518118914744</v>
      </c>
    </row>
    <row r="147" spans="1:12" x14ac:dyDescent="0.25">
      <c r="A147">
        <v>7363</v>
      </c>
      <c r="B147" s="36">
        <v>45157</v>
      </c>
      <c r="C147" s="37">
        <f t="shared" si="6"/>
        <v>8</v>
      </c>
      <c r="D147" t="s">
        <v>38</v>
      </c>
      <c r="E147" t="s">
        <v>19</v>
      </c>
      <c r="F147" t="s">
        <v>55</v>
      </c>
      <c r="G147">
        <v>230.09200000000001</v>
      </c>
      <c r="H147">
        <v>191.14500000000001</v>
      </c>
      <c r="I147">
        <v>4.2</v>
      </c>
      <c r="J147">
        <v>13</v>
      </c>
      <c r="K147">
        <f t="shared" si="7"/>
        <v>83.073292422161572</v>
      </c>
      <c r="L147">
        <f t="shared" si="8"/>
        <v>91.476108207391704</v>
      </c>
    </row>
    <row r="148" spans="1:12" x14ac:dyDescent="0.25">
      <c r="A148">
        <v>7368</v>
      </c>
      <c r="B148" s="36">
        <v>45162</v>
      </c>
      <c r="C148" s="37">
        <f t="shared" si="6"/>
        <v>8</v>
      </c>
      <c r="D148" t="s">
        <v>18</v>
      </c>
      <c r="E148" t="s">
        <v>20</v>
      </c>
      <c r="F148" t="s">
        <v>48</v>
      </c>
      <c r="G148">
        <v>230.02199999999999</v>
      </c>
      <c r="H148">
        <v>191.24700000000001</v>
      </c>
      <c r="I148">
        <v>4.2</v>
      </c>
      <c r="J148">
        <v>12.1</v>
      </c>
      <c r="K148">
        <f t="shared" si="7"/>
        <v>83.142916764483417</v>
      </c>
      <c r="L148">
        <f t="shared" si="8"/>
        <v>90.615374585182138</v>
      </c>
    </row>
    <row r="149" spans="1:12" x14ac:dyDescent="0.25">
      <c r="A149">
        <v>7369</v>
      </c>
      <c r="B149" s="36">
        <v>45163</v>
      </c>
      <c r="C149" s="37">
        <f t="shared" si="6"/>
        <v>8</v>
      </c>
      <c r="D149" t="s">
        <v>18</v>
      </c>
      <c r="E149" t="s">
        <v>20</v>
      </c>
      <c r="F149" t="s">
        <v>48</v>
      </c>
      <c r="G149">
        <v>229.99600000000001</v>
      </c>
      <c r="H149">
        <v>193.721</v>
      </c>
      <c r="I149">
        <v>4.3</v>
      </c>
      <c r="J149">
        <v>12.1</v>
      </c>
      <c r="K149">
        <f t="shared" si="7"/>
        <v>84.22798657367953</v>
      </c>
      <c r="L149">
        <f t="shared" si="8"/>
        <v>91.702142378852471</v>
      </c>
    </row>
    <row r="150" spans="1:12" x14ac:dyDescent="0.25">
      <c r="A150">
        <v>7372</v>
      </c>
      <c r="B150" s="36">
        <v>45166</v>
      </c>
      <c r="C150" s="37">
        <f t="shared" si="6"/>
        <v>8</v>
      </c>
      <c r="D150" t="s">
        <v>18</v>
      </c>
      <c r="E150" t="s">
        <v>19</v>
      </c>
      <c r="F150" t="s">
        <v>55</v>
      </c>
      <c r="G150">
        <v>229.977</v>
      </c>
      <c r="H150">
        <v>191.988</v>
      </c>
      <c r="I150">
        <v>4.7</v>
      </c>
      <c r="J150">
        <v>11.6</v>
      </c>
      <c r="K150">
        <f t="shared" si="7"/>
        <v>83.481391617422602</v>
      </c>
      <c r="L150">
        <f t="shared" si="8"/>
        <v>89.997473089823245</v>
      </c>
    </row>
  </sheetData>
  <autoFilter ref="A1:L1" xr:uid="{A028A1D3-B043-4086-A681-FFD4CB2A3C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21C3-9CFD-45B1-95FD-FE3F4778D122}">
  <dimension ref="A1:AD774"/>
  <sheetViews>
    <sheetView tabSelected="1" topLeftCell="G10" workbookViewId="0">
      <selection activeCell="L33" sqref="L33"/>
    </sheetView>
  </sheetViews>
  <sheetFormatPr baseColWidth="10" defaultRowHeight="15" x14ac:dyDescent="0.25"/>
  <cols>
    <col min="3" max="4" width="11.42578125" style="36"/>
    <col min="7" max="7" width="13.28515625" bestFit="1" customWidth="1"/>
    <col min="8" max="8" width="13.5703125" bestFit="1" customWidth="1"/>
    <col min="11" max="11" width="10.42578125" customWidth="1"/>
    <col min="12" max="34" width="10.5703125" customWidth="1"/>
  </cols>
  <sheetData>
    <row r="1" spans="1:30" x14ac:dyDescent="0.25">
      <c r="A1" t="s">
        <v>6</v>
      </c>
      <c r="B1" t="s">
        <v>3</v>
      </c>
      <c r="C1" s="36" t="s">
        <v>16</v>
      </c>
      <c r="D1" s="36" t="s">
        <v>130</v>
      </c>
      <c r="E1" t="s">
        <v>0</v>
      </c>
      <c r="F1" t="s">
        <v>1</v>
      </c>
      <c r="G1" t="s">
        <v>82</v>
      </c>
      <c r="H1" t="s">
        <v>5</v>
      </c>
      <c r="I1" t="s">
        <v>117</v>
      </c>
      <c r="J1" t="s">
        <v>28</v>
      </c>
      <c r="K1" s="45"/>
      <c r="N1" s="46" t="str">
        <f>N$9&amp;"-"&amp;$M10</f>
        <v>1-GLOBE</v>
      </c>
      <c r="O1" s="46" t="str">
        <f>O$9&amp;"-"&amp;$M10</f>
        <v>2-GLOBE</v>
      </c>
      <c r="P1" s="46" t="str">
        <f>P$9&amp;"-"&amp;$M10</f>
        <v>3-GLOBE</v>
      </c>
      <c r="Q1" s="46" t="str">
        <f>Q$9&amp;"-"&amp;$M10</f>
        <v>4-GLOBE</v>
      </c>
      <c r="R1" s="46" t="str">
        <f>R$9&amp;"-"&amp;$M10</f>
        <v>5-GLOBE</v>
      </c>
      <c r="S1" s="46" t="str">
        <f>S$9&amp;"-"&amp;$M10</f>
        <v>6-GLOBE</v>
      </c>
      <c r="T1" s="46" t="str">
        <f>T$9&amp;"-"&amp;$M10</f>
        <v>7-GLOBE</v>
      </c>
      <c r="U1" s="46" t="str">
        <f>U$9&amp;"-"&amp;$M10</f>
        <v>8-GLOBE</v>
      </c>
      <c r="V1" s="46" t="str">
        <f>V$9&amp;"-"&amp;$M10</f>
        <v>9-GLOBE</v>
      </c>
      <c r="W1" s="46" t="str">
        <f>W$9&amp;"-"&amp;$M10</f>
        <v>10-GLOBE</v>
      </c>
      <c r="X1" s="46" t="str">
        <f>X$9&amp;"-"&amp;$M10</f>
        <v>11-GLOBE</v>
      </c>
      <c r="Y1" s="46" t="str">
        <f>Y$9&amp;"-"&amp;$M10</f>
        <v>12-GLOBE</v>
      </c>
      <c r="AC1" s="40"/>
    </row>
    <row r="2" spans="1:30" x14ac:dyDescent="0.25">
      <c r="A2">
        <v>6701</v>
      </c>
      <c r="B2" t="s">
        <v>18</v>
      </c>
      <c r="C2" s="37">
        <v>10</v>
      </c>
      <c r="D2" s="37" t="str">
        <f>C2&amp;"-"&amp;B2</f>
        <v>10-GLOBE</v>
      </c>
      <c r="E2">
        <v>225.04900000000001</v>
      </c>
      <c r="F2">
        <v>195.54</v>
      </c>
      <c r="G2">
        <v>3.8</v>
      </c>
      <c r="H2">
        <v>13.7</v>
      </c>
      <c r="I2">
        <f>F2/E2*100</f>
        <v>86.887744446764927</v>
      </c>
      <c r="J2">
        <f>(F2 - (F2*(G2/100))) / (E2 - (E2*(H2/100)))*100</f>
        <v>96.855168201376429</v>
      </c>
      <c r="K2" s="45"/>
      <c r="L2" s="45"/>
      <c r="N2" s="46" t="str">
        <f>N$9&amp;"-"&amp;$M11</f>
        <v>1-HEINEKEN</v>
      </c>
      <c r="O2" s="46" t="str">
        <f>O$9&amp;"-"&amp;$M11</f>
        <v>2-HEINEKEN</v>
      </c>
      <c r="P2" s="46" t="str">
        <f>P$9&amp;"-"&amp;$M11</f>
        <v>3-HEINEKEN</v>
      </c>
      <c r="Q2" s="46" t="str">
        <f>Q$9&amp;"-"&amp;$M11</f>
        <v>4-HEINEKEN</v>
      </c>
      <c r="R2" s="46" t="str">
        <f>R$9&amp;"-"&amp;$M11</f>
        <v>5-HEINEKEN</v>
      </c>
      <c r="S2" s="46" t="str">
        <f>S$9&amp;"-"&amp;$M11</f>
        <v>6-HEINEKEN</v>
      </c>
      <c r="T2" s="46" t="str">
        <f>T$9&amp;"-"&amp;$M11</f>
        <v>7-HEINEKEN</v>
      </c>
      <c r="U2" s="46" t="str">
        <f>U$9&amp;"-"&amp;$M11</f>
        <v>8-HEINEKEN</v>
      </c>
      <c r="V2" s="46" t="str">
        <f>V$9&amp;"-"&amp;$M11</f>
        <v>9-HEINEKEN</v>
      </c>
      <c r="W2" s="46" t="str">
        <f>W$9&amp;"-"&amp;$M11</f>
        <v>10-HEINEKEN</v>
      </c>
      <c r="X2" s="46" t="str">
        <f>X$9&amp;"-"&amp;$M11</f>
        <v>11-HEINEKEN</v>
      </c>
      <c r="Y2" s="46" t="str">
        <f>Y$9&amp;"-"&amp;$M11</f>
        <v>12-HEINEKEN</v>
      </c>
      <c r="AC2" s="41"/>
      <c r="AD2" s="42"/>
    </row>
    <row r="3" spans="1:30" x14ac:dyDescent="0.25">
      <c r="A3">
        <v>6706</v>
      </c>
      <c r="B3" t="s">
        <v>17</v>
      </c>
      <c r="C3" s="37">
        <v>10</v>
      </c>
      <c r="D3" s="37" t="str">
        <f t="shared" ref="D3:D57" si="0">C3&amp;"-"&amp;B3</f>
        <v>10-HEINEKEN</v>
      </c>
      <c r="E3">
        <v>230.01599999999999</v>
      </c>
      <c r="F3">
        <v>193.58600000000001</v>
      </c>
      <c r="G3">
        <v>3.6</v>
      </c>
      <c r="H3">
        <v>13.6</v>
      </c>
      <c r="I3">
        <f t="shared" ref="I3:I57" si="1">F3/E3*100</f>
        <v>84.161971341124115</v>
      </c>
      <c r="J3">
        <f t="shared" ref="J3:J57" si="2">(F3 - (F3*(G3/100))) / (E3 - (E3*(H3/100)))*100</f>
        <v>93.902940246346802</v>
      </c>
      <c r="K3" s="45"/>
      <c r="L3" s="45"/>
      <c r="N3" s="46" t="str">
        <f>N$9&amp;"-"&amp;$M12</f>
        <v>1-Kronenbourg</v>
      </c>
      <c r="O3" s="46" t="str">
        <f>O$9&amp;"-"&amp;$M12</f>
        <v>2-Kronenbourg</v>
      </c>
      <c r="P3" s="46" t="str">
        <f>P$9&amp;"-"&amp;$M12</f>
        <v>3-Kronenbourg</v>
      </c>
      <c r="Q3" s="46" t="str">
        <f>Q$9&amp;"-"&amp;$M12</f>
        <v>4-Kronenbourg</v>
      </c>
      <c r="R3" s="46" t="str">
        <f>R$9&amp;"-"&amp;$M12</f>
        <v>5-Kronenbourg</v>
      </c>
      <c r="S3" s="46" t="str">
        <f>S$9&amp;"-"&amp;$M12</f>
        <v>6-Kronenbourg</v>
      </c>
      <c r="T3" s="46" t="str">
        <f>T$9&amp;"-"&amp;$M12</f>
        <v>7-Kronenbourg</v>
      </c>
      <c r="U3" s="46" t="str">
        <f>U$9&amp;"-"&amp;$M12</f>
        <v>8-Kronenbourg</v>
      </c>
      <c r="V3" s="46" t="str">
        <f>V$9&amp;"-"&amp;$M12</f>
        <v>9-Kronenbourg</v>
      </c>
      <c r="W3" s="46" t="str">
        <f>W$9&amp;"-"&amp;$M12</f>
        <v>10-Kronenbourg</v>
      </c>
      <c r="X3" s="46" t="str">
        <f>X$9&amp;"-"&amp;$M12</f>
        <v>11-Kronenbourg</v>
      </c>
      <c r="Y3" s="46" t="str">
        <f>Y$9&amp;"-"&amp;$M12</f>
        <v>12-Kronenbourg</v>
      </c>
      <c r="AC3" s="41"/>
      <c r="AD3" s="42"/>
    </row>
    <row r="4" spans="1:30" x14ac:dyDescent="0.25">
      <c r="A4">
        <v>6711</v>
      </c>
      <c r="B4" t="s">
        <v>18</v>
      </c>
      <c r="C4" s="37">
        <v>11</v>
      </c>
      <c r="D4" s="37" t="str">
        <f t="shared" si="0"/>
        <v>11-GLOBE</v>
      </c>
      <c r="E4">
        <v>225.024</v>
      </c>
      <c r="F4">
        <v>191.89500000000001</v>
      </c>
      <c r="G4">
        <v>4.3</v>
      </c>
      <c r="H4">
        <v>13.4</v>
      </c>
      <c r="I4">
        <f t="shared" si="1"/>
        <v>85.277570392491469</v>
      </c>
      <c r="J4">
        <f t="shared" si="2"/>
        <v>94.238608389854889</v>
      </c>
      <c r="K4" s="45"/>
      <c r="L4" s="45"/>
      <c r="N4" s="46" t="str">
        <f>N$9&amp;"-"&amp;$M13</f>
        <v>1-Standard</v>
      </c>
      <c r="O4" s="46" t="str">
        <f>O$9&amp;"-"&amp;$M13</f>
        <v>2-Standard</v>
      </c>
      <c r="P4" s="46" t="str">
        <f>P$9&amp;"-"&amp;$M13</f>
        <v>3-Standard</v>
      </c>
      <c r="Q4" s="46" t="str">
        <f>Q$9&amp;"-"&amp;$M13</f>
        <v>4-Standard</v>
      </c>
      <c r="R4" s="46" t="str">
        <f>R$9&amp;"-"&amp;$M13</f>
        <v>5-Standard</v>
      </c>
      <c r="S4" s="46" t="str">
        <f>S$9&amp;"-"&amp;$M13</f>
        <v>6-Standard</v>
      </c>
      <c r="T4" s="46" t="str">
        <f>T$9&amp;"-"&amp;$M13</f>
        <v>7-Standard</v>
      </c>
      <c r="U4" s="46" t="str">
        <f>U$9&amp;"-"&amp;$M13</f>
        <v>8-Standard</v>
      </c>
      <c r="V4" s="46" t="str">
        <f>V$9&amp;"-"&amp;$M13</f>
        <v>9-Standard</v>
      </c>
      <c r="W4" s="46" t="str">
        <f>W$9&amp;"-"&amp;$M13</f>
        <v>10-Standard</v>
      </c>
      <c r="X4" s="46" t="str">
        <f>X$9&amp;"-"&amp;$M13</f>
        <v>11-Standard</v>
      </c>
      <c r="Y4" s="46" t="str">
        <f>Y$9&amp;"-"&amp;$M13</f>
        <v>12-Standard</v>
      </c>
      <c r="AC4" s="41"/>
      <c r="AD4" s="42"/>
    </row>
    <row r="5" spans="1:30" x14ac:dyDescent="0.25">
      <c r="A5">
        <v>6716</v>
      </c>
      <c r="B5" t="s">
        <v>37</v>
      </c>
      <c r="C5" s="37">
        <v>11</v>
      </c>
      <c r="D5" s="37" t="str">
        <f t="shared" si="0"/>
        <v>11-Kronenbourg</v>
      </c>
      <c r="E5">
        <v>230.00800000000001</v>
      </c>
      <c r="F5">
        <v>192.04499999999999</v>
      </c>
      <c r="G5">
        <v>3.5</v>
      </c>
      <c r="H5">
        <v>14.6</v>
      </c>
      <c r="I5">
        <f t="shared" si="1"/>
        <v>83.494921915759448</v>
      </c>
      <c r="J5">
        <f t="shared" si="2"/>
        <v>94.347306380219976</v>
      </c>
      <c r="K5" s="45"/>
      <c r="L5" s="45"/>
      <c r="N5" s="46" t="str">
        <f>N$9&amp;"-"&amp;$M14</f>
        <v>1-SAB</v>
      </c>
      <c r="O5" s="46" t="str">
        <f>O$9&amp;"-"&amp;$M14</f>
        <v>2-SAB</v>
      </c>
      <c r="P5" s="46" t="str">
        <f>P$9&amp;"-"&amp;$M14</f>
        <v>3-SAB</v>
      </c>
      <c r="Q5" s="46" t="str">
        <f>Q$9&amp;"-"&amp;$M14</f>
        <v>4-SAB</v>
      </c>
      <c r="R5" s="46" t="str">
        <f>R$9&amp;"-"&amp;$M14</f>
        <v>5-SAB</v>
      </c>
      <c r="S5" s="46" t="str">
        <f>S$9&amp;"-"&amp;$M14</f>
        <v>6-SAB</v>
      </c>
      <c r="T5" s="46" t="str">
        <f>T$9&amp;"-"&amp;$M14</f>
        <v>7-SAB</v>
      </c>
      <c r="U5" s="46" t="str">
        <f>U$9&amp;"-"&amp;$M14</f>
        <v>8-SAB</v>
      </c>
      <c r="V5" s="46" t="str">
        <f>V$9&amp;"-"&amp;$M14</f>
        <v>9-SAB</v>
      </c>
      <c r="W5" s="46" t="str">
        <f>W$9&amp;"-"&amp;$M14</f>
        <v>10-SAB</v>
      </c>
      <c r="X5" s="46" t="str">
        <f>X$9&amp;"-"&amp;$M14</f>
        <v>11-SAB</v>
      </c>
      <c r="Y5" s="46" t="str">
        <f>Y$9&amp;"-"&amp;$M14</f>
        <v>12-SAB</v>
      </c>
      <c r="AC5" s="41"/>
      <c r="AD5" s="42"/>
    </row>
    <row r="6" spans="1:30" x14ac:dyDescent="0.25">
      <c r="A6">
        <v>6721</v>
      </c>
      <c r="B6" t="s">
        <v>18</v>
      </c>
      <c r="C6" s="37">
        <v>11</v>
      </c>
      <c r="D6" s="37" t="str">
        <f t="shared" si="0"/>
        <v>11-GLOBE</v>
      </c>
      <c r="E6">
        <v>224.995</v>
      </c>
      <c r="F6">
        <v>189.10300000000001</v>
      </c>
      <c r="G6">
        <v>4</v>
      </c>
      <c r="H6">
        <v>12.9</v>
      </c>
      <c r="I6">
        <f t="shared" si="1"/>
        <v>84.047645503233397</v>
      </c>
      <c r="J6">
        <f t="shared" si="2"/>
        <v>92.635751645354844</v>
      </c>
      <c r="K6" s="45"/>
      <c r="L6" s="45"/>
      <c r="N6" s="46" t="str">
        <f>N$9&amp;"-"&amp;$M15</f>
        <v>1-Ambev Diékirch</v>
      </c>
      <c r="O6" s="46" t="str">
        <f>O$9&amp;"-"&amp;$M15</f>
        <v>2-Ambev Diékirch</v>
      </c>
      <c r="P6" s="46" t="str">
        <f>P$9&amp;"-"&amp;$M15</f>
        <v>3-Ambev Diékirch</v>
      </c>
      <c r="Q6" s="46" t="str">
        <f>Q$9&amp;"-"&amp;$M15</f>
        <v>4-Ambev Diékirch</v>
      </c>
      <c r="R6" s="46" t="str">
        <f>R$9&amp;"-"&amp;$M15</f>
        <v>5-Ambev Diékirch</v>
      </c>
      <c r="S6" s="46" t="str">
        <f>S$9&amp;"-"&amp;$M15</f>
        <v>6-Ambev Diékirch</v>
      </c>
      <c r="T6" s="46" t="str">
        <f>T$9&amp;"-"&amp;$M15</f>
        <v>7-Ambev Diékirch</v>
      </c>
      <c r="U6" s="46" t="str">
        <f>U$9&amp;"-"&amp;$M15</f>
        <v>8-Ambev Diékirch</v>
      </c>
      <c r="V6" s="46" t="str">
        <f>V$9&amp;"-"&amp;$M15</f>
        <v>9-Ambev Diékirch</v>
      </c>
      <c r="W6" s="46" t="str">
        <f>W$9&amp;"-"&amp;$M15</f>
        <v>10-Ambev Diékirch</v>
      </c>
      <c r="X6" s="46" t="str">
        <f>X$9&amp;"-"&amp;$M15</f>
        <v>11-Ambev Diékirch</v>
      </c>
      <c r="Y6" s="46" t="str">
        <f>Y$9&amp;"-"&amp;$M15</f>
        <v>12-Ambev Diékirch</v>
      </c>
      <c r="AC6" s="41"/>
      <c r="AD6" s="42"/>
    </row>
    <row r="7" spans="1:30" x14ac:dyDescent="0.25">
      <c r="A7">
        <v>6732</v>
      </c>
      <c r="B7" t="s">
        <v>18</v>
      </c>
      <c r="C7" s="37">
        <v>11</v>
      </c>
      <c r="D7" s="37" t="str">
        <f t="shared" si="0"/>
        <v>11-GLOBE</v>
      </c>
      <c r="E7">
        <v>225.001</v>
      </c>
      <c r="F7">
        <v>185.64599999999999</v>
      </c>
      <c r="G7">
        <v>3.8</v>
      </c>
      <c r="H7">
        <v>12</v>
      </c>
      <c r="I7">
        <f t="shared" si="1"/>
        <v>82.508966626814981</v>
      </c>
      <c r="J7">
        <f t="shared" si="2"/>
        <v>90.197302153404564</v>
      </c>
      <c r="K7" s="45"/>
      <c r="L7" s="45"/>
      <c r="N7" s="46" t="str">
        <f>N$9&amp;"-"&amp;$M16</f>
        <v>1-autre</v>
      </c>
      <c r="O7" s="46" t="str">
        <f t="shared" ref="O7:Y7" si="3">O$9&amp;"-"&amp;$M16</f>
        <v>2-autre</v>
      </c>
      <c r="P7" s="46" t="str">
        <f t="shared" si="3"/>
        <v>3-autre</v>
      </c>
      <c r="Q7" s="46" t="str">
        <f t="shared" si="3"/>
        <v>4-autre</v>
      </c>
      <c r="R7" s="46" t="str">
        <f t="shared" si="3"/>
        <v>5-autre</v>
      </c>
      <c r="S7" s="46" t="str">
        <f t="shared" si="3"/>
        <v>6-autre</v>
      </c>
      <c r="T7" s="46" t="str">
        <f t="shared" si="3"/>
        <v>7-autre</v>
      </c>
      <c r="U7" s="46" t="str">
        <f t="shared" si="3"/>
        <v>8-autre</v>
      </c>
      <c r="V7" s="46" t="str">
        <f t="shared" si="3"/>
        <v>9-autre</v>
      </c>
      <c r="W7" s="46" t="str">
        <f t="shared" si="3"/>
        <v>10-autre</v>
      </c>
      <c r="X7" s="46" t="str">
        <f t="shared" si="3"/>
        <v>11-autre</v>
      </c>
      <c r="Y7" s="46" t="str">
        <f t="shared" si="3"/>
        <v>12-autre</v>
      </c>
      <c r="AC7" s="41"/>
      <c r="AD7" s="42"/>
    </row>
    <row r="8" spans="1:30" x14ac:dyDescent="0.25">
      <c r="A8">
        <v>6734</v>
      </c>
      <c r="B8" t="s">
        <v>18</v>
      </c>
      <c r="C8" s="37">
        <v>11</v>
      </c>
      <c r="D8" s="37" t="str">
        <f t="shared" si="0"/>
        <v>11-GLOBE</v>
      </c>
      <c r="E8">
        <v>225.00200000000001</v>
      </c>
      <c r="F8">
        <v>189.059</v>
      </c>
      <c r="G8">
        <v>4.4000000000000004</v>
      </c>
      <c r="H8">
        <v>13.5</v>
      </c>
      <c r="I8">
        <f t="shared" si="1"/>
        <v>84.025475329108176</v>
      </c>
      <c r="J8">
        <f t="shared" si="2"/>
        <v>92.865149612286018</v>
      </c>
      <c r="K8" s="45"/>
      <c r="L8" s="45"/>
      <c r="AC8" s="41"/>
      <c r="AD8" s="42"/>
    </row>
    <row r="9" spans="1:30" x14ac:dyDescent="0.25">
      <c r="A9">
        <v>6739</v>
      </c>
      <c r="B9" t="s">
        <v>46</v>
      </c>
      <c r="C9" s="37">
        <v>12</v>
      </c>
      <c r="D9" s="37" t="str">
        <f t="shared" si="0"/>
        <v>12-Standard</v>
      </c>
      <c r="E9">
        <v>225.018</v>
      </c>
      <c r="F9">
        <v>192.15299999999999</v>
      </c>
      <c r="G9">
        <v>4.9000000000000004</v>
      </c>
      <c r="H9">
        <v>13.3</v>
      </c>
      <c r="I9">
        <f t="shared" si="1"/>
        <v>85.394501773191479</v>
      </c>
      <c r="J9">
        <f t="shared" si="2"/>
        <v>93.668017515922827</v>
      </c>
      <c r="K9" s="45"/>
      <c r="L9" s="45"/>
      <c r="M9" s="47" t="s">
        <v>154</v>
      </c>
      <c r="N9" s="48">
        <v>1</v>
      </c>
      <c r="O9" s="48">
        <v>2</v>
      </c>
      <c r="P9" s="48">
        <v>3</v>
      </c>
      <c r="Q9" s="48">
        <v>4</v>
      </c>
      <c r="R9" s="48">
        <v>5</v>
      </c>
      <c r="S9" s="48">
        <v>6</v>
      </c>
      <c r="T9" s="48">
        <v>7</v>
      </c>
      <c r="U9" s="48">
        <v>8</v>
      </c>
      <c r="V9" s="48">
        <v>9</v>
      </c>
      <c r="W9" s="48">
        <v>10</v>
      </c>
      <c r="X9" s="48">
        <v>11</v>
      </c>
      <c r="Y9" s="48">
        <v>12</v>
      </c>
      <c r="AC9" s="41"/>
      <c r="AD9" s="42"/>
    </row>
    <row r="10" spans="1:30" x14ac:dyDescent="0.25">
      <c r="A10">
        <v>6744</v>
      </c>
      <c r="B10" t="s">
        <v>18</v>
      </c>
      <c r="C10" s="37">
        <v>12</v>
      </c>
      <c r="D10" s="37" t="str">
        <f t="shared" si="0"/>
        <v>12-GLOBE</v>
      </c>
      <c r="E10">
        <v>229.95400000000001</v>
      </c>
      <c r="F10">
        <v>192.9</v>
      </c>
      <c r="G10">
        <v>3.9</v>
      </c>
      <c r="H10">
        <v>13.8</v>
      </c>
      <c r="I10">
        <f t="shared" si="1"/>
        <v>83.886342485888477</v>
      </c>
      <c r="J10">
        <f t="shared" si="2"/>
        <v>93.520620799232987</v>
      </c>
      <c r="K10" s="45"/>
      <c r="L10" s="45"/>
      <c r="M10" s="51" t="s">
        <v>18</v>
      </c>
      <c r="N10" s="46">
        <f>COUNTIF($D:$D,N1)</f>
        <v>7</v>
      </c>
      <c r="O10" s="46">
        <f>COUNTIF($D:$D,O1)</f>
        <v>4</v>
      </c>
      <c r="P10" s="46">
        <f>COUNTIF($D:$D,P1)</f>
        <v>5</v>
      </c>
      <c r="Q10" s="46">
        <f>COUNTIF($D:$D,Q1)</f>
        <v>7</v>
      </c>
      <c r="R10" s="46">
        <f>COUNTIF($D:$D,R1)</f>
        <v>10</v>
      </c>
      <c r="S10" s="46">
        <f>COUNTIF($D:$D,S1)</f>
        <v>5</v>
      </c>
      <c r="T10" s="46">
        <f>COUNTIF($D:$D,T1)</f>
        <v>9</v>
      </c>
      <c r="U10" s="46">
        <f>COUNTIF($D:$D,U1)</f>
        <v>11</v>
      </c>
      <c r="V10" s="46">
        <f>COUNTIF($D:$D,V1)</f>
        <v>5</v>
      </c>
      <c r="W10" s="46">
        <f>COUNTIF($D:$D,W1)</f>
        <v>5</v>
      </c>
      <c r="X10" s="46">
        <f>COUNTIF($D:$D,X1)</f>
        <v>10</v>
      </c>
      <c r="Y10" s="46">
        <f>COUNTIF($D:$D,Y1)</f>
        <v>7</v>
      </c>
      <c r="AC10" s="41"/>
      <c r="AD10" s="42"/>
    </row>
    <row r="11" spans="1:30" x14ac:dyDescent="0.25">
      <c r="A11">
        <v>6752</v>
      </c>
      <c r="B11" t="s">
        <v>17</v>
      </c>
      <c r="C11" s="37">
        <v>12</v>
      </c>
      <c r="D11" s="37" t="str">
        <f t="shared" si="0"/>
        <v>12-HEINEKEN</v>
      </c>
      <c r="E11">
        <v>225</v>
      </c>
      <c r="F11">
        <v>190.273</v>
      </c>
      <c r="G11">
        <v>4.2</v>
      </c>
      <c r="H11">
        <v>14.1</v>
      </c>
      <c r="I11">
        <f t="shared" si="1"/>
        <v>84.565777777777768</v>
      </c>
      <c r="J11">
        <f t="shared" si="2"/>
        <v>94.312008278359855</v>
      </c>
      <c r="K11" s="45"/>
      <c r="L11" s="45"/>
      <c r="M11" s="51" t="s">
        <v>17</v>
      </c>
      <c r="N11" s="46">
        <f>COUNTIF($D:$D,N2)</f>
        <v>1</v>
      </c>
      <c r="O11" s="46">
        <f>COUNTIF($D:$D,O2)</f>
        <v>2</v>
      </c>
      <c r="P11" s="46">
        <f>COUNTIF($D:$D,P2)</f>
        <v>4</v>
      </c>
      <c r="Q11" s="46">
        <f>COUNTIF($D:$D,Q2)</f>
        <v>1</v>
      </c>
      <c r="R11" s="46">
        <f>COUNTIF($D:$D,R2)</f>
        <v>1</v>
      </c>
      <c r="S11" s="46">
        <f>COUNTIF($D:$D,S2)</f>
        <v>1</v>
      </c>
      <c r="T11" s="46">
        <f>COUNTIF($D:$D,T2)</f>
        <v>0</v>
      </c>
      <c r="U11" s="46">
        <f>COUNTIF($D:$D,U2)</f>
        <v>4</v>
      </c>
      <c r="V11" s="46">
        <f>COUNTIF($D:$D,V2)</f>
        <v>1</v>
      </c>
      <c r="W11" s="46">
        <f>COUNTIF($D:$D,W2)</f>
        <v>5</v>
      </c>
      <c r="X11" s="46">
        <f>COUNTIF($D:$D,X2)</f>
        <v>0</v>
      </c>
      <c r="Y11" s="46">
        <f>COUNTIF($D:$D,Y2)</f>
        <v>5</v>
      </c>
      <c r="AC11" s="41"/>
      <c r="AD11" s="42"/>
    </row>
    <row r="12" spans="1:30" x14ac:dyDescent="0.25">
      <c r="A12">
        <v>6757</v>
      </c>
      <c r="B12" t="s">
        <v>18</v>
      </c>
      <c r="C12" s="37">
        <v>12</v>
      </c>
      <c r="D12" s="37" t="str">
        <f t="shared" si="0"/>
        <v>12-GLOBE</v>
      </c>
      <c r="E12">
        <v>230.00399999999999</v>
      </c>
      <c r="F12">
        <v>194.078</v>
      </c>
      <c r="G12">
        <v>3.4</v>
      </c>
      <c r="H12">
        <v>13.3</v>
      </c>
      <c r="I12">
        <f t="shared" si="1"/>
        <v>84.380271647449618</v>
      </c>
      <c r="J12">
        <f t="shared" si="2"/>
        <v>94.015389171206849</v>
      </c>
      <c r="K12" s="45"/>
      <c r="L12" s="45"/>
      <c r="M12" s="51" t="s">
        <v>37</v>
      </c>
      <c r="N12" s="46">
        <f>COUNTIF($D:$D,N3)</f>
        <v>1</v>
      </c>
      <c r="O12" s="46">
        <f>COUNTIF($D:$D,O3)</f>
        <v>0</v>
      </c>
      <c r="P12" s="46">
        <f>COUNTIF($D:$D,P3)</f>
        <v>1</v>
      </c>
      <c r="Q12" s="46">
        <f>COUNTIF($D:$D,Q3)</f>
        <v>1</v>
      </c>
      <c r="R12" s="46">
        <f>COUNTIF($D:$D,R3)</f>
        <v>1</v>
      </c>
      <c r="S12" s="46">
        <f>COUNTIF($D:$D,S3)</f>
        <v>0</v>
      </c>
      <c r="T12" s="46">
        <f>COUNTIF($D:$D,T3)</f>
        <v>0</v>
      </c>
      <c r="U12" s="46">
        <f>COUNTIF($D:$D,U3)</f>
        <v>1</v>
      </c>
      <c r="V12" s="46">
        <f>COUNTIF($D:$D,V3)</f>
        <v>0</v>
      </c>
      <c r="W12" s="46">
        <f>COUNTIF($D:$D,W3)</f>
        <v>0</v>
      </c>
      <c r="X12" s="46">
        <f>COUNTIF($D:$D,X3)</f>
        <v>1</v>
      </c>
      <c r="Y12" s="46">
        <f>COUNTIF($D:$D,Y3)</f>
        <v>0</v>
      </c>
    </row>
    <row r="13" spans="1:30" x14ac:dyDescent="0.25">
      <c r="A13">
        <v>6758</v>
      </c>
      <c r="B13" t="s">
        <v>17</v>
      </c>
      <c r="C13" s="37">
        <v>12</v>
      </c>
      <c r="D13" s="37" t="str">
        <f t="shared" si="0"/>
        <v>12-HEINEKEN</v>
      </c>
      <c r="E13">
        <v>230.00399999999999</v>
      </c>
      <c r="F13">
        <v>197.399</v>
      </c>
      <c r="G13">
        <v>3.7</v>
      </c>
      <c r="H13">
        <v>13.9</v>
      </c>
      <c r="I13">
        <f t="shared" si="1"/>
        <v>85.824159579833406</v>
      </c>
      <c r="J13">
        <f t="shared" si="2"/>
        <v>95.991481620649907</v>
      </c>
      <c r="K13" s="45"/>
      <c r="L13" s="45"/>
      <c r="M13" s="51" t="s">
        <v>46</v>
      </c>
      <c r="N13" s="46">
        <f>COUNTIF($D:$D,N4)</f>
        <v>2</v>
      </c>
      <c r="O13" s="46">
        <f>COUNTIF($D:$D,O4)</f>
        <v>1</v>
      </c>
      <c r="P13" s="46">
        <f>COUNTIF($D:$D,P4)</f>
        <v>0</v>
      </c>
      <c r="Q13" s="46">
        <f>COUNTIF($D:$D,Q4)</f>
        <v>0</v>
      </c>
      <c r="R13" s="46">
        <f>COUNTIF($D:$D,R4)</f>
        <v>0</v>
      </c>
      <c r="S13" s="46">
        <f>COUNTIF($D:$D,S4)</f>
        <v>0</v>
      </c>
      <c r="T13" s="46">
        <f>COUNTIF($D:$D,T4)</f>
        <v>0</v>
      </c>
      <c r="U13" s="46">
        <f>COUNTIF($D:$D,U4)</f>
        <v>0</v>
      </c>
      <c r="V13" s="46">
        <f>COUNTIF($D:$D,V4)</f>
        <v>0</v>
      </c>
      <c r="W13" s="46">
        <f>COUNTIF($D:$D,W4)</f>
        <v>0</v>
      </c>
      <c r="X13" s="46">
        <f>COUNTIF($D:$D,X4)</f>
        <v>0</v>
      </c>
      <c r="Y13" s="46">
        <f>COUNTIF($D:$D,Y4)</f>
        <v>1</v>
      </c>
    </row>
    <row r="14" spans="1:30" x14ac:dyDescent="0.25">
      <c r="A14">
        <v>6759</v>
      </c>
      <c r="B14" t="s">
        <v>17</v>
      </c>
      <c r="C14" s="37">
        <v>12</v>
      </c>
      <c r="D14" s="37" t="str">
        <f t="shared" si="0"/>
        <v>12-HEINEKEN</v>
      </c>
      <c r="E14">
        <v>230.005</v>
      </c>
      <c r="F14">
        <v>200.97900000000001</v>
      </c>
      <c r="G14">
        <v>4.2</v>
      </c>
      <c r="H14">
        <v>13.9</v>
      </c>
      <c r="I14">
        <f t="shared" si="1"/>
        <v>87.380274341862147</v>
      </c>
      <c r="J14">
        <f t="shared" si="2"/>
        <v>97.224509662606195</v>
      </c>
      <c r="K14" s="45"/>
      <c r="L14" s="45"/>
      <c r="M14" s="51" t="s">
        <v>38</v>
      </c>
      <c r="N14" s="46">
        <f>COUNTIF($D:$D,N5)</f>
        <v>0</v>
      </c>
      <c r="O14" s="46">
        <f>COUNTIF($D:$D,O5)</f>
        <v>0</v>
      </c>
      <c r="P14" s="46">
        <f>COUNTIF($D:$D,P5)</f>
        <v>2</v>
      </c>
      <c r="Q14" s="46">
        <f>COUNTIF($D:$D,Q5)</f>
        <v>1</v>
      </c>
      <c r="R14" s="46">
        <f>COUNTIF($D:$D,R5)</f>
        <v>0</v>
      </c>
      <c r="S14" s="46">
        <f>COUNTIF($D:$D,S5)</f>
        <v>2</v>
      </c>
      <c r="T14" s="46">
        <f>COUNTIF($D:$D,T5)</f>
        <v>2</v>
      </c>
      <c r="U14" s="46">
        <f>COUNTIF($D:$D,U5)</f>
        <v>6</v>
      </c>
      <c r="V14" s="46">
        <f>COUNTIF($D:$D,V5)</f>
        <v>0</v>
      </c>
      <c r="W14" s="46">
        <f>COUNTIF($D:$D,W5)</f>
        <v>0</v>
      </c>
      <c r="X14" s="46">
        <f>COUNTIF($D:$D,X5)</f>
        <v>0</v>
      </c>
      <c r="Y14" s="46">
        <f>COUNTIF($D:$D,Y5)</f>
        <v>0</v>
      </c>
    </row>
    <row r="15" spans="1:30" x14ac:dyDescent="0.25">
      <c r="A15">
        <v>6764</v>
      </c>
      <c r="B15" t="s">
        <v>17</v>
      </c>
      <c r="C15" s="37">
        <v>12</v>
      </c>
      <c r="D15" s="37" t="str">
        <f t="shared" si="0"/>
        <v>12-HEINEKEN</v>
      </c>
      <c r="E15">
        <v>230</v>
      </c>
      <c r="F15">
        <v>197.202</v>
      </c>
      <c r="G15">
        <v>3.7</v>
      </c>
      <c r="H15">
        <v>14</v>
      </c>
      <c r="I15">
        <f t="shared" si="1"/>
        <v>85.74</v>
      </c>
      <c r="J15">
        <f t="shared" si="2"/>
        <v>96.008860465116271</v>
      </c>
      <c r="K15" s="45"/>
      <c r="L15" s="45"/>
      <c r="M15" s="51" t="s">
        <v>52</v>
      </c>
      <c r="N15" s="46">
        <f>COUNTIF($D:$D,N6)</f>
        <v>0</v>
      </c>
      <c r="O15" s="46">
        <f>COUNTIF($D:$D,O6)</f>
        <v>0</v>
      </c>
      <c r="P15" s="46">
        <f>COUNTIF($D:$D,P6)</f>
        <v>0</v>
      </c>
      <c r="Q15" s="46">
        <f>COUNTIF($D:$D,Q6)</f>
        <v>0</v>
      </c>
      <c r="R15" s="46">
        <f>COUNTIF($D:$D,R6)</f>
        <v>0</v>
      </c>
      <c r="S15" s="46">
        <f>COUNTIF($D:$D,S6)</f>
        <v>1</v>
      </c>
      <c r="T15" s="46">
        <f>COUNTIF($D:$D,T6)</f>
        <v>2</v>
      </c>
      <c r="U15" s="46">
        <f>COUNTIF($D:$D,U6)</f>
        <v>1</v>
      </c>
      <c r="V15" s="46">
        <f>COUNTIF($D:$D,V6)</f>
        <v>0</v>
      </c>
      <c r="W15" s="46">
        <f>COUNTIF($D:$D,W6)</f>
        <v>0</v>
      </c>
      <c r="X15" s="46">
        <f>COUNTIF($D:$D,X6)</f>
        <v>0</v>
      </c>
      <c r="Y15" s="46">
        <f>COUNTIF($D:$D,Y6)</f>
        <v>0</v>
      </c>
    </row>
    <row r="16" spans="1:30" x14ac:dyDescent="0.25">
      <c r="A16">
        <v>6769</v>
      </c>
      <c r="B16" t="s">
        <v>18</v>
      </c>
      <c r="C16" s="37">
        <v>1</v>
      </c>
      <c r="D16" s="37" t="str">
        <f t="shared" si="0"/>
        <v>1-GLOBE</v>
      </c>
      <c r="E16">
        <v>230.01300000000001</v>
      </c>
      <c r="F16">
        <v>187.98599999999999</v>
      </c>
      <c r="G16">
        <v>3.4</v>
      </c>
      <c r="H16">
        <v>13.8</v>
      </c>
      <c r="I16">
        <f t="shared" si="1"/>
        <v>81.728424045597421</v>
      </c>
      <c r="J16">
        <f t="shared" si="2"/>
        <v>91.588929962931672</v>
      </c>
      <c r="K16" s="45"/>
      <c r="L16" s="45"/>
      <c r="M16" s="51" t="s">
        <v>161</v>
      </c>
      <c r="N16" s="46">
        <f>COUNTIF($D:$D,N7)</f>
        <v>0</v>
      </c>
      <c r="O16" s="46">
        <f>COUNTIF($D:$D,O7)</f>
        <v>0</v>
      </c>
      <c r="P16" s="46">
        <f>COUNTIF($D:$D,P7)</f>
        <v>0</v>
      </c>
      <c r="Q16" s="46">
        <f>COUNTIF($D:$D,Q7)</f>
        <v>0</v>
      </c>
      <c r="R16" s="46">
        <f>COUNTIF($D:$D,R7)</f>
        <v>0</v>
      </c>
      <c r="S16" s="46">
        <f>COUNTIF($D:$D,S7)</f>
        <v>0</v>
      </c>
      <c r="T16" s="46">
        <f>COUNTIF($D:$D,T7)</f>
        <v>0</v>
      </c>
      <c r="U16" s="46">
        <f>COUNTIF($D:$D,U7)</f>
        <v>0</v>
      </c>
      <c r="V16" s="46">
        <f>COUNTIF($D:$D,V7)</f>
        <v>0</v>
      </c>
      <c r="W16" s="46">
        <f>COUNTIF($D:$D,W7)</f>
        <v>0</v>
      </c>
      <c r="X16" s="46">
        <f>COUNTIF($D:$D,X7)</f>
        <v>0</v>
      </c>
      <c r="Y16" s="46">
        <f>COUNTIF($D:$D,Y7)</f>
        <v>0</v>
      </c>
    </row>
    <row r="17" spans="1:25" x14ac:dyDescent="0.25">
      <c r="A17">
        <v>6773</v>
      </c>
      <c r="B17" t="s">
        <v>18</v>
      </c>
      <c r="C17" s="37">
        <v>1</v>
      </c>
      <c r="D17" s="37" t="str">
        <f t="shared" si="0"/>
        <v>1-GLOBE</v>
      </c>
      <c r="E17">
        <v>230.02099999999999</v>
      </c>
      <c r="F17">
        <v>192.42599999999999</v>
      </c>
      <c r="G17">
        <v>3.6</v>
      </c>
      <c r="H17">
        <v>14.3</v>
      </c>
      <c r="I17">
        <f t="shared" si="1"/>
        <v>83.655840118945662</v>
      </c>
      <c r="J17">
        <f t="shared" si="2"/>
        <v>94.100618290155907</v>
      </c>
      <c r="K17" s="45"/>
      <c r="L17" s="45"/>
      <c r="M17" s="49"/>
    </row>
    <row r="18" spans="1:25" x14ac:dyDescent="0.25">
      <c r="A18">
        <v>6778</v>
      </c>
      <c r="B18" t="s">
        <v>46</v>
      </c>
      <c r="C18" s="37">
        <v>1</v>
      </c>
      <c r="D18" s="37" t="str">
        <f t="shared" si="0"/>
        <v>1-Standard</v>
      </c>
      <c r="E18">
        <v>225.01599999999999</v>
      </c>
      <c r="F18">
        <v>190.58799999999999</v>
      </c>
      <c r="G18">
        <v>4.8</v>
      </c>
      <c r="H18">
        <v>12.7</v>
      </c>
      <c r="I18">
        <f t="shared" si="1"/>
        <v>84.699754684111355</v>
      </c>
      <c r="J18">
        <f t="shared" si="2"/>
        <v>92.364451843383748</v>
      </c>
      <c r="K18" s="45"/>
      <c r="L18" s="45"/>
      <c r="M18" s="47" t="s">
        <v>117</v>
      </c>
    </row>
    <row r="19" spans="1:25" x14ac:dyDescent="0.25">
      <c r="A19">
        <v>6783</v>
      </c>
      <c r="B19" t="s">
        <v>37</v>
      </c>
      <c r="C19" s="37">
        <v>1</v>
      </c>
      <c r="D19" s="37" t="str">
        <f t="shared" si="0"/>
        <v>1-Kronenbourg</v>
      </c>
      <c r="E19">
        <v>229.994</v>
      </c>
      <c r="F19">
        <v>194.578</v>
      </c>
      <c r="G19">
        <v>3.6</v>
      </c>
      <c r="H19">
        <v>13.1</v>
      </c>
      <c r="I19">
        <f t="shared" si="1"/>
        <v>84.601337426193723</v>
      </c>
      <c r="J19">
        <f t="shared" si="2"/>
        <v>93.850045200058403</v>
      </c>
      <c r="K19" s="45"/>
      <c r="L19" s="45"/>
      <c r="M19" s="49" t="s">
        <v>155</v>
      </c>
      <c r="N19" s="48">
        <v>1</v>
      </c>
      <c r="O19" s="48">
        <v>2</v>
      </c>
      <c r="P19" s="48">
        <v>3</v>
      </c>
      <c r="Q19" s="48">
        <v>4</v>
      </c>
      <c r="R19" s="48">
        <v>5</v>
      </c>
      <c r="S19" s="48">
        <v>6</v>
      </c>
      <c r="T19" s="48">
        <v>7</v>
      </c>
      <c r="U19" s="48">
        <v>8</v>
      </c>
      <c r="V19" s="48">
        <v>9</v>
      </c>
      <c r="W19" s="48">
        <v>10</v>
      </c>
      <c r="X19" s="48">
        <v>11</v>
      </c>
      <c r="Y19" s="48">
        <v>12</v>
      </c>
    </row>
    <row r="20" spans="1:25" x14ac:dyDescent="0.25">
      <c r="A20">
        <v>6787</v>
      </c>
      <c r="B20" t="s">
        <v>17</v>
      </c>
      <c r="C20" s="37">
        <v>1</v>
      </c>
      <c r="D20" s="37" t="str">
        <f t="shared" si="0"/>
        <v>1-HEINEKEN</v>
      </c>
      <c r="E20">
        <v>230.001</v>
      </c>
      <c r="F20">
        <v>191.428</v>
      </c>
      <c r="G20">
        <v>3.5</v>
      </c>
      <c r="H20">
        <v>13.7</v>
      </c>
      <c r="I20">
        <f t="shared" si="1"/>
        <v>83.229203351289769</v>
      </c>
      <c r="J20">
        <f t="shared" si="2"/>
        <v>93.066258672067931</v>
      </c>
      <c r="K20" s="45"/>
      <c r="L20" s="45"/>
      <c r="M20" s="51" t="s">
        <v>136</v>
      </c>
      <c r="N20" s="45">
        <f>IF(N16&gt;5,AVERAGEIF($D:$D,N7,$E:$E),AVERAGEIF($C:$C,N$9,$E:$E))</f>
        <v>230.3698181818182</v>
      </c>
      <c r="O20" s="45">
        <f t="shared" ref="O20:Y20" si="4">IF(O16&gt;5,AVERAGEIF($D:$D,O7,$E:$E),AVERAGEIF($C:$C,O$9,$E:$E))</f>
        <v>230.03042857142856</v>
      </c>
      <c r="P20" s="45">
        <f t="shared" si="4"/>
        <v>232.92833333333328</v>
      </c>
      <c r="Q20" s="45">
        <f t="shared" si="4"/>
        <v>232.00880000000001</v>
      </c>
      <c r="R20" s="45">
        <f t="shared" si="4"/>
        <v>232.10041666666666</v>
      </c>
      <c r="S20" s="45">
        <f t="shared" si="4"/>
        <v>230.00222222222223</v>
      </c>
      <c r="T20" s="45">
        <f t="shared" si="4"/>
        <v>229.23015384615383</v>
      </c>
      <c r="U20" s="45">
        <f t="shared" si="4"/>
        <v>229.14226086956521</v>
      </c>
      <c r="V20" s="45">
        <f t="shared" si="4"/>
        <v>229.99850000000001</v>
      </c>
      <c r="W20" s="45">
        <f t="shared" si="4"/>
        <v>229.71359999999999</v>
      </c>
      <c r="X20" s="45">
        <f t="shared" si="4"/>
        <v>229.822</v>
      </c>
      <c r="Y20" s="45">
        <f t="shared" si="4"/>
        <v>230.61469230769231</v>
      </c>
    </row>
    <row r="21" spans="1:25" x14ac:dyDescent="0.25">
      <c r="A21">
        <v>6791</v>
      </c>
      <c r="B21" t="s">
        <v>46</v>
      </c>
      <c r="C21" s="37">
        <v>1</v>
      </c>
      <c r="D21" s="37" t="str">
        <f t="shared" si="0"/>
        <v>1-Standard</v>
      </c>
      <c r="E21">
        <v>225</v>
      </c>
      <c r="F21">
        <v>188.1</v>
      </c>
      <c r="G21">
        <v>3.2</v>
      </c>
      <c r="H21">
        <v>13.8</v>
      </c>
      <c r="I21">
        <f t="shared" si="1"/>
        <v>83.6</v>
      </c>
      <c r="J21">
        <f t="shared" si="2"/>
        <v>93.880278422273776</v>
      </c>
      <c r="K21" s="45"/>
      <c r="L21" s="45"/>
      <c r="M21" s="51" t="s">
        <v>139</v>
      </c>
      <c r="N21" s="45">
        <f>IF(N15&gt;5,AVERAGEIF($D:$D,N6,$E:$E),AVERAGEIF($C:$C,N$9,$E:$E))</f>
        <v>230.3698181818182</v>
      </c>
      <c r="O21" s="45">
        <f t="shared" ref="O21:Y21" si="5">IF(O15&gt;5,AVERAGEIF($D:$D,O6,$E:$E),AVERAGEIF($C:$C,O$9,$E:$E))</f>
        <v>230.03042857142856</v>
      </c>
      <c r="P21" s="45">
        <f t="shared" si="5"/>
        <v>232.92833333333328</v>
      </c>
      <c r="Q21" s="45">
        <f t="shared" si="5"/>
        <v>232.00880000000001</v>
      </c>
      <c r="R21" s="45">
        <f t="shared" si="5"/>
        <v>232.10041666666666</v>
      </c>
      <c r="S21" s="45">
        <f t="shared" si="5"/>
        <v>230.00222222222223</v>
      </c>
      <c r="T21" s="45">
        <f t="shared" si="5"/>
        <v>229.23015384615383</v>
      </c>
      <c r="U21" s="45">
        <f t="shared" si="5"/>
        <v>229.14226086956521</v>
      </c>
      <c r="V21" s="45">
        <f t="shared" si="5"/>
        <v>229.99850000000001</v>
      </c>
      <c r="W21" s="45">
        <f t="shared" si="5"/>
        <v>229.71359999999999</v>
      </c>
      <c r="X21" s="45">
        <f t="shared" si="5"/>
        <v>229.822</v>
      </c>
      <c r="Y21" s="45">
        <f t="shared" si="5"/>
        <v>230.61469230769231</v>
      </c>
    </row>
    <row r="22" spans="1:25" x14ac:dyDescent="0.25">
      <c r="A22">
        <v>6796</v>
      </c>
      <c r="B22" t="s">
        <v>18</v>
      </c>
      <c r="C22" s="37">
        <v>1</v>
      </c>
      <c r="D22" s="37" t="str">
        <f t="shared" si="0"/>
        <v>1-GLOBE</v>
      </c>
      <c r="E22">
        <v>230.00399999999999</v>
      </c>
      <c r="F22">
        <v>197.3</v>
      </c>
      <c r="G22">
        <v>3.6</v>
      </c>
      <c r="H22">
        <v>13.2</v>
      </c>
      <c r="I22">
        <f t="shared" si="1"/>
        <v>85.781116850141743</v>
      </c>
      <c r="J22">
        <f t="shared" si="2"/>
        <v>95.268429312830222</v>
      </c>
      <c r="K22" s="45"/>
      <c r="L22" s="45"/>
      <c r="M22" s="51" t="s">
        <v>133</v>
      </c>
      <c r="N22" s="45">
        <f>IF(N10&gt;5,AVERAGEIF($D:$D,N1,$E:$E),AVERAGEIF($C:$C,N$9,$E:$E))</f>
        <v>232.00814285714287</v>
      </c>
      <c r="O22" s="45">
        <f t="shared" ref="O22:Y22" si="6">IF(O10&gt;5,AVERAGEIF($D:$D,O1,$E:$E),AVERAGEIF($C:$C,O$9,$E:$E))</f>
        <v>230.03042857142856</v>
      </c>
      <c r="P22" s="45">
        <f t="shared" si="6"/>
        <v>232.92833333333328</v>
      </c>
      <c r="Q22" s="45">
        <f t="shared" si="6"/>
        <v>231.43671428571426</v>
      </c>
      <c r="R22" s="45">
        <f t="shared" si="6"/>
        <v>232.5187</v>
      </c>
      <c r="S22" s="45">
        <f t="shared" si="6"/>
        <v>230.00222222222223</v>
      </c>
      <c r="T22" s="45">
        <f t="shared" si="6"/>
        <v>229.99944444444444</v>
      </c>
      <c r="U22" s="45">
        <f t="shared" si="6"/>
        <v>230.00363636363636</v>
      </c>
      <c r="V22" s="45">
        <f t="shared" si="6"/>
        <v>229.99850000000001</v>
      </c>
      <c r="W22" s="45">
        <f t="shared" si="6"/>
        <v>229.71359999999999</v>
      </c>
      <c r="X22" s="45">
        <f t="shared" si="6"/>
        <v>229.80340000000001</v>
      </c>
      <c r="Y22" s="45">
        <f t="shared" si="6"/>
        <v>232.28014285714283</v>
      </c>
    </row>
    <row r="23" spans="1:25" x14ac:dyDescent="0.25">
      <c r="A23">
        <v>6801</v>
      </c>
      <c r="B23" t="s">
        <v>17</v>
      </c>
      <c r="C23" s="37">
        <v>2</v>
      </c>
      <c r="D23" s="37" t="str">
        <f t="shared" si="0"/>
        <v>2-HEINEKEN</v>
      </c>
      <c r="E23">
        <v>230.06800000000001</v>
      </c>
      <c r="F23">
        <v>195.119</v>
      </c>
      <c r="G23">
        <v>3.7</v>
      </c>
      <c r="H23">
        <v>14.2</v>
      </c>
      <c r="I23">
        <f t="shared" si="1"/>
        <v>84.809273779925931</v>
      </c>
      <c r="J23">
        <f t="shared" si="2"/>
        <v>95.1880310606861</v>
      </c>
      <c r="K23" s="45"/>
      <c r="L23" s="45"/>
      <c r="M23" s="51" t="s">
        <v>138</v>
      </c>
      <c r="N23" s="45">
        <f>IF(N11&gt;5,AVERAGEIF($D:$D,N2,$E:$E),AVERAGEIF($C:$C,N$9,$E:$E))</f>
        <v>230.3698181818182</v>
      </c>
      <c r="O23" s="45">
        <f t="shared" ref="O23:Y23" si="7">IF(O11&gt;5,AVERAGEIF($D:$D,O2,$E:$E),AVERAGEIF($C:$C,O$9,$E:$E))</f>
        <v>230.03042857142856</v>
      </c>
      <c r="P23" s="45">
        <f t="shared" si="7"/>
        <v>232.92833333333328</v>
      </c>
      <c r="Q23" s="45">
        <f t="shared" si="7"/>
        <v>232.00880000000001</v>
      </c>
      <c r="R23" s="45">
        <f t="shared" si="7"/>
        <v>232.10041666666666</v>
      </c>
      <c r="S23" s="45">
        <f t="shared" si="7"/>
        <v>230.00222222222223</v>
      </c>
      <c r="T23" s="45">
        <f t="shared" si="7"/>
        <v>229.23015384615383</v>
      </c>
      <c r="U23" s="45">
        <f t="shared" si="7"/>
        <v>229.14226086956521</v>
      </c>
      <c r="V23" s="45">
        <f t="shared" si="7"/>
        <v>229.99850000000001</v>
      </c>
      <c r="W23" s="45">
        <f t="shared" si="7"/>
        <v>229.71359999999999</v>
      </c>
      <c r="X23" s="45">
        <f t="shared" si="7"/>
        <v>229.822</v>
      </c>
      <c r="Y23" s="45">
        <f t="shared" si="7"/>
        <v>230.61469230769231</v>
      </c>
    </row>
    <row r="24" spans="1:25" x14ac:dyDescent="0.25">
      <c r="A24">
        <v>6806</v>
      </c>
      <c r="B24" t="s">
        <v>17</v>
      </c>
      <c r="C24" s="37">
        <v>2</v>
      </c>
      <c r="D24" s="37" t="str">
        <f t="shared" si="0"/>
        <v>2-HEINEKEN</v>
      </c>
      <c r="E24">
        <v>230.00200000000001</v>
      </c>
      <c r="F24">
        <v>196.00700000000001</v>
      </c>
      <c r="G24">
        <v>4.5</v>
      </c>
      <c r="H24">
        <v>12.7</v>
      </c>
      <c r="I24">
        <f t="shared" si="1"/>
        <v>85.219693741793549</v>
      </c>
      <c r="J24">
        <f t="shared" si="2"/>
        <v>93.224292695776441</v>
      </c>
      <c r="K24" s="45"/>
      <c r="L24" s="45"/>
      <c r="M24" s="51" t="s">
        <v>131</v>
      </c>
      <c r="N24" s="45">
        <f>IF(N11&gt;5,AVERAGEIF($D:$D,N2,$E:$E),AVERAGEIF($C:$C,N$9,$E:$E))</f>
        <v>230.3698181818182</v>
      </c>
      <c r="O24" s="45">
        <f t="shared" ref="O24:Y24" si="8">IF(O11&gt;5,AVERAGEIF($D:$D,O2,$E:$E),AVERAGEIF($C:$C,O$9,$E:$E))</f>
        <v>230.03042857142856</v>
      </c>
      <c r="P24" s="45">
        <f t="shared" si="8"/>
        <v>232.92833333333328</v>
      </c>
      <c r="Q24" s="45">
        <f t="shared" si="8"/>
        <v>232.00880000000001</v>
      </c>
      <c r="R24" s="45">
        <f t="shared" si="8"/>
        <v>232.10041666666666</v>
      </c>
      <c r="S24" s="45">
        <f t="shared" si="8"/>
        <v>230.00222222222223</v>
      </c>
      <c r="T24" s="45">
        <f t="shared" si="8"/>
        <v>229.23015384615383</v>
      </c>
      <c r="U24" s="45">
        <f t="shared" si="8"/>
        <v>229.14226086956521</v>
      </c>
      <c r="V24" s="45">
        <f t="shared" si="8"/>
        <v>229.99850000000001</v>
      </c>
      <c r="W24" s="45">
        <f t="shared" si="8"/>
        <v>229.71359999999999</v>
      </c>
      <c r="X24" s="45">
        <f t="shared" si="8"/>
        <v>229.822</v>
      </c>
      <c r="Y24" s="45">
        <f t="shared" si="8"/>
        <v>230.61469230769231</v>
      </c>
    </row>
    <row r="25" spans="1:25" x14ac:dyDescent="0.25">
      <c r="A25">
        <v>6814</v>
      </c>
      <c r="B25" t="s">
        <v>18</v>
      </c>
      <c r="C25" s="37">
        <v>2</v>
      </c>
      <c r="D25" s="37" t="str">
        <f t="shared" si="0"/>
        <v>2-GLOBE</v>
      </c>
      <c r="E25">
        <v>230.108</v>
      </c>
      <c r="F25">
        <v>195.03899999999999</v>
      </c>
      <c r="G25">
        <v>5.7</v>
      </c>
      <c r="H25">
        <v>13.5</v>
      </c>
      <c r="I25">
        <f t="shared" si="1"/>
        <v>84.759764979922465</v>
      </c>
      <c r="J25">
        <f t="shared" si="2"/>
        <v>92.402842053256521</v>
      </c>
      <c r="K25" s="45"/>
      <c r="L25" s="45"/>
      <c r="M25" s="51" t="s">
        <v>140</v>
      </c>
      <c r="N25" s="45">
        <f>IF(N12&gt;5,AVERAGEIF($D:$D,N3,$E:$E),AVERAGEIF($C:$C,N$9,$E:$E))</f>
        <v>230.3698181818182</v>
      </c>
      <c r="O25" s="45">
        <f t="shared" ref="O25:Y25" si="9">IF(O12&gt;5,AVERAGEIF($D:$D,O3,$E:$E),AVERAGEIF($C:$C,O$9,$E:$E))</f>
        <v>230.03042857142856</v>
      </c>
      <c r="P25" s="45">
        <f t="shared" si="9"/>
        <v>232.92833333333328</v>
      </c>
      <c r="Q25" s="45">
        <f t="shared" si="9"/>
        <v>232.00880000000001</v>
      </c>
      <c r="R25" s="45">
        <f t="shared" si="9"/>
        <v>232.10041666666666</v>
      </c>
      <c r="S25" s="45">
        <f t="shared" si="9"/>
        <v>230.00222222222223</v>
      </c>
      <c r="T25" s="45">
        <f t="shared" si="9"/>
        <v>229.23015384615383</v>
      </c>
      <c r="U25" s="45">
        <f t="shared" si="9"/>
        <v>229.14226086956521</v>
      </c>
      <c r="V25" s="45">
        <f t="shared" si="9"/>
        <v>229.99850000000001</v>
      </c>
      <c r="W25" s="45">
        <f t="shared" si="9"/>
        <v>229.71359999999999</v>
      </c>
      <c r="X25" s="45">
        <f t="shared" si="9"/>
        <v>229.822</v>
      </c>
      <c r="Y25" s="45">
        <f t="shared" si="9"/>
        <v>230.61469230769231</v>
      </c>
    </row>
    <row r="26" spans="1:25" x14ac:dyDescent="0.25">
      <c r="A26">
        <v>6819</v>
      </c>
      <c r="B26" t="s">
        <v>46</v>
      </c>
      <c r="C26" s="37">
        <v>2</v>
      </c>
      <c r="D26" s="37" t="str">
        <f t="shared" si="0"/>
        <v>2-Standard</v>
      </c>
      <c r="E26">
        <v>225.001</v>
      </c>
      <c r="F26">
        <v>193.733</v>
      </c>
      <c r="G26">
        <v>4.4000000000000004</v>
      </c>
      <c r="H26">
        <v>12.5</v>
      </c>
      <c r="I26">
        <f t="shared" si="1"/>
        <v>86.103172874787219</v>
      </c>
      <c r="J26">
        <f t="shared" si="2"/>
        <v>94.073866592338959</v>
      </c>
      <c r="K26" s="45"/>
      <c r="L26" s="45"/>
      <c r="M26" s="51" t="s">
        <v>134</v>
      </c>
      <c r="N26" s="45">
        <f>IF(N12&gt;5,AVERAGEIF($D:$D,N3,$E:$E),AVERAGEIF($C:$C,N$9,$E:$E))</f>
        <v>230.3698181818182</v>
      </c>
      <c r="O26" s="45">
        <f t="shared" ref="O26:Y26" si="10">IF(O12&gt;5,AVERAGEIF($D:$D,O3,$E:$E),AVERAGEIF($C:$C,O$9,$E:$E))</f>
        <v>230.03042857142856</v>
      </c>
      <c r="P26" s="45">
        <f t="shared" si="10"/>
        <v>232.92833333333328</v>
      </c>
      <c r="Q26" s="45">
        <f t="shared" si="10"/>
        <v>232.00880000000001</v>
      </c>
      <c r="R26" s="45">
        <f t="shared" si="10"/>
        <v>232.10041666666666</v>
      </c>
      <c r="S26" s="45">
        <f t="shared" si="10"/>
        <v>230.00222222222223</v>
      </c>
      <c r="T26" s="45">
        <f t="shared" si="10"/>
        <v>229.23015384615383</v>
      </c>
      <c r="U26" s="45">
        <f t="shared" si="10"/>
        <v>229.14226086956521</v>
      </c>
      <c r="V26" s="45">
        <f t="shared" si="10"/>
        <v>229.99850000000001</v>
      </c>
      <c r="W26" s="45">
        <f t="shared" si="10"/>
        <v>229.71359999999999</v>
      </c>
      <c r="X26" s="45">
        <f t="shared" si="10"/>
        <v>229.822</v>
      </c>
      <c r="Y26" s="45">
        <f t="shared" si="10"/>
        <v>230.61469230769231</v>
      </c>
    </row>
    <row r="27" spans="1:25" x14ac:dyDescent="0.25">
      <c r="A27">
        <v>6822</v>
      </c>
      <c r="B27" t="s">
        <v>18</v>
      </c>
      <c r="C27" s="37">
        <v>2</v>
      </c>
      <c r="D27" s="37" t="str">
        <f t="shared" si="0"/>
        <v>2-GLOBE</v>
      </c>
      <c r="E27">
        <v>230.03800000000001</v>
      </c>
      <c r="F27">
        <v>195.30600000000001</v>
      </c>
      <c r="G27">
        <v>4.2</v>
      </c>
      <c r="H27">
        <v>14</v>
      </c>
      <c r="I27">
        <f t="shared" si="1"/>
        <v>84.90162494892148</v>
      </c>
      <c r="J27">
        <f t="shared" si="2"/>
        <v>94.576461280310212</v>
      </c>
      <c r="K27" s="45"/>
      <c r="L27" s="45"/>
      <c r="M27" s="51" t="s">
        <v>135</v>
      </c>
      <c r="N27" s="45">
        <f>IF(N14&gt;5,AVERAGEIF($D:$D,N5,$E:$E),AVERAGEIF($C:$C,N$9,$E:$E))</f>
        <v>230.3698181818182</v>
      </c>
      <c r="O27" s="45">
        <f t="shared" ref="O27:Y27" si="11">IF(O14&gt;5,AVERAGEIF($D:$D,O5,$E:$E),AVERAGEIF($C:$C,O$9,$E:$E))</f>
        <v>230.03042857142856</v>
      </c>
      <c r="P27" s="45">
        <f t="shared" si="11"/>
        <v>232.92833333333328</v>
      </c>
      <c r="Q27" s="45">
        <f t="shared" si="11"/>
        <v>232.00880000000001</v>
      </c>
      <c r="R27" s="45">
        <f t="shared" si="11"/>
        <v>232.10041666666666</v>
      </c>
      <c r="S27" s="45">
        <f t="shared" si="11"/>
        <v>230.00222222222223</v>
      </c>
      <c r="T27" s="45">
        <f t="shared" si="11"/>
        <v>229.23015384615383</v>
      </c>
      <c r="U27" s="45">
        <f t="shared" si="11"/>
        <v>230.03783333333334</v>
      </c>
      <c r="V27" s="45">
        <f t="shared" si="11"/>
        <v>229.99850000000001</v>
      </c>
      <c r="W27" s="45">
        <f t="shared" si="11"/>
        <v>229.71359999999999</v>
      </c>
      <c r="X27" s="45">
        <f t="shared" si="11"/>
        <v>229.822</v>
      </c>
      <c r="Y27" s="45">
        <f t="shared" si="11"/>
        <v>230.61469230769231</v>
      </c>
    </row>
    <row r="28" spans="1:25" x14ac:dyDescent="0.25">
      <c r="A28">
        <v>6827</v>
      </c>
      <c r="B28" t="s">
        <v>17</v>
      </c>
      <c r="C28" s="37">
        <v>3</v>
      </c>
      <c r="D28" s="37" t="str">
        <f t="shared" si="0"/>
        <v>3-HEINEKEN</v>
      </c>
      <c r="E28">
        <v>230.00299999999999</v>
      </c>
      <c r="F28">
        <v>194.506</v>
      </c>
      <c r="G28">
        <v>3.6</v>
      </c>
      <c r="H28">
        <v>13.9</v>
      </c>
      <c r="I28">
        <f t="shared" si="1"/>
        <v>84.566723042742936</v>
      </c>
      <c r="J28">
        <f t="shared" si="2"/>
        <v>94.683299666903807</v>
      </c>
      <c r="K28" s="45"/>
      <c r="L28" s="45"/>
      <c r="M28" s="51" t="s">
        <v>132</v>
      </c>
      <c r="N28" s="45">
        <f>IF(N10&gt;5,AVERAGEIF($D:$D,N1,$E:$E),AVERAGEIF($C:$C,N$9,$E:$E))</f>
        <v>232.00814285714287</v>
      </c>
      <c r="O28" s="45">
        <f t="shared" ref="O28:Y28" si="12">IF(O10&gt;5,AVERAGEIF($D:$D,O1,$E:$E),AVERAGEIF($C:$C,O$9,$E:$E))</f>
        <v>230.03042857142856</v>
      </c>
      <c r="P28" s="45">
        <f t="shared" si="12"/>
        <v>232.92833333333328</v>
      </c>
      <c r="Q28" s="45">
        <f t="shared" si="12"/>
        <v>231.43671428571426</v>
      </c>
      <c r="R28" s="45">
        <f t="shared" si="12"/>
        <v>232.5187</v>
      </c>
      <c r="S28" s="45">
        <f t="shared" si="12"/>
        <v>230.00222222222223</v>
      </c>
      <c r="T28" s="45">
        <f t="shared" si="12"/>
        <v>229.99944444444444</v>
      </c>
      <c r="U28" s="45">
        <f t="shared" si="12"/>
        <v>230.00363636363636</v>
      </c>
      <c r="V28" s="45">
        <f t="shared" si="12"/>
        <v>229.99850000000001</v>
      </c>
      <c r="W28" s="45">
        <f t="shared" si="12"/>
        <v>229.71359999999999</v>
      </c>
      <c r="X28" s="45">
        <f t="shared" si="12"/>
        <v>229.80340000000001</v>
      </c>
      <c r="Y28" s="45">
        <f t="shared" si="12"/>
        <v>232.28014285714283</v>
      </c>
    </row>
    <row r="29" spans="1:25" x14ac:dyDescent="0.25">
      <c r="A29">
        <v>6832</v>
      </c>
      <c r="B29" t="s">
        <v>18</v>
      </c>
      <c r="C29" s="37">
        <v>3</v>
      </c>
      <c r="D29" s="37" t="str">
        <f t="shared" si="0"/>
        <v>3-GLOBE</v>
      </c>
      <c r="E29">
        <v>230</v>
      </c>
      <c r="F29">
        <v>195.333</v>
      </c>
      <c r="G29">
        <v>3.7</v>
      </c>
      <c r="H29">
        <v>14.2</v>
      </c>
      <c r="I29">
        <f t="shared" si="1"/>
        <v>84.927391304347822</v>
      </c>
      <c r="J29">
        <f t="shared" si="2"/>
        <v>95.320603526907874</v>
      </c>
      <c r="K29" s="45"/>
      <c r="L29" s="45"/>
      <c r="M29" s="51" t="s">
        <v>137</v>
      </c>
      <c r="N29" s="45">
        <f>IF(N13&gt;5,AVERAGEIF($D:$D,N4,$E:$E),AVERAGEIF($C:$C,N$9,$E:$E))</f>
        <v>230.3698181818182</v>
      </c>
      <c r="O29" s="45">
        <f t="shared" ref="O29:Y29" si="13">IF(O13&gt;5,AVERAGEIF($D:$D,O4,$E:$E),AVERAGEIF($C:$C,O$9,$E:$E))</f>
        <v>230.03042857142856</v>
      </c>
      <c r="P29" s="45">
        <f t="shared" si="13"/>
        <v>232.92833333333328</v>
      </c>
      <c r="Q29" s="45">
        <f t="shared" si="13"/>
        <v>232.00880000000001</v>
      </c>
      <c r="R29" s="45">
        <f t="shared" si="13"/>
        <v>232.10041666666666</v>
      </c>
      <c r="S29" s="45">
        <f t="shared" si="13"/>
        <v>230.00222222222223</v>
      </c>
      <c r="T29" s="45">
        <f t="shared" si="13"/>
        <v>229.23015384615383</v>
      </c>
      <c r="U29" s="45">
        <f t="shared" si="13"/>
        <v>229.14226086956521</v>
      </c>
      <c r="V29" s="45">
        <f t="shared" si="13"/>
        <v>229.99850000000001</v>
      </c>
      <c r="W29" s="45">
        <f t="shared" si="13"/>
        <v>229.71359999999999</v>
      </c>
      <c r="X29" s="45">
        <f t="shared" si="13"/>
        <v>229.822</v>
      </c>
      <c r="Y29" s="45">
        <f t="shared" si="13"/>
        <v>230.61469230769231</v>
      </c>
    </row>
    <row r="30" spans="1:25" x14ac:dyDescent="0.25">
      <c r="A30">
        <v>6839</v>
      </c>
      <c r="B30" t="s">
        <v>18</v>
      </c>
      <c r="C30" s="37">
        <v>3</v>
      </c>
      <c r="D30" s="37" t="str">
        <f t="shared" si="0"/>
        <v>3-GLOBE</v>
      </c>
      <c r="E30">
        <v>230.03</v>
      </c>
      <c r="F30">
        <v>195.126</v>
      </c>
      <c r="G30">
        <v>3.5</v>
      </c>
      <c r="H30">
        <v>14.2</v>
      </c>
      <c r="I30">
        <f t="shared" si="1"/>
        <v>84.826327000825984</v>
      </c>
      <c r="J30">
        <f t="shared" si="2"/>
        <v>95.404901580183065</v>
      </c>
      <c r="K30" s="45"/>
      <c r="L30" s="45"/>
      <c r="M30" s="50" t="s">
        <v>148</v>
      </c>
      <c r="N30" s="45">
        <f>IF(N16&gt;5,AVERAGEIF($D:$D,N7,$E:$E),AVERAGEIF($C:$C,N$9,$E:$E))</f>
        <v>230.3698181818182</v>
      </c>
      <c r="O30" s="45">
        <f t="shared" ref="O30:Y30" si="14">IF(O16&gt;5,AVERAGEIF($D:$D,O7,$E:$E),AVERAGEIF($C:$C,O$9,$E:$E))</f>
        <v>230.03042857142856</v>
      </c>
      <c r="P30" s="45">
        <f t="shared" si="14"/>
        <v>232.92833333333328</v>
      </c>
      <c r="Q30" s="45">
        <f t="shared" si="14"/>
        <v>232.00880000000001</v>
      </c>
      <c r="R30" s="45">
        <f t="shared" si="14"/>
        <v>232.10041666666666</v>
      </c>
      <c r="S30" s="45">
        <f t="shared" si="14"/>
        <v>230.00222222222223</v>
      </c>
      <c r="T30" s="45">
        <f t="shared" si="14"/>
        <v>229.23015384615383</v>
      </c>
      <c r="U30" s="45">
        <f t="shared" si="14"/>
        <v>229.14226086956521</v>
      </c>
      <c r="V30" s="45">
        <f t="shared" si="14"/>
        <v>229.99850000000001</v>
      </c>
      <c r="W30" s="45">
        <f t="shared" si="14"/>
        <v>229.71359999999999</v>
      </c>
      <c r="X30" s="45">
        <f t="shared" si="14"/>
        <v>229.822</v>
      </c>
      <c r="Y30" s="45">
        <f t="shared" si="14"/>
        <v>230.61469230769231</v>
      </c>
    </row>
    <row r="31" spans="1:25" x14ac:dyDescent="0.25">
      <c r="A31">
        <v>6848</v>
      </c>
      <c r="B31" t="s">
        <v>17</v>
      </c>
      <c r="C31" s="37">
        <v>3</v>
      </c>
      <c r="D31" s="37" t="str">
        <f t="shared" si="0"/>
        <v>3-HEINEKEN</v>
      </c>
      <c r="E31">
        <v>230.011</v>
      </c>
      <c r="F31">
        <v>193.92500000000001</v>
      </c>
      <c r="G31">
        <v>3.8</v>
      </c>
      <c r="H31">
        <v>13.9</v>
      </c>
      <c r="I31">
        <f t="shared" si="1"/>
        <v>84.311185117233535</v>
      </c>
      <c r="J31">
        <f t="shared" si="2"/>
        <v>94.201347366758029</v>
      </c>
      <c r="K31" s="45"/>
      <c r="L31" s="45"/>
      <c r="M31" s="49"/>
    </row>
    <row r="32" spans="1:25" x14ac:dyDescent="0.25">
      <c r="A32">
        <v>6853</v>
      </c>
      <c r="B32" t="s">
        <v>18</v>
      </c>
      <c r="C32" s="37">
        <v>3</v>
      </c>
      <c r="D32" s="37" t="str">
        <f t="shared" si="0"/>
        <v>3-GLOBE</v>
      </c>
      <c r="E32">
        <v>230.018</v>
      </c>
      <c r="F32">
        <v>191.596</v>
      </c>
      <c r="G32">
        <v>3.1</v>
      </c>
      <c r="H32">
        <v>13.5</v>
      </c>
      <c r="I32">
        <f t="shared" si="1"/>
        <v>83.29608987122748</v>
      </c>
      <c r="J32">
        <f t="shared" si="2"/>
        <v>93.310879867305673</v>
      </c>
      <c r="K32" s="45"/>
      <c r="L32" s="45"/>
      <c r="M32" s="47" t="s">
        <v>156</v>
      </c>
    </row>
    <row r="33" spans="1:25" x14ac:dyDescent="0.25">
      <c r="A33">
        <v>6858</v>
      </c>
      <c r="B33" t="s">
        <v>18</v>
      </c>
      <c r="C33" s="37">
        <v>4</v>
      </c>
      <c r="D33" s="37" t="str">
        <f t="shared" si="0"/>
        <v>4-GLOBE</v>
      </c>
      <c r="E33">
        <v>230.005</v>
      </c>
      <c r="F33">
        <v>195.34800000000001</v>
      </c>
      <c r="G33">
        <v>4.9000000000000004</v>
      </c>
      <c r="H33">
        <v>13.3</v>
      </c>
      <c r="I33">
        <f t="shared" si="1"/>
        <v>84.932066694202319</v>
      </c>
      <c r="J33">
        <f t="shared" si="2"/>
        <v>93.160779038277269</v>
      </c>
      <c r="K33" s="45"/>
      <c r="L33" s="45"/>
      <c r="M33" s="49" t="s">
        <v>155</v>
      </c>
      <c r="N33" s="48">
        <v>1</v>
      </c>
      <c r="O33" s="48">
        <v>2</v>
      </c>
      <c r="P33" s="48">
        <v>3</v>
      </c>
      <c r="Q33" s="48">
        <v>4</v>
      </c>
      <c r="R33" s="48">
        <v>5</v>
      </c>
      <c r="S33" s="48">
        <v>6</v>
      </c>
      <c r="T33" s="48">
        <v>7</v>
      </c>
      <c r="U33" s="48">
        <v>8</v>
      </c>
      <c r="V33" s="48">
        <v>9</v>
      </c>
      <c r="W33" s="48">
        <v>10</v>
      </c>
      <c r="X33" s="48">
        <v>11</v>
      </c>
      <c r="Y33" s="48">
        <v>12</v>
      </c>
    </row>
    <row r="34" spans="1:25" x14ac:dyDescent="0.25">
      <c r="A34">
        <v>6863</v>
      </c>
      <c r="B34" t="s">
        <v>18</v>
      </c>
      <c r="C34" s="37">
        <v>4</v>
      </c>
      <c r="D34" s="37" t="str">
        <f t="shared" si="0"/>
        <v>4-GLOBE</v>
      </c>
      <c r="E34">
        <v>229.99100000000001</v>
      </c>
      <c r="F34">
        <v>192.99</v>
      </c>
      <c r="G34">
        <v>4.4000000000000004</v>
      </c>
      <c r="H34">
        <v>13.9</v>
      </c>
      <c r="I34">
        <f t="shared" si="1"/>
        <v>83.911979164402084</v>
      </c>
      <c r="J34">
        <f t="shared" si="2"/>
        <v>93.170559908441803</v>
      </c>
      <c r="K34" s="45"/>
      <c r="L34" s="45"/>
      <c r="M34" s="51" t="s">
        <v>136</v>
      </c>
      <c r="N34" s="45">
        <f>IF(N10&gt;5,AVERAGEIF($D:$D,N1,$F:$F),AVERAGEIF($C:$C,N$9,$F:$F))</f>
        <v>195.07128571428569</v>
      </c>
      <c r="O34" s="45">
        <f>IF(O10&gt;5,AVERAGEIF($D:$D,O1,$F:$F),AVERAGEIF($C:$C,O$9,$F:$F))</f>
        <v>195.83685714285713</v>
      </c>
      <c r="P34" s="45">
        <f>IF(P10&gt;5,AVERAGEIF($D:$D,P1,$F:$F),AVERAGEIF($C:$C,P$9,$F:$F))</f>
        <v>195.7936666666667</v>
      </c>
      <c r="Q34" s="45">
        <f>IF(Q10&gt;5,AVERAGEIF($D:$D,Q1,$F:$F),AVERAGEIF($C:$C,Q$9,$F:$F))</f>
        <v>197.18571428571431</v>
      </c>
      <c r="R34" s="45">
        <f>IF(R10&gt;5,AVERAGEIF($D:$D,R1,$F:$F),AVERAGEIF($C:$C,R$9,$F:$F))</f>
        <v>196.9778</v>
      </c>
      <c r="S34" s="45">
        <f>IF(S10&gt;5,AVERAGEIF($D:$D,S1,$F:$F),AVERAGEIF($C:$C,S$9,$F:$F))</f>
        <v>192.72755555555557</v>
      </c>
      <c r="T34" s="45">
        <f>IF(T10&gt;5,AVERAGEIF($D:$D,T1,$F:$F),AVERAGEIF($C:$C,T$9,$F:$F))</f>
        <v>189.85977777777777</v>
      </c>
      <c r="U34" s="45">
        <f>IF(U10&gt;5,AVERAGEIF($D:$D,U1,$F:$F),AVERAGEIF($C:$C,U$9,$F:$F))</f>
        <v>191.50027272727274</v>
      </c>
      <c r="V34" s="45">
        <f>IF(V10&gt;5,AVERAGEIF($D:$D,V1,$F:$F),AVERAGEIF($C:$C,V$9,$F:$F))</f>
        <v>192.08150000000001</v>
      </c>
      <c r="W34" s="45">
        <f>IF(W10&gt;5,AVERAGEIF($D:$D,W1,$F:$F),AVERAGEIF($C:$C,W$9,$F:$F))</f>
        <v>192.98700000000002</v>
      </c>
      <c r="X34" s="45">
        <f>IF(X10&gt;5,AVERAGEIF($D:$D,X1,$F:$F),AVERAGEIF($C:$C,X$9,$F:$F))</f>
        <v>195.0573</v>
      </c>
      <c r="Y34" s="45">
        <f>IF(Y10&gt;5,AVERAGEIF($D:$D,Y1,$F:$F),AVERAGEIF($C:$C,Y$9,$F:$F))</f>
        <v>196.45457142857146</v>
      </c>
    </row>
    <row r="35" spans="1:25" x14ac:dyDescent="0.25">
      <c r="A35">
        <v>6872</v>
      </c>
      <c r="B35" t="s">
        <v>18</v>
      </c>
      <c r="C35" s="37">
        <v>4</v>
      </c>
      <c r="D35" s="37" t="str">
        <f t="shared" si="0"/>
        <v>4-GLOBE</v>
      </c>
      <c r="E35">
        <v>230.02099999999999</v>
      </c>
      <c r="F35">
        <v>194.45099999999999</v>
      </c>
      <c r="G35">
        <v>3.9</v>
      </c>
      <c r="H35">
        <v>13.6</v>
      </c>
      <c r="I35">
        <f t="shared" si="1"/>
        <v>84.536194521369794</v>
      </c>
      <c r="J35">
        <f t="shared" si="2"/>
        <v>94.026947841477295</v>
      </c>
      <c r="K35" s="45"/>
      <c r="L35" s="45"/>
      <c r="M35" s="51" t="s">
        <v>139</v>
      </c>
      <c r="N35" s="45">
        <f>IF(N10&gt;5,AVERAGEIF($D:$D,N1,$F:$F),AVERAGEIF($C:$C,N$9,$F:$F))</f>
        <v>195.07128571428569</v>
      </c>
      <c r="O35" s="45">
        <f>IF(O10&gt;5,AVERAGEIF($D:$D,O1,$F:$F),AVERAGEIF($C:$C,O$9,$F:$F))</f>
        <v>195.83685714285713</v>
      </c>
      <c r="P35" s="45">
        <f>IF(P10&gt;5,AVERAGEIF($D:$D,P1,$F:$F),AVERAGEIF($C:$C,P$9,$F:$F))</f>
        <v>195.7936666666667</v>
      </c>
      <c r="Q35" s="45">
        <f>IF(Q10&gt;5,AVERAGEIF($D:$D,Q1,$F:$F),AVERAGEIF($C:$C,Q$9,$F:$F))</f>
        <v>197.18571428571431</v>
      </c>
      <c r="R35" s="45">
        <f>IF(R10&gt;5,AVERAGEIF($D:$D,R1,$F:$F),AVERAGEIF($C:$C,R$9,$F:$F))</f>
        <v>196.9778</v>
      </c>
      <c r="S35" s="45">
        <f>IF(S10&gt;5,AVERAGEIF($D:$D,S1,$F:$F),AVERAGEIF($C:$C,S$9,$F:$F))</f>
        <v>192.72755555555557</v>
      </c>
      <c r="T35" s="45">
        <f>IF(T10&gt;5,AVERAGEIF($D:$D,T1,$F:$F),AVERAGEIF($C:$C,T$9,$F:$F))</f>
        <v>189.85977777777777</v>
      </c>
      <c r="U35" s="45">
        <f>IF(U10&gt;5,AVERAGEIF($D:$D,U1,$F:$F),AVERAGEIF($C:$C,U$9,$F:$F))</f>
        <v>191.50027272727274</v>
      </c>
      <c r="V35" s="45">
        <f>IF(V10&gt;5,AVERAGEIF($D:$D,V1,$F:$F),AVERAGEIF($C:$C,V$9,$F:$F))</f>
        <v>192.08150000000001</v>
      </c>
      <c r="W35" s="45">
        <f>IF(W10&gt;5,AVERAGEIF($D:$D,W1,$F:$F),AVERAGEIF($C:$C,W$9,$F:$F))</f>
        <v>192.98700000000002</v>
      </c>
      <c r="X35" s="45">
        <f>IF(X10&gt;5,AVERAGEIF($D:$D,X1,$F:$F),AVERAGEIF($C:$C,X$9,$F:$F))</f>
        <v>195.0573</v>
      </c>
      <c r="Y35" s="45">
        <f>IF(Y10&gt;5,AVERAGEIF($D:$D,Y1,$F:$F),AVERAGEIF($C:$C,Y$9,$F:$F))</f>
        <v>196.45457142857146</v>
      </c>
    </row>
    <row r="36" spans="1:25" x14ac:dyDescent="0.25">
      <c r="A36">
        <v>6879</v>
      </c>
      <c r="B36" t="s">
        <v>18</v>
      </c>
      <c r="C36" s="37">
        <v>4</v>
      </c>
      <c r="D36" s="37" t="str">
        <f t="shared" si="0"/>
        <v>4-GLOBE</v>
      </c>
      <c r="E36">
        <v>230</v>
      </c>
      <c r="F36">
        <v>200.30199999999999</v>
      </c>
      <c r="G36">
        <v>3.5</v>
      </c>
      <c r="H36">
        <v>13.6</v>
      </c>
      <c r="I36">
        <f t="shared" si="1"/>
        <v>87.087826086956525</v>
      </c>
      <c r="J36">
        <f t="shared" si="2"/>
        <v>97.268231682769724</v>
      </c>
      <c r="K36" s="45"/>
      <c r="L36" s="45"/>
      <c r="M36" s="51" t="s">
        <v>133</v>
      </c>
      <c r="N36" s="45">
        <f>IF(N11&gt;5,AVERAGEIF($D:$D,N2,$F:$F),AVERAGEIF($C:$C,N$9,$F:$F))</f>
        <v>193.65390909090908</v>
      </c>
      <c r="O36" s="45">
        <f>IF(O11&gt;5,AVERAGEIF($D:$D,O2,$F:$F),AVERAGEIF($C:$C,O$9,$F:$F))</f>
        <v>195.83685714285713</v>
      </c>
      <c r="P36" s="45">
        <f>IF(P11&gt;5,AVERAGEIF($D:$D,P2,$F:$F),AVERAGEIF($C:$C,P$9,$F:$F))</f>
        <v>195.7936666666667</v>
      </c>
      <c r="Q36" s="45">
        <f>IF(Q11&gt;5,AVERAGEIF($D:$D,Q2,$F:$F),AVERAGEIF($C:$C,Q$9,$F:$F))</f>
        <v>197.54509999999999</v>
      </c>
      <c r="R36" s="45">
        <f>IF(R11&gt;5,AVERAGEIF($D:$D,R2,$F:$F),AVERAGEIF($C:$C,R$9,$F:$F))</f>
        <v>196.8416666666667</v>
      </c>
      <c r="S36" s="45">
        <f>IF(S11&gt;5,AVERAGEIF($D:$D,S2,$F:$F),AVERAGEIF($C:$C,S$9,$F:$F))</f>
        <v>192.72755555555557</v>
      </c>
      <c r="T36" s="45">
        <f>IF(T11&gt;5,AVERAGEIF($D:$D,T2,$F:$F),AVERAGEIF($C:$C,T$9,$F:$F))</f>
        <v>189.37392307692309</v>
      </c>
      <c r="U36" s="45">
        <f>IF(U11&gt;5,AVERAGEIF($D:$D,U2,$F:$F),AVERAGEIF($C:$C,U$9,$F:$F))</f>
        <v>191.78895652173912</v>
      </c>
      <c r="V36" s="45">
        <f>IF(V11&gt;5,AVERAGEIF($D:$D,V2,$F:$F),AVERAGEIF($C:$C,V$9,$F:$F))</f>
        <v>192.08150000000001</v>
      </c>
      <c r="W36" s="45">
        <f>IF(W11&gt;5,AVERAGEIF($D:$D,W2,$F:$F),AVERAGEIF($C:$C,W$9,$F:$F))</f>
        <v>192.98700000000002</v>
      </c>
      <c r="X36" s="45">
        <f>IF(X11&gt;5,AVERAGEIF($D:$D,X2,$F:$F),AVERAGEIF($C:$C,X$9,$F:$F))</f>
        <v>194.78345454545453</v>
      </c>
      <c r="Y36" s="45">
        <f>IF(Y11&gt;5,AVERAGEIF($D:$D,Y2,$F:$F),AVERAGEIF($C:$C,Y$9,$F:$F))</f>
        <v>196.006</v>
      </c>
    </row>
    <row r="37" spans="1:25" x14ac:dyDescent="0.25">
      <c r="A37">
        <v>6880</v>
      </c>
      <c r="B37" t="s">
        <v>18</v>
      </c>
      <c r="C37" s="37">
        <v>4</v>
      </c>
      <c r="D37" s="37" t="str">
        <f t="shared" si="0"/>
        <v>4-GLOBE</v>
      </c>
      <c r="E37">
        <v>230</v>
      </c>
      <c r="F37">
        <v>198.39500000000001</v>
      </c>
      <c r="G37">
        <v>4.3</v>
      </c>
      <c r="H37">
        <v>13.6</v>
      </c>
      <c r="I37">
        <f t="shared" si="1"/>
        <v>86.258695652173927</v>
      </c>
      <c r="J37">
        <f t="shared" si="2"/>
        <v>95.543485809178748</v>
      </c>
      <c r="K37" s="45"/>
      <c r="L37" s="45"/>
      <c r="M37" s="51" t="s">
        <v>138</v>
      </c>
      <c r="N37" s="45">
        <f>IF(N13&gt;5,AVERAGEIF($D:$D,N4,$F:$F),AVERAGEIF($C:$C,N$9,$F:$F))</f>
        <v>193.65390909090908</v>
      </c>
      <c r="O37" s="45">
        <f>IF(O13&gt;5,AVERAGEIF($D:$D,O4,$F:$F),AVERAGEIF($C:$C,O$9,$F:$F))</f>
        <v>195.83685714285713</v>
      </c>
      <c r="P37" s="45">
        <f>IF(P13&gt;5,AVERAGEIF($D:$D,P4,$F:$F),AVERAGEIF($C:$C,P$9,$F:$F))</f>
        <v>195.7936666666667</v>
      </c>
      <c r="Q37" s="45">
        <f>IF(Q13&gt;5,AVERAGEIF($D:$D,Q4,$F:$F),AVERAGEIF($C:$C,Q$9,$F:$F))</f>
        <v>197.54509999999999</v>
      </c>
      <c r="R37" s="45">
        <f>IF(R13&gt;5,AVERAGEIF($D:$D,R4,$F:$F),AVERAGEIF($C:$C,R$9,$F:$F))</f>
        <v>196.8416666666667</v>
      </c>
      <c r="S37" s="45">
        <f>IF(S13&gt;5,AVERAGEIF($D:$D,S4,$F:$F),AVERAGEIF($C:$C,S$9,$F:$F))</f>
        <v>192.72755555555557</v>
      </c>
      <c r="T37" s="45">
        <f>IF(T13&gt;5,AVERAGEIF($D:$D,T4,$F:$F),AVERAGEIF($C:$C,T$9,$F:$F))</f>
        <v>189.37392307692309</v>
      </c>
      <c r="U37" s="45">
        <f>IF(U13&gt;5,AVERAGEIF($D:$D,U4,$F:$F),AVERAGEIF($C:$C,U$9,$F:$F))</f>
        <v>191.78895652173912</v>
      </c>
      <c r="V37" s="45">
        <f>IF(V13&gt;5,AVERAGEIF($D:$D,V4,$F:$F),AVERAGEIF($C:$C,V$9,$F:$F))</f>
        <v>192.08150000000001</v>
      </c>
      <c r="W37" s="45">
        <f>IF(W13&gt;5,AVERAGEIF($D:$D,W4,$F:$F),AVERAGEIF($C:$C,W$9,$F:$F))</f>
        <v>192.98700000000002</v>
      </c>
      <c r="X37" s="45">
        <f>IF(X13&gt;5,AVERAGEIF($D:$D,X4,$F:$F),AVERAGEIF($C:$C,X$9,$F:$F))</f>
        <v>194.78345454545453</v>
      </c>
      <c r="Y37" s="45">
        <f>IF(Y13&gt;5,AVERAGEIF($D:$D,Y4,$F:$F),AVERAGEIF($C:$C,Y$9,$F:$F))</f>
        <v>196.006</v>
      </c>
    </row>
    <row r="38" spans="1:25" x14ac:dyDescent="0.25">
      <c r="A38">
        <v>6891</v>
      </c>
      <c r="B38" t="s">
        <v>37</v>
      </c>
      <c r="C38" s="37">
        <v>5</v>
      </c>
      <c r="D38" s="37" t="str">
        <f t="shared" si="0"/>
        <v>5-Kronenbourg</v>
      </c>
      <c r="E38">
        <v>230.00899999999999</v>
      </c>
      <c r="F38">
        <v>192.37</v>
      </c>
      <c r="G38">
        <v>3.7</v>
      </c>
      <c r="H38">
        <v>13.7</v>
      </c>
      <c r="I38">
        <f t="shared" si="1"/>
        <v>83.63585772730633</v>
      </c>
      <c r="J38">
        <f t="shared" si="2"/>
        <v>93.327150627341823</v>
      </c>
      <c r="K38" s="45"/>
      <c r="L38" s="45"/>
      <c r="M38" s="51" t="s">
        <v>131</v>
      </c>
      <c r="N38" s="45">
        <f>IF(N13&gt;5,AVERAGEIF($D:$D,N4,$F:$F),AVERAGEIF($C:$C,N$9,$F:$F))</f>
        <v>193.65390909090908</v>
      </c>
      <c r="O38" s="45">
        <f>IF(O13&gt;5,AVERAGEIF($D:$D,O4,$F:$F),AVERAGEIF($C:$C,O$9,$F:$F))</f>
        <v>195.83685714285713</v>
      </c>
      <c r="P38" s="45">
        <f>IF(P13&gt;5,AVERAGEIF($D:$D,P4,$F:$F),AVERAGEIF($C:$C,P$9,$F:$F))</f>
        <v>195.7936666666667</v>
      </c>
      <c r="Q38" s="45">
        <f>IF(Q13&gt;5,AVERAGEIF($D:$D,Q4,$F:$F),AVERAGEIF($C:$C,Q$9,$F:$F))</f>
        <v>197.54509999999999</v>
      </c>
      <c r="R38" s="45">
        <f>IF(R13&gt;5,AVERAGEIF($D:$D,R4,$F:$F),AVERAGEIF($C:$C,R$9,$F:$F))</f>
        <v>196.8416666666667</v>
      </c>
      <c r="S38" s="45">
        <f>IF(S13&gt;5,AVERAGEIF($D:$D,S4,$F:$F),AVERAGEIF($C:$C,S$9,$F:$F))</f>
        <v>192.72755555555557</v>
      </c>
      <c r="T38" s="45">
        <f>IF(T13&gt;5,AVERAGEIF($D:$D,T4,$F:$F),AVERAGEIF($C:$C,T$9,$F:$F))</f>
        <v>189.37392307692309</v>
      </c>
      <c r="U38" s="45">
        <f>IF(U13&gt;5,AVERAGEIF($D:$D,U4,$F:$F),AVERAGEIF($C:$C,U$9,$F:$F))</f>
        <v>191.78895652173912</v>
      </c>
      <c r="V38" s="45">
        <f>IF(V13&gt;5,AVERAGEIF($D:$D,V4,$F:$F),AVERAGEIF($C:$C,V$9,$F:$F))</f>
        <v>192.08150000000001</v>
      </c>
      <c r="W38" s="45">
        <f>IF(W13&gt;5,AVERAGEIF($D:$D,W4,$F:$F),AVERAGEIF($C:$C,W$9,$F:$F))</f>
        <v>192.98700000000002</v>
      </c>
      <c r="X38" s="45">
        <f>IF(X13&gt;5,AVERAGEIF($D:$D,X4,$F:$F),AVERAGEIF($C:$C,X$9,$F:$F))</f>
        <v>194.78345454545453</v>
      </c>
      <c r="Y38" s="45">
        <f>IF(Y13&gt;5,AVERAGEIF($D:$D,Y4,$F:$F),AVERAGEIF($C:$C,Y$9,$F:$F))</f>
        <v>196.006</v>
      </c>
    </row>
    <row r="39" spans="1:25" x14ac:dyDescent="0.25">
      <c r="A39">
        <v>6896</v>
      </c>
      <c r="B39" t="s">
        <v>18</v>
      </c>
      <c r="C39" s="37">
        <v>5</v>
      </c>
      <c r="D39" s="37" t="str">
        <f t="shared" si="0"/>
        <v>5-GLOBE</v>
      </c>
      <c r="E39">
        <v>230.005</v>
      </c>
      <c r="F39">
        <v>193.42699999999999</v>
      </c>
      <c r="G39">
        <v>4.7</v>
      </c>
      <c r="H39">
        <v>13.9</v>
      </c>
      <c r="I39">
        <f t="shared" si="1"/>
        <v>84.096867459403057</v>
      </c>
      <c r="J39">
        <f t="shared" si="2"/>
        <v>93.082827745425206</v>
      </c>
      <c r="K39" s="45"/>
      <c r="L39" s="45"/>
      <c r="M39" s="51" t="s">
        <v>140</v>
      </c>
      <c r="N39" s="45">
        <f>IF(N14&gt;5,AVERAGEIF($D:$D,N5,$F:$F),AVERAGEIF($C:$C,N$9,$F:$F))</f>
        <v>193.65390909090908</v>
      </c>
      <c r="O39" s="45">
        <f>IF(O14&gt;5,AVERAGEIF($D:$D,O5,$F:$F),AVERAGEIF($C:$C,O$9,$F:$F))</f>
        <v>195.83685714285713</v>
      </c>
      <c r="P39" s="45">
        <f>IF(P14&gt;5,AVERAGEIF($D:$D,P5,$F:$F),AVERAGEIF($C:$C,P$9,$F:$F))</f>
        <v>195.7936666666667</v>
      </c>
      <c r="Q39" s="45">
        <f>IF(Q14&gt;5,AVERAGEIF($D:$D,Q5,$F:$F),AVERAGEIF($C:$C,Q$9,$F:$F))</f>
        <v>197.54509999999999</v>
      </c>
      <c r="R39" s="45">
        <f>IF(R14&gt;5,AVERAGEIF($D:$D,R5,$F:$F),AVERAGEIF($C:$C,R$9,$F:$F))</f>
        <v>196.8416666666667</v>
      </c>
      <c r="S39" s="45">
        <f>IF(S14&gt;5,AVERAGEIF($D:$D,S5,$F:$F),AVERAGEIF($C:$C,S$9,$F:$F))</f>
        <v>192.72755555555557</v>
      </c>
      <c r="T39" s="45">
        <f>IF(T14&gt;5,AVERAGEIF($D:$D,T5,$F:$F),AVERAGEIF($C:$C,T$9,$F:$F))</f>
        <v>189.37392307692309</v>
      </c>
      <c r="U39" s="45">
        <f>IF(U14&gt;5,AVERAGEIF($D:$D,U5,$F:$F),AVERAGEIF($C:$C,U$9,$F:$F))</f>
        <v>193.37049999999999</v>
      </c>
      <c r="V39" s="45">
        <f>IF(V14&gt;5,AVERAGEIF($D:$D,V5,$F:$F),AVERAGEIF($C:$C,V$9,$F:$F))</f>
        <v>192.08150000000001</v>
      </c>
      <c r="W39" s="45">
        <f>IF(W14&gt;5,AVERAGEIF($D:$D,W5,$F:$F),AVERAGEIF($C:$C,W$9,$F:$F))</f>
        <v>192.98700000000002</v>
      </c>
      <c r="X39" s="45">
        <f>IF(X14&gt;5,AVERAGEIF($D:$D,X5,$F:$F),AVERAGEIF($C:$C,X$9,$F:$F))</f>
        <v>194.78345454545453</v>
      </c>
      <c r="Y39" s="45">
        <f>IF(Y14&gt;5,AVERAGEIF($D:$D,Y5,$F:$F),AVERAGEIF($C:$C,Y$9,$F:$F))</f>
        <v>196.006</v>
      </c>
    </row>
    <row r="40" spans="1:25" x14ac:dyDescent="0.25">
      <c r="A40">
        <v>6901</v>
      </c>
      <c r="B40" t="s">
        <v>18</v>
      </c>
      <c r="C40" s="37">
        <v>5</v>
      </c>
      <c r="D40" s="37" t="str">
        <f t="shared" si="0"/>
        <v>5-GLOBE</v>
      </c>
      <c r="E40">
        <v>230.02099999999999</v>
      </c>
      <c r="F40">
        <v>199.999</v>
      </c>
      <c r="G40">
        <v>3.9</v>
      </c>
      <c r="H40">
        <v>13.7</v>
      </c>
      <c r="I40">
        <f t="shared" si="1"/>
        <v>86.948148212554514</v>
      </c>
      <c r="J40">
        <f t="shared" si="2"/>
        <v>96.821750211199173</v>
      </c>
      <c r="K40" s="45"/>
      <c r="L40" s="45"/>
      <c r="M40" s="51" t="s">
        <v>134</v>
      </c>
      <c r="N40" s="45">
        <f>IF(N14&gt;5,AVERAGEIF($D:$D,N5,$F:$F),AVERAGEIF($C:$C,N$9,$F:$F))</f>
        <v>193.65390909090908</v>
      </c>
      <c r="O40" s="45">
        <f>IF(O14&gt;5,AVERAGEIF($D:$D,O5,$F:$F),AVERAGEIF($C:$C,O$9,$F:$F))</f>
        <v>195.83685714285713</v>
      </c>
      <c r="P40" s="45">
        <f>IF(P14&gt;5,AVERAGEIF($D:$D,P5,$F:$F),AVERAGEIF($C:$C,P$9,$F:$F))</f>
        <v>195.7936666666667</v>
      </c>
      <c r="Q40" s="45">
        <f>IF(Q14&gt;5,AVERAGEIF($D:$D,Q5,$F:$F),AVERAGEIF($C:$C,Q$9,$F:$F))</f>
        <v>197.54509999999999</v>
      </c>
      <c r="R40" s="45">
        <f>IF(R14&gt;5,AVERAGEIF($D:$D,R5,$F:$F),AVERAGEIF($C:$C,R$9,$F:$F))</f>
        <v>196.8416666666667</v>
      </c>
      <c r="S40" s="45">
        <f>IF(S14&gt;5,AVERAGEIF($D:$D,S5,$F:$F),AVERAGEIF($C:$C,S$9,$F:$F))</f>
        <v>192.72755555555557</v>
      </c>
      <c r="T40" s="45">
        <f>IF(T14&gt;5,AVERAGEIF($D:$D,T5,$F:$F),AVERAGEIF($C:$C,T$9,$F:$F))</f>
        <v>189.37392307692309</v>
      </c>
      <c r="U40" s="45">
        <f>IF(U14&gt;5,AVERAGEIF($D:$D,U5,$F:$F),AVERAGEIF($C:$C,U$9,$F:$F))</f>
        <v>193.37049999999999</v>
      </c>
      <c r="V40" s="45">
        <f>IF(V14&gt;5,AVERAGEIF($D:$D,V5,$F:$F),AVERAGEIF($C:$C,V$9,$F:$F))</f>
        <v>192.08150000000001</v>
      </c>
      <c r="W40" s="45">
        <f>IF(W14&gt;5,AVERAGEIF($D:$D,W5,$F:$F),AVERAGEIF($C:$C,W$9,$F:$F))</f>
        <v>192.98700000000002</v>
      </c>
      <c r="X40" s="45">
        <f>IF(X14&gt;5,AVERAGEIF($D:$D,X5,$F:$F),AVERAGEIF($C:$C,X$9,$F:$F))</f>
        <v>194.78345454545453</v>
      </c>
      <c r="Y40" s="45">
        <f>IF(Y14&gt;5,AVERAGEIF($D:$D,Y5,$F:$F),AVERAGEIF($C:$C,Y$9,$F:$F))</f>
        <v>196.006</v>
      </c>
    </row>
    <row r="41" spans="1:25" x14ac:dyDescent="0.25">
      <c r="A41">
        <v>6906</v>
      </c>
      <c r="B41" t="s">
        <v>18</v>
      </c>
      <c r="C41" s="37">
        <v>5</v>
      </c>
      <c r="D41" s="37" t="str">
        <f t="shared" si="0"/>
        <v>5-GLOBE</v>
      </c>
      <c r="E41">
        <v>230.03299999999999</v>
      </c>
      <c r="F41">
        <v>196.76300000000001</v>
      </c>
      <c r="G41">
        <v>5</v>
      </c>
      <c r="H41">
        <v>13.8</v>
      </c>
      <c r="I41">
        <f t="shared" si="1"/>
        <v>85.536857755191647</v>
      </c>
      <c r="J41">
        <f t="shared" si="2"/>
        <v>94.269158778923511</v>
      </c>
      <c r="K41" s="45"/>
      <c r="L41" s="45"/>
      <c r="M41" s="51" t="s">
        <v>135</v>
      </c>
      <c r="N41" s="45">
        <f>IF(N14&gt;5,AVERAGEIF($D:$D,N5,$F:$F),AVERAGEIF($C:$C,N$9,$F:$F))</f>
        <v>193.65390909090908</v>
      </c>
      <c r="O41" s="45">
        <f>IF(O14&gt;5,AVERAGEIF($D:$D,O5,$F:$F),AVERAGEIF($C:$C,O$9,$F:$F))</f>
        <v>195.83685714285713</v>
      </c>
      <c r="P41" s="45">
        <f>IF(P14&gt;5,AVERAGEIF($D:$D,P5,$F:$F),AVERAGEIF($C:$C,P$9,$F:$F))</f>
        <v>195.7936666666667</v>
      </c>
      <c r="Q41" s="45">
        <f>IF(Q14&gt;5,AVERAGEIF($D:$D,Q5,$F:$F),AVERAGEIF($C:$C,Q$9,$F:$F))</f>
        <v>197.54509999999999</v>
      </c>
      <c r="R41" s="45">
        <f>IF(R14&gt;5,AVERAGEIF($D:$D,R5,$F:$F),AVERAGEIF($C:$C,R$9,$F:$F))</f>
        <v>196.8416666666667</v>
      </c>
      <c r="S41" s="45">
        <f>IF(S14&gt;5,AVERAGEIF($D:$D,S5,$F:$F),AVERAGEIF($C:$C,S$9,$F:$F))</f>
        <v>192.72755555555557</v>
      </c>
      <c r="T41" s="45">
        <f>IF(T14&gt;5,AVERAGEIF($D:$D,T5,$F:$F),AVERAGEIF($C:$C,T$9,$F:$F))</f>
        <v>189.37392307692309</v>
      </c>
      <c r="U41" s="45">
        <f>IF(U14&gt;5,AVERAGEIF($D:$D,U5,$F:$F),AVERAGEIF($C:$C,U$9,$F:$F))</f>
        <v>193.37049999999999</v>
      </c>
      <c r="V41" s="45">
        <f>IF(V14&gt;5,AVERAGEIF($D:$D,V5,$F:$F),AVERAGEIF($C:$C,V$9,$F:$F))</f>
        <v>192.08150000000001</v>
      </c>
      <c r="W41" s="45">
        <f>IF(W14&gt;5,AVERAGEIF($D:$D,W5,$F:$F),AVERAGEIF($C:$C,W$9,$F:$F))</f>
        <v>192.98700000000002</v>
      </c>
      <c r="X41" s="45">
        <f>IF(X14&gt;5,AVERAGEIF($D:$D,X5,$F:$F),AVERAGEIF($C:$C,X$9,$F:$F))</f>
        <v>194.78345454545453</v>
      </c>
      <c r="Y41" s="45">
        <f>IF(Y14&gt;5,AVERAGEIF($D:$D,Y5,$F:$F),AVERAGEIF($C:$C,Y$9,$F:$F))</f>
        <v>196.006</v>
      </c>
    </row>
    <row r="42" spans="1:25" x14ac:dyDescent="0.25">
      <c r="A42">
        <v>6911</v>
      </c>
      <c r="B42" t="s">
        <v>18</v>
      </c>
      <c r="C42" s="37">
        <v>5</v>
      </c>
      <c r="D42" s="37" t="str">
        <f t="shared" si="0"/>
        <v>5-GLOBE</v>
      </c>
      <c r="E42">
        <v>230.01599999999999</v>
      </c>
      <c r="F42">
        <v>190.90799999999999</v>
      </c>
      <c r="G42">
        <v>4.2</v>
      </c>
      <c r="H42">
        <v>14</v>
      </c>
      <c r="I42">
        <f t="shared" si="1"/>
        <v>82.997704507512509</v>
      </c>
      <c r="J42">
        <f t="shared" si="2"/>
        <v>92.455582463019752</v>
      </c>
      <c r="K42" s="45"/>
      <c r="L42" s="45"/>
      <c r="M42" s="51" t="s">
        <v>132</v>
      </c>
      <c r="N42" s="45">
        <f>IF(N15&gt;5,AVERAGEIF($D:$D,N6,$F:$F),AVERAGEIF($C:$C,N$9,$F:$F))</f>
        <v>193.65390909090908</v>
      </c>
      <c r="O42" s="45">
        <f>IF(O15&gt;5,AVERAGEIF($D:$D,O6,$F:$F),AVERAGEIF($C:$C,O$9,$F:$F))</f>
        <v>195.83685714285713</v>
      </c>
      <c r="P42" s="45">
        <f>IF(P15&gt;5,AVERAGEIF($D:$D,P6,$F:$F),AVERAGEIF($C:$C,P$9,$F:$F))</f>
        <v>195.7936666666667</v>
      </c>
      <c r="Q42" s="45">
        <f>IF(Q15&gt;5,AVERAGEIF($D:$D,Q6,$F:$F),AVERAGEIF($C:$C,Q$9,$F:$F))</f>
        <v>197.54509999999999</v>
      </c>
      <c r="R42" s="45">
        <f>IF(R15&gt;5,AVERAGEIF($D:$D,R6,$F:$F),AVERAGEIF($C:$C,R$9,$F:$F))</f>
        <v>196.8416666666667</v>
      </c>
      <c r="S42" s="45">
        <f>IF(S15&gt;5,AVERAGEIF($D:$D,S6,$F:$F),AVERAGEIF($C:$C,S$9,$F:$F))</f>
        <v>192.72755555555557</v>
      </c>
      <c r="T42" s="45">
        <f>IF(T15&gt;5,AVERAGEIF($D:$D,T6,$F:$F),AVERAGEIF($C:$C,T$9,$F:$F))</f>
        <v>189.37392307692309</v>
      </c>
      <c r="U42" s="45">
        <f>IF(U15&gt;5,AVERAGEIF($D:$D,U6,$F:$F),AVERAGEIF($C:$C,U$9,$F:$F))</f>
        <v>191.78895652173912</v>
      </c>
      <c r="V42" s="45">
        <f>IF(V15&gt;5,AVERAGEIF($D:$D,V6,$F:$F),AVERAGEIF($C:$C,V$9,$F:$F))</f>
        <v>192.08150000000001</v>
      </c>
      <c r="W42" s="45">
        <f>IF(W15&gt;5,AVERAGEIF($D:$D,W6,$F:$F),AVERAGEIF($C:$C,W$9,$F:$F))</f>
        <v>192.98700000000002</v>
      </c>
      <c r="X42" s="45">
        <f>IF(X15&gt;5,AVERAGEIF($D:$D,X6,$F:$F),AVERAGEIF($C:$C,X$9,$F:$F))</f>
        <v>194.78345454545453</v>
      </c>
      <c r="Y42" s="45">
        <f>IF(Y15&gt;5,AVERAGEIF($D:$D,Y6,$F:$F),AVERAGEIF($C:$C,Y$9,$F:$F))</f>
        <v>196.006</v>
      </c>
    </row>
    <row r="43" spans="1:25" x14ac:dyDescent="0.25">
      <c r="A43">
        <v>6916</v>
      </c>
      <c r="B43" t="s">
        <v>18</v>
      </c>
      <c r="C43" s="37">
        <v>5</v>
      </c>
      <c r="D43" s="37" t="str">
        <f t="shared" si="0"/>
        <v>5-GLOBE</v>
      </c>
      <c r="E43">
        <v>230.005</v>
      </c>
      <c r="F43">
        <v>194.11</v>
      </c>
      <c r="G43">
        <v>4.5999999999999996</v>
      </c>
      <c r="H43">
        <v>13.9</v>
      </c>
      <c r="I43">
        <f t="shared" si="1"/>
        <v>84.39381752570597</v>
      </c>
      <c r="J43">
        <f t="shared" si="2"/>
        <v>93.509526038935547</v>
      </c>
      <c r="K43" s="45"/>
      <c r="L43" s="45"/>
      <c r="M43" s="51" t="s">
        <v>137</v>
      </c>
      <c r="N43" s="45" t="e">
        <f>IF(#REF!&gt;5,AVERAGEIF($D:$D,#REF!,$F:$F),AVERAGEIF($C:$C,N$9,$F:$F))</f>
        <v>#REF!</v>
      </c>
      <c r="O43" s="45" t="e">
        <f>IF(#REF!&gt;5,AVERAGEIF($D:$D,#REF!,$F:$F),AVERAGEIF($C:$C,O$9,$F:$F))</f>
        <v>#REF!</v>
      </c>
      <c r="P43" s="45" t="e">
        <f>IF(#REF!&gt;5,AVERAGEIF($D:$D,#REF!,$F:$F),AVERAGEIF($C:$C,P$9,$F:$F))</f>
        <v>#REF!</v>
      </c>
      <c r="Q43" s="45" t="e">
        <f>IF(#REF!&gt;5,AVERAGEIF($D:$D,#REF!,$F:$F),AVERAGEIF($C:$C,Q$9,$F:$F))</f>
        <v>#REF!</v>
      </c>
      <c r="R43" s="45" t="e">
        <f>IF(#REF!&gt;5,AVERAGEIF($D:$D,#REF!,$F:$F),AVERAGEIF($C:$C,R$9,$F:$F))</f>
        <v>#REF!</v>
      </c>
      <c r="S43" s="45" t="e">
        <f>IF(#REF!&gt;5,AVERAGEIF($D:$D,#REF!,$F:$F),AVERAGEIF($C:$C,S$9,$F:$F))</f>
        <v>#REF!</v>
      </c>
      <c r="T43" s="45" t="e">
        <f>IF(#REF!&gt;5,AVERAGEIF($D:$D,#REF!,$F:$F),AVERAGEIF($C:$C,T$9,$F:$F))</f>
        <v>#REF!</v>
      </c>
      <c r="U43" s="45" t="e">
        <f>IF(#REF!&gt;5,AVERAGEIF($D:$D,#REF!,$F:$F),AVERAGEIF($C:$C,U$9,$F:$F))</f>
        <v>#REF!</v>
      </c>
      <c r="V43" s="45" t="e">
        <f>IF(#REF!&gt;5,AVERAGEIF($D:$D,#REF!,$F:$F),AVERAGEIF($C:$C,V$9,$F:$F))</f>
        <v>#REF!</v>
      </c>
      <c r="W43" s="45" t="e">
        <f>IF(#REF!&gt;5,AVERAGEIF($D:$D,#REF!,$F:$F),AVERAGEIF($C:$C,W$9,$F:$F))</f>
        <v>#REF!</v>
      </c>
      <c r="X43" s="45" t="e">
        <f>IF(#REF!&gt;5,AVERAGEIF($D:$D,#REF!,$F:$F),AVERAGEIF($C:$C,X$9,$F:$F))</f>
        <v>#REF!</v>
      </c>
      <c r="Y43" s="45" t="e">
        <f>IF(#REF!&gt;5,AVERAGEIF($D:$D,#REF!,$F:$F),AVERAGEIF($C:$C,Y$9,$F:$F))</f>
        <v>#REF!</v>
      </c>
    </row>
    <row r="44" spans="1:25" x14ac:dyDescent="0.25">
      <c r="A44">
        <v>6923</v>
      </c>
      <c r="B44" t="s">
        <v>18</v>
      </c>
      <c r="C44" s="37">
        <v>6</v>
      </c>
      <c r="D44" s="37" t="str">
        <f t="shared" si="0"/>
        <v>6-GLOBE</v>
      </c>
      <c r="E44">
        <v>230.001</v>
      </c>
      <c r="F44">
        <v>194.32900000000001</v>
      </c>
      <c r="G44">
        <v>4.0999999999999996</v>
      </c>
      <c r="H44">
        <v>14</v>
      </c>
      <c r="I44">
        <f t="shared" si="1"/>
        <v>84.490502215207769</v>
      </c>
      <c r="J44">
        <f t="shared" si="2"/>
        <v>94.216734446958426</v>
      </c>
      <c r="K44" s="45"/>
      <c r="L44" s="45"/>
      <c r="M44" s="50" t="s">
        <v>148</v>
      </c>
      <c r="N44" s="45" t="e">
        <f>IF(#REF!&gt;5,AVERAGEIF($D:$D,#REF!,$F:$F),AVERAGEIF($C:$C,N$9,$F:$F))</f>
        <v>#REF!</v>
      </c>
      <c r="O44" s="45" t="e">
        <f>IF(#REF!&gt;5,AVERAGEIF($D:$D,#REF!,$F:$F),AVERAGEIF($C:$C,O$9,$F:$F))</f>
        <v>#REF!</v>
      </c>
      <c r="P44" s="45" t="e">
        <f>IF(#REF!&gt;5,AVERAGEIF($D:$D,#REF!,$F:$F),AVERAGEIF($C:$C,P$9,$F:$F))</f>
        <v>#REF!</v>
      </c>
      <c r="Q44" s="45" t="e">
        <f>IF(#REF!&gt;5,AVERAGEIF($D:$D,#REF!,$F:$F),AVERAGEIF($C:$C,Q$9,$F:$F))</f>
        <v>#REF!</v>
      </c>
      <c r="R44" s="45" t="e">
        <f>IF(#REF!&gt;5,AVERAGEIF($D:$D,#REF!,$F:$F),AVERAGEIF($C:$C,R$9,$F:$F))</f>
        <v>#REF!</v>
      </c>
      <c r="S44" s="45" t="e">
        <f>IF(#REF!&gt;5,AVERAGEIF($D:$D,#REF!,$F:$F),AVERAGEIF($C:$C,S$9,$F:$F))</f>
        <v>#REF!</v>
      </c>
      <c r="T44" s="45" t="e">
        <f>IF(#REF!&gt;5,AVERAGEIF($D:$D,#REF!,$F:$F),AVERAGEIF($C:$C,T$9,$F:$F))</f>
        <v>#REF!</v>
      </c>
      <c r="U44" s="45" t="e">
        <f>IF(#REF!&gt;5,AVERAGEIF($D:$D,#REF!,$F:$F),AVERAGEIF($C:$C,U$9,$F:$F))</f>
        <v>#REF!</v>
      </c>
      <c r="V44" s="45" t="e">
        <f>IF(#REF!&gt;5,AVERAGEIF($D:$D,#REF!,$F:$F),AVERAGEIF($C:$C,V$9,$F:$F))</f>
        <v>#REF!</v>
      </c>
      <c r="W44" s="45" t="e">
        <f>IF(#REF!&gt;5,AVERAGEIF($D:$D,#REF!,$F:$F),AVERAGEIF($C:$C,W$9,$F:$F))</f>
        <v>#REF!</v>
      </c>
      <c r="X44" s="45" t="e">
        <f>IF(#REF!&gt;5,AVERAGEIF($D:$D,#REF!,$F:$F),AVERAGEIF($C:$C,X$9,$F:$F))</f>
        <v>#REF!</v>
      </c>
      <c r="Y44" s="45" t="e">
        <f>IF(#REF!&gt;5,AVERAGEIF($D:$D,#REF!,$F:$F),AVERAGEIF($C:$C,Y$9,$F:$F))</f>
        <v>#REF!</v>
      </c>
    </row>
    <row r="45" spans="1:25" x14ac:dyDescent="0.25">
      <c r="A45">
        <v>6928</v>
      </c>
      <c r="B45" t="s">
        <v>38</v>
      </c>
      <c r="C45" s="37">
        <v>6</v>
      </c>
      <c r="D45" s="37" t="str">
        <f t="shared" si="0"/>
        <v>6-SAB</v>
      </c>
      <c r="E45">
        <v>230.00899999999999</v>
      </c>
      <c r="F45">
        <v>189.22300000000001</v>
      </c>
      <c r="G45">
        <v>4</v>
      </c>
      <c r="H45">
        <v>14.3</v>
      </c>
      <c r="I45">
        <f t="shared" si="1"/>
        <v>82.267650396288843</v>
      </c>
      <c r="J45">
        <f t="shared" si="2"/>
        <v>92.15512763178215</v>
      </c>
      <c r="K45" s="45"/>
      <c r="L45" s="45"/>
      <c r="M45" s="49"/>
    </row>
    <row r="46" spans="1:25" x14ac:dyDescent="0.25">
      <c r="A46">
        <v>6937</v>
      </c>
      <c r="B46" t="s">
        <v>18</v>
      </c>
      <c r="C46" s="37">
        <v>6</v>
      </c>
      <c r="D46" s="37" t="str">
        <f t="shared" si="0"/>
        <v>6-GLOBE</v>
      </c>
      <c r="E46">
        <v>230.00200000000001</v>
      </c>
      <c r="F46">
        <v>188.15</v>
      </c>
      <c r="G46">
        <v>3.5</v>
      </c>
      <c r="H46">
        <v>13.9</v>
      </c>
      <c r="I46">
        <f t="shared" si="1"/>
        <v>81.803636490117484</v>
      </c>
      <c r="J46">
        <f t="shared" si="2"/>
        <v>91.684679689852928</v>
      </c>
      <c r="K46" s="45"/>
      <c r="L46" s="45"/>
      <c r="M46" s="47" t="s">
        <v>157</v>
      </c>
    </row>
    <row r="47" spans="1:25" x14ac:dyDescent="0.25">
      <c r="A47">
        <v>6953</v>
      </c>
      <c r="B47" t="s">
        <v>18</v>
      </c>
      <c r="C47" s="37">
        <v>7</v>
      </c>
      <c r="D47" s="37" t="str">
        <f t="shared" si="0"/>
        <v>7-GLOBE</v>
      </c>
      <c r="E47">
        <v>230.00200000000001</v>
      </c>
      <c r="F47">
        <v>186.6</v>
      </c>
      <c r="G47">
        <v>3.6</v>
      </c>
      <c r="H47">
        <v>14.2</v>
      </c>
      <c r="I47">
        <f t="shared" si="1"/>
        <v>81.129729306701677</v>
      </c>
      <c r="J47">
        <f t="shared" si="2"/>
        <v>91.152749477459679</v>
      </c>
      <c r="K47" s="45"/>
      <c r="L47" s="45"/>
      <c r="M47" s="49" t="s">
        <v>155</v>
      </c>
      <c r="N47" s="48">
        <v>1</v>
      </c>
      <c r="O47" s="48">
        <v>2</v>
      </c>
      <c r="P47" s="48">
        <v>3</v>
      </c>
      <c r="Q47" s="48">
        <v>4</v>
      </c>
      <c r="R47" s="48">
        <v>5</v>
      </c>
      <c r="S47" s="48">
        <v>6</v>
      </c>
      <c r="T47" s="48">
        <v>7</v>
      </c>
      <c r="U47" s="48">
        <v>8</v>
      </c>
      <c r="V47" s="48">
        <v>9</v>
      </c>
      <c r="W47" s="48">
        <v>10</v>
      </c>
      <c r="X47" s="48">
        <v>11</v>
      </c>
      <c r="Y47" s="48">
        <v>12</v>
      </c>
    </row>
    <row r="48" spans="1:25" x14ac:dyDescent="0.25">
      <c r="A48">
        <v>6958</v>
      </c>
      <c r="B48" t="s">
        <v>52</v>
      </c>
      <c r="C48" s="37">
        <v>7</v>
      </c>
      <c r="D48" s="37" t="str">
        <f t="shared" si="0"/>
        <v>7-Ambev Diékirch</v>
      </c>
      <c r="E48">
        <v>225.00399999999999</v>
      </c>
      <c r="F48">
        <v>183.51400000000001</v>
      </c>
      <c r="G48">
        <v>4.4000000000000004</v>
      </c>
      <c r="H48">
        <v>13.7</v>
      </c>
      <c r="I48">
        <f t="shared" si="1"/>
        <v>81.560327816394391</v>
      </c>
      <c r="J48">
        <f t="shared" si="2"/>
        <v>90.349563606573625</v>
      </c>
      <c r="K48" s="45"/>
      <c r="L48" s="45"/>
      <c r="M48" s="51" t="s">
        <v>136</v>
      </c>
      <c r="N48" s="45">
        <f>IF(N10&gt;5,AVERAGEIF($D:$D,N1,$G:$G),AVERAGEIF($C:$C,N$9,$G:$G))</f>
        <v>3.657142857142857</v>
      </c>
      <c r="O48" s="45">
        <f>IF(O10&gt;5,AVERAGEIF($D:$D,O1,$G:$G),AVERAGEIF($C:$C,O$9,$G:$G))</f>
        <v>4.4285714285714288</v>
      </c>
      <c r="P48" s="45">
        <f>IF(P10&gt;5,AVERAGEIF($D:$D,P1,$G:$G),AVERAGEIF($C:$C,P$9,$G:$G))</f>
        <v>3.7750000000000004</v>
      </c>
      <c r="Q48" s="45">
        <f>IF(Q10&gt;5,AVERAGEIF($D:$D,Q1,$G:$G),AVERAGEIF($C:$C,Q$9,$G:$G))</f>
        <v>4.2</v>
      </c>
      <c r="R48" s="45">
        <f>IF(R10&gt;5,AVERAGEIF($D:$D,R1,$G:$G),AVERAGEIF($C:$C,R$9,$G:$G))</f>
        <v>4.29</v>
      </c>
      <c r="S48" s="45">
        <f>IF(S10&gt;5,AVERAGEIF($D:$D,S1,$G:$G),AVERAGEIF($C:$C,S$9,$G:$G))</f>
        <v>4.1111111111111107</v>
      </c>
      <c r="T48" s="45">
        <f>IF(T10&gt;5,AVERAGEIF($D:$D,T1,$G:$G),AVERAGEIF($C:$C,T$9,$G:$G))</f>
        <v>3.9000000000000004</v>
      </c>
      <c r="U48" s="45">
        <f>IF(U10&gt;5,AVERAGEIF($D:$D,U1,$G:$G),AVERAGEIF($C:$C,U$9,$G:$G))</f>
        <v>4.245454545454546</v>
      </c>
      <c r="V48" s="45">
        <f>IF(V10&gt;5,AVERAGEIF($D:$D,V1,$G:$G),AVERAGEIF($C:$C,V$9,$G:$G))</f>
        <v>4.166666666666667</v>
      </c>
      <c r="W48" s="45">
        <f>IF(W10&gt;5,AVERAGEIF($D:$D,W1,$G:$G),AVERAGEIF($C:$C,W$9,$G:$G))</f>
        <v>3.9799999999999995</v>
      </c>
      <c r="X48" s="45">
        <f>IF(X10&gt;5,AVERAGEIF($D:$D,X1,$G:$G),AVERAGEIF($C:$C,X$9,$G:$G))</f>
        <v>4.24</v>
      </c>
      <c r="Y48" s="45">
        <f>IF(Y10&gt;5,AVERAGEIF($D:$D,Y1,$G:$G),AVERAGEIF($C:$C,Y$9,$G:$G))</f>
        <v>3.7714285714285718</v>
      </c>
    </row>
    <row r="49" spans="1:25" x14ac:dyDescent="0.25">
      <c r="A49">
        <v>6959</v>
      </c>
      <c r="B49" t="s">
        <v>52</v>
      </c>
      <c r="C49" s="37">
        <v>7</v>
      </c>
      <c r="D49" s="37" t="str">
        <f t="shared" si="0"/>
        <v>7-Ambev Diékirch</v>
      </c>
      <c r="E49">
        <v>224.99600000000001</v>
      </c>
      <c r="F49">
        <v>184.83199999999999</v>
      </c>
      <c r="G49">
        <v>3.7</v>
      </c>
      <c r="H49">
        <v>13.2</v>
      </c>
      <c r="I49">
        <f t="shared" si="1"/>
        <v>82.149015982506342</v>
      </c>
      <c r="J49">
        <f t="shared" si="2"/>
        <v>91.139979713310609</v>
      </c>
      <c r="K49" s="45"/>
      <c r="L49" s="45"/>
      <c r="M49" s="51" t="s">
        <v>139</v>
      </c>
      <c r="N49" s="45">
        <f>IF(N10&gt;5,AVERAGEIF($D:$D,N1,$G:$G),AVERAGEIF($C:$C,N$9,$G:$G))</f>
        <v>3.657142857142857</v>
      </c>
      <c r="O49" s="45">
        <f>IF(O10&gt;5,AVERAGEIF($D:$D,O1,$G:$G),AVERAGEIF($C:$C,O$9,$G:$G))</f>
        <v>4.4285714285714288</v>
      </c>
      <c r="P49" s="45">
        <f>IF(P10&gt;5,AVERAGEIF($D:$D,P1,$G:$G),AVERAGEIF($C:$C,P$9,$G:$G))</f>
        <v>3.7750000000000004</v>
      </c>
      <c r="Q49" s="45">
        <f>IF(Q10&gt;5,AVERAGEIF($D:$D,Q1,$G:$G),AVERAGEIF($C:$C,Q$9,$G:$G))</f>
        <v>4.2</v>
      </c>
      <c r="R49" s="45">
        <f>IF(R10&gt;5,AVERAGEIF($D:$D,R1,$G:$G),AVERAGEIF($C:$C,R$9,$G:$G))</f>
        <v>4.29</v>
      </c>
      <c r="S49" s="45">
        <f>IF(S10&gt;5,AVERAGEIF($D:$D,S1,$G:$G),AVERAGEIF($C:$C,S$9,$G:$G))</f>
        <v>4.1111111111111107</v>
      </c>
      <c r="T49" s="45">
        <f>IF(T10&gt;5,AVERAGEIF($D:$D,T1,$G:$G),AVERAGEIF($C:$C,T$9,$G:$G))</f>
        <v>3.9000000000000004</v>
      </c>
      <c r="U49" s="45">
        <f>IF(U10&gt;5,AVERAGEIF($D:$D,U1,$G:$G),AVERAGEIF($C:$C,U$9,$G:$G))</f>
        <v>4.245454545454546</v>
      </c>
      <c r="V49" s="45">
        <f>IF(V10&gt;5,AVERAGEIF($D:$D,V1,$G:$G),AVERAGEIF($C:$C,V$9,$G:$G))</f>
        <v>4.166666666666667</v>
      </c>
      <c r="W49" s="45">
        <f>IF(W10&gt;5,AVERAGEIF($D:$D,W1,$G:$G),AVERAGEIF($C:$C,W$9,$G:$G))</f>
        <v>3.9799999999999995</v>
      </c>
      <c r="X49" s="45">
        <f>IF(X10&gt;5,AVERAGEIF($D:$D,X1,$G:$G),AVERAGEIF($C:$C,X$9,$G:$G))</f>
        <v>4.24</v>
      </c>
      <c r="Y49" s="45">
        <f>IF(Y10&gt;5,AVERAGEIF($D:$D,Y1,$G:$G),AVERAGEIF($C:$C,Y$9,$G:$G))</f>
        <v>3.7714285714285718</v>
      </c>
    </row>
    <row r="50" spans="1:25" x14ac:dyDescent="0.25">
      <c r="A50">
        <v>6963</v>
      </c>
      <c r="B50" t="s">
        <v>18</v>
      </c>
      <c r="C50" s="37">
        <v>7</v>
      </c>
      <c r="D50" s="37" t="str">
        <f t="shared" si="0"/>
        <v>7-GLOBE</v>
      </c>
      <c r="E50">
        <v>229.99600000000001</v>
      </c>
      <c r="F50">
        <v>193.483</v>
      </c>
      <c r="G50">
        <v>3.6</v>
      </c>
      <c r="H50">
        <v>13.8</v>
      </c>
      <c r="I50">
        <f t="shared" si="1"/>
        <v>84.124506513156746</v>
      </c>
      <c r="J50">
        <f t="shared" si="2"/>
        <v>94.078914476430526</v>
      </c>
      <c r="K50" s="45"/>
      <c r="L50" s="45"/>
      <c r="M50" s="51" t="s">
        <v>133</v>
      </c>
      <c r="N50" s="45">
        <f>IF(N11&gt;5,AVERAGEIF($D:$D,N2,$G:$G),AVERAGEIF($C:$C,N$9,$G:$G))</f>
        <v>3.6999999999999997</v>
      </c>
      <c r="O50" s="45">
        <f>IF(O11&gt;5,AVERAGEIF($D:$D,O2,$G:$G),AVERAGEIF($C:$C,O$9,$G:$G))</f>
        <v>4.4285714285714288</v>
      </c>
      <c r="P50" s="45">
        <f>IF(P11&gt;5,AVERAGEIF($D:$D,P2,$G:$G),AVERAGEIF($C:$C,P$9,$G:$G))</f>
        <v>3.7750000000000004</v>
      </c>
      <c r="Q50" s="45">
        <f>IF(Q11&gt;5,AVERAGEIF($D:$D,Q2,$G:$G),AVERAGEIF($C:$C,Q$9,$G:$G))</f>
        <v>4.2300000000000013</v>
      </c>
      <c r="R50" s="45">
        <f>IF(R11&gt;5,AVERAGEIF($D:$D,R2,$G:$G),AVERAGEIF($C:$C,R$9,$G:$G))</f>
        <v>4.3250000000000002</v>
      </c>
      <c r="S50" s="45">
        <f>IF(S11&gt;5,AVERAGEIF($D:$D,S2,$G:$G),AVERAGEIF($C:$C,S$9,$G:$G))</f>
        <v>4.1111111111111107</v>
      </c>
      <c r="T50" s="45">
        <f>IF(T11&gt;5,AVERAGEIF($D:$D,T2,$G:$G),AVERAGEIF($C:$C,T$9,$G:$G))</f>
        <v>3.930769230769231</v>
      </c>
      <c r="U50" s="45">
        <f>IF(U11&gt;5,AVERAGEIF($D:$D,U2,$G:$G),AVERAGEIF($C:$C,U$9,$G:$G))</f>
        <v>4.252173913043479</v>
      </c>
      <c r="V50" s="45">
        <f>IF(V11&gt;5,AVERAGEIF($D:$D,V2,$G:$G),AVERAGEIF($C:$C,V$9,$G:$G))</f>
        <v>4.166666666666667</v>
      </c>
      <c r="W50" s="45">
        <f>IF(W11&gt;5,AVERAGEIF($D:$D,W2,$G:$G),AVERAGEIF($C:$C,W$9,$G:$G))</f>
        <v>3.9799999999999995</v>
      </c>
      <c r="X50" s="45">
        <f>IF(X11&gt;5,AVERAGEIF($D:$D,X2,$G:$G),AVERAGEIF($C:$C,X$9,$G:$G))</f>
        <v>4.1727272727272728</v>
      </c>
      <c r="Y50" s="45">
        <f>IF(Y11&gt;5,AVERAGEIF($D:$D,Y2,$G:$G),AVERAGEIF($C:$C,Y$9,$G:$G))</f>
        <v>4.0538461538461537</v>
      </c>
    </row>
    <row r="51" spans="1:25" x14ac:dyDescent="0.25">
      <c r="A51">
        <v>6967</v>
      </c>
      <c r="B51" t="s">
        <v>18</v>
      </c>
      <c r="C51" s="37">
        <v>7</v>
      </c>
      <c r="D51" s="37" t="str">
        <f t="shared" si="0"/>
        <v>7-GLOBE</v>
      </c>
      <c r="E51">
        <v>230.01400000000001</v>
      </c>
      <c r="F51">
        <v>186.58199999999999</v>
      </c>
      <c r="G51">
        <v>3.6</v>
      </c>
      <c r="H51">
        <v>14</v>
      </c>
      <c r="I51">
        <f t="shared" si="1"/>
        <v>81.117671098280965</v>
      </c>
      <c r="J51">
        <f t="shared" si="2"/>
        <v>90.927249928770777</v>
      </c>
      <c r="K51" s="45"/>
      <c r="L51" s="45"/>
      <c r="M51" s="51" t="s">
        <v>138</v>
      </c>
      <c r="N51" s="45">
        <f>IF(N13&gt;5,AVERAGEIF($D:$D,N4,$G:$G),AVERAGEIF($C:$C,N$9,$G:$G))</f>
        <v>3.6999999999999997</v>
      </c>
      <c r="O51" s="45">
        <f>IF(O13&gt;5,AVERAGEIF($D:$D,O4,$G:$G),AVERAGEIF($C:$C,O$9,$G:$G))</f>
        <v>4.4285714285714288</v>
      </c>
      <c r="P51" s="45">
        <f>IF(P13&gt;5,AVERAGEIF($D:$D,P4,$G:$G),AVERAGEIF($C:$C,P$9,$G:$G))</f>
        <v>3.7750000000000004</v>
      </c>
      <c r="Q51" s="45">
        <f>IF(Q13&gt;5,AVERAGEIF($D:$D,Q4,$G:$G),AVERAGEIF($C:$C,Q$9,$G:$G))</f>
        <v>4.2300000000000013</v>
      </c>
      <c r="R51" s="45">
        <f>IF(R13&gt;5,AVERAGEIF($D:$D,R4,$G:$G),AVERAGEIF($C:$C,R$9,$G:$G))</f>
        <v>4.3250000000000002</v>
      </c>
      <c r="S51" s="45">
        <f>IF(S13&gt;5,AVERAGEIF($D:$D,S4,$G:$G),AVERAGEIF($C:$C,S$9,$G:$G))</f>
        <v>4.1111111111111107</v>
      </c>
      <c r="T51" s="45">
        <f>IF(T13&gt;5,AVERAGEIF($D:$D,T4,$G:$G),AVERAGEIF($C:$C,T$9,$G:$G))</f>
        <v>3.930769230769231</v>
      </c>
      <c r="U51" s="45">
        <f>IF(U13&gt;5,AVERAGEIF($D:$D,U4,$G:$G),AVERAGEIF($C:$C,U$9,$G:$G))</f>
        <v>4.252173913043479</v>
      </c>
      <c r="V51" s="45">
        <f>IF(V13&gt;5,AVERAGEIF($D:$D,V4,$G:$G),AVERAGEIF($C:$C,V$9,$G:$G))</f>
        <v>4.166666666666667</v>
      </c>
      <c r="W51" s="45">
        <f>IF(W13&gt;5,AVERAGEIF($D:$D,W4,$G:$G),AVERAGEIF($C:$C,W$9,$G:$G))</f>
        <v>3.9799999999999995</v>
      </c>
      <c r="X51" s="45">
        <f>IF(X13&gt;5,AVERAGEIF($D:$D,X4,$G:$G),AVERAGEIF($C:$C,X$9,$G:$G))</f>
        <v>4.1727272727272728</v>
      </c>
      <c r="Y51" s="45">
        <f>IF(Y13&gt;5,AVERAGEIF($D:$D,Y4,$G:$G),AVERAGEIF($C:$C,Y$9,$G:$G))</f>
        <v>4.0538461538461537</v>
      </c>
    </row>
    <row r="52" spans="1:25" x14ac:dyDescent="0.25">
      <c r="A52">
        <v>6969</v>
      </c>
      <c r="B52" t="s">
        <v>18</v>
      </c>
      <c r="C52" s="37">
        <v>7</v>
      </c>
      <c r="D52" s="37" t="str">
        <f t="shared" si="0"/>
        <v>7-GLOBE</v>
      </c>
      <c r="E52">
        <v>230.00700000000001</v>
      </c>
      <c r="F52">
        <v>185.42599999999999</v>
      </c>
      <c r="G52">
        <v>4.0999999999999996</v>
      </c>
      <c r="H52">
        <v>14.1</v>
      </c>
      <c r="I52">
        <f t="shared" si="1"/>
        <v>80.617546422500169</v>
      </c>
      <c r="J52">
        <f t="shared" si="2"/>
        <v>90.002592571801713</v>
      </c>
      <c r="K52" s="45"/>
      <c r="L52" s="45"/>
      <c r="M52" s="51" t="s">
        <v>131</v>
      </c>
      <c r="N52" s="45">
        <f>IF(N13&gt;5,AVERAGEIF($D:$D,N4,$G:$G),AVERAGEIF($C:$C,N$9,$G:$G))</f>
        <v>3.6999999999999997</v>
      </c>
      <c r="O52" s="45">
        <f>IF(O13&gt;5,AVERAGEIF($D:$D,O4,$G:$G),AVERAGEIF($C:$C,O$9,$G:$G))</f>
        <v>4.4285714285714288</v>
      </c>
      <c r="P52" s="45">
        <f>IF(P13&gt;5,AVERAGEIF($D:$D,P4,$G:$G),AVERAGEIF($C:$C,P$9,$G:$G))</f>
        <v>3.7750000000000004</v>
      </c>
      <c r="Q52" s="45">
        <f>IF(Q13&gt;5,AVERAGEIF($D:$D,Q4,$G:$G),AVERAGEIF($C:$C,Q$9,$G:$G))</f>
        <v>4.2300000000000013</v>
      </c>
      <c r="R52" s="45">
        <f>IF(R13&gt;5,AVERAGEIF($D:$D,R4,$G:$G),AVERAGEIF($C:$C,R$9,$G:$G))</f>
        <v>4.3250000000000002</v>
      </c>
      <c r="S52" s="45">
        <f>IF(S13&gt;5,AVERAGEIF($D:$D,S4,$G:$G),AVERAGEIF($C:$C,S$9,$G:$G))</f>
        <v>4.1111111111111107</v>
      </c>
      <c r="T52" s="45">
        <f>IF(T13&gt;5,AVERAGEIF($D:$D,T4,$G:$G),AVERAGEIF($C:$C,T$9,$G:$G))</f>
        <v>3.930769230769231</v>
      </c>
      <c r="U52" s="45">
        <f>IF(U13&gt;5,AVERAGEIF($D:$D,U4,$G:$G),AVERAGEIF($C:$C,U$9,$G:$G))</f>
        <v>4.252173913043479</v>
      </c>
      <c r="V52" s="45">
        <f>IF(V13&gt;5,AVERAGEIF($D:$D,V4,$G:$G),AVERAGEIF($C:$C,V$9,$G:$G))</f>
        <v>4.166666666666667</v>
      </c>
      <c r="W52" s="45">
        <f>IF(W13&gt;5,AVERAGEIF($D:$D,W4,$G:$G),AVERAGEIF($C:$C,W$9,$G:$G))</f>
        <v>3.9799999999999995</v>
      </c>
      <c r="X52" s="45">
        <f>IF(X13&gt;5,AVERAGEIF($D:$D,X4,$G:$G),AVERAGEIF($C:$C,X$9,$G:$G))</f>
        <v>4.1727272727272728</v>
      </c>
      <c r="Y52" s="45">
        <f>IF(Y13&gt;5,AVERAGEIF($D:$D,Y4,$G:$G),AVERAGEIF($C:$C,Y$9,$G:$G))</f>
        <v>4.0538461538461537</v>
      </c>
    </row>
    <row r="53" spans="1:25" x14ac:dyDescent="0.25">
      <c r="A53">
        <v>6976</v>
      </c>
      <c r="B53" t="s">
        <v>18</v>
      </c>
      <c r="C53" s="37">
        <v>7</v>
      </c>
      <c r="D53" s="37" t="str">
        <f t="shared" si="0"/>
        <v>7-GLOBE</v>
      </c>
      <c r="E53">
        <v>229.999</v>
      </c>
      <c r="F53">
        <v>187.86199999999999</v>
      </c>
      <c r="G53">
        <v>3.7</v>
      </c>
      <c r="H53">
        <v>14.4</v>
      </c>
      <c r="I53">
        <f t="shared" si="1"/>
        <v>81.679485562980702</v>
      </c>
      <c r="J53">
        <f t="shared" si="2"/>
        <v>91.889421258353295</v>
      </c>
      <c r="K53" s="45"/>
      <c r="L53" s="45"/>
      <c r="M53" s="51" t="s">
        <v>140</v>
      </c>
      <c r="N53" s="45">
        <f>IF(N14&gt;5,AVERAGEIF($D:$D,N5,$G:$G),AVERAGEIF($C:$C,N$9,$G:$G))</f>
        <v>3.6999999999999997</v>
      </c>
      <c r="O53" s="45">
        <f>IF(O14&gt;5,AVERAGEIF($D:$D,O5,$G:$G),AVERAGEIF($C:$C,O$9,$G:$G))</f>
        <v>4.4285714285714288</v>
      </c>
      <c r="P53" s="45">
        <f>IF(P14&gt;5,AVERAGEIF($D:$D,P5,$G:$G),AVERAGEIF($C:$C,P$9,$G:$G))</f>
        <v>3.7750000000000004</v>
      </c>
      <c r="Q53" s="45">
        <f>IF(Q14&gt;5,AVERAGEIF($D:$D,Q5,$G:$G),AVERAGEIF($C:$C,Q$9,$G:$G))</f>
        <v>4.2300000000000013</v>
      </c>
      <c r="R53" s="45">
        <f>IF(R14&gt;5,AVERAGEIF($D:$D,R5,$G:$G),AVERAGEIF($C:$C,R$9,$G:$G))</f>
        <v>4.3250000000000002</v>
      </c>
      <c r="S53" s="45">
        <f>IF(S14&gt;5,AVERAGEIF($D:$D,S5,$G:$G),AVERAGEIF($C:$C,S$9,$G:$G))</f>
        <v>4.1111111111111107</v>
      </c>
      <c r="T53" s="45">
        <f>IF(T14&gt;5,AVERAGEIF($D:$D,T5,$G:$G),AVERAGEIF($C:$C,T$9,$G:$G))</f>
        <v>3.930769230769231</v>
      </c>
      <c r="U53" s="45">
        <f>IF(U14&gt;5,AVERAGEIF($D:$D,U5,$G:$G),AVERAGEIF($C:$C,U$9,$G:$G))</f>
        <v>4.1166666666666663</v>
      </c>
      <c r="V53" s="45">
        <f>IF(V14&gt;5,AVERAGEIF($D:$D,V5,$G:$G),AVERAGEIF($C:$C,V$9,$G:$G))</f>
        <v>4.166666666666667</v>
      </c>
      <c r="W53" s="45">
        <f>IF(W14&gt;5,AVERAGEIF($D:$D,W5,$G:$G),AVERAGEIF($C:$C,W$9,$G:$G))</f>
        <v>3.9799999999999995</v>
      </c>
      <c r="X53" s="45">
        <f>IF(X14&gt;5,AVERAGEIF($D:$D,X5,$G:$G),AVERAGEIF($C:$C,X$9,$G:$G))</f>
        <v>4.1727272727272728</v>
      </c>
      <c r="Y53" s="45">
        <f>IF(Y14&gt;5,AVERAGEIF($D:$D,Y5,$G:$G),AVERAGEIF($C:$C,Y$9,$G:$G))</f>
        <v>4.0538461538461537</v>
      </c>
    </row>
    <row r="54" spans="1:25" x14ac:dyDescent="0.25">
      <c r="A54">
        <v>6981</v>
      </c>
      <c r="B54" t="s">
        <v>18</v>
      </c>
      <c r="C54" s="37">
        <v>8</v>
      </c>
      <c r="D54" s="37" t="str">
        <f t="shared" si="0"/>
        <v>8-GLOBE</v>
      </c>
      <c r="E54">
        <v>230.005</v>
      </c>
      <c r="F54">
        <v>191.41800000000001</v>
      </c>
      <c r="G54">
        <v>3.7</v>
      </c>
      <c r="H54">
        <v>12.9</v>
      </c>
      <c r="I54">
        <f t="shared" si="1"/>
        <v>83.223408186778556</v>
      </c>
      <c r="J54">
        <f t="shared" si="2"/>
        <v>92.013940394796492</v>
      </c>
      <c r="K54" s="45"/>
      <c r="L54" s="45"/>
      <c r="M54" s="51" t="s">
        <v>134</v>
      </c>
      <c r="N54" s="45">
        <f>IF(N14&gt;5,AVERAGEIF($D:$D,N5,$G:$G),AVERAGEIF($C:$C,N$9,$G:$G))</f>
        <v>3.6999999999999997</v>
      </c>
      <c r="O54" s="45">
        <f>IF(O14&gt;5,AVERAGEIF($D:$D,O5,$G:$G),AVERAGEIF($C:$C,O$9,$G:$G))</f>
        <v>4.4285714285714288</v>
      </c>
      <c r="P54" s="45">
        <f>IF(P14&gt;5,AVERAGEIF($D:$D,P5,$G:$G),AVERAGEIF($C:$C,P$9,$G:$G))</f>
        <v>3.7750000000000004</v>
      </c>
      <c r="Q54" s="45">
        <f>IF(Q14&gt;5,AVERAGEIF($D:$D,Q5,$G:$G),AVERAGEIF($C:$C,Q$9,$G:$G))</f>
        <v>4.2300000000000013</v>
      </c>
      <c r="R54" s="45">
        <f>IF(R14&gt;5,AVERAGEIF($D:$D,R5,$G:$G),AVERAGEIF($C:$C,R$9,$G:$G))</f>
        <v>4.3250000000000002</v>
      </c>
      <c r="S54" s="45">
        <f>IF(S14&gt;5,AVERAGEIF($D:$D,S5,$G:$G),AVERAGEIF($C:$C,S$9,$G:$G))</f>
        <v>4.1111111111111107</v>
      </c>
      <c r="T54" s="45">
        <f>IF(T14&gt;5,AVERAGEIF($D:$D,T5,$G:$G),AVERAGEIF($C:$C,T$9,$G:$G))</f>
        <v>3.930769230769231</v>
      </c>
      <c r="U54" s="45">
        <f>IF(U14&gt;5,AVERAGEIF($D:$D,U5,$G:$G),AVERAGEIF($C:$C,U$9,$G:$G))</f>
        <v>4.1166666666666663</v>
      </c>
      <c r="V54" s="45">
        <f>IF(V14&gt;5,AVERAGEIF($D:$D,V5,$G:$G),AVERAGEIF($C:$C,V$9,$G:$G))</f>
        <v>4.166666666666667</v>
      </c>
      <c r="W54" s="45">
        <f>IF(W14&gt;5,AVERAGEIF($D:$D,W5,$G:$G),AVERAGEIF($C:$C,W$9,$G:$G))</f>
        <v>3.9799999999999995</v>
      </c>
      <c r="X54" s="45">
        <f>IF(X14&gt;5,AVERAGEIF($D:$D,X5,$G:$G),AVERAGEIF($C:$C,X$9,$G:$G))</f>
        <v>4.1727272727272728</v>
      </c>
      <c r="Y54" s="45">
        <f>IF(Y14&gt;5,AVERAGEIF($D:$D,Y5,$G:$G),AVERAGEIF($C:$C,Y$9,$G:$G))</f>
        <v>4.0538461538461537</v>
      </c>
    </row>
    <row r="55" spans="1:25" x14ac:dyDescent="0.25">
      <c r="A55">
        <v>6986</v>
      </c>
      <c r="B55" t="s">
        <v>52</v>
      </c>
      <c r="C55" s="37">
        <v>8</v>
      </c>
      <c r="D55" s="37" t="str">
        <f t="shared" si="0"/>
        <v>8-Ambev Diékirch</v>
      </c>
      <c r="E55">
        <v>225.001</v>
      </c>
      <c r="F55">
        <v>197.21700000000001</v>
      </c>
      <c r="G55">
        <v>4.7</v>
      </c>
      <c r="H55">
        <v>12.3</v>
      </c>
      <c r="I55">
        <f t="shared" si="1"/>
        <v>87.651610437286948</v>
      </c>
      <c r="J55">
        <f t="shared" si="2"/>
        <v>95.247417043026772</v>
      </c>
      <c r="K55" s="45"/>
      <c r="L55" s="45"/>
      <c r="M55" s="51" t="s">
        <v>135</v>
      </c>
      <c r="N55" s="45">
        <f>IF(N14&gt;5,AVERAGEIF($D:$D,N5,$G:$G),AVERAGEIF($C:$C,N$9,$G:$G))</f>
        <v>3.6999999999999997</v>
      </c>
      <c r="O55" s="45">
        <f>IF(O14&gt;5,AVERAGEIF($D:$D,O5,$G:$G),AVERAGEIF($C:$C,O$9,$G:$G))</f>
        <v>4.4285714285714288</v>
      </c>
      <c r="P55" s="45">
        <f>IF(P14&gt;5,AVERAGEIF($D:$D,P5,$G:$G),AVERAGEIF($C:$C,P$9,$G:$G))</f>
        <v>3.7750000000000004</v>
      </c>
      <c r="Q55" s="45">
        <f>IF(Q14&gt;5,AVERAGEIF($D:$D,Q5,$G:$G),AVERAGEIF($C:$C,Q$9,$G:$G))</f>
        <v>4.2300000000000013</v>
      </c>
      <c r="R55" s="45">
        <f>IF(R14&gt;5,AVERAGEIF($D:$D,R5,$G:$G),AVERAGEIF($C:$C,R$9,$G:$G))</f>
        <v>4.3250000000000002</v>
      </c>
      <c r="S55" s="45">
        <f>IF(S14&gt;5,AVERAGEIF($D:$D,S5,$G:$G),AVERAGEIF($C:$C,S$9,$G:$G))</f>
        <v>4.1111111111111107</v>
      </c>
      <c r="T55" s="45">
        <f>IF(T14&gt;5,AVERAGEIF($D:$D,T5,$G:$G),AVERAGEIF($C:$C,T$9,$G:$G))</f>
        <v>3.930769230769231</v>
      </c>
      <c r="U55" s="45">
        <f>IF(U14&gt;5,AVERAGEIF($D:$D,U5,$G:$G),AVERAGEIF($C:$C,U$9,$G:$G))</f>
        <v>4.1166666666666663</v>
      </c>
      <c r="V55" s="45">
        <f>IF(V14&gt;5,AVERAGEIF($D:$D,V5,$G:$G),AVERAGEIF($C:$C,V$9,$G:$G))</f>
        <v>4.166666666666667</v>
      </c>
      <c r="W55" s="45">
        <f>IF(W14&gt;5,AVERAGEIF($D:$D,W5,$G:$G),AVERAGEIF($C:$C,W$9,$G:$G))</f>
        <v>3.9799999999999995</v>
      </c>
      <c r="X55" s="45">
        <f>IF(X14&gt;5,AVERAGEIF($D:$D,X5,$G:$G),AVERAGEIF($C:$C,X$9,$G:$G))</f>
        <v>4.1727272727272728</v>
      </c>
      <c r="Y55" s="45">
        <f>IF(Y14&gt;5,AVERAGEIF($D:$D,Y5,$G:$G),AVERAGEIF($C:$C,Y$9,$G:$G))</f>
        <v>4.0538461538461537</v>
      </c>
    </row>
    <row r="56" spans="1:25" x14ac:dyDescent="0.25">
      <c r="A56">
        <v>6990</v>
      </c>
      <c r="B56" t="s">
        <v>18</v>
      </c>
      <c r="C56" s="37">
        <v>8</v>
      </c>
      <c r="D56" s="37" t="str">
        <f t="shared" si="0"/>
        <v>8-GLOBE</v>
      </c>
      <c r="E56">
        <v>230.01400000000001</v>
      </c>
      <c r="F56">
        <v>191.124</v>
      </c>
      <c r="G56">
        <v>4</v>
      </c>
      <c r="H56">
        <v>13.8</v>
      </c>
      <c r="I56">
        <f t="shared" si="1"/>
        <v>83.092333510134168</v>
      </c>
      <c r="J56">
        <f t="shared" si="2"/>
        <v>92.539025718942924</v>
      </c>
      <c r="K56" s="45"/>
      <c r="L56" s="45"/>
      <c r="M56" s="51" t="s">
        <v>132</v>
      </c>
      <c r="N56" s="45">
        <f>IF(N15&gt;5,AVERAGEIF($D:$D,N6,$G:$G),AVERAGEIF($C:$C,N$9,$G:$G))</f>
        <v>3.6999999999999997</v>
      </c>
      <c r="O56" s="45">
        <f>IF(O15&gt;5,AVERAGEIF($D:$D,O6,$G:$G),AVERAGEIF($C:$C,O$9,$G:$G))</f>
        <v>4.4285714285714288</v>
      </c>
      <c r="P56" s="45">
        <f>IF(P15&gt;5,AVERAGEIF($D:$D,P6,$G:$G),AVERAGEIF($C:$C,P$9,$G:$G))</f>
        <v>3.7750000000000004</v>
      </c>
      <c r="Q56" s="45">
        <f>IF(Q15&gt;5,AVERAGEIF($D:$D,Q6,$G:$G),AVERAGEIF($C:$C,Q$9,$G:$G))</f>
        <v>4.2300000000000013</v>
      </c>
      <c r="R56" s="45">
        <f>IF(R15&gt;5,AVERAGEIF($D:$D,R6,$G:$G),AVERAGEIF($C:$C,R$9,$G:$G))</f>
        <v>4.3250000000000002</v>
      </c>
      <c r="S56" s="45">
        <f>IF(S15&gt;5,AVERAGEIF($D:$D,S6,$G:$G),AVERAGEIF($C:$C,S$9,$G:$G))</f>
        <v>4.1111111111111107</v>
      </c>
      <c r="T56" s="45">
        <f>IF(T15&gt;5,AVERAGEIF($D:$D,T6,$G:$G),AVERAGEIF($C:$C,T$9,$G:$G))</f>
        <v>3.930769230769231</v>
      </c>
      <c r="U56" s="45">
        <f>IF(U15&gt;5,AVERAGEIF($D:$D,U6,$G:$G),AVERAGEIF($C:$C,U$9,$G:$G))</f>
        <v>4.252173913043479</v>
      </c>
      <c r="V56" s="45">
        <f>IF(V15&gt;5,AVERAGEIF($D:$D,V6,$G:$G),AVERAGEIF($C:$C,V$9,$G:$G))</f>
        <v>4.166666666666667</v>
      </c>
      <c r="W56" s="45">
        <f>IF(W15&gt;5,AVERAGEIF($D:$D,W6,$G:$G),AVERAGEIF($C:$C,W$9,$G:$G))</f>
        <v>3.9799999999999995</v>
      </c>
      <c r="X56" s="45">
        <f>IF(X15&gt;5,AVERAGEIF($D:$D,X6,$G:$G),AVERAGEIF($C:$C,X$9,$G:$G))</f>
        <v>4.1727272727272728</v>
      </c>
      <c r="Y56" s="45">
        <f>IF(Y15&gt;5,AVERAGEIF($D:$D,Y6,$G:$G),AVERAGEIF($C:$C,Y$9,$G:$G))</f>
        <v>4.0538461538461537</v>
      </c>
    </row>
    <row r="57" spans="1:25" x14ac:dyDescent="0.25">
      <c r="A57">
        <v>6995</v>
      </c>
      <c r="B57" t="s">
        <v>18</v>
      </c>
      <c r="C57" s="37">
        <v>8</v>
      </c>
      <c r="D57" s="37" t="str">
        <f t="shared" si="0"/>
        <v>8-GLOBE</v>
      </c>
      <c r="E57">
        <v>229.98699999999999</v>
      </c>
      <c r="F57">
        <v>184.26599999999999</v>
      </c>
      <c r="G57">
        <v>4</v>
      </c>
      <c r="H57">
        <v>14</v>
      </c>
      <c r="I57">
        <f t="shared" si="1"/>
        <v>80.120180705865991</v>
      </c>
      <c r="J57">
        <f t="shared" si="2"/>
        <v>89.436480787943424</v>
      </c>
      <c r="K57" s="45"/>
      <c r="L57" s="45"/>
      <c r="M57" s="51" t="s">
        <v>137</v>
      </c>
      <c r="N57" s="45" t="e">
        <f>IF(#REF!&gt;5,AVERAGEIF($D:$D,#REF!,$G:$G),AVERAGEIF($C:$C,N$9,$G:$G))</f>
        <v>#REF!</v>
      </c>
      <c r="O57" s="45" t="e">
        <f>IF(#REF!&gt;5,AVERAGEIF($D:$D,#REF!,$G:$G),AVERAGEIF($C:$C,O$9,$G:$G))</f>
        <v>#REF!</v>
      </c>
      <c r="P57" s="45" t="e">
        <f>IF(#REF!&gt;5,AVERAGEIF($D:$D,#REF!,$G:$G),AVERAGEIF($C:$C,P$9,$G:$G))</f>
        <v>#REF!</v>
      </c>
      <c r="Q57" s="45" t="e">
        <f>IF(#REF!&gt;5,AVERAGEIF($D:$D,#REF!,$G:$G),AVERAGEIF($C:$C,Q$9,$G:$G))</f>
        <v>#REF!</v>
      </c>
      <c r="R57" s="45" t="e">
        <f>IF(#REF!&gt;5,AVERAGEIF($D:$D,#REF!,$G:$G),AVERAGEIF($C:$C,R$9,$G:$G))</f>
        <v>#REF!</v>
      </c>
      <c r="S57" s="45" t="e">
        <f>IF(#REF!&gt;5,AVERAGEIF($D:$D,#REF!,$G:$G),AVERAGEIF($C:$C,S$9,$G:$G))</f>
        <v>#REF!</v>
      </c>
      <c r="T57" s="45" t="e">
        <f>IF(#REF!&gt;5,AVERAGEIF($D:$D,#REF!,$G:$G),AVERAGEIF($C:$C,T$9,$G:$G))</f>
        <v>#REF!</v>
      </c>
      <c r="U57" s="45" t="e">
        <f>IF(#REF!&gt;5,AVERAGEIF($D:$D,#REF!,$G:$G),AVERAGEIF($C:$C,U$9,$G:$G))</f>
        <v>#REF!</v>
      </c>
      <c r="V57" s="45" t="e">
        <f>IF(#REF!&gt;5,AVERAGEIF($D:$D,#REF!,$G:$G),AVERAGEIF($C:$C,V$9,$G:$G))</f>
        <v>#REF!</v>
      </c>
      <c r="W57" s="45" t="e">
        <f>IF(#REF!&gt;5,AVERAGEIF($D:$D,#REF!,$G:$G),AVERAGEIF($C:$C,W$9,$G:$G))</f>
        <v>#REF!</v>
      </c>
      <c r="X57" s="45" t="e">
        <f>IF(#REF!&gt;5,AVERAGEIF($D:$D,#REF!,$G:$G),AVERAGEIF($C:$C,X$9,$G:$G))</f>
        <v>#REF!</v>
      </c>
      <c r="Y57" s="45" t="e">
        <f>IF(#REF!&gt;5,AVERAGEIF($D:$D,#REF!,$G:$G),AVERAGEIF($C:$C,Y$9,$G:$G))</f>
        <v>#REF!</v>
      </c>
    </row>
    <row r="58" spans="1:25" x14ac:dyDescent="0.25">
      <c r="A58">
        <v>6996</v>
      </c>
      <c r="B58" t="s">
        <v>18</v>
      </c>
      <c r="C58" s="37">
        <v>8</v>
      </c>
      <c r="D58" s="37" t="str">
        <f t="shared" ref="D58:D118" si="15">C58&amp;"-"&amp;B58</f>
        <v>8-GLOBE</v>
      </c>
      <c r="E58">
        <v>230.00299999999999</v>
      </c>
      <c r="F58">
        <v>193.93700000000001</v>
      </c>
      <c r="G58">
        <v>4.4000000000000004</v>
      </c>
      <c r="H58">
        <v>13</v>
      </c>
      <c r="I58">
        <f t="shared" ref="I58:I118" si="16">F58/E58*100</f>
        <v>84.31933496519612</v>
      </c>
      <c r="J58">
        <f t="shared" ref="J58:J118" si="17">(F58 - (F58*(G58/100))) / (E58 - (E58*(H58/100)))*100</f>
        <v>92.654349685893649</v>
      </c>
      <c r="K58" s="45"/>
      <c r="L58" s="45"/>
      <c r="M58" s="50" t="s">
        <v>148</v>
      </c>
      <c r="N58" s="45" t="e">
        <f>IF(#REF!&gt;5,AVERAGEIF($D:$D,#REF!,$G:$G),AVERAGEIF($C:$C,N$9,$G:$G))</f>
        <v>#REF!</v>
      </c>
      <c r="O58" s="45" t="e">
        <f>IF(#REF!&gt;5,AVERAGEIF($D:$D,#REF!,$G:$G),AVERAGEIF($C:$C,O$9,$G:$G))</f>
        <v>#REF!</v>
      </c>
      <c r="P58" s="45" t="e">
        <f>IF(#REF!&gt;5,AVERAGEIF($D:$D,#REF!,$G:$G),AVERAGEIF($C:$C,P$9,$G:$G))</f>
        <v>#REF!</v>
      </c>
      <c r="Q58" s="45" t="e">
        <f>IF(#REF!&gt;5,AVERAGEIF($D:$D,#REF!,$G:$G),AVERAGEIF($C:$C,Q$9,$G:$G))</f>
        <v>#REF!</v>
      </c>
      <c r="R58" s="45" t="e">
        <f>IF(#REF!&gt;5,AVERAGEIF($D:$D,#REF!,$G:$G),AVERAGEIF($C:$C,R$9,$G:$G))</f>
        <v>#REF!</v>
      </c>
      <c r="S58" s="45" t="e">
        <f>IF(#REF!&gt;5,AVERAGEIF($D:$D,#REF!,$G:$G),AVERAGEIF($C:$C,S$9,$G:$G))</f>
        <v>#REF!</v>
      </c>
      <c r="T58" s="45" t="e">
        <f>IF(#REF!&gt;5,AVERAGEIF($D:$D,#REF!,$G:$G),AVERAGEIF($C:$C,T$9,$G:$G))</f>
        <v>#REF!</v>
      </c>
      <c r="U58" s="45" t="e">
        <f>IF(#REF!&gt;5,AVERAGEIF($D:$D,#REF!,$G:$G),AVERAGEIF($C:$C,U$9,$G:$G))</f>
        <v>#REF!</v>
      </c>
      <c r="V58" s="45" t="e">
        <f>IF(#REF!&gt;5,AVERAGEIF($D:$D,#REF!,$G:$G),AVERAGEIF($C:$C,V$9,$G:$G))</f>
        <v>#REF!</v>
      </c>
      <c r="W58" s="45" t="e">
        <f>IF(#REF!&gt;5,AVERAGEIF($D:$D,#REF!,$G:$G),AVERAGEIF($C:$C,W$9,$G:$G))</f>
        <v>#REF!</v>
      </c>
      <c r="X58" s="45" t="e">
        <f>IF(#REF!&gt;5,AVERAGEIF($D:$D,#REF!,$G:$G),AVERAGEIF($C:$C,X$9,$G:$G))</f>
        <v>#REF!</v>
      </c>
      <c r="Y58" s="45" t="e">
        <f>IF(#REF!&gt;5,AVERAGEIF($D:$D,#REF!,$G:$G),AVERAGEIF($C:$C,Y$9,$G:$G))</f>
        <v>#REF!</v>
      </c>
    </row>
    <row r="59" spans="1:25" x14ac:dyDescent="0.25">
      <c r="A59">
        <v>7000</v>
      </c>
      <c r="B59" t="s">
        <v>37</v>
      </c>
      <c r="C59" s="37">
        <v>8</v>
      </c>
      <c r="D59" s="37" t="str">
        <f t="shared" si="15"/>
        <v>8-Kronenbourg</v>
      </c>
      <c r="E59">
        <v>224.999</v>
      </c>
      <c r="F59">
        <v>182.53700000000001</v>
      </c>
      <c r="G59">
        <v>4.2</v>
      </c>
      <c r="H59">
        <v>13</v>
      </c>
      <c r="I59">
        <f t="shared" si="16"/>
        <v>81.12791612407166</v>
      </c>
      <c r="J59">
        <f t="shared" si="17"/>
        <v>89.333958214782371</v>
      </c>
      <c r="K59" s="45"/>
      <c r="L59" s="45"/>
      <c r="M59" s="49"/>
    </row>
    <row r="60" spans="1:25" x14ac:dyDescent="0.25">
      <c r="A60">
        <v>7002</v>
      </c>
      <c r="B60" t="s">
        <v>17</v>
      </c>
      <c r="C60" s="37">
        <v>8</v>
      </c>
      <c r="D60" s="37" t="str">
        <f t="shared" si="15"/>
        <v>8-HEINEKEN</v>
      </c>
      <c r="E60">
        <v>229.99299999999999</v>
      </c>
      <c r="F60">
        <v>192.40899999999999</v>
      </c>
      <c r="G60">
        <v>5.0999999999999996</v>
      </c>
      <c r="H60">
        <v>12.3</v>
      </c>
      <c r="I60">
        <f t="shared" si="16"/>
        <v>83.658633088833128</v>
      </c>
      <c r="J60">
        <f t="shared" si="17"/>
        <v>90.526844699318872</v>
      </c>
      <c r="K60" s="45"/>
      <c r="L60" s="45"/>
      <c r="M60" s="47" t="s">
        <v>158</v>
      </c>
    </row>
    <row r="61" spans="1:25" x14ac:dyDescent="0.25">
      <c r="A61">
        <v>7008</v>
      </c>
      <c r="B61" t="s">
        <v>18</v>
      </c>
      <c r="C61" s="37">
        <v>8</v>
      </c>
      <c r="D61" s="37" t="str">
        <f t="shared" si="15"/>
        <v>8-GLOBE</v>
      </c>
      <c r="E61">
        <v>230.00899999999999</v>
      </c>
      <c r="F61">
        <v>186.65299999999999</v>
      </c>
      <c r="G61">
        <v>3.8</v>
      </c>
      <c r="H61">
        <v>13.7</v>
      </c>
      <c r="I61">
        <f t="shared" si="16"/>
        <v>81.150302814237705</v>
      </c>
      <c r="J61">
        <f t="shared" si="17"/>
        <v>90.45954960289302</v>
      </c>
      <c r="K61" s="45"/>
      <c r="L61" s="45"/>
      <c r="M61" s="49" t="s">
        <v>155</v>
      </c>
      <c r="N61" s="48">
        <v>1</v>
      </c>
      <c r="O61" s="48">
        <v>2</v>
      </c>
      <c r="P61" s="48">
        <v>3</v>
      </c>
      <c r="Q61" s="48">
        <v>4</v>
      </c>
      <c r="R61" s="48">
        <v>5</v>
      </c>
      <c r="S61" s="48">
        <v>6</v>
      </c>
      <c r="T61" s="48">
        <v>7</v>
      </c>
      <c r="U61" s="48">
        <v>8</v>
      </c>
      <c r="V61" s="48">
        <v>9</v>
      </c>
      <c r="W61" s="48">
        <v>10</v>
      </c>
      <c r="X61" s="48">
        <v>11</v>
      </c>
      <c r="Y61" s="48">
        <v>12</v>
      </c>
    </row>
    <row r="62" spans="1:25" x14ac:dyDescent="0.25">
      <c r="A62">
        <v>7018</v>
      </c>
      <c r="B62" t="s">
        <v>18</v>
      </c>
      <c r="C62" s="37">
        <v>9</v>
      </c>
      <c r="D62" s="37" t="str">
        <f t="shared" si="15"/>
        <v>9-GLOBE</v>
      </c>
      <c r="E62">
        <v>229.994</v>
      </c>
      <c r="F62">
        <v>186.20699999999999</v>
      </c>
      <c r="G62">
        <v>4.0999999999999996</v>
      </c>
      <c r="H62">
        <v>13.6</v>
      </c>
      <c r="I62">
        <f t="shared" si="16"/>
        <v>80.961677261145937</v>
      </c>
      <c r="J62">
        <f t="shared" si="17"/>
        <v>89.863713534072858</v>
      </c>
      <c r="K62" s="45"/>
      <c r="L62" s="45"/>
      <c r="M62" s="51" t="s">
        <v>136</v>
      </c>
      <c r="N62" s="45">
        <f>IF(N10&gt;5,AVERAGEIF($D$1:$D$1048571,N1,$H$1:$H$1048571),AVERAGEIF($C$1:$C$1048571,N$9,$H$1:$H$1048571))</f>
        <v>12.742857142857144</v>
      </c>
      <c r="O62" s="45">
        <f>IF(O10&gt;5,AVERAGEIF($D$1:$D$1048571,O1,$H$1:$H$1048571),AVERAGEIF($C$1:$C$1048571,O$9,$H$1:$H$1048571))</f>
        <v>12.900000000000002</v>
      </c>
      <c r="P62" s="45">
        <f>IF(P10&gt;5,AVERAGEIF($D$1:$D$1048571,P1,$H$1:$H$1048571),AVERAGEIF($C$1:$C$1048571,P$9,$H$1:$H$1048571))</f>
        <v>13.033333333333331</v>
      </c>
      <c r="Q62" s="45">
        <f>IF(Q10&gt;5,AVERAGEIF($D$1:$D$1048571,Q1,$H$1:$H$1048571),AVERAGEIF($C$1:$C$1048571,Q$9,$H$1:$H$1048571))</f>
        <v>13.114285714285716</v>
      </c>
      <c r="R62" s="45">
        <f>IF(R10&gt;5,AVERAGEIF($D$1:$D$1048571,R1,$H$1:$H$1048571),AVERAGEIF($C$1:$C$1048571,R$9,$H$1:$H$1048571))</f>
        <v>12.820000000000002</v>
      </c>
      <c r="S62" s="45">
        <f>IF(S10&gt;5,AVERAGEIF($D$1:$D$1048571,S1,$H$1:$H$1048571),AVERAGEIF($C$1:$C$1048571,S$9,$H$1:$H$1048571))</f>
        <v>12.866666666666665</v>
      </c>
      <c r="T62" s="45">
        <f>IF(T10&gt;5,AVERAGEIF($D$1:$D$1048571,T1,$H$1:$H$1048571),AVERAGEIF($C$1:$C$1048571,T$9,$H$1:$H$1048571))</f>
        <v>13.255555555555555</v>
      </c>
      <c r="U62" s="45">
        <f>IF(U10&gt;5,AVERAGEIF($D$1:$D$1048571,U1,$H$1:$H$1048571),AVERAGEIF($C$1:$C$1048571,U$9,$H$1:$H$1048571))</f>
        <v>12.590909090909092</v>
      </c>
      <c r="V62" s="45">
        <f>IF(V10&gt;5,AVERAGEIF($D$1:$D$1048571,V1,$H$1:$H$1048571),AVERAGEIF($C$1:$C$1048571,V$9,$H$1:$H$1048571))</f>
        <v>12.983333333333333</v>
      </c>
      <c r="W62" s="45">
        <f>IF(W10&gt;5,AVERAGEIF($D$1:$D$1048571,W1,$H$1:$H$1048571),AVERAGEIF($C$1:$C$1048571,W$9,$H$1:$H$1048571))</f>
        <v>13.250000000000004</v>
      </c>
      <c r="X62" s="45">
        <f>IF(X10&gt;5,AVERAGEIF($D$1:$D$1048571,X1,$H$1:$H$1048571),AVERAGEIF($C$1:$C$1048571,X$9,$H$1:$H$1048571))</f>
        <v>12.25</v>
      </c>
      <c r="Y62" s="45">
        <f>IF(Y10&gt;5,AVERAGEIF($D$1:$D$1048571,Y1,$H$1:$H$1048571),AVERAGEIF($C$1:$C$1048571,Y$9,$H$1:$H$1048571))</f>
        <v>12.428571428571431</v>
      </c>
    </row>
    <row r="63" spans="1:25" x14ac:dyDescent="0.25">
      <c r="A63">
        <v>7022</v>
      </c>
      <c r="B63" t="s">
        <v>18</v>
      </c>
      <c r="C63" s="37">
        <v>9</v>
      </c>
      <c r="D63" s="37" t="str">
        <f t="shared" si="15"/>
        <v>9-GLOBE</v>
      </c>
      <c r="E63">
        <v>229.99799999999999</v>
      </c>
      <c r="F63">
        <v>197.32900000000001</v>
      </c>
      <c r="G63">
        <v>4.7</v>
      </c>
      <c r="H63">
        <v>10.8</v>
      </c>
      <c r="I63">
        <f t="shared" si="16"/>
        <v>85.795963443160389</v>
      </c>
      <c r="J63">
        <f t="shared" si="17"/>
        <v>91.663176189833919</v>
      </c>
      <c r="K63" s="45"/>
      <c r="L63" s="45"/>
      <c r="M63" s="51" t="s">
        <v>139</v>
      </c>
      <c r="N63" s="45">
        <f>IF(N10&gt;5,AVERAGEIF($D$1:$D$1048571,N1,$H$1:$H$1048571),AVERAGEIF($C$1:$C$1048571,N$9,$H$1:$H$1048571))</f>
        <v>12.742857142857144</v>
      </c>
      <c r="O63" s="45">
        <f>IF(O10&gt;5,AVERAGEIF($D$1:$D$1048571,O1,$H$1:$H$1048571),AVERAGEIF($C$1:$C$1048571,O$9,$H$1:$H$1048571))</f>
        <v>12.900000000000002</v>
      </c>
      <c r="P63" s="45">
        <f>IF(P10&gt;5,AVERAGEIF($D$1:$D$1048571,P1,$H$1:$H$1048571),AVERAGEIF($C$1:$C$1048571,P$9,$H$1:$H$1048571))</f>
        <v>13.033333333333331</v>
      </c>
      <c r="Q63" s="45">
        <f>IF(Q10&gt;5,AVERAGEIF($D$1:$D$1048571,Q1,$H$1:$H$1048571),AVERAGEIF($C$1:$C$1048571,Q$9,$H$1:$H$1048571))</f>
        <v>13.114285714285716</v>
      </c>
      <c r="R63" s="45">
        <f>IF(R10&gt;5,AVERAGEIF($D$1:$D$1048571,R1,$H$1:$H$1048571),AVERAGEIF($C$1:$C$1048571,R$9,$H$1:$H$1048571))</f>
        <v>12.820000000000002</v>
      </c>
      <c r="S63" s="45">
        <f>IF(S10&gt;5,AVERAGEIF($D$1:$D$1048571,S1,$H$1:$H$1048571),AVERAGEIF($C$1:$C$1048571,S$9,$H$1:$H$1048571))</f>
        <v>12.866666666666665</v>
      </c>
      <c r="T63" s="45">
        <f>IF(T10&gt;5,AVERAGEIF($D$1:$D$1048571,T1,$H$1:$H$1048571),AVERAGEIF($C$1:$C$1048571,T$9,$H$1:$H$1048571))</f>
        <v>13.255555555555555</v>
      </c>
      <c r="U63" s="45">
        <f>IF(U10&gt;5,AVERAGEIF($D$1:$D$1048571,U1,$H$1:$H$1048571),AVERAGEIF($C$1:$C$1048571,U$9,$H$1:$H$1048571))</f>
        <v>12.590909090909092</v>
      </c>
      <c r="V63" s="45">
        <f>IF(V10&gt;5,AVERAGEIF($D$1:$D$1048571,V1,$H$1:$H$1048571),AVERAGEIF($C$1:$C$1048571,V$9,$H$1:$H$1048571))</f>
        <v>12.983333333333333</v>
      </c>
      <c r="W63" s="45">
        <f>IF(W10&gt;5,AVERAGEIF($D$1:$D$1048571,W1,$H$1:$H$1048571),AVERAGEIF($C$1:$C$1048571,W$9,$H$1:$H$1048571))</f>
        <v>13.250000000000004</v>
      </c>
      <c r="X63" s="45">
        <f>IF(X10&gt;5,AVERAGEIF($D$1:$D$1048571,X1,$H$1:$H$1048571),AVERAGEIF($C$1:$C$1048571,X$9,$H$1:$H$1048571))</f>
        <v>12.25</v>
      </c>
      <c r="Y63" s="45">
        <f>IF(Y10&gt;5,AVERAGEIF($D$1:$D$1048571,Y1,$H$1:$H$1048571),AVERAGEIF($C$1:$C$1048571,Y$9,$H$1:$H$1048571))</f>
        <v>12.428571428571431</v>
      </c>
    </row>
    <row r="64" spans="1:25" x14ac:dyDescent="0.25">
      <c r="A64">
        <v>7033</v>
      </c>
      <c r="B64" t="s">
        <v>17</v>
      </c>
      <c r="C64" s="37">
        <v>9</v>
      </c>
      <c r="D64" s="37" t="str">
        <f t="shared" si="15"/>
        <v>9-HEINEKEN</v>
      </c>
      <c r="E64">
        <v>229.99700000000001</v>
      </c>
      <c r="F64">
        <v>195.53100000000001</v>
      </c>
      <c r="G64">
        <v>3.9</v>
      </c>
      <c r="H64">
        <v>12</v>
      </c>
      <c r="I64">
        <f t="shared" si="16"/>
        <v>85.01458714678887</v>
      </c>
      <c r="J64">
        <f t="shared" si="17"/>
        <v>92.839793463709213</v>
      </c>
      <c r="K64" s="45"/>
      <c r="L64" s="45"/>
      <c r="M64" s="51" t="s">
        <v>133</v>
      </c>
      <c r="N64" s="45">
        <f>IF(N11&gt;5,AVERAGEIF($D$1:$D$1048571,N2,$H$1:$H$1048571),AVERAGEIF($C$1:$C$1048571,N$9,$H$1:$H$1048571))</f>
        <v>12.954545454545455</v>
      </c>
      <c r="O64" s="45">
        <f>IF(O11&gt;5,AVERAGEIF($D$1:$D$1048571,O2,$H$1:$H$1048571),AVERAGEIF($C$1:$C$1048571,O$9,$H$1:$H$1048571))</f>
        <v>12.900000000000002</v>
      </c>
      <c r="P64" s="45">
        <f>IF(P11&gt;5,AVERAGEIF($D$1:$D$1048571,P2,$H$1:$H$1048571),AVERAGEIF($C$1:$C$1048571,P$9,$H$1:$H$1048571))</f>
        <v>13.033333333333331</v>
      </c>
      <c r="Q64" s="45">
        <f>IF(Q11&gt;5,AVERAGEIF($D$1:$D$1048571,Q2,$H$1:$H$1048571),AVERAGEIF($C$1:$C$1048571,Q$9,$H$1:$H$1048571))</f>
        <v>12.71</v>
      </c>
      <c r="R64" s="45">
        <f>IF(R11&gt;5,AVERAGEIF($D$1:$D$1048571,R2,$H$1:$H$1048571),AVERAGEIF($C$1:$C$1048571,R$9,$H$1:$H$1048571))</f>
        <v>12.683333333333335</v>
      </c>
      <c r="S64" s="45">
        <f>IF(S11&gt;5,AVERAGEIF($D$1:$D$1048571,S2,$H$1:$H$1048571),AVERAGEIF($C$1:$C$1048571,S$9,$H$1:$H$1048571))</f>
        <v>12.866666666666665</v>
      </c>
      <c r="T64" s="45">
        <f>IF(T11&gt;5,AVERAGEIF($D$1:$D$1048571,T2,$H$1:$H$1048571),AVERAGEIF($C$1:$C$1048571,T$9,$H$1:$H$1048571))</f>
        <v>13.192307692307692</v>
      </c>
      <c r="U64" s="45">
        <f>IF(U11&gt;5,AVERAGEIF($D$1:$D$1048571,U2,$H$1:$H$1048571),AVERAGEIF($C$1:$C$1048571,U$9,$H$1:$H$1048571))</f>
        <v>12.408695652173916</v>
      </c>
      <c r="V64" s="45">
        <f>IF(V11&gt;5,AVERAGEIF($D$1:$D$1048571,V2,$H$1:$H$1048571),AVERAGEIF($C$1:$C$1048571,V$9,$H$1:$H$1048571))</f>
        <v>12.983333333333333</v>
      </c>
      <c r="W64" s="45">
        <f>IF(W11&gt;5,AVERAGEIF($D$1:$D$1048571,W2,$H$1:$H$1048571),AVERAGEIF($C$1:$C$1048571,W$9,$H$1:$H$1048571))</f>
        <v>13.250000000000004</v>
      </c>
      <c r="X64" s="45">
        <f>IF(X11&gt;5,AVERAGEIF($D$1:$D$1048571,X2,$H$1:$H$1048571),AVERAGEIF($C$1:$C$1048571,X$9,$H$1:$H$1048571))</f>
        <v>12.463636363636363</v>
      </c>
      <c r="Y64" s="45">
        <f>IF(Y11&gt;5,AVERAGEIF($D$1:$D$1048571,Y2,$H$1:$H$1048571),AVERAGEIF($C$1:$C$1048571,Y$9,$H$1:$H$1048571))</f>
        <v>12.930769230769233</v>
      </c>
    </row>
    <row r="65" spans="1:25" x14ac:dyDescent="0.25">
      <c r="A65">
        <v>7036</v>
      </c>
      <c r="B65" t="s">
        <v>18</v>
      </c>
      <c r="C65" s="37">
        <v>9</v>
      </c>
      <c r="D65" s="37" t="str">
        <f t="shared" si="15"/>
        <v>9-GLOBE</v>
      </c>
      <c r="E65">
        <v>229.995</v>
      </c>
      <c r="F65">
        <v>191.22900000000001</v>
      </c>
      <c r="G65">
        <v>4.3</v>
      </c>
      <c r="H65">
        <v>13.7</v>
      </c>
      <c r="I65">
        <f t="shared" si="16"/>
        <v>83.1448509750212</v>
      </c>
      <c r="J65">
        <f t="shared" si="17"/>
        <v>92.201184684930809</v>
      </c>
      <c r="K65" s="45"/>
      <c r="L65" s="45"/>
      <c r="M65" s="51" t="s">
        <v>138</v>
      </c>
      <c r="N65" s="45">
        <f>IF(N13&gt;5,AVERAGEIF($D$1:$D$1048571,N4,$H$1:$H$1048571),AVERAGEIF($C$1:$C$1048571,N$9,$H$1:$H$1048571))</f>
        <v>12.954545454545455</v>
      </c>
      <c r="O65" s="45">
        <f>IF(O13&gt;5,AVERAGEIF($D$1:$D$1048571,O4,$H$1:$H$1048571),AVERAGEIF($C$1:$C$1048571,O$9,$H$1:$H$1048571))</f>
        <v>12.900000000000002</v>
      </c>
      <c r="P65" s="45">
        <f>IF(P13&gt;5,AVERAGEIF($D$1:$D$1048571,P4,$H$1:$H$1048571),AVERAGEIF($C$1:$C$1048571,P$9,$H$1:$H$1048571))</f>
        <v>13.033333333333331</v>
      </c>
      <c r="Q65" s="45">
        <f>IF(Q13&gt;5,AVERAGEIF($D$1:$D$1048571,Q4,$H$1:$H$1048571),AVERAGEIF($C$1:$C$1048571,Q$9,$H$1:$H$1048571))</f>
        <v>12.71</v>
      </c>
      <c r="R65" s="45">
        <f>IF(R13&gt;5,AVERAGEIF($D$1:$D$1048571,R4,$H$1:$H$1048571),AVERAGEIF($C$1:$C$1048571,R$9,$H$1:$H$1048571))</f>
        <v>12.683333333333335</v>
      </c>
      <c r="S65" s="45">
        <f>IF(S13&gt;5,AVERAGEIF($D$1:$D$1048571,S4,$H$1:$H$1048571),AVERAGEIF($C$1:$C$1048571,S$9,$H$1:$H$1048571))</f>
        <v>12.866666666666665</v>
      </c>
      <c r="T65" s="45">
        <f>IF(T13&gt;5,AVERAGEIF($D$1:$D$1048571,T4,$H$1:$H$1048571),AVERAGEIF($C$1:$C$1048571,T$9,$H$1:$H$1048571))</f>
        <v>13.192307692307692</v>
      </c>
      <c r="U65" s="45">
        <f>IF(U13&gt;5,AVERAGEIF($D$1:$D$1048571,U4,$H$1:$H$1048571),AVERAGEIF($C$1:$C$1048571,U$9,$H$1:$H$1048571))</f>
        <v>12.408695652173916</v>
      </c>
      <c r="V65" s="45">
        <f>IF(V13&gt;5,AVERAGEIF($D$1:$D$1048571,V4,$H$1:$H$1048571),AVERAGEIF($C$1:$C$1048571,V$9,$H$1:$H$1048571))</f>
        <v>12.983333333333333</v>
      </c>
      <c r="W65" s="45">
        <f>IF(W13&gt;5,AVERAGEIF($D$1:$D$1048571,W4,$H$1:$H$1048571),AVERAGEIF($C$1:$C$1048571,W$9,$H$1:$H$1048571))</f>
        <v>13.250000000000004</v>
      </c>
      <c r="X65" s="45">
        <f>IF(X13&gt;5,AVERAGEIF($D$1:$D$1048571,X4,$H$1:$H$1048571),AVERAGEIF($C$1:$C$1048571,X$9,$H$1:$H$1048571))</f>
        <v>12.463636363636363</v>
      </c>
      <c r="Y65" s="45">
        <f>IF(Y13&gt;5,AVERAGEIF($D$1:$D$1048571,Y4,$H$1:$H$1048571),AVERAGEIF($C$1:$C$1048571,Y$9,$H$1:$H$1048571))</f>
        <v>12.930769230769233</v>
      </c>
    </row>
    <row r="66" spans="1:25" x14ac:dyDescent="0.25">
      <c r="A66">
        <v>7037</v>
      </c>
      <c r="B66" t="s">
        <v>18</v>
      </c>
      <c r="C66" s="37">
        <v>9</v>
      </c>
      <c r="D66" s="37" t="str">
        <f t="shared" si="15"/>
        <v>9-GLOBE</v>
      </c>
      <c r="E66">
        <v>230.00399999999999</v>
      </c>
      <c r="F66">
        <v>189.994</v>
      </c>
      <c r="G66">
        <v>3.9</v>
      </c>
      <c r="H66">
        <v>13.9</v>
      </c>
      <c r="I66">
        <f t="shared" si="16"/>
        <v>82.604650353906891</v>
      </c>
      <c r="J66">
        <f t="shared" si="17"/>
        <v>92.198686399656836</v>
      </c>
      <c r="K66" s="45"/>
      <c r="L66" s="45"/>
      <c r="M66" s="51" t="s">
        <v>131</v>
      </c>
      <c r="N66" s="45">
        <f>IF(N13&gt;5,AVERAGEIF($D$1:$D$1048571,N4,$H$1:$H$1048571),AVERAGEIF($C$1:$C$1048571,N$9,$H$1:$H$1048571))</f>
        <v>12.954545454545455</v>
      </c>
      <c r="O66" s="45">
        <f>IF(O13&gt;5,AVERAGEIF($D$1:$D$1048571,O4,$H$1:$H$1048571),AVERAGEIF($C$1:$C$1048571,O$9,$H$1:$H$1048571))</f>
        <v>12.900000000000002</v>
      </c>
      <c r="P66" s="45">
        <f>IF(P13&gt;5,AVERAGEIF($D$1:$D$1048571,P4,$H$1:$H$1048571),AVERAGEIF($C$1:$C$1048571,P$9,$H$1:$H$1048571))</f>
        <v>13.033333333333331</v>
      </c>
      <c r="Q66" s="45">
        <f>IF(Q13&gt;5,AVERAGEIF($D$1:$D$1048571,Q4,$H$1:$H$1048571),AVERAGEIF($C$1:$C$1048571,Q$9,$H$1:$H$1048571))</f>
        <v>12.71</v>
      </c>
      <c r="R66" s="45">
        <f>IF(R13&gt;5,AVERAGEIF($D$1:$D$1048571,R4,$H$1:$H$1048571),AVERAGEIF($C$1:$C$1048571,R$9,$H$1:$H$1048571))</f>
        <v>12.683333333333335</v>
      </c>
      <c r="S66" s="45">
        <f>IF(S13&gt;5,AVERAGEIF($D$1:$D$1048571,S4,$H$1:$H$1048571),AVERAGEIF($C$1:$C$1048571,S$9,$H$1:$H$1048571))</f>
        <v>12.866666666666665</v>
      </c>
      <c r="T66" s="45">
        <f>IF(T13&gt;5,AVERAGEIF($D$1:$D$1048571,T4,$H$1:$H$1048571),AVERAGEIF($C$1:$C$1048571,T$9,$H$1:$H$1048571))</f>
        <v>13.192307692307692</v>
      </c>
      <c r="U66" s="45">
        <f>IF(U13&gt;5,AVERAGEIF($D$1:$D$1048571,U4,$H$1:$H$1048571),AVERAGEIF($C$1:$C$1048571,U$9,$H$1:$H$1048571))</f>
        <v>12.408695652173916</v>
      </c>
      <c r="V66" s="45">
        <f>IF(V13&gt;5,AVERAGEIF($D$1:$D$1048571,V4,$H$1:$H$1048571),AVERAGEIF($C$1:$C$1048571,V$9,$H$1:$H$1048571))</f>
        <v>12.983333333333333</v>
      </c>
      <c r="W66" s="45">
        <f>IF(W13&gt;5,AVERAGEIF($D$1:$D$1048571,W4,$H$1:$H$1048571),AVERAGEIF($C$1:$C$1048571,W$9,$H$1:$H$1048571))</f>
        <v>13.250000000000004</v>
      </c>
      <c r="X66" s="45">
        <f>IF(X13&gt;5,AVERAGEIF($D$1:$D$1048571,X4,$H$1:$H$1048571),AVERAGEIF($C$1:$C$1048571,X$9,$H$1:$H$1048571))</f>
        <v>12.463636363636363</v>
      </c>
      <c r="Y66" s="45">
        <f>IF(Y13&gt;5,AVERAGEIF($D$1:$D$1048571,Y4,$H$1:$H$1048571),AVERAGEIF($C$1:$C$1048571,Y$9,$H$1:$H$1048571))</f>
        <v>12.930769230769233</v>
      </c>
    </row>
    <row r="67" spans="1:25" x14ac:dyDescent="0.25">
      <c r="A67">
        <v>7038</v>
      </c>
      <c r="B67" t="s">
        <v>18</v>
      </c>
      <c r="C67" s="37">
        <v>9</v>
      </c>
      <c r="D67" s="37" t="str">
        <f t="shared" si="15"/>
        <v>9-GLOBE</v>
      </c>
      <c r="E67">
        <v>230.00299999999999</v>
      </c>
      <c r="F67">
        <v>192.19900000000001</v>
      </c>
      <c r="G67">
        <v>4.0999999999999996</v>
      </c>
      <c r="H67">
        <v>13.9</v>
      </c>
      <c r="I67">
        <f t="shared" si="16"/>
        <v>83.563692647487215</v>
      </c>
      <c r="J67">
        <f t="shared" si="17"/>
        <v>93.075007257770309</v>
      </c>
      <c r="K67" s="45"/>
      <c r="L67" s="45"/>
      <c r="M67" s="51" t="s">
        <v>140</v>
      </c>
      <c r="N67" s="45">
        <f>IF(N14&gt;5,AVERAGEIF($D$1:$D$1048571,N5,$H$1:$H$1048571),AVERAGEIF($C$1:$C$1048571,N$9,$H$1:$H$1048571))</f>
        <v>12.954545454545455</v>
      </c>
      <c r="O67" s="45">
        <f>IF(O14&gt;5,AVERAGEIF($D$1:$D$1048571,O5,$H$1:$H$1048571),AVERAGEIF($C$1:$C$1048571,O$9,$H$1:$H$1048571))</f>
        <v>12.900000000000002</v>
      </c>
      <c r="P67" s="45">
        <f>IF(P14&gt;5,AVERAGEIF($D$1:$D$1048571,P5,$H$1:$H$1048571),AVERAGEIF($C$1:$C$1048571,P$9,$H$1:$H$1048571))</f>
        <v>13.033333333333331</v>
      </c>
      <c r="Q67" s="45">
        <f>IF(Q14&gt;5,AVERAGEIF($D$1:$D$1048571,Q5,$H$1:$H$1048571),AVERAGEIF($C$1:$C$1048571,Q$9,$H$1:$H$1048571))</f>
        <v>12.71</v>
      </c>
      <c r="R67" s="45">
        <f>IF(R14&gt;5,AVERAGEIF($D$1:$D$1048571,R5,$H$1:$H$1048571),AVERAGEIF($C$1:$C$1048571,R$9,$H$1:$H$1048571))</f>
        <v>12.683333333333335</v>
      </c>
      <c r="S67" s="45">
        <f>IF(S14&gt;5,AVERAGEIF($D$1:$D$1048571,S5,$H$1:$H$1048571),AVERAGEIF($C$1:$C$1048571,S$9,$H$1:$H$1048571))</f>
        <v>12.866666666666665</v>
      </c>
      <c r="T67" s="45">
        <f>IF(T14&gt;5,AVERAGEIF($D$1:$D$1048571,T5,$H$1:$H$1048571),AVERAGEIF($C$1:$C$1048571,T$9,$H$1:$H$1048571))</f>
        <v>13.192307692307692</v>
      </c>
      <c r="U67" s="45">
        <f>IF(U14&gt;5,AVERAGEIF($D$1:$D$1048571,U5,$H$1:$H$1048571),AVERAGEIF($C$1:$C$1048571,U$9,$H$1:$H$1048571))</f>
        <v>12.333333333333334</v>
      </c>
      <c r="V67" s="45">
        <f>IF(V14&gt;5,AVERAGEIF($D$1:$D$1048571,V5,$H$1:$H$1048571),AVERAGEIF($C$1:$C$1048571,V$9,$H$1:$H$1048571))</f>
        <v>12.983333333333333</v>
      </c>
      <c r="W67" s="45">
        <f>IF(W14&gt;5,AVERAGEIF($D$1:$D$1048571,W5,$H$1:$H$1048571),AVERAGEIF($C$1:$C$1048571,W$9,$H$1:$H$1048571))</f>
        <v>13.250000000000004</v>
      </c>
      <c r="X67" s="45">
        <f>IF(X14&gt;5,AVERAGEIF($D$1:$D$1048571,X5,$H$1:$H$1048571),AVERAGEIF($C$1:$C$1048571,X$9,$H$1:$H$1048571))</f>
        <v>12.463636363636363</v>
      </c>
      <c r="Y67" s="45">
        <f>IF(Y14&gt;5,AVERAGEIF($D$1:$D$1048571,Y5,$H$1:$H$1048571),AVERAGEIF($C$1:$C$1048571,Y$9,$H$1:$H$1048571))</f>
        <v>12.930769230769233</v>
      </c>
    </row>
    <row r="68" spans="1:25" x14ac:dyDescent="0.25">
      <c r="A68">
        <v>7041</v>
      </c>
      <c r="B68" t="s">
        <v>17</v>
      </c>
      <c r="C68" s="37">
        <v>10</v>
      </c>
      <c r="D68" s="37" t="str">
        <f t="shared" si="15"/>
        <v>10-HEINEKEN</v>
      </c>
      <c r="E68">
        <v>230.02500000000001</v>
      </c>
      <c r="F68">
        <v>195.571</v>
      </c>
      <c r="G68">
        <v>4.3</v>
      </c>
      <c r="H68">
        <v>12</v>
      </c>
      <c r="I68">
        <f t="shared" si="16"/>
        <v>85.02162808390392</v>
      </c>
      <c r="J68">
        <f t="shared" si="17"/>
        <v>92.461020541245517</v>
      </c>
      <c r="K68" s="45"/>
      <c r="L68" s="45"/>
      <c r="M68" s="51" t="s">
        <v>134</v>
      </c>
      <c r="N68" s="45">
        <f>IF(N14&gt;5,AVERAGEIF($D$1:$D$1048571,N5,$H$1:$H$1048571),AVERAGEIF($C$1:$C$1048571,N$9,$H$1:$H$1048571))</f>
        <v>12.954545454545455</v>
      </c>
      <c r="O68" s="45">
        <f>IF(O14&gt;5,AVERAGEIF($D$1:$D$1048571,O5,$H$1:$H$1048571),AVERAGEIF($C$1:$C$1048571,O$9,$H$1:$H$1048571))</f>
        <v>12.900000000000002</v>
      </c>
      <c r="P68" s="45">
        <f>IF(P14&gt;5,AVERAGEIF($D$1:$D$1048571,P5,$H$1:$H$1048571),AVERAGEIF($C$1:$C$1048571,P$9,$H$1:$H$1048571))</f>
        <v>13.033333333333331</v>
      </c>
      <c r="Q68" s="45">
        <f>IF(Q14&gt;5,AVERAGEIF($D$1:$D$1048571,Q5,$H$1:$H$1048571),AVERAGEIF($C$1:$C$1048571,Q$9,$H$1:$H$1048571))</f>
        <v>12.71</v>
      </c>
      <c r="R68" s="45">
        <f>IF(R14&gt;5,AVERAGEIF($D$1:$D$1048571,R5,$H$1:$H$1048571),AVERAGEIF($C$1:$C$1048571,R$9,$H$1:$H$1048571))</f>
        <v>12.683333333333335</v>
      </c>
      <c r="S68" s="45">
        <f>IF(S14&gt;5,AVERAGEIF($D$1:$D$1048571,S5,$H$1:$H$1048571),AVERAGEIF($C$1:$C$1048571,S$9,$H$1:$H$1048571))</f>
        <v>12.866666666666665</v>
      </c>
      <c r="T68" s="45">
        <f>IF(T14&gt;5,AVERAGEIF($D$1:$D$1048571,T5,$H$1:$H$1048571),AVERAGEIF($C$1:$C$1048571,T$9,$H$1:$H$1048571))</f>
        <v>13.192307692307692</v>
      </c>
      <c r="U68" s="45">
        <f>IF(U14&gt;5,AVERAGEIF($D$1:$D$1048571,U5,$H$1:$H$1048571),AVERAGEIF($C$1:$C$1048571,U$9,$H$1:$H$1048571))</f>
        <v>12.333333333333334</v>
      </c>
      <c r="V68" s="45">
        <f>IF(V14&gt;5,AVERAGEIF($D$1:$D$1048571,V5,$H$1:$H$1048571),AVERAGEIF($C$1:$C$1048571,V$9,$H$1:$H$1048571))</f>
        <v>12.983333333333333</v>
      </c>
      <c r="W68" s="45">
        <f>IF(W14&gt;5,AVERAGEIF($D$1:$D$1048571,W5,$H$1:$H$1048571),AVERAGEIF($C$1:$C$1048571,W$9,$H$1:$H$1048571))</f>
        <v>13.250000000000004</v>
      </c>
      <c r="X68" s="45">
        <f>IF(X14&gt;5,AVERAGEIF($D$1:$D$1048571,X5,$H$1:$H$1048571),AVERAGEIF($C$1:$C$1048571,X$9,$H$1:$H$1048571))</f>
        <v>12.463636363636363</v>
      </c>
      <c r="Y68" s="45">
        <f>IF(Y14&gt;5,AVERAGEIF($D$1:$D$1048571,Y5,$H$1:$H$1048571),AVERAGEIF($C$1:$C$1048571,Y$9,$H$1:$H$1048571))</f>
        <v>12.930769230769233</v>
      </c>
    </row>
    <row r="69" spans="1:25" x14ac:dyDescent="0.25">
      <c r="A69">
        <v>7044</v>
      </c>
      <c r="B69" t="s">
        <v>18</v>
      </c>
      <c r="C69" s="37">
        <v>10</v>
      </c>
      <c r="D69" s="37" t="str">
        <f t="shared" si="15"/>
        <v>10-GLOBE</v>
      </c>
      <c r="E69">
        <v>230.00399999999999</v>
      </c>
      <c r="F69">
        <v>192.571</v>
      </c>
      <c r="G69">
        <v>4.4000000000000004</v>
      </c>
      <c r="H69">
        <v>13.6</v>
      </c>
      <c r="I69">
        <f t="shared" si="16"/>
        <v>83.725065651032153</v>
      </c>
      <c r="J69">
        <f t="shared" si="17"/>
        <v>92.640234678688344</v>
      </c>
      <c r="K69" s="45"/>
      <c r="L69" s="45"/>
      <c r="M69" s="51" t="s">
        <v>135</v>
      </c>
      <c r="N69" s="45">
        <f>IF(N14&gt;5,AVERAGEIF($D$1:$D$1048571,N5,$H$1:$H$1048571),AVERAGEIF($C$1:$C$1048571,N$9,$H$1:$H$1048571))</f>
        <v>12.954545454545455</v>
      </c>
      <c r="O69" s="45">
        <f>IF(O14&gt;5,AVERAGEIF($D$1:$D$1048571,O5,$H$1:$H$1048571),AVERAGEIF($C$1:$C$1048571,O$9,$H$1:$H$1048571))</f>
        <v>12.900000000000002</v>
      </c>
      <c r="P69" s="45">
        <f>IF(P14&gt;5,AVERAGEIF($D$1:$D$1048571,P5,$H$1:$H$1048571),AVERAGEIF($C$1:$C$1048571,P$9,$H$1:$H$1048571))</f>
        <v>13.033333333333331</v>
      </c>
      <c r="Q69" s="45">
        <f>IF(Q14&gt;5,AVERAGEIF($D$1:$D$1048571,Q5,$H$1:$H$1048571),AVERAGEIF($C$1:$C$1048571,Q$9,$H$1:$H$1048571))</f>
        <v>12.71</v>
      </c>
      <c r="R69" s="45">
        <f>IF(R14&gt;5,AVERAGEIF($D$1:$D$1048571,R5,$H$1:$H$1048571),AVERAGEIF($C$1:$C$1048571,R$9,$H$1:$H$1048571))</f>
        <v>12.683333333333335</v>
      </c>
      <c r="S69" s="45">
        <f>IF(S14&gt;5,AVERAGEIF($D$1:$D$1048571,S5,$H$1:$H$1048571),AVERAGEIF($C$1:$C$1048571,S$9,$H$1:$H$1048571))</f>
        <v>12.866666666666665</v>
      </c>
      <c r="T69" s="45">
        <f>IF(T14&gt;5,AVERAGEIF($D$1:$D$1048571,T5,$H$1:$H$1048571),AVERAGEIF($C$1:$C$1048571,T$9,$H$1:$H$1048571))</f>
        <v>13.192307692307692</v>
      </c>
      <c r="U69" s="45">
        <f>IF(U14&gt;5,AVERAGEIF($D$1:$D$1048571,U5,$H$1:$H$1048571),AVERAGEIF($C$1:$C$1048571,U$9,$H$1:$H$1048571))</f>
        <v>12.333333333333334</v>
      </c>
      <c r="V69" s="45">
        <f>IF(V14&gt;5,AVERAGEIF($D$1:$D$1048571,V5,$H$1:$H$1048571),AVERAGEIF($C$1:$C$1048571,V$9,$H$1:$H$1048571))</f>
        <v>12.983333333333333</v>
      </c>
      <c r="W69" s="45">
        <f>IF(W14&gt;5,AVERAGEIF($D$1:$D$1048571,W5,$H$1:$H$1048571),AVERAGEIF($C$1:$C$1048571,W$9,$H$1:$H$1048571))</f>
        <v>13.250000000000004</v>
      </c>
      <c r="X69" s="45">
        <f>IF(X14&gt;5,AVERAGEIF($D$1:$D$1048571,X5,$H$1:$H$1048571),AVERAGEIF($C$1:$C$1048571,X$9,$H$1:$H$1048571))</f>
        <v>12.463636363636363</v>
      </c>
      <c r="Y69" s="45">
        <f>IF(Y14&gt;5,AVERAGEIF($D$1:$D$1048571,Y5,$H$1:$H$1048571),AVERAGEIF($C$1:$C$1048571,Y$9,$H$1:$H$1048571))</f>
        <v>12.930769230769233</v>
      </c>
    </row>
    <row r="70" spans="1:25" x14ac:dyDescent="0.25">
      <c r="A70">
        <v>7046</v>
      </c>
      <c r="B70" t="s">
        <v>18</v>
      </c>
      <c r="C70" s="37">
        <v>10</v>
      </c>
      <c r="D70" s="37" t="str">
        <f t="shared" si="15"/>
        <v>10-GLOBE</v>
      </c>
      <c r="E70">
        <v>230.005</v>
      </c>
      <c r="F70">
        <v>189.00200000000001</v>
      </c>
      <c r="G70">
        <v>3.9</v>
      </c>
      <c r="H70">
        <v>14</v>
      </c>
      <c r="I70">
        <f t="shared" si="16"/>
        <v>82.172996239212196</v>
      </c>
      <c r="J70">
        <f t="shared" si="17"/>
        <v>91.823545797538273</v>
      </c>
      <c r="K70" s="45"/>
      <c r="L70" s="45"/>
      <c r="M70" s="51" t="s">
        <v>132</v>
      </c>
      <c r="N70" s="45">
        <f>IF(N15&gt;5,AVERAGEIF($D$1:$D$1048571,N6,$H$1:$H$1048571),AVERAGEIF($C$1:$C$1048571,N$9,$H$1:$H$1048571))</f>
        <v>12.954545454545455</v>
      </c>
      <c r="O70" s="45">
        <f>IF(O15&gt;5,AVERAGEIF($D$1:$D$1048571,O6,$H$1:$H$1048571),AVERAGEIF($C$1:$C$1048571,O$9,$H$1:$H$1048571))</f>
        <v>12.900000000000002</v>
      </c>
      <c r="P70" s="45">
        <f>IF(P15&gt;5,AVERAGEIF($D$1:$D$1048571,P6,$H$1:$H$1048571),AVERAGEIF($C$1:$C$1048571,P$9,$H$1:$H$1048571))</f>
        <v>13.033333333333331</v>
      </c>
      <c r="Q70" s="45">
        <f>IF(Q15&gt;5,AVERAGEIF($D$1:$D$1048571,Q6,$H$1:$H$1048571),AVERAGEIF($C$1:$C$1048571,Q$9,$H$1:$H$1048571))</f>
        <v>12.71</v>
      </c>
      <c r="R70" s="45">
        <f>IF(R15&gt;5,AVERAGEIF($D$1:$D$1048571,R6,$H$1:$H$1048571),AVERAGEIF($C$1:$C$1048571,R$9,$H$1:$H$1048571))</f>
        <v>12.683333333333335</v>
      </c>
      <c r="S70" s="45">
        <f>IF(S15&gt;5,AVERAGEIF($D$1:$D$1048571,S6,$H$1:$H$1048571),AVERAGEIF($C$1:$C$1048571,S$9,$H$1:$H$1048571))</f>
        <v>12.866666666666665</v>
      </c>
      <c r="T70" s="45">
        <f>IF(T15&gt;5,AVERAGEIF($D$1:$D$1048571,T6,$H$1:$H$1048571),AVERAGEIF($C$1:$C$1048571,T$9,$H$1:$H$1048571))</f>
        <v>13.192307692307692</v>
      </c>
      <c r="U70" s="45">
        <f>IF(U15&gt;5,AVERAGEIF($D$1:$D$1048571,U6,$H$1:$H$1048571),AVERAGEIF($C$1:$C$1048571,U$9,$H$1:$H$1048571))</f>
        <v>12.408695652173916</v>
      </c>
      <c r="V70" s="45">
        <f>IF(V15&gt;5,AVERAGEIF($D$1:$D$1048571,V6,$H$1:$H$1048571),AVERAGEIF($C$1:$C$1048571,V$9,$H$1:$H$1048571))</f>
        <v>12.983333333333333</v>
      </c>
      <c r="W70" s="45">
        <f>IF(W15&gt;5,AVERAGEIF($D$1:$D$1048571,W6,$H$1:$H$1048571),AVERAGEIF($C$1:$C$1048571,W$9,$H$1:$H$1048571))</f>
        <v>13.250000000000004</v>
      </c>
      <c r="X70" s="45">
        <f>IF(X15&gt;5,AVERAGEIF($D$1:$D$1048571,X6,$H$1:$H$1048571),AVERAGEIF($C$1:$C$1048571,X$9,$H$1:$H$1048571))</f>
        <v>12.463636363636363</v>
      </c>
      <c r="Y70" s="45">
        <f>IF(Y15&gt;5,AVERAGEIF($D$1:$D$1048571,Y6,$H$1:$H$1048571),AVERAGEIF($C$1:$C$1048571,Y$9,$H$1:$H$1048571))</f>
        <v>12.930769230769233</v>
      </c>
    </row>
    <row r="71" spans="1:25" x14ac:dyDescent="0.25">
      <c r="A71">
        <v>7047</v>
      </c>
      <c r="B71" t="s">
        <v>17</v>
      </c>
      <c r="C71" s="37">
        <v>10</v>
      </c>
      <c r="D71" s="37" t="str">
        <f t="shared" si="15"/>
        <v>10-HEINEKEN</v>
      </c>
      <c r="E71">
        <v>230.02500000000001</v>
      </c>
      <c r="F71">
        <v>192.78800000000001</v>
      </c>
      <c r="G71">
        <v>3.8</v>
      </c>
      <c r="H71">
        <v>11.7</v>
      </c>
      <c r="I71">
        <f t="shared" si="16"/>
        <v>83.811759591348761</v>
      </c>
      <c r="J71">
        <f t="shared" si="17"/>
        <v>91.310206938706145</v>
      </c>
      <c r="K71" s="45"/>
      <c r="L71" s="45"/>
      <c r="M71" s="51" t="s">
        <v>137</v>
      </c>
      <c r="N71" s="45" t="e">
        <f>IF(#REF!&gt;5,AVERAGEIF($D$1:$D$1048571,#REF!,$H$1:$H$1048571),AVERAGEIF($C$1:$C$1048571,N$9,$H$1:$H$1048571))</f>
        <v>#REF!</v>
      </c>
      <c r="O71" s="45" t="e">
        <f>IF(#REF!&gt;5,AVERAGEIF($D$1:$D$1048571,#REF!,$H$1:$H$1048571),AVERAGEIF($C$1:$C$1048571,O$9,$H$1:$H$1048571))</f>
        <v>#REF!</v>
      </c>
      <c r="P71" s="45" t="e">
        <f>IF(#REF!&gt;5,AVERAGEIF($D$1:$D$1048571,#REF!,$H$1:$H$1048571),AVERAGEIF($C$1:$C$1048571,P$9,$H$1:$H$1048571))</f>
        <v>#REF!</v>
      </c>
      <c r="Q71" s="45" t="e">
        <f>IF(#REF!&gt;5,AVERAGEIF($D$1:$D$1048571,#REF!,$H$1:$H$1048571),AVERAGEIF($C$1:$C$1048571,Q$9,$H$1:$H$1048571))</f>
        <v>#REF!</v>
      </c>
      <c r="R71" s="45" t="e">
        <f>IF(#REF!&gt;5,AVERAGEIF($D$1:$D$1048571,#REF!,$H$1:$H$1048571),AVERAGEIF($C$1:$C$1048571,R$9,$H$1:$H$1048571))</f>
        <v>#REF!</v>
      </c>
      <c r="S71" s="45" t="e">
        <f>IF(#REF!&gt;5,AVERAGEIF($D$1:$D$1048571,#REF!,$H$1:$H$1048571),AVERAGEIF($C$1:$C$1048571,S$9,$H$1:$H$1048571))</f>
        <v>#REF!</v>
      </c>
      <c r="T71" s="45" t="e">
        <f>IF(#REF!&gt;5,AVERAGEIF($D$1:$D$1048571,#REF!,$H$1:$H$1048571),AVERAGEIF($C$1:$C$1048571,T$9,$H$1:$H$1048571))</f>
        <v>#REF!</v>
      </c>
      <c r="U71" s="45" t="e">
        <f>IF(#REF!&gt;5,AVERAGEIF($D$1:$D$1048571,#REF!,$H$1:$H$1048571),AVERAGEIF($C$1:$C$1048571,U$9,$H$1:$H$1048571))</f>
        <v>#REF!</v>
      </c>
      <c r="V71" s="45" t="e">
        <f>IF(#REF!&gt;5,AVERAGEIF($D$1:$D$1048571,#REF!,$H$1:$H$1048571),AVERAGEIF($C$1:$C$1048571,V$9,$H$1:$H$1048571))</f>
        <v>#REF!</v>
      </c>
      <c r="W71" s="45" t="e">
        <f>IF(#REF!&gt;5,AVERAGEIF($D$1:$D$1048571,#REF!,$H$1:$H$1048571),AVERAGEIF($C$1:$C$1048571,W$9,$H$1:$H$1048571))</f>
        <v>#REF!</v>
      </c>
      <c r="X71" s="45" t="e">
        <f>IF(#REF!&gt;5,AVERAGEIF($D$1:$D$1048571,#REF!,$H$1:$H$1048571),AVERAGEIF($C$1:$C$1048571,X$9,$H$1:$H$1048571))</f>
        <v>#REF!</v>
      </c>
      <c r="Y71" s="45" t="e">
        <f>IF(#REF!&gt;5,AVERAGEIF($D$1:$D$1048571,#REF!,$H$1:$H$1048571),AVERAGEIF($C$1:$C$1048571,Y$9,$H$1:$H$1048571))</f>
        <v>#REF!</v>
      </c>
    </row>
    <row r="72" spans="1:25" x14ac:dyDescent="0.25">
      <c r="A72">
        <v>7048</v>
      </c>
      <c r="B72" t="s">
        <v>17</v>
      </c>
      <c r="C72" s="37">
        <v>10</v>
      </c>
      <c r="D72" s="37" t="str">
        <f t="shared" si="15"/>
        <v>10-HEINEKEN</v>
      </c>
      <c r="E72">
        <v>230.006</v>
      </c>
      <c r="F72">
        <v>188.601</v>
      </c>
      <c r="G72">
        <v>3.7</v>
      </c>
      <c r="H72">
        <v>13.9</v>
      </c>
      <c r="I72">
        <f t="shared" si="16"/>
        <v>81.998295696634003</v>
      </c>
      <c r="J72">
        <f t="shared" si="17"/>
        <v>91.712379507385066</v>
      </c>
      <c r="K72" s="45"/>
      <c r="L72" s="45"/>
      <c r="M72" s="50" t="s">
        <v>148</v>
      </c>
      <c r="N72" s="45" t="e">
        <f>IF(#REF!&gt;5,AVERAGEIF($D$1:$D$1048571,#REF!,$H$1:$H$1048571),AVERAGEIF($C$1:$C$1048571,N$9,$H$1:$H$1048571))</f>
        <v>#REF!</v>
      </c>
      <c r="O72" s="45" t="e">
        <f>IF(#REF!&gt;5,AVERAGEIF($D$1:$D$1048571,#REF!,$H$1:$H$1048571),AVERAGEIF($C$1:$C$1048571,O$9,$H$1:$H$1048571))</f>
        <v>#REF!</v>
      </c>
      <c r="P72" s="45" t="e">
        <f>IF(#REF!&gt;5,AVERAGEIF($D$1:$D$1048571,#REF!,$H$1:$H$1048571),AVERAGEIF($C$1:$C$1048571,P$9,$H$1:$H$1048571))</f>
        <v>#REF!</v>
      </c>
      <c r="Q72" s="45" t="e">
        <f>IF(#REF!&gt;5,AVERAGEIF($D$1:$D$1048571,#REF!,$H$1:$H$1048571),AVERAGEIF($C$1:$C$1048571,Q$9,$H$1:$H$1048571))</f>
        <v>#REF!</v>
      </c>
      <c r="R72" s="45" t="e">
        <f>IF(#REF!&gt;5,AVERAGEIF($D$1:$D$1048571,#REF!,$H$1:$H$1048571),AVERAGEIF($C$1:$C$1048571,R$9,$H$1:$H$1048571))</f>
        <v>#REF!</v>
      </c>
      <c r="S72" s="45" t="e">
        <f>IF(#REF!&gt;5,AVERAGEIF($D$1:$D$1048571,#REF!,$H$1:$H$1048571),AVERAGEIF($C$1:$C$1048571,S$9,$H$1:$H$1048571))</f>
        <v>#REF!</v>
      </c>
      <c r="T72" s="45" t="e">
        <f>IF(#REF!&gt;5,AVERAGEIF($D$1:$D$1048571,#REF!,$H$1:$H$1048571),AVERAGEIF($C$1:$C$1048571,T$9,$H$1:$H$1048571))</f>
        <v>#REF!</v>
      </c>
      <c r="U72" s="45" t="e">
        <f>IF(#REF!&gt;5,AVERAGEIF($D$1:$D$1048571,#REF!,$H$1:$H$1048571),AVERAGEIF($C$1:$C$1048571,U$9,$H$1:$H$1048571))</f>
        <v>#REF!</v>
      </c>
      <c r="V72" s="45" t="e">
        <f>IF(#REF!&gt;5,AVERAGEIF($D$1:$D$1048571,#REF!,$H$1:$H$1048571),AVERAGEIF($C$1:$C$1048571,V$9,$H$1:$H$1048571))</f>
        <v>#REF!</v>
      </c>
      <c r="W72" s="45" t="e">
        <f>IF(#REF!&gt;5,AVERAGEIF($D$1:$D$1048571,#REF!,$H$1:$H$1048571),AVERAGEIF($C$1:$C$1048571,W$9,$H$1:$H$1048571))</f>
        <v>#REF!</v>
      </c>
      <c r="X72" s="45" t="e">
        <f>IF(#REF!&gt;5,AVERAGEIF($D$1:$D$1048571,#REF!,$H$1:$H$1048571),AVERAGEIF($C$1:$C$1048571,X$9,$H$1:$H$1048571))</f>
        <v>#REF!</v>
      </c>
      <c r="Y72" s="45" t="e">
        <f>IF(#REF!&gt;5,AVERAGEIF($D$1:$D$1048571,#REF!,$H$1:$H$1048571),AVERAGEIF($C$1:$C$1048571,Y$9,$H$1:$H$1048571))</f>
        <v>#REF!</v>
      </c>
    </row>
    <row r="73" spans="1:25" x14ac:dyDescent="0.25">
      <c r="A73">
        <v>7049</v>
      </c>
      <c r="B73" t="s">
        <v>18</v>
      </c>
      <c r="C73" s="37">
        <v>10</v>
      </c>
      <c r="D73" s="37" t="str">
        <f t="shared" si="15"/>
        <v>10-GLOBE</v>
      </c>
      <c r="E73">
        <v>230</v>
      </c>
      <c r="F73">
        <v>198.874</v>
      </c>
      <c r="G73">
        <v>3.6</v>
      </c>
      <c r="H73">
        <v>14.2</v>
      </c>
      <c r="I73">
        <f t="shared" si="16"/>
        <v>86.466956521739121</v>
      </c>
      <c r="J73">
        <f t="shared" si="17"/>
        <v>97.149354413702227</v>
      </c>
      <c r="K73" s="45"/>
      <c r="L73" s="45"/>
      <c r="M73" s="49"/>
    </row>
    <row r="74" spans="1:25" x14ac:dyDescent="0.25">
      <c r="A74">
        <v>7054</v>
      </c>
      <c r="B74" t="s">
        <v>17</v>
      </c>
      <c r="C74" s="37">
        <v>10</v>
      </c>
      <c r="D74" s="37" t="str">
        <f t="shared" si="15"/>
        <v>10-HEINEKEN</v>
      </c>
      <c r="E74">
        <v>232</v>
      </c>
      <c r="F74">
        <v>197.88300000000001</v>
      </c>
      <c r="G74">
        <v>4.4000000000000004</v>
      </c>
      <c r="H74">
        <v>12</v>
      </c>
      <c r="I74">
        <f t="shared" si="16"/>
        <v>85.294396551724134</v>
      </c>
      <c r="J74">
        <f t="shared" si="17"/>
        <v>92.660730799373042</v>
      </c>
      <c r="K74" s="45"/>
      <c r="L74" s="45"/>
      <c r="M74" s="47" t="s">
        <v>159</v>
      </c>
    </row>
    <row r="75" spans="1:25" x14ac:dyDescent="0.25">
      <c r="A75">
        <v>7064</v>
      </c>
      <c r="B75" t="s">
        <v>18</v>
      </c>
      <c r="C75" s="37">
        <v>10</v>
      </c>
      <c r="D75" s="37" t="str">
        <f t="shared" si="15"/>
        <v>10-GLOBE</v>
      </c>
      <c r="E75">
        <v>230.006</v>
      </c>
      <c r="F75">
        <v>185.45400000000001</v>
      </c>
      <c r="G75">
        <v>4.3</v>
      </c>
      <c r="H75">
        <v>13.8</v>
      </c>
      <c r="I75">
        <f t="shared" si="16"/>
        <v>80.63007051989949</v>
      </c>
      <c r="J75">
        <f t="shared" si="17"/>
        <v>89.516215182765436</v>
      </c>
      <c r="K75" s="45"/>
      <c r="L75" s="45"/>
      <c r="M75" s="49" t="s">
        <v>155</v>
      </c>
      <c r="N75" s="48">
        <v>1</v>
      </c>
      <c r="O75" s="48">
        <v>2</v>
      </c>
      <c r="P75" s="48">
        <v>3</v>
      </c>
      <c r="Q75" s="48">
        <v>4</v>
      </c>
      <c r="R75" s="48">
        <v>5</v>
      </c>
      <c r="S75" s="48">
        <v>6</v>
      </c>
      <c r="T75" s="48">
        <v>7</v>
      </c>
      <c r="U75" s="48">
        <v>8</v>
      </c>
      <c r="V75" s="48">
        <v>9</v>
      </c>
      <c r="W75" s="48">
        <v>10</v>
      </c>
      <c r="X75" s="48">
        <v>11</v>
      </c>
      <c r="Y75" s="48">
        <v>12</v>
      </c>
    </row>
    <row r="76" spans="1:25" x14ac:dyDescent="0.25">
      <c r="A76">
        <v>7074</v>
      </c>
      <c r="B76" t="s">
        <v>18</v>
      </c>
      <c r="C76" s="37">
        <v>11</v>
      </c>
      <c r="D76" s="37" t="str">
        <f t="shared" si="15"/>
        <v>11-GLOBE</v>
      </c>
      <c r="E76">
        <v>235.01400000000001</v>
      </c>
      <c r="F76">
        <v>198.38200000000001</v>
      </c>
      <c r="G76">
        <v>5.7</v>
      </c>
      <c r="H76">
        <v>11.6</v>
      </c>
      <c r="I76">
        <f t="shared" si="16"/>
        <v>84.41284349017505</v>
      </c>
      <c r="J76">
        <f t="shared" si="17"/>
        <v>90.046732365650527</v>
      </c>
      <c r="K76" s="45"/>
      <c r="L76" s="45"/>
      <c r="M76" s="51" t="s">
        <v>136</v>
      </c>
      <c r="N76" s="45">
        <f>IF(N10&gt;5,AVERAGEIF($D$1:$D$1048571,N1,$I$1:$I$1048571),AVERAGEIF($C$1:$C$1048571,N$9,$I$1:$I$1048571))</f>
        <v>84.077212091197126</v>
      </c>
      <c r="O76" s="45">
        <f>IF(O10&gt;5,AVERAGEIF($D$1:$D$1048571,O1,$I$1:$I$1048571),AVERAGEIF($C$1:$C$1048571,O$9,$I$1:$I$1048571))</f>
        <v>85.137194817456333</v>
      </c>
      <c r="P76" s="45">
        <f>IF(P10&gt;5,AVERAGEIF($D$1:$D$1048571,P1,$I$1:$I$1048571),AVERAGEIF($C$1:$C$1048571,P$9,$I$1:$I$1048571))</f>
        <v>84.060433090106145</v>
      </c>
      <c r="Q76" s="45">
        <f>IF(Q10&gt;5,AVERAGEIF($D$1:$D$1048571,Q1,$I$1:$I$1048571),AVERAGEIF($C$1:$C$1048571,Q$9,$I$1:$I$1048571))</f>
        <v>85.202914917628235</v>
      </c>
      <c r="R76" s="45">
        <f>IF(R10&gt;5,AVERAGEIF($D$1:$D$1048571,R1,$I$1:$I$1048571),AVERAGEIF($C$1:$C$1048571,R$9,$I$1:$I$1048571))</f>
        <v>84.715629240635053</v>
      </c>
      <c r="S76" s="45">
        <f>IF(S10&gt;5,AVERAGEIF($D$1:$D$1048571,S1,$I$1:$I$1048571),AVERAGEIF($C$1:$C$1048571,S$9,$I$1:$I$1048571))</f>
        <v>83.793752504250349</v>
      </c>
      <c r="T76" s="45">
        <f>IF(T10&gt;5,AVERAGEIF($D$1:$D$1048571,T1,$I$1:$I$1048571),AVERAGEIF($C$1:$C$1048571,T$9,$I$1:$I$1048571))</f>
        <v>82.547955129734106</v>
      </c>
      <c r="U76" s="45">
        <f>IF(U10&gt;5,AVERAGEIF($D$1:$D$1048571,U1,$I$1:$I$1048571),AVERAGEIF($C$1:$C$1048571,U$9,$I$1:$I$1048571))</f>
        <v>83.259656012466863</v>
      </c>
      <c r="V76" s="45">
        <f>IF(V10&gt;5,AVERAGEIF($D$1:$D$1048571,V1,$I$1:$I$1048571),AVERAGEIF($C$1:$C$1048571,V$9,$I$1:$I$1048571))</f>
        <v>83.514236971251748</v>
      </c>
      <c r="W76" s="45">
        <f>IF(W10&gt;5,AVERAGEIF($D$1:$D$1048571,W1,$I$1:$I$1048571),AVERAGEIF($C$1:$C$1048571,W$9,$I$1:$I$1048571))</f>
        <v>84.017088464338286</v>
      </c>
      <c r="X76" s="45">
        <f>IF(X10&gt;5,AVERAGEIF($D$1:$D$1048571,X1,$I$1:$I$1048571),AVERAGEIF($C$1:$C$1048571,X$9,$I$1:$I$1048571))</f>
        <v>84.868537293298857</v>
      </c>
      <c r="Y76" s="45">
        <f>IF(Y10&gt;5,AVERAGEIF($D$1:$D$1048571,Y1,$I$1:$I$1048571),AVERAGEIF($C$1:$C$1048571,Y$9,$I$1:$I$1048571))</f>
        <v>84.573104469856574</v>
      </c>
    </row>
    <row r="77" spans="1:25" x14ac:dyDescent="0.25">
      <c r="A77">
        <v>7079</v>
      </c>
      <c r="B77" t="s">
        <v>18</v>
      </c>
      <c r="C77" s="37">
        <v>11</v>
      </c>
      <c r="D77" s="37" t="str">
        <f t="shared" si="15"/>
        <v>11-GLOBE</v>
      </c>
      <c r="E77">
        <v>231.99700000000001</v>
      </c>
      <c r="F77">
        <v>201.74199999999999</v>
      </c>
      <c r="G77">
        <v>3.5</v>
      </c>
      <c r="H77">
        <v>12.1</v>
      </c>
      <c r="I77">
        <f t="shared" si="16"/>
        <v>86.958883089005454</v>
      </c>
      <c r="J77">
        <f t="shared" si="17"/>
        <v>95.466805666541816</v>
      </c>
      <c r="K77" s="45"/>
      <c r="L77" s="45"/>
      <c r="M77" s="51" t="s">
        <v>139</v>
      </c>
      <c r="N77" s="45">
        <f>IF(N10&gt;5,AVERAGEIF($D$1:$D$1048571,N1,$I$1:$I$1048571),AVERAGEIF($C$1:$C$1048571,N$9,$I$1:$I$1048571))</f>
        <v>84.077212091197126</v>
      </c>
      <c r="O77" s="45">
        <f>IF(O10&gt;5,AVERAGEIF($D$1:$D$1048571,O1,$I$1:$I$1048571),AVERAGEIF($C$1:$C$1048571,O$9,$I$1:$I$1048571))</f>
        <v>85.137194817456333</v>
      </c>
      <c r="P77" s="45">
        <f>IF(P10&gt;5,AVERAGEIF($D$1:$D$1048571,P1,$I$1:$I$1048571),AVERAGEIF($C$1:$C$1048571,P$9,$I$1:$I$1048571))</f>
        <v>84.060433090106145</v>
      </c>
      <c r="Q77" s="45">
        <f>IF(Q10&gt;5,AVERAGEIF($D$1:$D$1048571,Q1,$I$1:$I$1048571),AVERAGEIF($C$1:$C$1048571,Q$9,$I$1:$I$1048571))</f>
        <v>85.202914917628235</v>
      </c>
      <c r="R77" s="45">
        <f>IF(R10&gt;5,AVERAGEIF($D$1:$D$1048571,R1,$I$1:$I$1048571),AVERAGEIF($C$1:$C$1048571,R$9,$I$1:$I$1048571))</f>
        <v>84.715629240635053</v>
      </c>
      <c r="S77" s="45">
        <f>IF(S10&gt;5,AVERAGEIF($D$1:$D$1048571,S1,$I$1:$I$1048571),AVERAGEIF($C$1:$C$1048571,S$9,$I$1:$I$1048571))</f>
        <v>83.793752504250349</v>
      </c>
      <c r="T77" s="45">
        <f>IF(T10&gt;5,AVERAGEIF($D$1:$D$1048571,T1,$I$1:$I$1048571),AVERAGEIF($C$1:$C$1048571,T$9,$I$1:$I$1048571))</f>
        <v>82.547955129734106</v>
      </c>
      <c r="U77" s="45">
        <f>IF(U10&gt;5,AVERAGEIF($D$1:$D$1048571,U1,$I$1:$I$1048571),AVERAGEIF($C$1:$C$1048571,U$9,$I$1:$I$1048571))</f>
        <v>83.259656012466863</v>
      </c>
      <c r="V77" s="45">
        <f>IF(V10&gt;5,AVERAGEIF($D$1:$D$1048571,V1,$I$1:$I$1048571),AVERAGEIF($C$1:$C$1048571,V$9,$I$1:$I$1048571))</f>
        <v>83.514236971251748</v>
      </c>
      <c r="W77" s="45">
        <f>IF(W10&gt;5,AVERAGEIF($D$1:$D$1048571,W1,$I$1:$I$1048571),AVERAGEIF($C$1:$C$1048571,W$9,$I$1:$I$1048571))</f>
        <v>84.017088464338286</v>
      </c>
      <c r="X77" s="45">
        <f>IF(X10&gt;5,AVERAGEIF($D$1:$D$1048571,X1,$I$1:$I$1048571),AVERAGEIF($C$1:$C$1048571,X$9,$I$1:$I$1048571))</f>
        <v>84.868537293298857</v>
      </c>
      <c r="Y77" s="45">
        <f>IF(Y10&gt;5,AVERAGEIF($D$1:$D$1048571,Y1,$I$1:$I$1048571),AVERAGEIF($C$1:$C$1048571,Y$9,$I$1:$I$1048571))</f>
        <v>84.573104469856574</v>
      </c>
    </row>
    <row r="78" spans="1:25" x14ac:dyDescent="0.25">
      <c r="A78">
        <v>7084</v>
      </c>
      <c r="B78" t="s">
        <v>18</v>
      </c>
      <c r="C78" s="37">
        <v>11</v>
      </c>
      <c r="D78" s="37" t="str">
        <f t="shared" si="15"/>
        <v>11-GLOBE</v>
      </c>
      <c r="E78">
        <v>234.999</v>
      </c>
      <c r="F78">
        <v>201.46299999999999</v>
      </c>
      <c r="G78">
        <v>4.5</v>
      </c>
      <c r="H78">
        <v>11.2</v>
      </c>
      <c r="I78">
        <f t="shared" si="16"/>
        <v>85.729300975748828</v>
      </c>
      <c r="J78">
        <f t="shared" si="17"/>
        <v>92.197615351171322</v>
      </c>
      <c r="K78" s="45"/>
      <c r="L78" s="45"/>
      <c r="M78" s="51" t="s">
        <v>133</v>
      </c>
      <c r="N78" s="45">
        <f>IF(N11&gt;5,AVERAGEIF($D$1:$D$1048571,N2,$I$1:$I$1048571),AVERAGEIF($C$1:$C$1048571,N$9,$I$1:$I$1048571))</f>
        <v>84.060980009088624</v>
      </c>
      <c r="O78" s="45">
        <f>IF(O11&gt;5,AVERAGEIF($D$1:$D$1048571,O2,$I$1:$I$1048571),AVERAGEIF($C$1:$C$1048571,O$9,$I$1:$I$1048571))</f>
        <v>85.137194817456333</v>
      </c>
      <c r="P78" s="45">
        <f>IF(P11&gt;5,AVERAGEIF($D$1:$D$1048571,P2,$I$1:$I$1048571),AVERAGEIF($C$1:$C$1048571,P$9,$I$1:$I$1048571))</f>
        <v>84.060433090106145</v>
      </c>
      <c r="Q78" s="45">
        <f>IF(Q11&gt;5,AVERAGEIF($D$1:$D$1048571,Q2,$I$1:$I$1048571),AVERAGEIF($C$1:$C$1048571,Q$9,$I$1:$I$1048571))</f>
        <v>85.148441984429226</v>
      </c>
      <c r="R78" s="45">
        <f>IF(R11&gt;5,AVERAGEIF($D$1:$D$1048571,R2,$I$1:$I$1048571),AVERAGEIF($C$1:$C$1048571,R$9,$I$1:$I$1048571))</f>
        <v>84.810366717567675</v>
      </c>
      <c r="S78" s="45">
        <f>IF(S11&gt;5,AVERAGEIF($D$1:$D$1048571,S2,$I$1:$I$1048571),AVERAGEIF($C$1:$C$1048571,S$9,$I$1:$I$1048571))</f>
        <v>83.793752504250349</v>
      </c>
      <c r="T78" s="45">
        <f>IF(T11&gt;5,AVERAGEIF($D$1:$D$1048571,T2,$I$1:$I$1048571),AVERAGEIF($C$1:$C$1048571,T$9,$I$1:$I$1048571))</f>
        <v>82.610491085429885</v>
      </c>
      <c r="U78" s="45">
        <f>IF(U11&gt;5,AVERAGEIF($D$1:$D$1048571,U2,$I$1:$I$1048571),AVERAGEIF($C$1:$C$1048571,U$9,$I$1:$I$1048571))</f>
        <v>83.702210491190684</v>
      </c>
      <c r="V78" s="45">
        <f>IF(V11&gt;5,AVERAGEIF($D$1:$D$1048571,V2,$I$1:$I$1048571),AVERAGEIF($C$1:$C$1048571,V$9,$I$1:$I$1048571))</f>
        <v>83.514236971251748</v>
      </c>
      <c r="W78" s="45">
        <f>IF(W11&gt;5,AVERAGEIF($D$1:$D$1048571,W2,$I$1:$I$1048571),AVERAGEIF($C$1:$C$1048571,W$9,$I$1:$I$1048571))</f>
        <v>84.017088464338286</v>
      </c>
      <c r="X78" s="45">
        <f>IF(X11&gt;5,AVERAGEIF($D$1:$D$1048571,X2,$I$1:$I$1048571),AVERAGEIF($C$1:$C$1048571,X$9,$I$1:$I$1048571))</f>
        <v>84.743663168068011</v>
      </c>
      <c r="Y78" s="45">
        <f>IF(Y11&gt;5,AVERAGEIF($D$1:$D$1048571,Y2,$I$1:$I$1048571),AVERAGEIF($C$1:$C$1048571,Y$9,$I$1:$I$1048571))</f>
        <v>84.993820681376988</v>
      </c>
    </row>
    <row r="79" spans="1:25" x14ac:dyDescent="0.25">
      <c r="A79">
        <v>7089</v>
      </c>
      <c r="B79" t="s">
        <v>18</v>
      </c>
      <c r="C79" s="37">
        <v>11</v>
      </c>
      <c r="D79" s="37" t="str">
        <f t="shared" si="15"/>
        <v>11-GLOBE</v>
      </c>
      <c r="E79">
        <v>232</v>
      </c>
      <c r="F79">
        <v>199.21299999999999</v>
      </c>
      <c r="G79">
        <v>3.8</v>
      </c>
      <c r="H79">
        <v>12.7</v>
      </c>
      <c r="I79">
        <f t="shared" si="16"/>
        <v>85.867672413793102</v>
      </c>
      <c r="J79">
        <f t="shared" si="17"/>
        <v>94.621650472014835</v>
      </c>
      <c r="K79" s="45"/>
      <c r="L79" s="45"/>
      <c r="M79" s="51" t="s">
        <v>138</v>
      </c>
      <c r="N79" s="45">
        <f>IF(N13&gt;5,AVERAGEIF($D$1:$D$1048571,N4,$I$1:$I$1048571),AVERAGEIF($C$1:$C$1048571,N$9,$I$1:$I$1048571))</f>
        <v>84.060980009088624</v>
      </c>
      <c r="O79" s="45">
        <f>IF(O13&gt;5,AVERAGEIF($D$1:$D$1048571,O4,$I$1:$I$1048571),AVERAGEIF($C$1:$C$1048571,O$9,$I$1:$I$1048571))</f>
        <v>85.137194817456333</v>
      </c>
      <c r="P79" s="45">
        <f>IF(P13&gt;5,AVERAGEIF($D$1:$D$1048571,P4,$I$1:$I$1048571),AVERAGEIF($C$1:$C$1048571,P$9,$I$1:$I$1048571))</f>
        <v>84.060433090106145</v>
      </c>
      <c r="Q79" s="45">
        <f>IF(Q13&gt;5,AVERAGEIF($D$1:$D$1048571,Q4,$I$1:$I$1048571),AVERAGEIF($C$1:$C$1048571,Q$9,$I$1:$I$1048571))</f>
        <v>85.148441984429226</v>
      </c>
      <c r="R79" s="45">
        <f>IF(R13&gt;5,AVERAGEIF($D$1:$D$1048571,R4,$I$1:$I$1048571),AVERAGEIF($C$1:$C$1048571,R$9,$I$1:$I$1048571))</f>
        <v>84.810366717567675</v>
      </c>
      <c r="S79" s="45">
        <f>IF(S13&gt;5,AVERAGEIF($D$1:$D$1048571,S4,$I$1:$I$1048571),AVERAGEIF($C$1:$C$1048571,S$9,$I$1:$I$1048571))</f>
        <v>83.793752504250349</v>
      </c>
      <c r="T79" s="45">
        <f>IF(T13&gt;5,AVERAGEIF($D$1:$D$1048571,T4,$I$1:$I$1048571),AVERAGEIF($C$1:$C$1048571,T$9,$I$1:$I$1048571))</f>
        <v>82.610491085429885</v>
      </c>
      <c r="U79" s="45">
        <f>IF(U13&gt;5,AVERAGEIF($D$1:$D$1048571,U4,$I$1:$I$1048571),AVERAGEIF($C$1:$C$1048571,U$9,$I$1:$I$1048571))</f>
        <v>83.702210491190684</v>
      </c>
      <c r="V79" s="45">
        <f>IF(V13&gt;5,AVERAGEIF($D$1:$D$1048571,V4,$I$1:$I$1048571),AVERAGEIF($C$1:$C$1048571,V$9,$I$1:$I$1048571))</f>
        <v>83.514236971251748</v>
      </c>
      <c r="W79" s="45">
        <f>IF(W13&gt;5,AVERAGEIF($D$1:$D$1048571,W4,$I$1:$I$1048571),AVERAGEIF($C$1:$C$1048571,W$9,$I$1:$I$1048571))</f>
        <v>84.017088464338286</v>
      </c>
      <c r="X79" s="45">
        <f>IF(X13&gt;5,AVERAGEIF($D$1:$D$1048571,X4,$I$1:$I$1048571),AVERAGEIF($C$1:$C$1048571,X$9,$I$1:$I$1048571))</f>
        <v>84.743663168068011</v>
      </c>
      <c r="Y79" s="45">
        <f>IF(Y13&gt;5,AVERAGEIF($D$1:$D$1048571,Y4,$I$1:$I$1048571),AVERAGEIF($C$1:$C$1048571,Y$9,$I$1:$I$1048571))</f>
        <v>84.993820681376988</v>
      </c>
    </row>
    <row r="80" spans="1:25" x14ac:dyDescent="0.25">
      <c r="A80">
        <v>7094</v>
      </c>
      <c r="B80" t="s">
        <v>18</v>
      </c>
      <c r="C80" s="37">
        <v>11</v>
      </c>
      <c r="D80" s="37" t="str">
        <f t="shared" si="15"/>
        <v>11-GLOBE</v>
      </c>
      <c r="E80">
        <v>232.006</v>
      </c>
      <c r="F80">
        <v>197.65100000000001</v>
      </c>
      <c r="G80">
        <v>4.0999999999999996</v>
      </c>
      <c r="H80">
        <v>12.3</v>
      </c>
      <c r="I80">
        <f t="shared" si="16"/>
        <v>85.192193305345555</v>
      </c>
      <c r="J80">
        <f t="shared" si="17"/>
        <v>93.157711949631008</v>
      </c>
      <c r="K80" s="45"/>
      <c r="L80" s="45"/>
      <c r="M80" s="51" t="s">
        <v>131</v>
      </c>
      <c r="N80" s="45">
        <f>IF(N13&gt;5,AVERAGEIF($D$1:$D$1048571,N4,$I$1:$I$1048571),AVERAGEIF($C$1:$C$1048571,N$9,$I$1:$I$1048571))</f>
        <v>84.060980009088624</v>
      </c>
      <c r="O80" s="45">
        <f>IF(O13&gt;5,AVERAGEIF($D$1:$D$1048571,O4,$I$1:$I$1048571),AVERAGEIF($C$1:$C$1048571,O$9,$I$1:$I$1048571))</f>
        <v>85.137194817456333</v>
      </c>
      <c r="P80" s="45">
        <f>IF(P13&gt;5,AVERAGEIF($D$1:$D$1048571,P4,$I$1:$I$1048571),AVERAGEIF($C$1:$C$1048571,P$9,$I$1:$I$1048571))</f>
        <v>84.060433090106145</v>
      </c>
      <c r="Q80" s="45">
        <f>IF(Q13&gt;5,AVERAGEIF($D$1:$D$1048571,Q4,$I$1:$I$1048571),AVERAGEIF($C$1:$C$1048571,Q$9,$I$1:$I$1048571))</f>
        <v>85.148441984429226</v>
      </c>
      <c r="R80" s="45">
        <f>IF(R13&gt;5,AVERAGEIF($D$1:$D$1048571,R4,$I$1:$I$1048571),AVERAGEIF($C$1:$C$1048571,R$9,$I$1:$I$1048571))</f>
        <v>84.810366717567675</v>
      </c>
      <c r="S80" s="45">
        <f>IF(S13&gt;5,AVERAGEIF($D$1:$D$1048571,S4,$I$1:$I$1048571),AVERAGEIF($C$1:$C$1048571,S$9,$I$1:$I$1048571))</f>
        <v>83.793752504250349</v>
      </c>
      <c r="T80" s="45">
        <f>IF(T13&gt;5,AVERAGEIF($D$1:$D$1048571,T4,$I$1:$I$1048571),AVERAGEIF($C$1:$C$1048571,T$9,$I$1:$I$1048571))</f>
        <v>82.610491085429885</v>
      </c>
      <c r="U80" s="45">
        <f>IF(U13&gt;5,AVERAGEIF($D$1:$D$1048571,U4,$I$1:$I$1048571),AVERAGEIF($C$1:$C$1048571,U$9,$I$1:$I$1048571))</f>
        <v>83.702210491190684</v>
      </c>
      <c r="V80" s="45">
        <f>IF(V13&gt;5,AVERAGEIF($D$1:$D$1048571,V4,$I$1:$I$1048571),AVERAGEIF($C$1:$C$1048571,V$9,$I$1:$I$1048571))</f>
        <v>83.514236971251748</v>
      </c>
      <c r="W80" s="45">
        <f>IF(W13&gt;5,AVERAGEIF($D$1:$D$1048571,W4,$I$1:$I$1048571),AVERAGEIF($C$1:$C$1048571,W$9,$I$1:$I$1048571))</f>
        <v>84.017088464338286</v>
      </c>
      <c r="X80" s="45">
        <f>IF(X13&gt;5,AVERAGEIF($D$1:$D$1048571,X4,$I$1:$I$1048571),AVERAGEIF($C$1:$C$1048571,X$9,$I$1:$I$1048571))</f>
        <v>84.743663168068011</v>
      </c>
      <c r="Y80" s="45">
        <f>IF(Y13&gt;5,AVERAGEIF($D$1:$D$1048571,Y4,$I$1:$I$1048571),AVERAGEIF($C$1:$C$1048571,Y$9,$I$1:$I$1048571))</f>
        <v>84.993820681376988</v>
      </c>
    </row>
    <row r="81" spans="1:25" x14ac:dyDescent="0.25">
      <c r="A81">
        <v>7099</v>
      </c>
      <c r="B81" t="s">
        <v>18</v>
      </c>
      <c r="C81" s="37">
        <v>11</v>
      </c>
      <c r="D81" s="37" t="str">
        <f t="shared" si="15"/>
        <v>11-GLOBE</v>
      </c>
      <c r="E81">
        <v>231.99600000000001</v>
      </c>
      <c r="F81">
        <v>196.41900000000001</v>
      </c>
      <c r="G81">
        <v>4.3</v>
      </c>
      <c r="H81">
        <v>10.8</v>
      </c>
      <c r="I81">
        <f t="shared" si="16"/>
        <v>84.664821807272546</v>
      </c>
      <c r="J81">
        <f t="shared" si="17"/>
        <v>90.834343575739709</v>
      </c>
      <c r="K81" s="45"/>
      <c r="L81" s="45"/>
      <c r="M81" s="51" t="s">
        <v>140</v>
      </c>
      <c r="N81" s="45">
        <f>IF(N14&gt;5,AVERAGEIF($D$1:$D$1048571,N5,$I$1:$I$1048571),AVERAGEIF($C$1:$C$1048571,N$9,$I$1:$I$1048571))</f>
        <v>84.060980009088624</v>
      </c>
      <c r="O81" s="45">
        <f>IF(O14&gt;5,AVERAGEIF($D$1:$D$1048571,O5,$I$1:$I$1048571),AVERAGEIF($C$1:$C$1048571,O$9,$I$1:$I$1048571))</f>
        <v>85.137194817456333</v>
      </c>
      <c r="P81" s="45">
        <f>IF(P14&gt;5,AVERAGEIF($D$1:$D$1048571,P5,$I$1:$I$1048571),AVERAGEIF($C$1:$C$1048571,P$9,$I$1:$I$1048571))</f>
        <v>84.060433090106145</v>
      </c>
      <c r="Q81" s="45">
        <f>IF(Q14&gt;5,AVERAGEIF($D$1:$D$1048571,Q5,$I$1:$I$1048571),AVERAGEIF($C$1:$C$1048571,Q$9,$I$1:$I$1048571))</f>
        <v>85.148441984429226</v>
      </c>
      <c r="R81" s="45">
        <f>IF(R14&gt;5,AVERAGEIF($D$1:$D$1048571,R5,$I$1:$I$1048571),AVERAGEIF($C$1:$C$1048571,R$9,$I$1:$I$1048571))</f>
        <v>84.810366717567675</v>
      </c>
      <c r="S81" s="45">
        <f>IF(S14&gt;5,AVERAGEIF($D$1:$D$1048571,S5,$I$1:$I$1048571),AVERAGEIF($C$1:$C$1048571,S$9,$I$1:$I$1048571))</f>
        <v>83.793752504250349</v>
      </c>
      <c r="T81" s="45">
        <f>IF(T14&gt;5,AVERAGEIF($D$1:$D$1048571,T5,$I$1:$I$1048571),AVERAGEIF($C$1:$C$1048571,T$9,$I$1:$I$1048571))</f>
        <v>82.610491085429885</v>
      </c>
      <c r="U81" s="45">
        <f>IF(U14&gt;5,AVERAGEIF($D$1:$D$1048571,U5,$I$1:$I$1048571),AVERAGEIF($C$1:$C$1048571,U$9,$I$1:$I$1048571))</f>
        <v>84.060259348386808</v>
      </c>
      <c r="V81" s="45">
        <f>IF(V14&gt;5,AVERAGEIF($D$1:$D$1048571,V5,$I$1:$I$1048571),AVERAGEIF($C$1:$C$1048571,V$9,$I$1:$I$1048571))</f>
        <v>83.514236971251748</v>
      </c>
      <c r="W81" s="45">
        <f>IF(W14&gt;5,AVERAGEIF($D$1:$D$1048571,W5,$I$1:$I$1048571),AVERAGEIF($C$1:$C$1048571,W$9,$I$1:$I$1048571))</f>
        <v>84.017088464338286</v>
      </c>
      <c r="X81" s="45">
        <f>IF(X14&gt;5,AVERAGEIF($D$1:$D$1048571,X5,$I$1:$I$1048571),AVERAGEIF($C$1:$C$1048571,X$9,$I$1:$I$1048571))</f>
        <v>84.743663168068011</v>
      </c>
      <c r="Y81" s="45">
        <f>IF(Y14&gt;5,AVERAGEIF($D$1:$D$1048571,Y5,$I$1:$I$1048571),AVERAGEIF($C$1:$C$1048571,Y$9,$I$1:$I$1048571))</f>
        <v>84.993820681376988</v>
      </c>
    </row>
    <row r="82" spans="1:25" x14ac:dyDescent="0.25">
      <c r="A82">
        <v>7104</v>
      </c>
      <c r="B82" t="s">
        <v>18</v>
      </c>
      <c r="C82" s="37">
        <v>12</v>
      </c>
      <c r="D82" s="37" t="str">
        <f t="shared" si="15"/>
        <v>12-GLOBE</v>
      </c>
      <c r="E82">
        <v>232.01400000000001</v>
      </c>
      <c r="F82">
        <v>196.75200000000001</v>
      </c>
      <c r="G82">
        <v>4.4000000000000004</v>
      </c>
      <c r="H82">
        <v>12.8</v>
      </c>
      <c r="I82">
        <f t="shared" si="16"/>
        <v>84.801779202979134</v>
      </c>
      <c r="J82">
        <f t="shared" si="17"/>
        <v>92.97075793354135</v>
      </c>
      <c r="K82" s="45"/>
      <c r="L82" s="45"/>
      <c r="M82" s="51" t="s">
        <v>134</v>
      </c>
      <c r="N82" s="45">
        <f>IF(N14&gt;5,AVERAGEIF($D$1:$D$1048571,N5,$I$1:$I$1048571),AVERAGEIF($C$1:$C$1048571,N$9,$I$1:$I$1048571))</f>
        <v>84.060980009088624</v>
      </c>
      <c r="O82" s="45">
        <f>IF(O14&gt;5,AVERAGEIF($D$1:$D$1048571,O5,$I$1:$I$1048571),AVERAGEIF($C$1:$C$1048571,O$9,$I$1:$I$1048571))</f>
        <v>85.137194817456333</v>
      </c>
      <c r="P82" s="45">
        <f>IF(P14&gt;5,AVERAGEIF($D$1:$D$1048571,P5,$I$1:$I$1048571),AVERAGEIF($C$1:$C$1048571,P$9,$I$1:$I$1048571))</f>
        <v>84.060433090106145</v>
      </c>
      <c r="Q82" s="45">
        <f>IF(Q14&gt;5,AVERAGEIF($D$1:$D$1048571,Q5,$I$1:$I$1048571),AVERAGEIF($C$1:$C$1048571,Q$9,$I$1:$I$1048571))</f>
        <v>85.148441984429226</v>
      </c>
      <c r="R82" s="45">
        <f>IF(R14&gt;5,AVERAGEIF($D$1:$D$1048571,R5,$I$1:$I$1048571),AVERAGEIF($C$1:$C$1048571,R$9,$I$1:$I$1048571))</f>
        <v>84.810366717567675</v>
      </c>
      <c r="S82" s="45">
        <f>IF(S14&gt;5,AVERAGEIF($D$1:$D$1048571,S5,$I$1:$I$1048571),AVERAGEIF($C$1:$C$1048571,S$9,$I$1:$I$1048571))</f>
        <v>83.793752504250349</v>
      </c>
      <c r="T82" s="45">
        <f>IF(T14&gt;5,AVERAGEIF($D$1:$D$1048571,T5,$I$1:$I$1048571),AVERAGEIF($C$1:$C$1048571,T$9,$I$1:$I$1048571))</f>
        <v>82.610491085429885</v>
      </c>
      <c r="U82" s="45">
        <f>IF(U14&gt;5,AVERAGEIF($D$1:$D$1048571,U5,$I$1:$I$1048571),AVERAGEIF($C$1:$C$1048571,U$9,$I$1:$I$1048571))</f>
        <v>84.060259348386808</v>
      </c>
      <c r="V82" s="45">
        <f>IF(V14&gt;5,AVERAGEIF($D$1:$D$1048571,V5,$I$1:$I$1048571),AVERAGEIF($C$1:$C$1048571,V$9,$I$1:$I$1048571))</f>
        <v>83.514236971251748</v>
      </c>
      <c r="W82" s="45">
        <f>IF(W14&gt;5,AVERAGEIF($D$1:$D$1048571,W5,$I$1:$I$1048571),AVERAGEIF($C$1:$C$1048571,W$9,$I$1:$I$1048571))</f>
        <v>84.017088464338286</v>
      </c>
      <c r="X82" s="45">
        <f>IF(X14&gt;5,AVERAGEIF($D$1:$D$1048571,X5,$I$1:$I$1048571),AVERAGEIF($C$1:$C$1048571,X$9,$I$1:$I$1048571))</f>
        <v>84.743663168068011</v>
      </c>
      <c r="Y82" s="45">
        <f>IF(Y14&gt;5,AVERAGEIF($D$1:$D$1048571,Y5,$I$1:$I$1048571),AVERAGEIF($C$1:$C$1048571,Y$9,$I$1:$I$1048571))</f>
        <v>84.993820681376988</v>
      </c>
    </row>
    <row r="83" spans="1:25" x14ac:dyDescent="0.25">
      <c r="A83">
        <v>7115</v>
      </c>
      <c r="B83" t="s">
        <v>18</v>
      </c>
      <c r="C83" s="37">
        <v>12</v>
      </c>
      <c r="D83" s="37" t="str">
        <f t="shared" si="15"/>
        <v>12-GLOBE</v>
      </c>
      <c r="E83">
        <v>234.98699999999999</v>
      </c>
      <c r="F83">
        <v>202.5</v>
      </c>
      <c r="G83">
        <v>3.3</v>
      </c>
      <c r="H83">
        <v>11.4</v>
      </c>
      <c r="I83">
        <f t="shared" si="16"/>
        <v>86.174979892504695</v>
      </c>
      <c r="J83">
        <f t="shared" si="17"/>
        <v>94.053279408636612</v>
      </c>
      <c r="K83" s="45"/>
      <c r="L83" s="45"/>
      <c r="M83" s="51" t="s">
        <v>135</v>
      </c>
      <c r="N83" s="45">
        <f>IF(N14&gt;5,AVERAGEIF($D$1:$D$1048571,N5,$I$1:$I$1048571),AVERAGEIF($C$1:$C$1048571,N$9,$I$1:$I$1048571))</f>
        <v>84.060980009088624</v>
      </c>
      <c r="O83" s="45">
        <f>IF(O14&gt;5,AVERAGEIF($D$1:$D$1048571,O5,$I$1:$I$1048571),AVERAGEIF($C$1:$C$1048571,O$9,$I$1:$I$1048571))</f>
        <v>85.137194817456333</v>
      </c>
      <c r="P83" s="45">
        <f>IF(P14&gt;5,AVERAGEIF($D$1:$D$1048571,P5,$I$1:$I$1048571),AVERAGEIF($C$1:$C$1048571,P$9,$I$1:$I$1048571))</f>
        <v>84.060433090106145</v>
      </c>
      <c r="Q83" s="45">
        <f>IF(Q14&gt;5,AVERAGEIF($D$1:$D$1048571,Q5,$I$1:$I$1048571),AVERAGEIF($C$1:$C$1048571,Q$9,$I$1:$I$1048571))</f>
        <v>85.148441984429226</v>
      </c>
      <c r="R83" s="45">
        <f>IF(R14&gt;5,AVERAGEIF($D$1:$D$1048571,R5,$I$1:$I$1048571),AVERAGEIF($C$1:$C$1048571,R$9,$I$1:$I$1048571))</f>
        <v>84.810366717567675</v>
      </c>
      <c r="S83" s="45">
        <f>IF(S14&gt;5,AVERAGEIF($D$1:$D$1048571,S5,$I$1:$I$1048571),AVERAGEIF($C$1:$C$1048571,S$9,$I$1:$I$1048571))</f>
        <v>83.793752504250349</v>
      </c>
      <c r="T83" s="45">
        <f>IF(T14&gt;5,AVERAGEIF($D$1:$D$1048571,T5,$I$1:$I$1048571),AVERAGEIF($C$1:$C$1048571,T$9,$I$1:$I$1048571))</f>
        <v>82.610491085429885</v>
      </c>
      <c r="U83" s="45">
        <f>IF(U14&gt;5,AVERAGEIF($D$1:$D$1048571,U5,$I$1:$I$1048571),AVERAGEIF($C$1:$C$1048571,U$9,$I$1:$I$1048571))</f>
        <v>84.060259348386808</v>
      </c>
      <c r="V83" s="45">
        <f>IF(V14&gt;5,AVERAGEIF($D$1:$D$1048571,V5,$I$1:$I$1048571),AVERAGEIF($C$1:$C$1048571,V$9,$I$1:$I$1048571))</f>
        <v>83.514236971251748</v>
      </c>
      <c r="W83" s="45">
        <f>IF(W14&gt;5,AVERAGEIF($D$1:$D$1048571,W5,$I$1:$I$1048571),AVERAGEIF($C$1:$C$1048571,W$9,$I$1:$I$1048571))</f>
        <v>84.017088464338286</v>
      </c>
      <c r="X83" s="45">
        <f>IF(X14&gt;5,AVERAGEIF($D$1:$D$1048571,X5,$I$1:$I$1048571),AVERAGEIF($C$1:$C$1048571,X$9,$I$1:$I$1048571))</f>
        <v>84.743663168068011</v>
      </c>
      <c r="Y83" s="45">
        <f>IF(Y14&gt;5,AVERAGEIF($D$1:$D$1048571,Y5,$I$1:$I$1048571),AVERAGEIF($C$1:$C$1048571,Y$9,$I$1:$I$1048571))</f>
        <v>84.993820681376988</v>
      </c>
    </row>
    <row r="84" spans="1:25" x14ac:dyDescent="0.25">
      <c r="A84">
        <v>7116</v>
      </c>
      <c r="B84" t="s">
        <v>18</v>
      </c>
      <c r="C84" s="37">
        <v>12</v>
      </c>
      <c r="D84" s="37" t="str">
        <f t="shared" si="15"/>
        <v>12-GLOBE</v>
      </c>
      <c r="E84">
        <v>232.999</v>
      </c>
      <c r="F84">
        <v>194.351</v>
      </c>
      <c r="G84">
        <v>4.0999999999999996</v>
      </c>
      <c r="H84">
        <v>10.9</v>
      </c>
      <c r="I84">
        <f t="shared" si="16"/>
        <v>83.412804346799774</v>
      </c>
      <c r="J84">
        <f t="shared" si="17"/>
        <v>89.778764723435458</v>
      </c>
      <c r="K84" s="45"/>
      <c r="L84" s="45"/>
      <c r="M84" s="51" t="s">
        <v>132</v>
      </c>
      <c r="N84" s="45">
        <f>IF(N15&gt;5,AVERAGEIF($D$1:$D$1048571,N6,$I$1:$I$1048571),AVERAGEIF($C$1:$C$1048571,N$9,$I$1:$I$1048571))</f>
        <v>84.060980009088624</v>
      </c>
      <c r="O84" s="45">
        <f>IF(O15&gt;5,AVERAGEIF($D$1:$D$1048571,O6,$I$1:$I$1048571),AVERAGEIF($C$1:$C$1048571,O$9,$I$1:$I$1048571))</f>
        <v>85.137194817456333</v>
      </c>
      <c r="P84" s="45">
        <f>IF(P15&gt;5,AVERAGEIF($D$1:$D$1048571,P6,$I$1:$I$1048571),AVERAGEIF($C$1:$C$1048571,P$9,$I$1:$I$1048571))</f>
        <v>84.060433090106145</v>
      </c>
      <c r="Q84" s="45">
        <f>IF(Q15&gt;5,AVERAGEIF($D$1:$D$1048571,Q6,$I$1:$I$1048571),AVERAGEIF($C$1:$C$1048571,Q$9,$I$1:$I$1048571))</f>
        <v>85.148441984429226</v>
      </c>
      <c r="R84" s="45">
        <f>IF(R15&gt;5,AVERAGEIF($D$1:$D$1048571,R6,$I$1:$I$1048571),AVERAGEIF($C$1:$C$1048571,R$9,$I$1:$I$1048571))</f>
        <v>84.810366717567675</v>
      </c>
      <c r="S84" s="45">
        <f>IF(S15&gt;5,AVERAGEIF($D$1:$D$1048571,S6,$I$1:$I$1048571),AVERAGEIF($C$1:$C$1048571,S$9,$I$1:$I$1048571))</f>
        <v>83.793752504250349</v>
      </c>
      <c r="T84" s="45">
        <f>IF(T15&gt;5,AVERAGEIF($D$1:$D$1048571,T6,$I$1:$I$1048571),AVERAGEIF($C$1:$C$1048571,T$9,$I$1:$I$1048571))</f>
        <v>82.610491085429885</v>
      </c>
      <c r="U84" s="45">
        <f>IF(U15&gt;5,AVERAGEIF($D$1:$D$1048571,U6,$I$1:$I$1048571),AVERAGEIF($C$1:$C$1048571,U$9,$I$1:$I$1048571))</f>
        <v>83.702210491190684</v>
      </c>
      <c r="V84" s="45">
        <f>IF(V15&gt;5,AVERAGEIF($D$1:$D$1048571,V6,$I$1:$I$1048571),AVERAGEIF($C$1:$C$1048571,V$9,$I$1:$I$1048571))</f>
        <v>83.514236971251748</v>
      </c>
      <c r="W84" s="45">
        <f>IF(W15&gt;5,AVERAGEIF($D$1:$D$1048571,W6,$I$1:$I$1048571),AVERAGEIF($C$1:$C$1048571,W$9,$I$1:$I$1048571))</f>
        <v>84.017088464338286</v>
      </c>
      <c r="X84" s="45">
        <f>IF(X15&gt;5,AVERAGEIF($D$1:$D$1048571,X6,$I$1:$I$1048571),AVERAGEIF($C$1:$C$1048571,X$9,$I$1:$I$1048571))</f>
        <v>84.743663168068011</v>
      </c>
      <c r="Y84" s="45">
        <f>IF(Y15&gt;5,AVERAGEIF($D$1:$D$1048571,Y6,$I$1:$I$1048571),AVERAGEIF($C$1:$C$1048571,Y$9,$I$1:$I$1048571))</f>
        <v>84.993820681376988</v>
      </c>
    </row>
    <row r="85" spans="1:25" x14ac:dyDescent="0.25">
      <c r="A85">
        <v>7119</v>
      </c>
      <c r="B85" t="s">
        <v>18</v>
      </c>
      <c r="C85" s="37">
        <v>12</v>
      </c>
      <c r="D85" s="37" t="str">
        <f t="shared" si="15"/>
        <v>12-GLOBE</v>
      </c>
      <c r="E85">
        <v>233.00399999999999</v>
      </c>
      <c r="F85">
        <v>198.21199999999999</v>
      </c>
      <c r="G85">
        <v>3.6</v>
      </c>
      <c r="H85">
        <v>12.4</v>
      </c>
      <c r="I85">
        <f t="shared" si="16"/>
        <v>85.068067500987112</v>
      </c>
      <c r="J85">
        <f t="shared" si="17"/>
        <v>93.613718117524627</v>
      </c>
      <c r="K85" s="45"/>
      <c r="L85" s="45"/>
      <c r="M85" s="51" t="s">
        <v>137</v>
      </c>
      <c r="N85" s="45" t="e">
        <f>IF(#REF!&gt;5,AVERAGEIF($D$1:$D$1048571,#REF!,$I$1:$I$1048571),AVERAGEIF($C$1:$C$1048571,N$9,$I$1:$I$1048571))</f>
        <v>#REF!</v>
      </c>
      <c r="O85" s="45" t="e">
        <f>IF(#REF!&gt;5,AVERAGEIF($D$1:$D$1048571,#REF!,$I$1:$I$1048571),AVERAGEIF($C$1:$C$1048571,O$9,$I$1:$I$1048571))</f>
        <v>#REF!</v>
      </c>
      <c r="P85" s="45" t="e">
        <f>IF(#REF!&gt;5,AVERAGEIF($D$1:$D$1048571,#REF!,$I$1:$I$1048571),AVERAGEIF($C$1:$C$1048571,P$9,$I$1:$I$1048571))</f>
        <v>#REF!</v>
      </c>
      <c r="Q85" s="45" t="e">
        <f>IF(#REF!&gt;5,AVERAGEIF($D$1:$D$1048571,#REF!,$I$1:$I$1048571),AVERAGEIF($C$1:$C$1048571,Q$9,$I$1:$I$1048571))</f>
        <v>#REF!</v>
      </c>
      <c r="R85" s="45" t="e">
        <f>IF(#REF!&gt;5,AVERAGEIF($D$1:$D$1048571,#REF!,$I$1:$I$1048571),AVERAGEIF($C$1:$C$1048571,R$9,$I$1:$I$1048571))</f>
        <v>#REF!</v>
      </c>
      <c r="S85" s="45" t="e">
        <f>IF(#REF!&gt;5,AVERAGEIF($D$1:$D$1048571,#REF!,$I$1:$I$1048571),AVERAGEIF($C$1:$C$1048571,S$9,$I$1:$I$1048571))</f>
        <v>#REF!</v>
      </c>
      <c r="T85" s="45" t="e">
        <f>IF(#REF!&gt;5,AVERAGEIF($D$1:$D$1048571,#REF!,$I$1:$I$1048571),AVERAGEIF($C$1:$C$1048571,T$9,$I$1:$I$1048571))</f>
        <v>#REF!</v>
      </c>
      <c r="U85" s="45" t="e">
        <f>IF(#REF!&gt;5,AVERAGEIF($D$1:$D$1048571,#REF!,$I$1:$I$1048571),AVERAGEIF($C$1:$C$1048571,U$9,$I$1:$I$1048571))</f>
        <v>#REF!</v>
      </c>
      <c r="V85" s="45" t="e">
        <f>IF(#REF!&gt;5,AVERAGEIF($D$1:$D$1048571,#REF!,$I$1:$I$1048571),AVERAGEIF($C$1:$C$1048571,V$9,$I$1:$I$1048571))</f>
        <v>#REF!</v>
      </c>
      <c r="W85" s="45" t="e">
        <f>IF(#REF!&gt;5,AVERAGEIF($D$1:$D$1048571,#REF!,$I$1:$I$1048571),AVERAGEIF($C$1:$C$1048571,W$9,$I$1:$I$1048571))</f>
        <v>#REF!</v>
      </c>
      <c r="X85" s="45" t="e">
        <f>IF(#REF!&gt;5,AVERAGEIF($D$1:$D$1048571,#REF!,$I$1:$I$1048571),AVERAGEIF($C$1:$C$1048571,X$9,$I$1:$I$1048571))</f>
        <v>#REF!</v>
      </c>
      <c r="Y85" s="45" t="e">
        <f>IF(#REF!&gt;5,AVERAGEIF($D$1:$D$1048571,#REF!,$I$1:$I$1048571),AVERAGEIF($C$1:$C$1048571,Y$9,$I$1:$I$1048571))</f>
        <v>#REF!</v>
      </c>
    </row>
    <row r="86" spans="1:25" x14ac:dyDescent="0.25">
      <c r="A86">
        <v>7124</v>
      </c>
      <c r="B86" t="s">
        <v>17</v>
      </c>
      <c r="C86" s="37">
        <v>12</v>
      </c>
      <c r="D86" s="37" t="str">
        <f t="shared" si="15"/>
        <v>12-HEINEKEN</v>
      </c>
      <c r="E86">
        <v>232.00299999999999</v>
      </c>
      <c r="F86">
        <v>194.89</v>
      </c>
      <c r="G86">
        <v>5.6</v>
      </c>
      <c r="H86">
        <v>11.9</v>
      </c>
      <c r="I86">
        <f t="shared" si="16"/>
        <v>84.003224096240132</v>
      </c>
      <c r="J86">
        <f t="shared" si="17"/>
        <v>90.010265092906565</v>
      </c>
      <c r="K86" s="45"/>
      <c r="L86" s="45"/>
      <c r="M86" s="50" t="s">
        <v>148</v>
      </c>
      <c r="N86" s="45" t="e">
        <f>IF(#REF!&gt;5,AVERAGEIF($D$1:$D$1048571,#REF!,$I$1:$I$1048571),AVERAGEIF($C$1:$C$1048571,N$9,$I$1:$I$1048571))</f>
        <v>#REF!</v>
      </c>
      <c r="O86" s="45" t="e">
        <f>IF(#REF!&gt;5,AVERAGEIF($D$1:$D$1048571,#REF!,$I$1:$I$1048571),AVERAGEIF($C$1:$C$1048571,O$9,$I$1:$I$1048571))</f>
        <v>#REF!</v>
      </c>
      <c r="P86" s="45" t="e">
        <f>IF(#REF!&gt;5,AVERAGEIF($D$1:$D$1048571,#REF!,$I$1:$I$1048571),AVERAGEIF($C$1:$C$1048571,P$9,$I$1:$I$1048571))</f>
        <v>#REF!</v>
      </c>
      <c r="Q86" s="45" t="e">
        <f>IF(#REF!&gt;5,AVERAGEIF($D$1:$D$1048571,#REF!,$I$1:$I$1048571),AVERAGEIF($C$1:$C$1048571,Q$9,$I$1:$I$1048571))</f>
        <v>#REF!</v>
      </c>
      <c r="R86" s="45" t="e">
        <f>IF(#REF!&gt;5,AVERAGEIF($D$1:$D$1048571,#REF!,$I$1:$I$1048571),AVERAGEIF($C$1:$C$1048571,R$9,$I$1:$I$1048571))</f>
        <v>#REF!</v>
      </c>
      <c r="S86" s="45" t="e">
        <f>IF(#REF!&gt;5,AVERAGEIF($D$1:$D$1048571,#REF!,$I$1:$I$1048571),AVERAGEIF($C$1:$C$1048571,S$9,$I$1:$I$1048571))</f>
        <v>#REF!</v>
      </c>
      <c r="T86" s="45" t="e">
        <f>IF(#REF!&gt;5,AVERAGEIF($D$1:$D$1048571,#REF!,$I$1:$I$1048571),AVERAGEIF($C$1:$C$1048571,T$9,$I$1:$I$1048571))</f>
        <v>#REF!</v>
      </c>
      <c r="U86" s="45" t="e">
        <f>IF(#REF!&gt;5,AVERAGEIF($D$1:$D$1048571,#REF!,$I$1:$I$1048571),AVERAGEIF($C$1:$C$1048571,U$9,$I$1:$I$1048571))</f>
        <v>#REF!</v>
      </c>
      <c r="V86" s="45" t="e">
        <f>IF(#REF!&gt;5,AVERAGEIF($D$1:$D$1048571,#REF!,$I$1:$I$1048571),AVERAGEIF($C$1:$C$1048571,V$9,$I$1:$I$1048571))</f>
        <v>#REF!</v>
      </c>
      <c r="W86" s="45" t="e">
        <f>IF(#REF!&gt;5,AVERAGEIF($D$1:$D$1048571,#REF!,$I$1:$I$1048571),AVERAGEIF($C$1:$C$1048571,W$9,$I$1:$I$1048571))</f>
        <v>#REF!</v>
      </c>
      <c r="X86" s="45" t="e">
        <f>IF(#REF!&gt;5,AVERAGEIF($D$1:$D$1048571,#REF!,$I$1:$I$1048571),AVERAGEIF($C$1:$C$1048571,X$9,$I$1:$I$1048571))</f>
        <v>#REF!</v>
      </c>
      <c r="Y86" s="45" t="e">
        <f>IF(#REF!&gt;5,AVERAGEIF($D$1:$D$1048571,#REF!,$I$1:$I$1048571),AVERAGEIF($C$1:$C$1048571,Y$9,$I$1:$I$1048571))</f>
        <v>#REF!</v>
      </c>
    </row>
    <row r="87" spans="1:25" x14ac:dyDescent="0.25">
      <c r="A87">
        <v>7129</v>
      </c>
      <c r="B87" t="s">
        <v>18</v>
      </c>
      <c r="C87" s="37">
        <v>12</v>
      </c>
      <c r="D87" s="37" t="str">
        <f t="shared" si="15"/>
        <v>12-GLOBE</v>
      </c>
      <c r="E87">
        <v>232.999</v>
      </c>
      <c r="F87">
        <v>196.38900000000001</v>
      </c>
      <c r="G87">
        <v>3.7</v>
      </c>
      <c r="H87">
        <v>12.4</v>
      </c>
      <c r="I87">
        <f t="shared" si="16"/>
        <v>84.287486212387179</v>
      </c>
      <c r="J87">
        <f t="shared" si="17"/>
        <v>92.658503678685918</v>
      </c>
      <c r="K87" s="45"/>
      <c r="L87" s="45"/>
      <c r="M87" s="49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</row>
    <row r="88" spans="1:25" x14ac:dyDescent="0.25">
      <c r="A88">
        <v>7141</v>
      </c>
      <c r="B88" t="s">
        <v>18</v>
      </c>
      <c r="C88" s="37">
        <v>1</v>
      </c>
      <c r="D88" s="37" t="str">
        <f t="shared" si="15"/>
        <v>1-GLOBE</v>
      </c>
      <c r="E88">
        <v>232.999</v>
      </c>
      <c r="F88">
        <v>196.304</v>
      </c>
      <c r="G88">
        <v>3.4</v>
      </c>
      <c r="H88">
        <v>11.5</v>
      </c>
      <c r="I88">
        <f t="shared" si="16"/>
        <v>84.251005369121756</v>
      </c>
      <c r="J88">
        <f t="shared" si="17"/>
        <v>91.962114335109163</v>
      </c>
      <c r="K88" s="45"/>
      <c r="L88" s="45"/>
      <c r="M88" s="47" t="s">
        <v>160</v>
      </c>
    </row>
    <row r="89" spans="1:25" x14ac:dyDescent="0.25">
      <c r="A89">
        <v>7146</v>
      </c>
      <c r="B89" t="s">
        <v>18</v>
      </c>
      <c r="C89" s="37">
        <v>1</v>
      </c>
      <c r="D89" s="37" t="str">
        <f t="shared" si="15"/>
        <v>1-GLOBE</v>
      </c>
      <c r="E89">
        <v>233.00399999999999</v>
      </c>
      <c r="F89">
        <v>195.434</v>
      </c>
      <c r="G89">
        <v>3.9</v>
      </c>
      <c r="H89">
        <v>12.5</v>
      </c>
      <c r="I89">
        <f t="shared" si="16"/>
        <v>83.875813290758956</v>
      </c>
      <c r="J89">
        <f t="shared" si="17"/>
        <v>92.119607511336412</v>
      </c>
      <c r="K89" s="45"/>
      <c r="L89" s="45"/>
      <c r="M89" s="49" t="s">
        <v>155</v>
      </c>
      <c r="N89" s="48">
        <v>1</v>
      </c>
      <c r="O89" s="48">
        <v>2</v>
      </c>
      <c r="P89" s="48">
        <v>3</v>
      </c>
      <c r="Q89" s="48">
        <v>4</v>
      </c>
      <c r="R89" s="48">
        <v>5</v>
      </c>
      <c r="S89" s="48">
        <v>6</v>
      </c>
      <c r="T89" s="48">
        <v>7</v>
      </c>
      <c r="U89" s="48">
        <v>8</v>
      </c>
      <c r="V89" s="48">
        <v>9</v>
      </c>
      <c r="W89" s="48">
        <v>10</v>
      </c>
      <c r="X89" s="48">
        <v>11</v>
      </c>
      <c r="Y89" s="48">
        <v>12</v>
      </c>
    </row>
    <row r="90" spans="1:25" x14ac:dyDescent="0.25">
      <c r="A90">
        <v>7154</v>
      </c>
      <c r="B90" t="s">
        <v>18</v>
      </c>
      <c r="C90" s="37">
        <v>1</v>
      </c>
      <c r="D90" s="37" t="str">
        <f t="shared" si="15"/>
        <v>1-GLOBE</v>
      </c>
      <c r="E90">
        <v>233</v>
      </c>
      <c r="F90">
        <v>197.81299999999999</v>
      </c>
      <c r="G90">
        <v>4.3</v>
      </c>
      <c r="H90">
        <v>11.9</v>
      </c>
      <c r="I90">
        <f t="shared" si="16"/>
        <v>84.898283261802561</v>
      </c>
      <c r="J90">
        <f t="shared" si="17"/>
        <v>92.22208522309316</v>
      </c>
      <c r="K90" s="45"/>
      <c r="L90" s="45"/>
      <c r="M90" s="51" t="s">
        <v>136</v>
      </c>
      <c r="N90" s="45">
        <f>IF(N10&gt;5,AVERAGEIF($D$1:$D$1048571,N1,$J$1:$J$1048571),AVERAGEIF($C$1:$C$1048571,N$9,$J$1:$J$1048571))</f>
        <v>92.836440279763821</v>
      </c>
      <c r="O90" s="45">
        <f>IF(O10&gt;5,AVERAGEIF($D$1:$D$1048571,O1,$J$1:$J$1048571),AVERAGEIF($C$1:$C$1048571,O$9,$J$1:$J$1048571))</f>
        <v>93.429220369252249</v>
      </c>
      <c r="P90" s="45">
        <f>IF(P10&gt;5,AVERAGEIF($D$1:$D$1048571,P1,$J$1:$J$1048571),AVERAGEIF($C$1:$C$1048571,P$9,$J$1:$J$1048571))</f>
        <v>93.020129025827018</v>
      </c>
      <c r="Q90" s="45">
        <f>IF(Q10&gt;5,AVERAGEIF($D$1:$D$1048571,Q1,$J$1:$J$1048571),AVERAGEIF($C$1:$C$1048571,Q$9,$J$1:$J$1048571))</f>
        <v>93.958370791250857</v>
      </c>
      <c r="R90" s="45">
        <f>IF(R10&gt;5,AVERAGEIF($D$1:$D$1048571,R1,$J$1:$J$1048571),AVERAGEIF($C$1:$C$1048571,R$9,$J$1:$J$1048571))</f>
        <v>93.016457992109835</v>
      </c>
      <c r="S90" s="45">
        <f>IF(S10&gt;5,AVERAGEIF($D$1:$D$1048571,S1,$J$1:$J$1048571),AVERAGEIF($C$1:$C$1048571,S$9,$J$1:$J$1048571))</f>
        <v>92.214551188021389</v>
      </c>
      <c r="T90" s="45">
        <f>IF(T10&gt;5,AVERAGEIF($D$1:$D$1048571,T1,$J$1:$J$1048571),AVERAGEIF($C$1:$C$1048571,T$9,$J$1:$J$1048571))</f>
        <v>91.450171235303813</v>
      </c>
      <c r="U90" s="45">
        <f>IF(U10&gt;5,AVERAGEIF($D$1:$D$1048571,U1,$J$1:$J$1048571),AVERAGEIF($C$1:$C$1048571,U$9,$J$1:$J$1048571))</f>
        <v>91.205210355319792</v>
      </c>
      <c r="V90" s="45">
        <f>IF(V10&gt;5,AVERAGEIF($D$1:$D$1048571,V1,$J$1:$J$1048571),AVERAGEIF($C$1:$C$1048571,V$9,$J$1:$J$1048571))</f>
        <v>91.973593588328981</v>
      </c>
      <c r="W90" s="45">
        <f>IF(W10&gt;5,AVERAGEIF($D$1:$D$1048571,W1,$J$1:$J$1048571),AVERAGEIF($C$1:$C$1048571,W$9,$J$1:$J$1048571))</f>
        <v>93.003179630712722</v>
      </c>
      <c r="X90" s="45">
        <f>IF(X10&gt;5,AVERAGEIF($D$1:$D$1048571,X1,$J$1:$J$1048571),AVERAGEIF($C$1:$C$1048571,X$9,$J$1:$J$1048571))</f>
        <v>92.626167118164943</v>
      </c>
      <c r="Y90" s="45">
        <f>IF(Y10&gt;5,AVERAGEIF($D$1:$D$1048571,Y1,$J$1:$J$1048571),AVERAGEIF($C$1:$C$1048571,Y$9,$J$1:$J$1048571))</f>
        <v>92.944433404609143</v>
      </c>
    </row>
    <row r="91" spans="1:25" x14ac:dyDescent="0.25">
      <c r="A91">
        <v>7159</v>
      </c>
      <c r="B91" t="s">
        <v>18</v>
      </c>
      <c r="C91" s="37">
        <v>1</v>
      </c>
      <c r="D91" s="37" t="str">
        <f t="shared" si="15"/>
        <v>1-GLOBE</v>
      </c>
      <c r="E91">
        <v>235.01599999999999</v>
      </c>
      <c r="F91">
        <v>198.23599999999999</v>
      </c>
      <c r="G91">
        <v>3.4</v>
      </c>
      <c r="H91">
        <v>12</v>
      </c>
      <c r="I91">
        <f t="shared" si="16"/>
        <v>84.350001702011781</v>
      </c>
      <c r="J91">
        <f t="shared" si="17"/>
        <v>92.593297322890194</v>
      </c>
      <c r="K91" s="45"/>
      <c r="L91" s="45"/>
      <c r="M91" s="51" t="s">
        <v>139</v>
      </c>
      <c r="N91" s="45">
        <f>IF(N10&gt;5,AVERAGEIF($D$1:$D$1048571,N1,$J$1:$J$1048571),AVERAGEIF($C$1:$C$1048571,N$9,$J$1:$J$1048571))</f>
        <v>92.836440279763821</v>
      </c>
      <c r="O91" s="45">
        <f>IF(O10&gt;5,AVERAGEIF($D$1:$D$1048571,O1,$J$1:$J$1048571),AVERAGEIF($C$1:$C$1048571,O$9,$J$1:$J$1048571))</f>
        <v>93.429220369252249</v>
      </c>
      <c r="P91" s="45">
        <f>IF(P10&gt;5,AVERAGEIF($D$1:$D$1048571,P1,$J$1:$J$1048571),AVERAGEIF($C$1:$C$1048571,P$9,$J$1:$J$1048571))</f>
        <v>93.020129025827018</v>
      </c>
      <c r="Q91" s="45">
        <f>IF(Q10&gt;5,AVERAGEIF($D$1:$D$1048571,Q1,$J$1:$J$1048571),AVERAGEIF($C$1:$C$1048571,Q$9,$J$1:$J$1048571))</f>
        <v>93.958370791250857</v>
      </c>
      <c r="R91" s="45">
        <f>IF(R10&gt;5,AVERAGEIF($D$1:$D$1048571,R1,$J$1:$J$1048571),AVERAGEIF($C$1:$C$1048571,R$9,$J$1:$J$1048571))</f>
        <v>93.016457992109835</v>
      </c>
      <c r="S91" s="45">
        <f>IF(S10&gt;5,AVERAGEIF($D$1:$D$1048571,S1,$J$1:$J$1048571),AVERAGEIF($C$1:$C$1048571,S$9,$J$1:$J$1048571))</f>
        <v>92.214551188021389</v>
      </c>
      <c r="T91" s="45">
        <f>IF(T10&gt;5,AVERAGEIF($D$1:$D$1048571,T1,$J$1:$J$1048571),AVERAGEIF($C$1:$C$1048571,T$9,$J$1:$J$1048571))</f>
        <v>91.450171235303813</v>
      </c>
      <c r="U91" s="45">
        <f>IF(U10&gt;5,AVERAGEIF($D$1:$D$1048571,U1,$J$1:$J$1048571),AVERAGEIF($C$1:$C$1048571,U$9,$J$1:$J$1048571))</f>
        <v>91.205210355319792</v>
      </c>
      <c r="V91" s="45">
        <f>IF(V10&gt;5,AVERAGEIF($D$1:$D$1048571,V1,$J$1:$J$1048571),AVERAGEIF($C$1:$C$1048571,V$9,$J$1:$J$1048571))</f>
        <v>91.973593588328981</v>
      </c>
      <c r="W91" s="45">
        <f>IF(W10&gt;5,AVERAGEIF($D$1:$D$1048571,W1,$J$1:$J$1048571),AVERAGEIF($C$1:$C$1048571,W$9,$J$1:$J$1048571))</f>
        <v>93.003179630712722</v>
      </c>
      <c r="X91" s="45">
        <f>IF(X10&gt;5,AVERAGEIF($D$1:$D$1048571,X1,$J$1:$J$1048571),AVERAGEIF($C$1:$C$1048571,X$9,$J$1:$J$1048571))</f>
        <v>92.626167118164943</v>
      </c>
      <c r="Y91" s="45">
        <f>IF(Y10&gt;5,AVERAGEIF($D$1:$D$1048571,Y1,$J$1:$J$1048571),AVERAGEIF($C$1:$C$1048571,Y$9,$J$1:$J$1048571))</f>
        <v>92.944433404609143</v>
      </c>
    </row>
    <row r="92" spans="1:25" x14ac:dyDescent="0.25">
      <c r="A92">
        <v>7172</v>
      </c>
      <c r="B92" t="s">
        <v>18</v>
      </c>
      <c r="C92" s="37">
        <v>2</v>
      </c>
      <c r="D92" s="37" t="str">
        <f t="shared" si="15"/>
        <v>2-GLOBE</v>
      </c>
      <c r="E92">
        <v>229.99299999999999</v>
      </c>
      <c r="F92">
        <v>194.79</v>
      </c>
      <c r="G92">
        <v>4.9000000000000004</v>
      </c>
      <c r="H92">
        <v>11.4</v>
      </c>
      <c r="I92">
        <f t="shared" si="16"/>
        <v>84.693881987712672</v>
      </c>
      <c r="J92">
        <f t="shared" si="17"/>
        <v>90.907315767849596</v>
      </c>
      <c r="K92" s="45"/>
      <c r="L92" s="45"/>
      <c r="M92" s="51" t="s">
        <v>133</v>
      </c>
      <c r="N92" s="45">
        <f>IF(N11&gt;5,AVERAGEIF($D$1:$D$1048571,N2,$J$1:$J$1048571),AVERAGEIF($C$1:$C$1048571,N$9,$J$1:$J$1048571))</f>
        <v>93.001465099648229</v>
      </c>
      <c r="O92" s="45">
        <f>IF(O11&gt;5,AVERAGEIF($D$1:$D$1048571,O2,$J$1:$J$1048571),AVERAGEIF($C$1:$C$1048571,O$9,$J$1:$J$1048571))</f>
        <v>93.429220369252249</v>
      </c>
      <c r="P92" s="45">
        <f>IF(P11&gt;5,AVERAGEIF($D$1:$D$1048571,P2,$J$1:$J$1048571),AVERAGEIF($C$1:$C$1048571,P$9,$J$1:$J$1048571))</f>
        <v>93.020129025827018</v>
      </c>
      <c r="Q92" s="45">
        <f>IF(Q11&gt;5,AVERAGEIF($D$1:$D$1048571,Q2,$J$1:$J$1048571),AVERAGEIF($C$1:$C$1048571,Q$9,$J$1:$J$1048571))</f>
        <v>93.43697232369729</v>
      </c>
      <c r="R92" s="45">
        <f>IF(R11&gt;5,AVERAGEIF($D$1:$D$1048571,R2,$J$1:$J$1048571),AVERAGEIF($C$1:$C$1048571,R$9,$J$1:$J$1048571))</f>
        <v>92.939141908567152</v>
      </c>
      <c r="S92" s="45">
        <f>IF(S11&gt;5,AVERAGEIF($D$1:$D$1048571,S2,$J$1:$J$1048571),AVERAGEIF($C$1:$C$1048571,S$9,$J$1:$J$1048571))</f>
        <v>92.214551188021389</v>
      </c>
      <c r="T92" s="45">
        <f>IF(T11&gt;5,AVERAGEIF($D$1:$D$1048571,T2,$J$1:$J$1048571),AVERAGEIF($C$1:$C$1048571,T$9,$J$1:$J$1048571))</f>
        <v>91.424577668691896</v>
      </c>
      <c r="U92" s="45">
        <f>IF(U11&gt;5,AVERAGEIF($D$1:$D$1048571,U2,$J$1:$J$1048571),AVERAGEIF($C$1:$C$1048571,U$9,$J$1:$J$1048571))</f>
        <v>91.493626241336429</v>
      </c>
      <c r="V92" s="45">
        <f>IF(V11&gt;5,AVERAGEIF($D$1:$D$1048571,V2,$J$1:$J$1048571),AVERAGEIF($C$1:$C$1048571,V$9,$J$1:$J$1048571))</f>
        <v>91.973593588328981</v>
      </c>
      <c r="W92" s="45">
        <f>IF(W11&gt;5,AVERAGEIF($D$1:$D$1048571,W2,$J$1:$J$1048571),AVERAGEIF($C$1:$C$1048571,W$9,$J$1:$J$1048571))</f>
        <v>93.003179630712722</v>
      </c>
      <c r="X92" s="45">
        <f>IF(X11&gt;5,AVERAGEIF($D$1:$D$1048571,X2,$J$1:$J$1048571),AVERAGEIF($C$1:$C$1048571,X$9,$J$1:$J$1048571))</f>
        <v>92.782634323806306</v>
      </c>
      <c r="Y92" s="45">
        <f>IF(Y11&gt;5,AVERAGEIF($D$1:$D$1048571,Y2,$J$1:$J$1048571),AVERAGEIF($C$1:$C$1048571,Y$9,$J$1:$J$1048571))</f>
        <v>93.678936651371188</v>
      </c>
    </row>
    <row r="93" spans="1:25" x14ac:dyDescent="0.25">
      <c r="A93">
        <v>7177</v>
      </c>
      <c r="B93" t="s">
        <v>18</v>
      </c>
      <c r="C93" s="37">
        <v>2</v>
      </c>
      <c r="D93" s="37" t="str">
        <f t="shared" si="15"/>
        <v>2-GLOBE</v>
      </c>
      <c r="E93">
        <v>235.00299999999999</v>
      </c>
      <c r="F93">
        <v>200.864</v>
      </c>
      <c r="G93">
        <v>3.6</v>
      </c>
      <c r="H93">
        <v>12</v>
      </c>
      <c r="I93">
        <f t="shared" si="16"/>
        <v>85.472951409130957</v>
      </c>
      <c r="J93">
        <f t="shared" si="17"/>
        <v>93.631733134548</v>
      </c>
      <c r="K93" s="45"/>
      <c r="L93" s="45"/>
      <c r="M93" s="51" t="s">
        <v>138</v>
      </c>
      <c r="N93" s="45">
        <f>IF(N13&gt;5,AVERAGEIF($D$1:$D$1048571,N4,$J$1:$J$1048571),AVERAGEIF($C$1:$C$1048571,N$9,$J$1:$J$1048571))</f>
        <v>93.001465099648229</v>
      </c>
      <c r="O93" s="45">
        <f>IF(O13&gt;5,AVERAGEIF($D$1:$D$1048571,O4,$J$1:$J$1048571),AVERAGEIF($C$1:$C$1048571,O$9,$J$1:$J$1048571))</f>
        <v>93.429220369252249</v>
      </c>
      <c r="P93" s="45">
        <f>IF(P13&gt;5,AVERAGEIF($D$1:$D$1048571,P4,$J$1:$J$1048571),AVERAGEIF($C$1:$C$1048571,P$9,$J$1:$J$1048571))</f>
        <v>93.020129025827018</v>
      </c>
      <c r="Q93" s="45">
        <f>IF(Q13&gt;5,AVERAGEIF($D$1:$D$1048571,Q4,$J$1:$J$1048571),AVERAGEIF($C$1:$C$1048571,Q$9,$J$1:$J$1048571))</f>
        <v>93.43697232369729</v>
      </c>
      <c r="R93" s="45">
        <f>IF(R13&gt;5,AVERAGEIF($D$1:$D$1048571,R4,$J$1:$J$1048571),AVERAGEIF($C$1:$C$1048571,R$9,$J$1:$J$1048571))</f>
        <v>92.939141908567152</v>
      </c>
      <c r="S93" s="45">
        <f>IF(S13&gt;5,AVERAGEIF($D$1:$D$1048571,S4,$J$1:$J$1048571),AVERAGEIF($C$1:$C$1048571,S$9,$J$1:$J$1048571))</f>
        <v>92.214551188021389</v>
      </c>
      <c r="T93" s="45">
        <f>IF(T13&gt;5,AVERAGEIF($D$1:$D$1048571,T4,$J$1:$J$1048571),AVERAGEIF($C$1:$C$1048571,T$9,$J$1:$J$1048571))</f>
        <v>91.424577668691896</v>
      </c>
      <c r="U93" s="45">
        <f>IF(U13&gt;5,AVERAGEIF($D$1:$D$1048571,U4,$J$1:$J$1048571),AVERAGEIF($C$1:$C$1048571,U$9,$J$1:$J$1048571))</f>
        <v>91.493626241336429</v>
      </c>
      <c r="V93" s="45">
        <f>IF(V13&gt;5,AVERAGEIF($D$1:$D$1048571,V4,$J$1:$J$1048571),AVERAGEIF($C$1:$C$1048571,V$9,$J$1:$J$1048571))</f>
        <v>91.973593588328981</v>
      </c>
      <c r="W93" s="45">
        <f>IF(W13&gt;5,AVERAGEIF($D$1:$D$1048571,W4,$J$1:$J$1048571),AVERAGEIF($C$1:$C$1048571,W$9,$J$1:$J$1048571))</f>
        <v>93.003179630712722</v>
      </c>
      <c r="X93" s="45">
        <f>IF(X13&gt;5,AVERAGEIF($D$1:$D$1048571,X4,$J$1:$J$1048571),AVERAGEIF($C$1:$C$1048571,X$9,$J$1:$J$1048571))</f>
        <v>92.782634323806306</v>
      </c>
      <c r="Y93" s="45">
        <f>IF(Y13&gt;5,AVERAGEIF($D$1:$D$1048571,Y4,$J$1:$J$1048571),AVERAGEIF($C$1:$C$1048571,Y$9,$J$1:$J$1048571))</f>
        <v>93.678936651371188</v>
      </c>
    </row>
    <row r="94" spans="1:25" x14ac:dyDescent="0.25">
      <c r="A94">
        <v>7195</v>
      </c>
      <c r="B94" t="s">
        <v>37</v>
      </c>
      <c r="C94" s="37">
        <v>3</v>
      </c>
      <c r="D94" s="37" t="str">
        <f t="shared" si="15"/>
        <v>3-Kronenbourg</v>
      </c>
      <c r="E94">
        <v>235.08</v>
      </c>
      <c r="F94">
        <v>194.886</v>
      </c>
      <c r="G94">
        <v>3.7</v>
      </c>
      <c r="H94">
        <v>12.6</v>
      </c>
      <c r="I94">
        <f t="shared" si="16"/>
        <v>82.901990811638584</v>
      </c>
      <c r="J94">
        <f t="shared" si="17"/>
        <v>91.34395555103886</v>
      </c>
      <c r="K94" s="45"/>
      <c r="L94" s="45"/>
      <c r="M94" s="51" t="s">
        <v>131</v>
      </c>
      <c r="N94" s="45">
        <f>IF(N13&gt;5,AVERAGEIF($D$1:$D$1048571,N4,$J$1:$J$1048571),AVERAGEIF($C$1:$C$1048571,N$9,$J$1:$J$1048571))</f>
        <v>93.001465099648229</v>
      </c>
      <c r="O94" s="45">
        <f>IF(O13&gt;5,AVERAGEIF($D$1:$D$1048571,O4,$J$1:$J$1048571),AVERAGEIF($C$1:$C$1048571,O$9,$J$1:$J$1048571))</f>
        <v>93.429220369252249</v>
      </c>
      <c r="P94" s="45">
        <f>IF(P13&gt;5,AVERAGEIF($D$1:$D$1048571,P4,$J$1:$J$1048571),AVERAGEIF($C$1:$C$1048571,P$9,$J$1:$J$1048571))</f>
        <v>93.020129025827018</v>
      </c>
      <c r="Q94" s="45">
        <f>IF(Q13&gt;5,AVERAGEIF($D$1:$D$1048571,Q4,$J$1:$J$1048571),AVERAGEIF($C$1:$C$1048571,Q$9,$J$1:$J$1048571))</f>
        <v>93.43697232369729</v>
      </c>
      <c r="R94" s="45">
        <f>IF(R13&gt;5,AVERAGEIF($D$1:$D$1048571,R4,$J$1:$J$1048571),AVERAGEIF($C$1:$C$1048571,R$9,$J$1:$J$1048571))</f>
        <v>92.939141908567152</v>
      </c>
      <c r="S94" s="45">
        <f>IF(S13&gt;5,AVERAGEIF($D$1:$D$1048571,S4,$J$1:$J$1048571),AVERAGEIF($C$1:$C$1048571,S$9,$J$1:$J$1048571))</f>
        <v>92.214551188021389</v>
      </c>
      <c r="T94" s="45">
        <f>IF(T13&gt;5,AVERAGEIF($D$1:$D$1048571,T4,$J$1:$J$1048571),AVERAGEIF($C$1:$C$1048571,T$9,$J$1:$J$1048571))</f>
        <v>91.424577668691896</v>
      </c>
      <c r="U94" s="45">
        <f>IF(U13&gt;5,AVERAGEIF($D$1:$D$1048571,U4,$J$1:$J$1048571),AVERAGEIF($C$1:$C$1048571,U$9,$J$1:$J$1048571))</f>
        <v>91.493626241336429</v>
      </c>
      <c r="V94" s="45">
        <f>IF(V13&gt;5,AVERAGEIF($D$1:$D$1048571,V4,$J$1:$J$1048571),AVERAGEIF($C$1:$C$1048571,V$9,$J$1:$J$1048571))</f>
        <v>91.973593588328981</v>
      </c>
      <c r="W94" s="45">
        <f>IF(W13&gt;5,AVERAGEIF($D$1:$D$1048571,W4,$J$1:$J$1048571),AVERAGEIF($C$1:$C$1048571,W$9,$J$1:$J$1048571))</f>
        <v>93.003179630712722</v>
      </c>
      <c r="X94" s="45">
        <f>IF(X13&gt;5,AVERAGEIF($D$1:$D$1048571,X4,$J$1:$J$1048571),AVERAGEIF($C$1:$C$1048571,X$9,$J$1:$J$1048571))</f>
        <v>92.782634323806306</v>
      </c>
      <c r="Y94" s="45">
        <f>IF(Y13&gt;5,AVERAGEIF($D$1:$D$1048571,Y4,$J$1:$J$1048571),AVERAGEIF($C$1:$C$1048571,Y$9,$J$1:$J$1048571))</f>
        <v>93.678936651371188</v>
      </c>
    </row>
    <row r="95" spans="1:25" x14ac:dyDescent="0.25">
      <c r="A95">
        <v>7200</v>
      </c>
      <c r="B95" t="s">
        <v>17</v>
      </c>
      <c r="C95" s="37">
        <v>3</v>
      </c>
      <c r="D95" s="37" t="str">
        <f t="shared" si="15"/>
        <v>3-HEINEKEN</v>
      </c>
      <c r="E95">
        <v>235.06899999999999</v>
      </c>
      <c r="F95">
        <v>201.35499999999999</v>
      </c>
      <c r="G95">
        <v>4.2</v>
      </c>
      <c r="H95">
        <v>12.3</v>
      </c>
      <c r="I95">
        <f t="shared" si="16"/>
        <v>85.657828127060569</v>
      </c>
      <c r="J95">
        <f t="shared" si="17"/>
        <v>93.569212480871172</v>
      </c>
      <c r="K95" s="45"/>
      <c r="L95" s="45"/>
      <c r="M95" s="51" t="s">
        <v>140</v>
      </c>
      <c r="N95" s="45">
        <f>IF(N14&gt;5,AVERAGEIF($D$1:$D$1048571,N5,$J$1:$J$1048571),AVERAGEIF($C$1:$C$1048571,N$9,$J$1:$J$1048571))</f>
        <v>93.001465099648229</v>
      </c>
      <c r="O95" s="45">
        <f>IF(O14&gt;5,AVERAGEIF($D$1:$D$1048571,O5,$J$1:$J$1048571),AVERAGEIF($C$1:$C$1048571,O$9,$J$1:$J$1048571))</f>
        <v>93.429220369252249</v>
      </c>
      <c r="P95" s="45">
        <f>IF(P14&gt;5,AVERAGEIF($D$1:$D$1048571,P5,$J$1:$J$1048571),AVERAGEIF($C$1:$C$1048571,P$9,$J$1:$J$1048571))</f>
        <v>93.020129025827018</v>
      </c>
      <c r="Q95" s="45">
        <f>IF(Q14&gt;5,AVERAGEIF($D$1:$D$1048571,Q5,$J$1:$J$1048571),AVERAGEIF($C$1:$C$1048571,Q$9,$J$1:$J$1048571))</f>
        <v>93.43697232369729</v>
      </c>
      <c r="R95" s="45">
        <f>IF(R14&gt;5,AVERAGEIF($D$1:$D$1048571,R5,$J$1:$J$1048571),AVERAGEIF($C$1:$C$1048571,R$9,$J$1:$J$1048571))</f>
        <v>92.939141908567152</v>
      </c>
      <c r="S95" s="45">
        <f>IF(S14&gt;5,AVERAGEIF($D$1:$D$1048571,S5,$J$1:$J$1048571),AVERAGEIF($C$1:$C$1048571,S$9,$J$1:$J$1048571))</f>
        <v>92.214551188021389</v>
      </c>
      <c r="T95" s="45">
        <f>IF(T14&gt;5,AVERAGEIF($D$1:$D$1048571,T5,$J$1:$J$1048571),AVERAGEIF($C$1:$C$1048571,T$9,$J$1:$J$1048571))</f>
        <v>91.424577668691896</v>
      </c>
      <c r="U95" s="45">
        <f>IF(U14&gt;5,AVERAGEIF($D$1:$D$1048571,U5,$J$1:$J$1048571),AVERAGEIF($C$1:$C$1048571,U$9,$J$1:$J$1048571))</f>
        <v>91.940109668034935</v>
      </c>
      <c r="V95" s="45">
        <f>IF(V14&gt;5,AVERAGEIF($D$1:$D$1048571,V5,$J$1:$J$1048571),AVERAGEIF($C$1:$C$1048571,V$9,$J$1:$J$1048571))</f>
        <v>91.973593588328981</v>
      </c>
      <c r="W95" s="45">
        <f>IF(W14&gt;5,AVERAGEIF($D$1:$D$1048571,W5,$J$1:$J$1048571),AVERAGEIF($C$1:$C$1048571,W$9,$J$1:$J$1048571))</f>
        <v>93.003179630712722</v>
      </c>
      <c r="X95" s="45">
        <f>IF(X14&gt;5,AVERAGEIF($D$1:$D$1048571,X5,$J$1:$J$1048571),AVERAGEIF($C$1:$C$1048571,X$9,$J$1:$J$1048571))</f>
        <v>92.782634323806306</v>
      </c>
      <c r="Y95" s="45">
        <f>IF(Y14&gt;5,AVERAGEIF($D$1:$D$1048571,Y5,$J$1:$J$1048571),AVERAGEIF($C$1:$C$1048571,Y$9,$J$1:$J$1048571))</f>
        <v>93.678936651371188</v>
      </c>
    </row>
    <row r="96" spans="1:25" x14ac:dyDescent="0.25">
      <c r="A96">
        <v>7205</v>
      </c>
      <c r="B96" t="s">
        <v>18</v>
      </c>
      <c r="C96" s="37">
        <v>3</v>
      </c>
      <c r="D96" s="37" t="str">
        <f t="shared" si="15"/>
        <v>3-GLOBE</v>
      </c>
      <c r="E96">
        <v>235.01</v>
      </c>
      <c r="F96">
        <v>199.61099999999999</v>
      </c>
      <c r="G96">
        <v>4.0999999999999996</v>
      </c>
      <c r="H96">
        <v>12.2</v>
      </c>
      <c r="I96">
        <f t="shared" si="16"/>
        <v>84.937236713331345</v>
      </c>
      <c r="J96">
        <f t="shared" si="17"/>
        <v>92.773132127659181</v>
      </c>
      <c r="K96" s="45"/>
      <c r="L96" s="45"/>
      <c r="M96" s="51" t="s">
        <v>134</v>
      </c>
      <c r="N96" s="45">
        <f>IF(N14&gt;5,AVERAGEIF($D$1:$D$1048571,N5,$J$1:$J$1048571),AVERAGEIF($C$1:$C$1048571,N$9,$J$1:$J$1048571))</f>
        <v>93.001465099648229</v>
      </c>
      <c r="O96" s="45">
        <f>IF(O14&gt;5,AVERAGEIF($D$1:$D$1048571,O5,$J$1:$J$1048571),AVERAGEIF($C$1:$C$1048571,O$9,$J$1:$J$1048571))</f>
        <v>93.429220369252249</v>
      </c>
      <c r="P96" s="45">
        <f>IF(P14&gt;5,AVERAGEIF($D$1:$D$1048571,P5,$J$1:$J$1048571),AVERAGEIF($C$1:$C$1048571,P$9,$J$1:$J$1048571))</f>
        <v>93.020129025827018</v>
      </c>
      <c r="Q96" s="45">
        <f>IF(Q14&gt;5,AVERAGEIF($D$1:$D$1048571,Q5,$J$1:$J$1048571),AVERAGEIF($C$1:$C$1048571,Q$9,$J$1:$J$1048571))</f>
        <v>93.43697232369729</v>
      </c>
      <c r="R96" s="45">
        <f>IF(R14&gt;5,AVERAGEIF($D$1:$D$1048571,R5,$J$1:$J$1048571),AVERAGEIF($C$1:$C$1048571,R$9,$J$1:$J$1048571))</f>
        <v>92.939141908567152</v>
      </c>
      <c r="S96" s="45">
        <f>IF(S14&gt;5,AVERAGEIF($D$1:$D$1048571,S5,$J$1:$J$1048571),AVERAGEIF($C$1:$C$1048571,S$9,$J$1:$J$1048571))</f>
        <v>92.214551188021389</v>
      </c>
      <c r="T96" s="45">
        <f>IF(T14&gt;5,AVERAGEIF($D$1:$D$1048571,T5,$J$1:$J$1048571),AVERAGEIF($C$1:$C$1048571,T$9,$J$1:$J$1048571))</f>
        <v>91.424577668691896</v>
      </c>
      <c r="U96" s="45">
        <f>IF(U14&gt;5,AVERAGEIF($D$1:$D$1048571,U5,$J$1:$J$1048571),AVERAGEIF($C$1:$C$1048571,U$9,$J$1:$J$1048571))</f>
        <v>91.940109668034935</v>
      </c>
      <c r="V96" s="45">
        <f>IF(V14&gt;5,AVERAGEIF($D$1:$D$1048571,V5,$J$1:$J$1048571),AVERAGEIF($C$1:$C$1048571,V$9,$J$1:$J$1048571))</f>
        <v>91.973593588328981</v>
      </c>
      <c r="W96" s="45">
        <f>IF(W14&gt;5,AVERAGEIF($D$1:$D$1048571,W5,$J$1:$J$1048571),AVERAGEIF($C$1:$C$1048571,W$9,$J$1:$J$1048571))</f>
        <v>93.003179630712722</v>
      </c>
      <c r="X96" s="45">
        <f>IF(X14&gt;5,AVERAGEIF($D$1:$D$1048571,X5,$J$1:$J$1048571),AVERAGEIF($C$1:$C$1048571,X$9,$J$1:$J$1048571))</f>
        <v>92.782634323806306</v>
      </c>
      <c r="Y96" s="45">
        <f>IF(Y14&gt;5,AVERAGEIF($D$1:$D$1048571,Y5,$J$1:$J$1048571),AVERAGEIF($C$1:$C$1048571,Y$9,$J$1:$J$1048571))</f>
        <v>93.678936651371188</v>
      </c>
    </row>
    <row r="97" spans="1:25" x14ac:dyDescent="0.25">
      <c r="A97">
        <v>7207</v>
      </c>
      <c r="B97" t="s">
        <v>17</v>
      </c>
      <c r="C97" s="37">
        <v>3</v>
      </c>
      <c r="D97" s="37" t="str">
        <f t="shared" si="15"/>
        <v>3-HEINEKEN</v>
      </c>
      <c r="E97">
        <v>234.93600000000001</v>
      </c>
      <c r="F97">
        <v>200.63499999999999</v>
      </c>
      <c r="G97">
        <v>3.9</v>
      </c>
      <c r="H97">
        <v>12.2</v>
      </c>
      <c r="I97">
        <f t="shared" si="16"/>
        <v>85.399853577144398</v>
      </c>
      <c r="J97">
        <f t="shared" si="17"/>
        <v>93.472960464277648</v>
      </c>
      <c r="K97" s="45"/>
      <c r="L97" s="45"/>
      <c r="M97" s="51" t="s">
        <v>135</v>
      </c>
      <c r="N97" s="45">
        <f>IF(N14&gt;5,AVERAGEIF($D$1:$D$1048571,N5,$J$1:$J$1048571),AVERAGEIF($C$1:$C$1048571,N$9,$J$1:$J$1048571))</f>
        <v>93.001465099648229</v>
      </c>
      <c r="O97" s="45">
        <f>IF(O14&gt;5,AVERAGEIF($D$1:$D$1048571,O5,$J$1:$J$1048571),AVERAGEIF($C$1:$C$1048571,O$9,$J$1:$J$1048571))</f>
        <v>93.429220369252249</v>
      </c>
      <c r="P97" s="45">
        <f>IF(P14&gt;5,AVERAGEIF($D$1:$D$1048571,P5,$J$1:$J$1048571),AVERAGEIF($C$1:$C$1048571,P$9,$J$1:$J$1048571))</f>
        <v>93.020129025827018</v>
      </c>
      <c r="Q97" s="45">
        <f>IF(Q14&gt;5,AVERAGEIF($D$1:$D$1048571,Q5,$J$1:$J$1048571),AVERAGEIF($C$1:$C$1048571,Q$9,$J$1:$J$1048571))</f>
        <v>93.43697232369729</v>
      </c>
      <c r="R97" s="45">
        <f>IF(R14&gt;5,AVERAGEIF($D$1:$D$1048571,R5,$J$1:$J$1048571),AVERAGEIF($C$1:$C$1048571,R$9,$J$1:$J$1048571))</f>
        <v>92.939141908567152</v>
      </c>
      <c r="S97" s="45">
        <f>IF(S14&gt;5,AVERAGEIF($D$1:$D$1048571,S5,$J$1:$J$1048571),AVERAGEIF($C$1:$C$1048571,S$9,$J$1:$J$1048571))</f>
        <v>92.214551188021389</v>
      </c>
      <c r="T97" s="45">
        <f>IF(T14&gt;5,AVERAGEIF($D$1:$D$1048571,T5,$J$1:$J$1048571),AVERAGEIF($C$1:$C$1048571,T$9,$J$1:$J$1048571))</f>
        <v>91.424577668691896</v>
      </c>
      <c r="U97" s="45">
        <f>IF(U14&gt;5,AVERAGEIF($D$1:$D$1048571,U5,$J$1:$J$1048571),AVERAGEIF($C$1:$C$1048571,U$9,$J$1:$J$1048571))</f>
        <v>91.940109668034935</v>
      </c>
      <c r="V97" s="45">
        <f>IF(V14&gt;5,AVERAGEIF($D$1:$D$1048571,V5,$J$1:$J$1048571),AVERAGEIF($C$1:$C$1048571,V$9,$J$1:$J$1048571))</f>
        <v>91.973593588328981</v>
      </c>
      <c r="W97" s="45">
        <f>IF(W14&gt;5,AVERAGEIF($D$1:$D$1048571,W5,$J$1:$J$1048571),AVERAGEIF($C$1:$C$1048571,W$9,$J$1:$J$1048571))</f>
        <v>93.003179630712722</v>
      </c>
      <c r="X97" s="45">
        <f>IF(X14&gt;5,AVERAGEIF($D$1:$D$1048571,X5,$J$1:$J$1048571),AVERAGEIF($C$1:$C$1048571,X$9,$J$1:$J$1048571))</f>
        <v>92.782634323806306</v>
      </c>
      <c r="Y97" s="45">
        <f>IF(Y14&gt;5,AVERAGEIF($D$1:$D$1048571,Y5,$J$1:$J$1048571),AVERAGEIF($C$1:$C$1048571,Y$9,$J$1:$J$1048571))</f>
        <v>93.678936651371188</v>
      </c>
    </row>
    <row r="98" spans="1:25" x14ac:dyDescent="0.25">
      <c r="A98">
        <v>7210</v>
      </c>
      <c r="B98" t="s">
        <v>18</v>
      </c>
      <c r="C98" s="37">
        <v>3</v>
      </c>
      <c r="D98" s="37" t="str">
        <f t="shared" si="15"/>
        <v>3-GLOBE</v>
      </c>
      <c r="E98">
        <v>235.03299999999999</v>
      </c>
      <c r="F98">
        <v>192.52600000000001</v>
      </c>
      <c r="G98">
        <v>3.9</v>
      </c>
      <c r="H98">
        <v>12.2</v>
      </c>
      <c r="I98">
        <f t="shared" si="16"/>
        <v>81.914454565954571</v>
      </c>
      <c r="J98">
        <f t="shared" si="17"/>
        <v>89.658076125150743</v>
      </c>
      <c r="K98" s="45"/>
      <c r="L98" s="45"/>
      <c r="M98" s="51" t="s">
        <v>132</v>
      </c>
      <c r="N98" s="45">
        <f>IF(N15&gt;5,AVERAGEIF($D$1:$D$1048571,N6,$J$1:$J$1048571),AVERAGEIF($C$1:$C$1048571,N$9,$J$1:$J$1048571))</f>
        <v>93.001465099648229</v>
      </c>
      <c r="O98" s="45">
        <f>IF(O15&gt;5,AVERAGEIF($D$1:$D$1048571,O6,$J$1:$J$1048571),AVERAGEIF($C$1:$C$1048571,O$9,$J$1:$J$1048571))</f>
        <v>93.429220369252249</v>
      </c>
      <c r="P98" s="45">
        <f>IF(P15&gt;5,AVERAGEIF($D$1:$D$1048571,P6,$J$1:$J$1048571),AVERAGEIF($C$1:$C$1048571,P$9,$J$1:$J$1048571))</f>
        <v>93.020129025827018</v>
      </c>
      <c r="Q98" s="45">
        <f>IF(Q15&gt;5,AVERAGEIF($D$1:$D$1048571,Q6,$J$1:$J$1048571),AVERAGEIF($C$1:$C$1048571,Q$9,$J$1:$J$1048571))</f>
        <v>93.43697232369729</v>
      </c>
      <c r="R98" s="45">
        <f>IF(R15&gt;5,AVERAGEIF($D$1:$D$1048571,R6,$J$1:$J$1048571),AVERAGEIF($C$1:$C$1048571,R$9,$J$1:$J$1048571))</f>
        <v>92.939141908567152</v>
      </c>
      <c r="S98" s="45">
        <f>IF(S15&gt;5,AVERAGEIF($D$1:$D$1048571,S6,$J$1:$J$1048571),AVERAGEIF($C$1:$C$1048571,S$9,$J$1:$J$1048571))</f>
        <v>92.214551188021389</v>
      </c>
      <c r="T98" s="45">
        <f>IF(T15&gt;5,AVERAGEIF($D$1:$D$1048571,T6,$J$1:$J$1048571),AVERAGEIF($C$1:$C$1048571,T$9,$J$1:$J$1048571))</f>
        <v>91.424577668691896</v>
      </c>
      <c r="U98" s="45">
        <f>IF(U15&gt;5,AVERAGEIF($D$1:$D$1048571,U6,$J$1:$J$1048571),AVERAGEIF($C$1:$C$1048571,U$9,$J$1:$J$1048571))</f>
        <v>91.493626241336429</v>
      </c>
      <c r="V98" s="45">
        <f>IF(V15&gt;5,AVERAGEIF($D$1:$D$1048571,V6,$J$1:$J$1048571),AVERAGEIF($C$1:$C$1048571,V$9,$J$1:$J$1048571))</f>
        <v>91.973593588328981</v>
      </c>
      <c r="W98" s="45">
        <f>IF(W15&gt;5,AVERAGEIF($D$1:$D$1048571,W6,$J$1:$J$1048571),AVERAGEIF($C$1:$C$1048571,W$9,$J$1:$J$1048571))</f>
        <v>93.003179630712722</v>
      </c>
      <c r="X98" s="45">
        <f>IF(X15&gt;5,AVERAGEIF($D$1:$D$1048571,X6,$J$1:$J$1048571),AVERAGEIF($C$1:$C$1048571,X$9,$J$1:$J$1048571))</f>
        <v>92.782634323806306</v>
      </c>
      <c r="Y98" s="45">
        <f>IF(Y15&gt;5,AVERAGEIF($D$1:$D$1048571,Y6,$J$1:$J$1048571),AVERAGEIF($C$1:$C$1048571,Y$9,$J$1:$J$1048571))</f>
        <v>93.678936651371188</v>
      </c>
    </row>
    <row r="99" spans="1:25" x14ac:dyDescent="0.25">
      <c r="A99">
        <v>7217</v>
      </c>
      <c r="B99" t="s">
        <v>38</v>
      </c>
      <c r="C99" s="37">
        <v>3</v>
      </c>
      <c r="D99" s="37" t="str">
        <f t="shared" si="15"/>
        <v>3-SAB</v>
      </c>
      <c r="E99">
        <v>235.011</v>
      </c>
      <c r="F99">
        <v>192.17599999999999</v>
      </c>
      <c r="G99">
        <v>3.7</v>
      </c>
      <c r="H99">
        <v>12.6</v>
      </c>
      <c r="I99">
        <f t="shared" si="16"/>
        <v>81.773193595193419</v>
      </c>
      <c r="J99">
        <f t="shared" si="17"/>
        <v>90.100212164955678</v>
      </c>
      <c r="K99" s="45"/>
      <c r="L99" s="45"/>
      <c r="M99" s="51" t="s">
        <v>137</v>
      </c>
      <c r="N99" s="45" t="e">
        <f>IF(#REF!&gt;5,AVERAGEIF($D$1:$D$1048571,#REF!,$J$1:$J$1048571),AVERAGEIF($C$1:$C$1048571,N$9,$J$1:$J$1048571))</f>
        <v>#REF!</v>
      </c>
      <c r="O99" s="45" t="e">
        <f>IF(#REF!&gt;5,AVERAGEIF($D$1:$D$1048571,#REF!,$J$1:$J$1048571),AVERAGEIF($C$1:$C$1048571,O$9,$J$1:$J$1048571))</f>
        <v>#REF!</v>
      </c>
      <c r="P99" s="45" t="e">
        <f>IF(#REF!&gt;5,AVERAGEIF($D$1:$D$1048571,#REF!,$J$1:$J$1048571),AVERAGEIF($C$1:$C$1048571,P$9,$J$1:$J$1048571))</f>
        <v>#REF!</v>
      </c>
      <c r="Q99" s="45" t="e">
        <f>IF(#REF!&gt;5,AVERAGEIF($D$1:$D$1048571,#REF!,$J$1:$J$1048571),AVERAGEIF($C$1:$C$1048571,Q$9,$J$1:$J$1048571))</f>
        <v>#REF!</v>
      </c>
      <c r="R99" s="45" t="e">
        <f>IF(#REF!&gt;5,AVERAGEIF($D$1:$D$1048571,#REF!,$J$1:$J$1048571),AVERAGEIF($C$1:$C$1048571,R$9,$J$1:$J$1048571))</f>
        <v>#REF!</v>
      </c>
      <c r="S99" s="45" t="e">
        <f>IF(#REF!&gt;5,AVERAGEIF($D$1:$D$1048571,#REF!,$J$1:$J$1048571),AVERAGEIF($C$1:$C$1048571,S$9,$J$1:$J$1048571))</f>
        <v>#REF!</v>
      </c>
      <c r="T99" s="45" t="e">
        <f>IF(#REF!&gt;5,AVERAGEIF($D$1:$D$1048571,#REF!,$J$1:$J$1048571),AVERAGEIF($C$1:$C$1048571,T$9,$J$1:$J$1048571))</f>
        <v>#REF!</v>
      </c>
      <c r="U99" s="45" t="e">
        <f>IF(#REF!&gt;5,AVERAGEIF($D$1:$D$1048571,#REF!,$J$1:$J$1048571),AVERAGEIF($C$1:$C$1048571,U$9,$J$1:$J$1048571))</f>
        <v>#REF!</v>
      </c>
      <c r="V99" s="45" t="e">
        <f>IF(#REF!&gt;5,AVERAGEIF($D$1:$D$1048571,#REF!,$J$1:$J$1048571),AVERAGEIF($C$1:$C$1048571,V$9,$J$1:$J$1048571))</f>
        <v>#REF!</v>
      </c>
      <c r="W99" s="45" t="e">
        <f>IF(#REF!&gt;5,AVERAGEIF($D$1:$D$1048571,#REF!,$J$1:$J$1048571),AVERAGEIF($C$1:$C$1048571,W$9,$J$1:$J$1048571))</f>
        <v>#REF!</v>
      </c>
      <c r="X99" s="45" t="e">
        <f>IF(#REF!&gt;5,AVERAGEIF($D$1:$D$1048571,#REF!,$J$1:$J$1048571),AVERAGEIF($C$1:$C$1048571,X$9,$J$1:$J$1048571))</f>
        <v>#REF!</v>
      </c>
      <c r="Y99" s="45" t="e">
        <f>IF(#REF!&gt;5,AVERAGEIF($D$1:$D$1048571,#REF!,$J$1:$J$1048571),AVERAGEIF($C$1:$C$1048571,Y$9,$J$1:$J$1048571))</f>
        <v>#REF!</v>
      </c>
    </row>
    <row r="100" spans="1:25" x14ac:dyDescent="0.25">
      <c r="A100">
        <v>7222</v>
      </c>
      <c r="B100" t="s">
        <v>38</v>
      </c>
      <c r="C100" s="37">
        <v>3</v>
      </c>
      <c r="D100" s="37" t="str">
        <f t="shared" si="15"/>
        <v>3-SAB</v>
      </c>
      <c r="E100">
        <v>234.93899999999999</v>
      </c>
      <c r="F100">
        <v>197.84899999999999</v>
      </c>
      <c r="G100">
        <v>4.0999999999999996</v>
      </c>
      <c r="H100">
        <v>12.6</v>
      </c>
      <c r="I100">
        <f t="shared" si="16"/>
        <v>84.212923354572894</v>
      </c>
      <c r="J100">
        <f t="shared" si="17"/>
        <v>92.402967387912355</v>
      </c>
      <c r="K100" s="45"/>
      <c r="L100" s="45"/>
      <c r="M100" s="50" t="s">
        <v>148</v>
      </c>
      <c r="N100" s="45" t="e">
        <f>IF(#REF!&gt;5,AVERAGEIF($D$1:$D$1048571,#REF!,$J$1:$J$1048571),AVERAGEIF($C$1:$C$1048571,N$9,$J$1:$J$1048571))</f>
        <v>#REF!</v>
      </c>
      <c r="O100" s="45" t="e">
        <f>IF(#REF!&gt;5,AVERAGEIF($D$1:$D$1048571,#REF!,$J$1:$J$1048571),AVERAGEIF($C$1:$C$1048571,O$9,$J$1:$J$1048571))</f>
        <v>#REF!</v>
      </c>
      <c r="P100" s="45" t="e">
        <f>IF(#REF!&gt;5,AVERAGEIF($D$1:$D$1048571,#REF!,$J$1:$J$1048571),AVERAGEIF($C$1:$C$1048571,P$9,$J$1:$J$1048571))</f>
        <v>#REF!</v>
      </c>
      <c r="Q100" s="45" t="e">
        <f>IF(#REF!&gt;5,AVERAGEIF($D$1:$D$1048571,#REF!,$J$1:$J$1048571),AVERAGEIF($C$1:$C$1048571,Q$9,$J$1:$J$1048571))</f>
        <v>#REF!</v>
      </c>
      <c r="R100" s="45" t="e">
        <f>IF(#REF!&gt;5,AVERAGEIF($D$1:$D$1048571,#REF!,$J$1:$J$1048571),AVERAGEIF($C$1:$C$1048571,R$9,$J$1:$J$1048571))</f>
        <v>#REF!</v>
      </c>
      <c r="S100" s="45" t="e">
        <f>IF(#REF!&gt;5,AVERAGEIF($D$1:$D$1048571,#REF!,$J$1:$J$1048571),AVERAGEIF($C$1:$C$1048571,S$9,$J$1:$J$1048571))</f>
        <v>#REF!</v>
      </c>
      <c r="T100" s="45" t="e">
        <f>IF(#REF!&gt;5,AVERAGEIF($D$1:$D$1048571,#REF!,$J$1:$J$1048571),AVERAGEIF($C$1:$C$1048571,T$9,$J$1:$J$1048571))</f>
        <v>#REF!</v>
      </c>
      <c r="U100" s="45" t="e">
        <f>IF(#REF!&gt;5,AVERAGEIF($D$1:$D$1048571,#REF!,$J$1:$J$1048571),AVERAGEIF($C$1:$C$1048571,U$9,$J$1:$J$1048571))</f>
        <v>#REF!</v>
      </c>
      <c r="V100" s="45" t="e">
        <f>IF(#REF!&gt;5,AVERAGEIF($D$1:$D$1048571,#REF!,$J$1:$J$1048571),AVERAGEIF($C$1:$C$1048571,V$9,$J$1:$J$1048571))</f>
        <v>#REF!</v>
      </c>
      <c r="W100" s="45" t="e">
        <f>IF(#REF!&gt;5,AVERAGEIF($D$1:$D$1048571,#REF!,$J$1:$J$1048571),AVERAGEIF($C$1:$C$1048571,W$9,$J$1:$J$1048571))</f>
        <v>#REF!</v>
      </c>
      <c r="X100" s="45" t="e">
        <f>IF(#REF!&gt;5,AVERAGEIF($D$1:$D$1048571,#REF!,$J$1:$J$1048571),AVERAGEIF($C$1:$C$1048571,X$9,$J$1:$J$1048571))</f>
        <v>#REF!</v>
      </c>
      <c r="Y100" s="45" t="e">
        <f>IF(#REF!&gt;5,AVERAGEIF($D$1:$D$1048571,#REF!,$J$1:$J$1048571),AVERAGEIF($C$1:$C$1048571,Y$9,$J$1:$J$1048571))</f>
        <v>#REF!</v>
      </c>
    </row>
    <row r="101" spans="1:25" x14ac:dyDescent="0.25">
      <c r="A101">
        <v>7232</v>
      </c>
      <c r="B101" t="s">
        <v>18</v>
      </c>
      <c r="C101" s="37">
        <v>4</v>
      </c>
      <c r="D101" s="37" t="str">
        <f t="shared" si="15"/>
        <v>4-GLOBE</v>
      </c>
      <c r="E101">
        <v>235.02099999999999</v>
      </c>
      <c r="F101">
        <v>199.626</v>
      </c>
      <c r="G101">
        <v>3.7</v>
      </c>
      <c r="H101">
        <v>12.4</v>
      </c>
      <c r="I101">
        <f t="shared" si="16"/>
        <v>84.939643691414815</v>
      </c>
      <c r="J101">
        <f t="shared" si="17"/>
        <v>93.375430222411495</v>
      </c>
      <c r="K101" s="45"/>
      <c r="L101" s="45"/>
    </row>
    <row r="102" spans="1:25" x14ac:dyDescent="0.25">
      <c r="A102">
        <v>7237</v>
      </c>
      <c r="B102" t="s">
        <v>38</v>
      </c>
      <c r="C102" s="37">
        <v>4</v>
      </c>
      <c r="D102" s="37" t="str">
        <f t="shared" si="15"/>
        <v>4-SAB</v>
      </c>
      <c r="E102">
        <v>234.99799999999999</v>
      </c>
      <c r="F102">
        <v>198.703</v>
      </c>
      <c r="G102">
        <v>3.5</v>
      </c>
      <c r="H102">
        <v>12.2</v>
      </c>
      <c r="I102">
        <f t="shared" si="16"/>
        <v>84.555187703725139</v>
      </c>
      <c r="J102">
        <f t="shared" si="17"/>
        <v>92.933663022886975</v>
      </c>
      <c r="K102" s="45"/>
      <c r="L102" s="45"/>
    </row>
    <row r="103" spans="1:25" x14ac:dyDescent="0.25">
      <c r="A103">
        <v>7242</v>
      </c>
      <c r="B103" t="s">
        <v>37</v>
      </c>
      <c r="C103" s="37">
        <v>4</v>
      </c>
      <c r="D103" s="37" t="str">
        <f t="shared" si="15"/>
        <v>4-Kronenbourg</v>
      </c>
      <c r="E103">
        <v>235.017</v>
      </c>
      <c r="F103">
        <v>199.744</v>
      </c>
      <c r="G103">
        <v>4.2</v>
      </c>
      <c r="H103">
        <v>12.3</v>
      </c>
      <c r="I103">
        <f t="shared" si="16"/>
        <v>84.991298501810505</v>
      </c>
      <c r="J103">
        <f t="shared" si="17"/>
        <v>92.841121966629942</v>
      </c>
      <c r="K103" s="45"/>
      <c r="L103" s="45"/>
    </row>
    <row r="104" spans="1:25" x14ac:dyDescent="0.25">
      <c r="A104">
        <v>7247</v>
      </c>
      <c r="B104" t="s">
        <v>18</v>
      </c>
      <c r="C104" s="37">
        <v>4</v>
      </c>
      <c r="D104" s="37" t="str">
        <f t="shared" si="15"/>
        <v>4-GLOBE</v>
      </c>
      <c r="E104">
        <v>235.01900000000001</v>
      </c>
      <c r="F104">
        <v>199.18799999999999</v>
      </c>
      <c r="G104">
        <v>4.7</v>
      </c>
      <c r="H104">
        <v>11.4</v>
      </c>
      <c r="I104">
        <f t="shared" si="16"/>
        <v>84.753998612878107</v>
      </c>
      <c r="J104">
        <f t="shared" si="17"/>
        <v>91.163161036199583</v>
      </c>
      <c r="K104" s="45"/>
      <c r="L104" s="45"/>
    </row>
    <row r="105" spans="1:25" x14ac:dyDescent="0.25">
      <c r="A105">
        <v>7251</v>
      </c>
      <c r="B105" t="s">
        <v>17</v>
      </c>
      <c r="C105" s="37">
        <v>4</v>
      </c>
      <c r="D105" s="37" t="str">
        <f t="shared" si="15"/>
        <v>4-HEINEKEN</v>
      </c>
      <c r="E105">
        <v>230.01599999999999</v>
      </c>
      <c r="F105">
        <v>196.70400000000001</v>
      </c>
      <c r="G105">
        <v>5.2</v>
      </c>
      <c r="H105">
        <v>10.8</v>
      </c>
      <c r="I105">
        <f t="shared" si="16"/>
        <v>85.517529215358934</v>
      </c>
      <c r="J105">
        <f t="shared" si="17"/>
        <v>90.886342708699857</v>
      </c>
      <c r="K105" s="45"/>
      <c r="L105" s="45"/>
    </row>
    <row r="106" spans="1:25" x14ac:dyDescent="0.25">
      <c r="A106">
        <v>7254</v>
      </c>
      <c r="B106" t="s">
        <v>18</v>
      </c>
      <c r="C106" s="37">
        <v>5</v>
      </c>
      <c r="D106" s="37" t="str">
        <f t="shared" si="15"/>
        <v>5-GLOBE</v>
      </c>
      <c r="E106">
        <v>234.97399999999999</v>
      </c>
      <c r="F106">
        <v>198.11</v>
      </c>
      <c r="G106">
        <v>3.9</v>
      </c>
      <c r="H106">
        <v>11.6</v>
      </c>
      <c r="I106">
        <f t="shared" si="16"/>
        <v>84.311455735528199</v>
      </c>
      <c r="J106">
        <f t="shared" si="17"/>
        <v>91.655326879912437</v>
      </c>
      <c r="K106" s="45"/>
      <c r="L106" s="45"/>
    </row>
    <row r="107" spans="1:25" x14ac:dyDescent="0.25">
      <c r="A107">
        <v>7259</v>
      </c>
      <c r="B107" t="s">
        <v>18</v>
      </c>
      <c r="C107" s="37">
        <v>5</v>
      </c>
      <c r="D107" s="37" t="str">
        <f t="shared" si="15"/>
        <v>5-GLOBE</v>
      </c>
      <c r="E107">
        <v>235.05500000000001</v>
      </c>
      <c r="F107">
        <v>199.3</v>
      </c>
      <c r="G107">
        <v>3.6</v>
      </c>
      <c r="H107">
        <v>12.2</v>
      </c>
      <c r="I107">
        <f t="shared" si="16"/>
        <v>84.788666482312664</v>
      </c>
      <c r="J107">
        <f t="shared" si="17"/>
        <v>93.093706707231661</v>
      </c>
      <c r="K107" s="45"/>
      <c r="L107" s="45"/>
    </row>
    <row r="108" spans="1:25" x14ac:dyDescent="0.25">
      <c r="A108">
        <v>7266</v>
      </c>
      <c r="B108" t="s">
        <v>18</v>
      </c>
      <c r="C108" s="37">
        <v>5</v>
      </c>
      <c r="D108" s="37" t="str">
        <f t="shared" si="15"/>
        <v>5-GLOBE</v>
      </c>
      <c r="E108">
        <v>235.072</v>
      </c>
      <c r="F108">
        <v>200.48099999999999</v>
      </c>
      <c r="G108">
        <v>4.8</v>
      </c>
      <c r="H108">
        <v>11.8</v>
      </c>
      <c r="I108">
        <f t="shared" si="16"/>
        <v>85.284933977674925</v>
      </c>
      <c r="J108">
        <f t="shared" si="17"/>
        <v>92.053579531458652</v>
      </c>
      <c r="K108" s="45"/>
      <c r="L108" s="45"/>
    </row>
    <row r="109" spans="1:25" x14ac:dyDescent="0.25">
      <c r="A109">
        <v>7278</v>
      </c>
      <c r="B109" t="s">
        <v>18</v>
      </c>
      <c r="C109" s="37">
        <v>5</v>
      </c>
      <c r="D109" s="37" t="str">
        <f t="shared" si="15"/>
        <v>5-GLOBE</v>
      </c>
      <c r="E109">
        <v>235.006</v>
      </c>
      <c r="F109">
        <v>198.74600000000001</v>
      </c>
      <c r="G109">
        <v>4.2</v>
      </c>
      <c r="H109">
        <v>11.4</v>
      </c>
      <c r="I109">
        <f t="shared" si="16"/>
        <v>84.570606707913839</v>
      </c>
      <c r="J109">
        <f t="shared" si="17"/>
        <v>91.443161654832352</v>
      </c>
      <c r="K109" s="45"/>
      <c r="L109" s="45"/>
    </row>
    <row r="110" spans="1:25" x14ac:dyDescent="0.25">
      <c r="A110">
        <v>7279</v>
      </c>
      <c r="B110" t="s">
        <v>18</v>
      </c>
      <c r="C110" s="37">
        <v>5</v>
      </c>
      <c r="D110" s="37" t="str">
        <f t="shared" si="15"/>
        <v>5-GLOBE</v>
      </c>
      <c r="E110">
        <v>235</v>
      </c>
      <c r="F110">
        <v>197.934</v>
      </c>
      <c r="G110">
        <v>4</v>
      </c>
      <c r="H110">
        <v>11.9</v>
      </c>
      <c r="I110">
        <f t="shared" si="16"/>
        <v>84.227234042553192</v>
      </c>
      <c r="J110">
        <f t="shared" si="17"/>
        <v>91.779959910160116</v>
      </c>
      <c r="K110" s="45"/>
      <c r="L110" s="45"/>
    </row>
    <row r="111" spans="1:25" x14ac:dyDescent="0.25">
      <c r="A111">
        <v>7283</v>
      </c>
      <c r="B111" t="s">
        <v>17</v>
      </c>
      <c r="C111" s="37">
        <v>5</v>
      </c>
      <c r="D111" s="37" t="str">
        <f t="shared" si="15"/>
        <v>5-HEINEKEN</v>
      </c>
      <c r="E111">
        <v>230.00899999999999</v>
      </c>
      <c r="F111">
        <v>199.952</v>
      </c>
      <c r="G111">
        <v>5.3</v>
      </c>
      <c r="H111">
        <v>10.3</v>
      </c>
      <c r="I111">
        <f t="shared" si="16"/>
        <v>86.93225047715525</v>
      </c>
      <c r="J111">
        <f t="shared" si="17"/>
        <v>91.777972354365687</v>
      </c>
      <c r="K111" s="45"/>
      <c r="L111" s="45"/>
    </row>
    <row r="112" spans="1:25" x14ac:dyDescent="0.25">
      <c r="A112">
        <v>7288</v>
      </c>
      <c r="B112" t="s">
        <v>17</v>
      </c>
      <c r="C112" s="37">
        <v>6</v>
      </c>
      <c r="D112" s="37" t="str">
        <f t="shared" si="15"/>
        <v>6-HEINEKEN</v>
      </c>
      <c r="E112">
        <v>230.00800000000001</v>
      </c>
      <c r="F112">
        <v>196.27199999999999</v>
      </c>
      <c r="G112">
        <v>4.0999999999999996</v>
      </c>
      <c r="H112">
        <v>11.9</v>
      </c>
      <c r="I112">
        <f t="shared" si="16"/>
        <v>85.332684080553705</v>
      </c>
      <c r="J112">
        <f t="shared" si="17"/>
        <v>92.887677676788897</v>
      </c>
      <c r="K112" s="45"/>
      <c r="L112" s="45"/>
    </row>
    <row r="113" spans="1:12" x14ac:dyDescent="0.25">
      <c r="A113">
        <v>7289</v>
      </c>
      <c r="B113" t="s">
        <v>18</v>
      </c>
      <c r="C113" s="37">
        <v>6</v>
      </c>
      <c r="D113" s="37" t="str">
        <f t="shared" si="15"/>
        <v>6-GLOBE</v>
      </c>
      <c r="E113">
        <v>230.036</v>
      </c>
      <c r="F113">
        <v>196.73</v>
      </c>
      <c r="G113">
        <v>3.9</v>
      </c>
      <c r="H113">
        <v>12</v>
      </c>
      <c r="I113">
        <f t="shared" si="16"/>
        <v>85.521396650958977</v>
      </c>
      <c r="J113">
        <f t="shared" si="17"/>
        <v>93.393252479058603</v>
      </c>
      <c r="K113" s="45"/>
      <c r="L113" s="45"/>
    </row>
    <row r="114" spans="1:12" x14ac:dyDescent="0.25">
      <c r="A114">
        <v>7290</v>
      </c>
      <c r="B114" t="s">
        <v>52</v>
      </c>
      <c r="C114" s="37">
        <v>6</v>
      </c>
      <c r="D114" s="37" t="str">
        <f t="shared" si="15"/>
        <v>6-Ambev Diékirch</v>
      </c>
      <c r="E114">
        <v>229.95099999999999</v>
      </c>
      <c r="F114">
        <v>192.68100000000001</v>
      </c>
      <c r="G114">
        <v>4.3</v>
      </c>
      <c r="H114">
        <v>12</v>
      </c>
      <c r="I114">
        <f t="shared" si="16"/>
        <v>83.792199207657291</v>
      </c>
      <c r="J114">
        <f t="shared" si="17"/>
        <v>91.124016638327305</v>
      </c>
      <c r="K114" s="45"/>
      <c r="L114" s="45"/>
    </row>
    <row r="115" spans="1:12" x14ac:dyDescent="0.25">
      <c r="A115">
        <v>7293</v>
      </c>
      <c r="B115" t="s">
        <v>18</v>
      </c>
      <c r="C115" s="37">
        <v>6</v>
      </c>
      <c r="D115" s="37" t="str">
        <f t="shared" si="15"/>
        <v>6-GLOBE</v>
      </c>
      <c r="E115">
        <v>230.01</v>
      </c>
      <c r="F115">
        <v>191.73500000000001</v>
      </c>
      <c r="G115">
        <v>4.0999999999999996</v>
      </c>
      <c r="H115">
        <v>12.6</v>
      </c>
      <c r="I115">
        <f t="shared" si="16"/>
        <v>83.359419155688897</v>
      </c>
      <c r="J115">
        <f t="shared" si="17"/>
        <v>91.466456487763907</v>
      </c>
      <c r="K115" s="45"/>
      <c r="L115" s="45"/>
    </row>
    <row r="116" spans="1:12" x14ac:dyDescent="0.25">
      <c r="A116">
        <v>7300</v>
      </c>
      <c r="B116" t="s">
        <v>18</v>
      </c>
      <c r="C116" s="37">
        <v>6</v>
      </c>
      <c r="D116" s="37" t="str">
        <f t="shared" si="15"/>
        <v>6-GLOBE</v>
      </c>
      <c r="E116">
        <v>230.006</v>
      </c>
      <c r="F116">
        <v>193.54499999999999</v>
      </c>
      <c r="G116">
        <v>3.9</v>
      </c>
      <c r="H116">
        <v>12.3</v>
      </c>
      <c r="I116">
        <f t="shared" si="16"/>
        <v>84.147804839873743</v>
      </c>
      <c r="J116">
        <f t="shared" si="17"/>
        <v>92.207571780066885</v>
      </c>
      <c r="K116" s="45"/>
      <c r="L116" s="45"/>
    </row>
    <row r="117" spans="1:12" x14ac:dyDescent="0.25">
      <c r="A117">
        <v>7305</v>
      </c>
      <c r="B117" t="s">
        <v>38</v>
      </c>
      <c r="C117" s="37">
        <v>6</v>
      </c>
      <c r="D117" s="37" t="str">
        <f t="shared" si="15"/>
        <v>6-SAB</v>
      </c>
      <c r="E117">
        <v>229.99700000000001</v>
      </c>
      <c r="F117">
        <v>191.88300000000001</v>
      </c>
      <c r="G117">
        <v>5.0999999999999996</v>
      </c>
      <c r="H117">
        <v>12.8</v>
      </c>
      <c r="I117">
        <f t="shared" si="16"/>
        <v>83.428479501906551</v>
      </c>
      <c r="J117">
        <f t="shared" si="17"/>
        <v>90.795443861593256</v>
      </c>
      <c r="K117" s="45"/>
      <c r="L117" s="45"/>
    </row>
    <row r="118" spans="1:12" x14ac:dyDescent="0.25">
      <c r="A118">
        <v>7314</v>
      </c>
      <c r="B118" t="s">
        <v>18</v>
      </c>
      <c r="C118" s="37">
        <v>7</v>
      </c>
      <c r="D118" s="37" t="str">
        <f t="shared" si="15"/>
        <v>7-GLOBE</v>
      </c>
      <c r="E118">
        <v>230.00200000000001</v>
      </c>
      <c r="F118">
        <v>189.958</v>
      </c>
      <c r="G118">
        <v>3.9</v>
      </c>
      <c r="H118">
        <v>12.4</v>
      </c>
      <c r="I118">
        <f t="shared" si="16"/>
        <v>82.589716611159901</v>
      </c>
      <c r="J118">
        <f t="shared" si="17"/>
        <v>90.60355897639802</v>
      </c>
      <c r="K118" s="45"/>
      <c r="L118" s="45"/>
    </row>
    <row r="119" spans="1:12" x14ac:dyDescent="0.25">
      <c r="A119">
        <v>7319</v>
      </c>
      <c r="B119" t="s">
        <v>38</v>
      </c>
      <c r="C119" s="37">
        <v>7</v>
      </c>
      <c r="D119" s="37" t="str">
        <f t="shared" ref="D119:D138" si="18">C119&amp;"-"&amp;B119</f>
        <v>7-SAB</v>
      </c>
      <c r="E119">
        <v>229.99799999999999</v>
      </c>
      <c r="F119">
        <v>195.17099999999999</v>
      </c>
      <c r="G119">
        <v>3.9</v>
      </c>
      <c r="H119">
        <v>13.1</v>
      </c>
      <c r="I119">
        <f t="shared" ref="I119:I138" si="19">F119/E119*100</f>
        <v>84.857694414734041</v>
      </c>
      <c r="J119">
        <f t="shared" ref="J119:J138" si="20">(F119 - (F119*(G119/100))) / (E119 - (E119*(H119/100)))*100</f>
        <v>93.841477943106341</v>
      </c>
      <c r="K119" s="45"/>
      <c r="L119" s="45"/>
    </row>
    <row r="120" spans="1:12" x14ac:dyDescent="0.25">
      <c r="A120">
        <v>7326</v>
      </c>
      <c r="B120" t="s">
        <v>38</v>
      </c>
      <c r="C120" s="37">
        <v>7</v>
      </c>
      <c r="D120" s="37" t="str">
        <f t="shared" si="18"/>
        <v>7-SAB</v>
      </c>
      <c r="E120">
        <v>229.999</v>
      </c>
      <c r="F120">
        <v>189.60599999999999</v>
      </c>
      <c r="G120">
        <v>4</v>
      </c>
      <c r="H120">
        <v>12.2</v>
      </c>
      <c r="I120">
        <f t="shared" si="19"/>
        <v>82.437749729346649</v>
      </c>
      <c r="J120">
        <f t="shared" si="20"/>
        <v>90.136947312269683</v>
      </c>
      <c r="K120" s="45"/>
      <c r="L120" s="45"/>
    </row>
    <row r="121" spans="1:12" x14ac:dyDescent="0.25">
      <c r="A121">
        <v>7333</v>
      </c>
      <c r="B121" t="s">
        <v>18</v>
      </c>
      <c r="C121" s="37">
        <v>7</v>
      </c>
      <c r="D121" s="37" t="str">
        <f t="shared" si="18"/>
        <v>7-GLOBE</v>
      </c>
      <c r="E121">
        <v>230.01300000000001</v>
      </c>
      <c r="F121">
        <v>193.31899999999999</v>
      </c>
      <c r="G121">
        <v>3.9</v>
      </c>
      <c r="H121">
        <v>12</v>
      </c>
      <c r="I121">
        <f t="shared" si="19"/>
        <v>84.046988648467689</v>
      </c>
      <c r="J121">
        <f t="shared" si="20"/>
        <v>91.783131921792545</v>
      </c>
      <c r="K121" s="45"/>
      <c r="L121" s="45"/>
    </row>
    <row r="122" spans="1:12" x14ac:dyDescent="0.25">
      <c r="A122">
        <v>7340</v>
      </c>
      <c r="B122" t="s">
        <v>18</v>
      </c>
      <c r="C122" s="37">
        <v>7</v>
      </c>
      <c r="D122" s="37" t="str">
        <f t="shared" si="18"/>
        <v>7-GLOBE</v>
      </c>
      <c r="E122">
        <v>230.00200000000001</v>
      </c>
      <c r="F122">
        <v>193.64400000000001</v>
      </c>
      <c r="G122">
        <v>4.0999999999999996</v>
      </c>
      <c r="H122">
        <v>12.1</v>
      </c>
      <c r="I122">
        <f t="shared" si="19"/>
        <v>84.192311371205463</v>
      </c>
      <c r="J122">
        <f t="shared" si="20"/>
        <v>91.854865307151357</v>
      </c>
      <c r="K122" s="45"/>
      <c r="L122" s="45"/>
    </row>
    <row r="123" spans="1:12" x14ac:dyDescent="0.25">
      <c r="A123">
        <v>7343</v>
      </c>
      <c r="B123" t="s">
        <v>18</v>
      </c>
      <c r="C123" s="37">
        <v>7</v>
      </c>
      <c r="D123" s="37" t="str">
        <f t="shared" si="18"/>
        <v>7-GLOBE</v>
      </c>
      <c r="E123">
        <v>229.96</v>
      </c>
      <c r="F123">
        <v>191.864</v>
      </c>
      <c r="G123">
        <v>4.5999999999999996</v>
      </c>
      <c r="H123">
        <v>12.3</v>
      </c>
      <c r="I123">
        <f t="shared" si="19"/>
        <v>83.433640633153601</v>
      </c>
      <c r="J123">
        <f t="shared" si="20"/>
        <v>90.759057199576418</v>
      </c>
      <c r="K123" s="45"/>
      <c r="L123" s="45"/>
    </row>
    <row r="124" spans="1:12" x14ac:dyDescent="0.25">
      <c r="A124">
        <v>7346</v>
      </c>
      <c r="B124" t="s">
        <v>38</v>
      </c>
      <c r="C124" s="37">
        <v>8</v>
      </c>
      <c r="D124" s="37" t="str">
        <f t="shared" si="18"/>
        <v>8-SAB</v>
      </c>
      <c r="E124">
        <v>230.01</v>
      </c>
      <c r="F124">
        <v>190.989</v>
      </c>
      <c r="G124">
        <v>4.2</v>
      </c>
      <c r="H124">
        <v>11.9</v>
      </c>
      <c r="I124">
        <f t="shared" si="19"/>
        <v>83.035085431068225</v>
      </c>
      <c r="J124">
        <f t="shared" si="20"/>
        <v>90.292408448312557</v>
      </c>
      <c r="K124" s="45"/>
      <c r="L124" s="45"/>
    </row>
    <row r="125" spans="1:12" x14ac:dyDescent="0.25">
      <c r="A125">
        <v>7351</v>
      </c>
      <c r="B125" t="s">
        <v>17</v>
      </c>
      <c r="C125" s="37">
        <v>8</v>
      </c>
      <c r="D125" s="37" t="str">
        <f t="shared" si="18"/>
        <v>8-HEINEKEN</v>
      </c>
      <c r="E125">
        <v>225.012</v>
      </c>
      <c r="F125">
        <v>190.75</v>
      </c>
      <c r="G125">
        <v>4.2</v>
      </c>
      <c r="H125">
        <v>12</v>
      </c>
      <c r="I125">
        <f t="shared" si="19"/>
        <v>84.77325653742912</v>
      </c>
      <c r="J125">
        <f t="shared" si="20"/>
        <v>92.28724973051942</v>
      </c>
      <c r="K125" s="45"/>
      <c r="L125" s="45"/>
    </row>
    <row r="126" spans="1:12" x14ac:dyDescent="0.25">
      <c r="A126">
        <v>7352</v>
      </c>
      <c r="B126" t="s">
        <v>38</v>
      </c>
      <c r="C126" s="37">
        <v>8</v>
      </c>
      <c r="D126" s="37" t="str">
        <f t="shared" si="18"/>
        <v>8-SAB</v>
      </c>
      <c r="E126">
        <v>230</v>
      </c>
      <c r="F126">
        <v>196.05500000000001</v>
      </c>
      <c r="G126">
        <v>4.3</v>
      </c>
      <c r="H126">
        <v>11.9</v>
      </c>
      <c r="I126">
        <f t="shared" si="19"/>
        <v>85.241304347826087</v>
      </c>
      <c r="J126">
        <f t="shared" si="20"/>
        <v>92.594697231407011</v>
      </c>
      <c r="K126" s="45"/>
      <c r="L126" s="45"/>
    </row>
    <row r="127" spans="1:12" x14ac:dyDescent="0.25">
      <c r="A127">
        <v>7353</v>
      </c>
      <c r="B127" t="s">
        <v>38</v>
      </c>
      <c r="C127" s="37">
        <v>8</v>
      </c>
      <c r="D127" s="37" t="str">
        <f t="shared" si="18"/>
        <v>8-SAB</v>
      </c>
      <c r="E127">
        <v>230.13</v>
      </c>
      <c r="F127">
        <v>196.36199999999999</v>
      </c>
      <c r="G127">
        <v>3.7</v>
      </c>
      <c r="H127">
        <v>12.2</v>
      </c>
      <c r="I127">
        <f t="shared" si="19"/>
        <v>85.326554556120442</v>
      </c>
      <c r="J127">
        <f t="shared" si="20"/>
        <v>93.587097992646932</v>
      </c>
      <c r="K127" s="45"/>
      <c r="L127" s="45"/>
    </row>
    <row r="128" spans="1:12" x14ac:dyDescent="0.25">
      <c r="A128">
        <v>7354</v>
      </c>
      <c r="B128" t="s">
        <v>38</v>
      </c>
      <c r="C128" s="37">
        <v>8</v>
      </c>
      <c r="D128" s="37" t="str">
        <f t="shared" si="18"/>
        <v>8-SAB</v>
      </c>
      <c r="E128">
        <v>229.994</v>
      </c>
      <c r="F128">
        <v>194.22399999999999</v>
      </c>
      <c r="G128">
        <v>4.0999999999999996</v>
      </c>
      <c r="H128">
        <v>11.7</v>
      </c>
      <c r="I128">
        <f t="shared" si="19"/>
        <v>84.447420367487851</v>
      </c>
      <c r="J128">
        <f t="shared" si="20"/>
        <v>91.715828009536622</v>
      </c>
      <c r="K128" s="45"/>
      <c r="L128" s="45"/>
    </row>
    <row r="129" spans="1:12" x14ac:dyDescent="0.25">
      <c r="A129">
        <v>7355</v>
      </c>
      <c r="B129" t="s">
        <v>18</v>
      </c>
      <c r="C129" s="37">
        <v>8</v>
      </c>
      <c r="D129" s="37" t="str">
        <f t="shared" si="18"/>
        <v>8-GLOBE</v>
      </c>
      <c r="E129">
        <v>230.00700000000001</v>
      </c>
      <c r="F129">
        <v>196.16300000000001</v>
      </c>
      <c r="G129">
        <v>4.4000000000000004</v>
      </c>
      <c r="H129">
        <v>11.4</v>
      </c>
      <c r="I129">
        <f t="shared" si="19"/>
        <v>85.285665218884645</v>
      </c>
      <c r="J129">
        <f t="shared" si="20"/>
        <v>92.023810326471477</v>
      </c>
      <c r="K129" s="45"/>
      <c r="L129" s="45"/>
    </row>
    <row r="130" spans="1:12" x14ac:dyDescent="0.25">
      <c r="A130">
        <v>7358</v>
      </c>
      <c r="B130" t="s">
        <v>18</v>
      </c>
      <c r="C130" s="37">
        <v>8</v>
      </c>
      <c r="D130" s="37" t="str">
        <f t="shared" si="18"/>
        <v>8-GLOBE</v>
      </c>
      <c r="E130">
        <v>230.011</v>
      </c>
      <c r="F130">
        <v>195.114</v>
      </c>
      <c r="G130">
        <v>5</v>
      </c>
      <c r="H130">
        <v>12.1</v>
      </c>
      <c r="I130">
        <f t="shared" si="19"/>
        <v>84.828116916147493</v>
      </c>
      <c r="J130">
        <f t="shared" si="20"/>
        <v>91.679989841115045</v>
      </c>
      <c r="K130" s="45"/>
      <c r="L130" s="45"/>
    </row>
    <row r="131" spans="1:12" x14ac:dyDescent="0.25">
      <c r="A131">
        <v>7359</v>
      </c>
      <c r="B131" t="s">
        <v>18</v>
      </c>
      <c r="C131" s="37">
        <v>8</v>
      </c>
      <c r="D131" s="37" t="str">
        <f t="shared" si="18"/>
        <v>8-GLOBE</v>
      </c>
      <c r="E131">
        <v>230.00899999999999</v>
      </c>
      <c r="F131">
        <v>190.87200000000001</v>
      </c>
      <c r="G131">
        <v>4.2</v>
      </c>
      <c r="H131">
        <v>11.8</v>
      </c>
      <c r="I131">
        <f t="shared" si="19"/>
        <v>82.98457886430532</v>
      </c>
      <c r="J131">
        <f t="shared" si="20"/>
        <v>90.135177496603731</v>
      </c>
      <c r="K131" s="45"/>
      <c r="L131" s="45"/>
    </row>
    <row r="132" spans="1:12" x14ac:dyDescent="0.25">
      <c r="A132">
        <v>7360</v>
      </c>
      <c r="B132" t="s">
        <v>17</v>
      </c>
      <c r="C132" s="37">
        <v>8</v>
      </c>
      <c r="D132" s="37" t="str">
        <f t="shared" si="18"/>
        <v>8-HEINEKEN</v>
      </c>
      <c r="E132">
        <v>229.999</v>
      </c>
      <c r="F132">
        <v>190.12899999999999</v>
      </c>
      <c r="G132">
        <v>4</v>
      </c>
      <c r="H132">
        <v>11.4</v>
      </c>
      <c r="I132">
        <f t="shared" si="19"/>
        <v>82.665142022356619</v>
      </c>
      <c r="J132">
        <f t="shared" si="20"/>
        <v>89.569454110002638</v>
      </c>
      <c r="K132" s="45"/>
      <c r="L132" s="45"/>
    </row>
    <row r="133" spans="1:12" x14ac:dyDescent="0.25">
      <c r="A133">
        <v>7361</v>
      </c>
      <c r="B133" t="s">
        <v>17</v>
      </c>
      <c r="C133" s="37">
        <v>8</v>
      </c>
      <c r="D133" s="37" t="str">
        <f t="shared" si="18"/>
        <v>8-HEINEKEN</v>
      </c>
      <c r="E133">
        <v>225.001</v>
      </c>
      <c r="F133">
        <v>191.37799999999999</v>
      </c>
      <c r="G133">
        <v>4.2</v>
      </c>
      <c r="H133">
        <v>11.9</v>
      </c>
      <c r="I133">
        <f t="shared" si="19"/>
        <v>85.056510859951729</v>
      </c>
      <c r="J133">
        <f t="shared" si="20"/>
        <v>92.490507836360663</v>
      </c>
      <c r="K133" s="45"/>
      <c r="L133" s="45"/>
    </row>
    <row r="134" spans="1:12" x14ac:dyDescent="0.25">
      <c r="A134">
        <v>7362</v>
      </c>
      <c r="B134" t="s">
        <v>38</v>
      </c>
      <c r="C134" s="37">
        <v>8</v>
      </c>
      <c r="D134" s="37" t="str">
        <f t="shared" si="18"/>
        <v>8-SAB</v>
      </c>
      <c r="E134">
        <v>230.001</v>
      </c>
      <c r="F134">
        <v>191.44800000000001</v>
      </c>
      <c r="G134">
        <v>4.2</v>
      </c>
      <c r="H134">
        <v>13.3</v>
      </c>
      <c r="I134">
        <f t="shared" si="19"/>
        <v>83.237898965656683</v>
      </c>
      <c r="J134">
        <f t="shared" si="20"/>
        <v>91.974518118914744</v>
      </c>
      <c r="K134" s="45"/>
      <c r="L134" s="45"/>
    </row>
    <row r="135" spans="1:12" x14ac:dyDescent="0.25">
      <c r="A135">
        <v>7363</v>
      </c>
      <c r="B135" t="s">
        <v>38</v>
      </c>
      <c r="C135" s="37">
        <v>8</v>
      </c>
      <c r="D135" s="37" t="str">
        <f t="shared" si="18"/>
        <v>8-SAB</v>
      </c>
      <c r="E135">
        <v>230.09200000000001</v>
      </c>
      <c r="F135">
        <v>191.14500000000001</v>
      </c>
      <c r="G135">
        <v>4.2</v>
      </c>
      <c r="H135">
        <v>13</v>
      </c>
      <c r="I135">
        <f t="shared" si="19"/>
        <v>83.073292422161572</v>
      </c>
      <c r="J135">
        <f t="shared" si="20"/>
        <v>91.476108207391704</v>
      </c>
      <c r="K135" s="45"/>
      <c r="L135" s="45"/>
    </row>
    <row r="136" spans="1:12" x14ac:dyDescent="0.25">
      <c r="A136">
        <v>7368</v>
      </c>
      <c r="B136" t="s">
        <v>18</v>
      </c>
      <c r="C136" s="37">
        <v>8</v>
      </c>
      <c r="D136" s="37" t="str">
        <f t="shared" si="18"/>
        <v>8-GLOBE</v>
      </c>
      <c r="E136">
        <v>230.02199999999999</v>
      </c>
      <c r="F136">
        <v>191.24700000000001</v>
      </c>
      <c r="G136">
        <v>4.2</v>
      </c>
      <c r="H136">
        <v>12.1</v>
      </c>
      <c r="I136">
        <f t="shared" si="19"/>
        <v>83.142916764483417</v>
      </c>
      <c r="J136">
        <f t="shared" si="20"/>
        <v>90.615374585182138</v>
      </c>
      <c r="K136" s="45"/>
      <c r="L136" s="45"/>
    </row>
    <row r="137" spans="1:12" x14ac:dyDescent="0.25">
      <c r="A137">
        <v>7369</v>
      </c>
      <c r="B137" t="s">
        <v>18</v>
      </c>
      <c r="C137" s="37">
        <v>8</v>
      </c>
      <c r="D137" s="37" t="str">
        <f t="shared" si="18"/>
        <v>8-GLOBE</v>
      </c>
      <c r="E137">
        <v>229.99600000000001</v>
      </c>
      <c r="F137">
        <v>193.721</v>
      </c>
      <c r="G137">
        <v>4.3</v>
      </c>
      <c r="H137">
        <v>12.1</v>
      </c>
      <c r="I137">
        <f t="shared" si="19"/>
        <v>84.22798657367953</v>
      </c>
      <c r="J137">
        <f t="shared" si="20"/>
        <v>91.702142378852471</v>
      </c>
      <c r="K137" s="45"/>
      <c r="L137" s="45"/>
    </row>
    <row r="138" spans="1:12" x14ac:dyDescent="0.25">
      <c r="A138">
        <v>7372</v>
      </c>
      <c r="B138" t="s">
        <v>18</v>
      </c>
      <c r="C138" s="37">
        <v>8</v>
      </c>
      <c r="D138" s="37" t="str">
        <f t="shared" si="18"/>
        <v>8-GLOBE</v>
      </c>
      <c r="E138">
        <v>229.977</v>
      </c>
      <c r="F138">
        <v>191.988</v>
      </c>
      <c r="G138">
        <v>4.7</v>
      </c>
      <c r="H138">
        <v>11.6</v>
      </c>
      <c r="I138">
        <f t="shared" si="19"/>
        <v>83.481391617422602</v>
      </c>
      <c r="J138">
        <f t="shared" si="20"/>
        <v>89.997473089823245</v>
      </c>
      <c r="K138" s="45"/>
      <c r="L138" s="45"/>
    </row>
    <row r="139" spans="1:12" x14ac:dyDescent="0.25">
      <c r="K139" s="45"/>
      <c r="L139" s="45"/>
    </row>
    <row r="140" spans="1:12" x14ac:dyDescent="0.25">
      <c r="K140" s="45"/>
      <c r="L140" s="45"/>
    </row>
    <row r="141" spans="1:12" x14ac:dyDescent="0.25">
      <c r="K141" s="45"/>
      <c r="L141" s="45"/>
    </row>
    <row r="142" spans="1:12" x14ac:dyDescent="0.25">
      <c r="K142" s="45"/>
      <c r="L142" s="45"/>
    </row>
    <row r="143" spans="1:12" x14ac:dyDescent="0.25">
      <c r="K143" s="45"/>
      <c r="L143" s="45"/>
    </row>
    <row r="144" spans="1:12" x14ac:dyDescent="0.25">
      <c r="K144" s="45"/>
      <c r="L144" s="45"/>
    </row>
    <row r="145" spans="11:12" x14ac:dyDescent="0.25">
      <c r="K145" s="45"/>
      <c r="L145" s="45"/>
    </row>
    <row r="146" spans="11:12" x14ac:dyDescent="0.25">
      <c r="K146" s="45"/>
      <c r="L146" s="45"/>
    </row>
    <row r="147" spans="11:12" x14ac:dyDescent="0.25">
      <c r="K147" s="45"/>
      <c r="L147" s="45"/>
    </row>
    <row r="148" spans="11:12" x14ac:dyDescent="0.25">
      <c r="K148" s="45"/>
      <c r="L148" s="45"/>
    </row>
    <row r="149" spans="11:12" x14ac:dyDescent="0.25">
      <c r="K149" s="45"/>
      <c r="L149" s="45"/>
    </row>
    <row r="150" spans="11:12" x14ac:dyDescent="0.25">
      <c r="K150" s="45"/>
      <c r="L150" s="45"/>
    </row>
    <row r="151" spans="11:12" x14ac:dyDescent="0.25">
      <c r="K151" s="45"/>
      <c r="L151" s="45"/>
    </row>
    <row r="152" spans="11:12" x14ac:dyDescent="0.25">
      <c r="K152" s="45"/>
      <c r="L152" s="45"/>
    </row>
    <row r="153" spans="11:12" x14ac:dyDescent="0.25">
      <c r="K153" s="45"/>
      <c r="L153" s="45"/>
    </row>
    <row r="154" spans="11:12" x14ac:dyDescent="0.25">
      <c r="K154" s="45"/>
      <c r="L154" s="45"/>
    </row>
    <row r="155" spans="11:12" x14ac:dyDescent="0.25">
      <c r="K155" s="45"/>
      <c r="L155" s="45"/>
    </row>
    <row r="156" spans="11:12" x14ac:dyDescent="0.25">
      <c r="K156" s="45"/>
      <c r="L156" s="45"/>
    </row>
    <row r="157" spans="11:12" x14ac:dyDescent="0.25">
      <c r="K157" s="45"/>
      <c r="L157" s="45"/>
    </row>
    <row r="158" spans="11:12" x14ac:dyDescent="0.25">
      <c r="K158" s="45"/>
      <c r="L158" s="45"/>
    </row>
    <row r="159" spans="11:12" x14ac:dyDescent="0.25">
      <c r="K159" s="45"/>
      <c r="L159" s="45"/>
    </row>
    <row r="160" spans="11:12" x14ac:dyDescent="0.25">
      <c r="K160" s="45"/>
      <c r="L160" s="45"/>
    </row>
    <row r="161" spans="11:12" x14ac:dyDescent="0.25">
      <c r="K161" s="45"/>
      <c r="L161" s="45"/>
    </row>
    <row r="162" spans="11:12" x14ac:dyDescent="0.25">
      <c r="K162" s="45"/>
      <c r="L162" s="45"/>
    </row>
    <row r="163" spans="11:12" x14ac:dyDescent="0.25">
      <c r="K163" s="45"/>
      <c r="L163" s="45"/>
    </row>
    <row r="164" spans="11:12" x14ac:dyDescent="0.25">
      <c r="K164" s="45"/>
      <c r="L164" s="45"/>
    </row>
    <row r="165" spans="11:12" x14ac:dyDescent="0.25">
      <c r="K165" s="45"/>
      <c r="L165" s="45"/>
    </row>
    <row r="166" spans="11:12" x14ac:dyDescent="0.25">
      <c r="K166" s="45"/>
      <c r="L166" s="45"/>
    </row>
    <row r="167" spans="11:12" x14ac:dyDescent="0.25">
      <c r="K167" s="45"/>
      <c r="L167" s="45"/>
    </row>
    <row r="168" spans="11:12" x14ac:dyDescent="0.25">
      <c r="K168" s="45"/>
      <c r="L168" s="45"/>
    </row>
    <row r="169" spans="11:12" x14ac:dyDescent="0.25">
      <c r="K169" s="45"/>
      <c r="L169" s="45"/>
    </row>
    <row r="170" spans="11:12" x14ac:dyDescent="0.25">
      <c r="K170" s="45"/>
      <c r="L170" s="45"/>
    </row>
    <row r="171" spans="11:12" x14ac:dyDescent="0.25">
      <c r="K171" s="45"/>
      <c r="L171" s="45"/>
    </row>
    <row r="172" spans="11:12" x14ac:dyDescent="0.25">
      <c r="K172" s="45"/>
      <c r="L172" s="45"/>
    </row>
    <row r="173" spans="11:12" x14ac:dyDescent="0.25">
      <c r="K173" s="45"/>
      <c r="L173" s="45"/>
    </row>
    <row r="174" spans="11:12" x14ac:dyDescent="0.25">
      <c r="K174" s="45"/>
      <c r="L174" s="45"/>
    </row>
    <row r="175" spans="11:12" x14ac:dyDescent="0.25">
      <c r="K175" s="45"/>
      <c r="L175" s="45"/>
    </row>
    <row r="176" spans="11:12" x14ac:dyDescent="0.25">
      <c r="K176" s="45"/>
      <c r="L176" s="45"/>
    </row>
    <row r="177" spans="11:12" x14ac:dyDescent="0.25">
      <c r="K177" s="45"/>
      <c r="L177" s="45"/>
    </row>
    <row r="178" spans="11:12" x14ac:dyDescent="0.25">
      <c r="K178" s="45"/>
      <c r="L178" s="45"/>
    </row>
    <row r="179" spans="11:12" x14ac:dyDescent="0.25">
      <c r="K179" s="45"/>
      <c r="L179" s="45"/>
    </row>
    <row r="180" spans="11:12" x14ac:dyDescent="0.25">
      <c r="K180" s="45"/>
      <c r="L180" s="45"/>
    </row>
    <row r="181" spans="11:12" x14ac:dyDescent="0.25">
      <c r="K181" s="45"/>
      <c r="L181" s="45"/>
    </row>
    <row r="182" spans="11:12" x14ac:dyDescent="0.25">
      <c r="K182" s="45"/>
      <c r="L182" s="45"/>
    </row>
    <row r="183" spans="11:12" x14ac:dyDescent="0.25">
      <c r="K183" s="45"/>
      <c r="L183" s="45"/>
    </row>
    <row r="184" spans="11:12" x14ac:dyDescent="0.25">
      <c r="K184" s="45"/>
      <c r="L184" s="45"/>
    </row>
    <row r="185" spans="11:12" x14ac:dyDescent="0.25">
      <c r="K185" s="45"/>
      <c r="L185" s="45"/>
    </row>
    <row r="186" spans="11:12" x14ac:dyDescent="0.25">
      <c r="K186" s="45"/>
      <c r="L186" s="45"/>
    </row>
    <row r="187" spans="11:12" x14ac:dyDescent="0.25">
      <c r="K187" s="45"/>
      <c r="L187" s="45"/>
    </row>
    <row r="188" spans="11:12" x14ac:dyDescent="0.25">
      <c r="K188" s="45"/>
      <c r="L188" s="45"/>
    </row>
    <row r="189" spans="11:12" x14ac:dyDescent="0.25">
      <c r="K189" s="45"/>
      <c r="L189" s="45"/>
    </row>
    <row r="190" spans="11:12" x14ac:dyDescent="0.25">
      <c r="K190" s="45"/>
      <c r="L190" s="45"/>
    </row>
    <row r="191" spans="11:12" x14ac:dyDescent="0.25">
      <c r="K191" s="45"/>
      <c r="L191" s="45"/>
    </row>
    <row r="192" spans="11:12" x14ac:dyDescent="0.25">
      <c r="K192" s="45"/>
      <c r="L192" s="45"/>
    </row>
    <row r="193" spans="11:12" x14ac:dyDescent="0.25">
      <c r="K193" s="45"/>
      <c r="L193" s="45"/>
    </row>
    <row r="194" spans="11:12" x14ac:dyDescent="0.25">
      <c r="K194" s="45"/>
      <c r="L194" s="45"/>
    </row>
    <row r="195" spans="11:12" x14ac:dyDescent="0.25">
      <c r="K195" s="45"/>
      <c r="L195" s="45"/>
    </row>
    <row r="196" spans="11:12" x14ac:dyDescent="0.25">
      <c r="K196" s="45"/>
      <c r="L196" s="45"/>
    </row>
    <row r="197" spans="11:12" x14ac:dyDescent="0.25">
      <c r="K197" s="45"/>
      <c r="L197" s="45"/>
    </row>
    <row r="198" spans="11:12" x14ac:dyDescent="0.25">
      <c r="K198" s="45"/>
      <c r="L198" s="45"/>
    </row>
    <row r="199" spans="11:12" x14ac:dyDescent="0.25">
      <c r="K199" s="45"/>
      <c r="L199" s="45"/>
    </row>
    <row r="200" spans="11:12" x14ac:dyDescent="0.25">
      <c r="K200" s="45"/>
      <c r="L200" s="45"/>
    </row>
    <row r="201" spans="11:12" x14ac:dyDescent="0.25">
      <c r="K201" s="45"/>
      <c r="L201" s="45"/>
    </row>
    <row r="202" spans="11:12" x14ac:dyDescent="0.25">
      <c r="K202" s="45"/>
      <c r="L202" s="45"/>
    </row>
    <row r="203" spans="11:12" x14ac:dyDescent="0.25">
      <c r="K203" s="45"/>
      <c r="L203" s="45"/>
    </row>
    <row r="204" spans="11:12" x14ac:dyDescent="0.25">
      <c r="K204" s="45"/>
      <c r="L204" s="45"/>
    </row>
    <row r="205" spans="11:12" x14ac:dyDescent="0.25">
      <c r="K205" s="45"/>
      <c r="L205" s="45"/>
    </row>
    <row r="206" spans="11:12" x14ac:dyDescent="0.25">
      <c r="K206" s="45"/>
      <c r="L206" s="45"/>
    </row>
    <row r="207" spans="11:12" x14ac:dyDescent="0.25">
      <c r="K207" s="45"/>
      <c r="L207" s="45"/>
    </row>
    <row r="208" spans="11:12" x14ac:dyDescent="0.25">
      <c r="K208" s="45"/>
      <c r="L208" s="45"/>
    </row>
    <row r="209" spans="11:12" x14ac:dyDescent="0.25">
      <c r="K209" s="45"/>
      <c r="L209" s="45"/>
    </row>
    <row r="210" spans="11:12" x14ac:dyDescent="0.25">
      <c r="K210" s="45"/>
      <c r="L210" s="45"/>
    </row>
    <row r="211" spans="11:12" x14ac:dyDescent="0.25">
      <c r="K211" s="45"/>
      <c r="L211" s="45"/>
    </row>
    <row r="212" spans="11:12" x14ac:dyDescent="0.25">
      <c r="K212" s="45"/>
      <c r="L212" s="45"/>
    </row>
    <row r="213" spans="11:12" x14ac:dyDescent="0.25">
      <c r="K213" s="45"/>
      <c r="L213" s="45"/>
    </row>
    <row r="214" spans="11:12" x14ac:dyDescent="0.25">
      <c r="K214" s="45"/>
      <c r="L214" s="45"/>
    </row>
    <row r="215" spans="11:12" x14ac:dyDescent="0.25">
      <c r="K215" s="45"/>
      <c r="L215" s="45"/>
    </row>
    <row r="216" spans="11:12" x14ac:dyDescent="0.25">
      <c r="K216" s="45"/>
      <c r="L216" s="45"/>
    </row>
    <row r="217" spans="11:12" x14ac:dyDescent="0.25">
      <c r="K217" s="45"/>
      <c r="L217" s="45"/>
    </row>
    <row r="218" spans="11:12" x14ac:dyDescent="0.25">
      <c r="K218" s="45"/>
      <c r="L218" s="45"/>
    </row>
    <row r="219" spans="11:12" x14ac:dyDescent="0.25">
      <c r="K219" s="45"/>
      <c r="L219" s="45"/>
    </row>
    <row r="220" spans="11:12" x14ac:dyDescent="0.25">
      <c r="K220" s="45"/>
      <c r="L220" s="45"/>
    </row>
    <row r="221" spans="11:12" x14ac:dyDescent="0.25">
      <c r="K221" s="45"/>
      <c r="L221" s="45"/>
    </row>
    <row r="222" spans="11:12" x14ac:dyDescent="0.25">
      <c r="K222" s="45"/>
      <c r="L222" s="45"/>
    </row>
    <row r="223" spans="11:12" x14ac:dyDescent="0.25">
      <c r="K223" s="45"/>
      <c r="L223" s="45"/>
    </row>
    <row r="224" spans="11:12" x14ac:dyDescent="0.25">
      <c r="K224" s="45"/>
      <c r="L224" s="45"/>
    </row>
    <row r="225" spans="11:12" x14ac:dyDescent="0.25">
      <c r="K225" s="45"/>
      <c r="L225" s="45"/>
    </row>
    <row r="226" spans="11:12" x14ac:dyDescent="0.25">
      <c r="K226" s="45"/>
      <c r="L226" s="45"/>
    </row>
    <row r="227" spans="11:12" x14ac:dyDescent="0.25">
      <c r="K227" s="45"/>
      <c r="L227" s="45"/>
    </row>
    <row r="228" spans="11:12" x14ac:dyDescent="0.25">
      <c r="K228" s="45"/>
      <c r="L228" s="45"/>
    </row>
    <row r="229" spans="11:12" x14ac:dyDescent="0.25">
      <c r="K229" s="45"/>
      <c r="L229" s="45"/>
    </row>
    <row r="230" spans="11:12" x14ac:dyDescent="0.25">
      <c r="K230" s="45"/>
      <c r="L230" s="45"/>
    </row>
    <row r="231" spans="11:12" x14ac:dyDescent="0.25">
      <c r="K231" s="45"/>
      <c r="L231" s="45"/>
    </row>
    <row r="232" spans="11:12" x14ac:dyDescent="0.25">
      <c r="K232" s="45"/>
      <c r="L232" s="45"/>
    </row>
    <row r="233" spans="11:12" x14ac:dyDescent="0.25">
      <c r="K233" s="45"/>
      <c r="L233" s="45"/>
    </row>
    <row r="234" spans="11:12" x14ac:dyDescent="0.25">
      <c r="K234" s="45"/>
      <c r="L234" s="45"/>
    </row>
    <row r="235" spans="11:12" x14ac:dyDescent="0.25">
      <c r="K235" s="45"/>
      <c r="L235" s="45"/>
    </row>
    <row r="236" spans="11:12" x14ac:dyDescent="0.25">
      <c r="K236" s="45"/>
      <c r="L236" s="45"/>
    </row>
    <row r="237" spans="11:12" x14ac:dyDescent="0.25">
      <c r="K237" s="45"/>
      <c r="L237" s="45"/>
    </row>
    <row r="238" spans="11:12" x14ac:dyDescent="0.25">
      <c r="K238" s="45"/>
      <c r="L238" s="45"/>
    </row>
    <row r="239" spans="11:12" x14ac:dyDescent="0.25">
      <c r="K239" s="45"/>
      <c r="L239" s="45"/>
    </row>
    <row r="240" spans="11:12" x14ac:dyDescent="0.25">
      <c r="K240" s="45"/>
      <c r="L240" s="45"/>
    </row>
    <row r="241" spans="11:12" x14ac:dyDescent="0.25">
      <c r="K241" s="45"/>
      <c r="L241" s="45"/>
    </row>
    <row r="242" spans="11:12" x14ac:dyDescent="0.25">
      <c r="K242" s="45"/>
      <c r="L242" s="45"/>
    </row>
    <row r="243" spans="11:12" x14ac:dyDescent="0.25">
      <c r="K243" s="45"/>
      <c r="L243" s="45"/>
    </row>
    <row r="244" spans="11:12" x14ac:dyDescent="0.25">
      <c r="K244" s="45"/>
      <c r="L244" s="45"/>
    </row>
    <row r="245" spans="11:12" x14ac:dyDescent="0.25">
      <c r="K245" s="45"/>
      <c r="L245" s="45"/>
    </row>
    <row r="246" spans="11:12" x14ac:dyDescent="0.25">
      <c r="K246" s="45"/>
      <c r="L246" s="45"/>
    </row>
    <row r="247" spans="11:12" x14ac:dyDescent="0.25">
      <c r="K247" s="45"/>
      <c r="L247" s="45"/>
    </row>
    <row r="248" spans="11:12" x14ac:dyDescent="0.25">
      <c r="K248" s="45"/>
      <c r="L248" s="45"/>
    </row>
    <row r="249" spans="11:12" x14ac:dyDescent="0.25">
      <c r="K249" s="45"/>
      <c r="L249" s="45"/>
    </row>
    <row r="250" spans="11:12" x14ac:dyDescent="0.25">
      <c r="K250" s="45"/>
      <c r="L250" s="45"/>
    </row>
    <row r="251" spans="11:12" x14ac:dyDescent="0.25">
      <c r="K251" s="45"/>
      <c r="L251" s="45"/>
    </row>
    <row r="252" spans="11:12" x14ac:dyDescent="0.25">
      <c r="K252" s="45"/>
      <c r="L252" s="45"/>
    </row>
    <row r="253" spans="11:12" x14ac:dyDescent="0.25">
      <c r="K253" s="45"/>
      <c r="L253" s="45"/>
    </row>
    <row r="254" spans="11:12" x14ac:dyDescent="0.25">
      <c r="K254" s="45"/>
      <c r="L254" s="45"/>
    </row>
    <row r="255" spans="11:12" x14ac:dyDescent="0.25">
      <c r="K255" s="45"/>
      <c r="L255" s="45"/>
    </row>
    <row r="256" spans="11:12" x14ac:dyDescent="0.25">
      <c r="K256" s="45"/>
      <c r="L256" s="45"/>
    </row>
    <row r="257" spans="11:12" x14ac:dyDescent="0.25">
      <c r="K257" s="45"/>
      <c r="L257" s="45"/>
    </row>
    <row r="258" spans="11:12" x14ac:dyDescent="0.25">
      <c r="K258" s="45"/>
      <c r="L258" s="45"/>
    </row>
    <row r="259" spans="11:12" x14ac:dyDescent="0.25">
      <c r="K259" s="45"/>
      <c r="L259" s="45"/>
    </row>
    <row r="260" spans="11:12" x14ac:dyDescent="0.25">
      <c r="K260" s="45"/>
      <c r="L260" s="45"/>
    </row>
    <row r="261" spans="11:12" x14ac:dyDescent="0.25">
      <c r="K261" s="45"/>
      <c r="L261" s="45"/>
    </row>
    <row r="262" spans="11:12" x14ac:dyDescent="0.25">
      <c r="K262" s="45"/>
      <c r="L262" s="45"/>
    </row>
    <row r="263" spans="11:12" x14ac:dyDescent="0.25">
      <c r="K263" s="45"/>
      <c r="L263" s="45"/>
    </row>
    <row r="264" spans="11:12" x14ac:dyDescent="0.25">
      <c r="K264" s="45"/>
      <c r="L264" s="45"/>
    </row>
    <row r="265" spans="11:12" x14ac:dyDescent="0.25">
      <c r="K265" s="45"/>
      <c r="L265" s="45"/>
    </row>
    <row r="266" spans="11:12" x14ac:dyDescent="0.25">
      <c r="K266" s="45"/>
      <c r="L266" s="45"/>
    </row>
    <row r="267" spans="11:12" x14ac:dyDescent="0.25">
      <c r="K267" s="45"/>
      <c r="L267" s="45"/>
    </row>
    <row r="268" spans="11:12" x14ac:dyDescent="0.25">
      <c r="K268" s="45"/>
      <c r="L268" s="45"/>
    </row>
    <row r="269" spans="11:12" x14ac:dyDescent="0.25">
      <c r="K269" s="45"/>
      <c r="L269" s="45"/>
    </row>
    <row r="270" spans="11:12" x14ac:dyDescent="0.25">
      <c r="K270" s="45"/>
      <c r="L270" s="45"/>
    </row>
    <row r="271" spans="11:12" x14ac:dyDescent="0.25">
      <c r="K271" s="45"/>
      <c r="L271" s="45"/>
    </row>
    <row r="272" spans="11:12" x14ac:dyDescent="0.25">
      <c r="K272" s="45"/>
      <c r="L272" s="45"/>
    </row>
    <row r="273" spans="11:12" x14ac:dyDescent="0.25">
      <c r="K273" s="45"/>
      <c r="L273" s="45"/>
    </row>
    <row r="274" spans="11:12" x14ac:dyDescent="0.25">
      <c r="K274" s="45"/>
      <c r="L274" s="45"/>
    </row>
    <row r="275" spans="11:12" x14ac:dyDescent="0.25">
      <c r="K275" s="45"/>
      <c r="L275" s="45"/>
    </row>
    <row r="276" spans="11:12" x14ac:dyDescent="0.25">
      <c r="K276" s="45"/>
      <c r="L276" s="45"/>
    </row>
    <row r="277" spans="11:12" x14ac:dyDescent="0.25">
      <c r="K277" s="45"/>
      <c r="L277" s="45"/>
    </row>
    <row r="278" spans="11:12" x14ac:dyDescent="0.25">
      <c r="K278" s="45"/>
      <c r="L278" s="45"/>
    </row>
    <row r="279" spans="11:12" x14ac:dyDescent="0.25">
      <c r="K279" s="45"/>
      <c r="L279" s="45"/>
    </row>
    <row r="280" spans="11:12" x14ac:dyDescent="0.25">
      <c r="K280" s="45"/>
      <c r="L280" s="45"/>
    </row>
    <row r="281" spans="11:12" x14ac:dyDescent="0.25">
      <c r="K281" s="45"/>
      <c r="L281" s="45"/>
    </row>
    <row r="282" spans="11:12" x14ac:dyDescent="0.25">
      <c r="K282" s="45"/>
      <c r="L282" s="45"/>
    </row>
    <row r="283" spans="11:12" x14ac:dyDescent="0.25">
      <c r="K283" s="45"/>
      <c r="L283" s="45"/>
    </row>
    <row r="284" spans="11:12" x14ac:dyDescent="0.25">
      <c r="K284" s="45"/>
      <c r="L284" s="45"/>
    </row>
    <row r="285" spans="11:12" x14ac:dyDescent="0.25">
      <c r="K285" s="45"/>
      <c r="L285" s="45"/>
    </row>
    <row r="286" spans="11:12" x14ac:dyDescent="0.25">
      <c r="K286" s="45"/>
      <c r="L286" s="45"/>
    </row>
    <row r="287" spans="11:12" x14ac:dyDescent="0.25">
      <c r="K287" s="45"/>
      <c r="L287" s="45"/>
    </row>
    <row r="288" spans="11:12" x14ac:dyDescent="0.25">
      <c r="K288" s="45"/>
      <c r="L288" s="45"/>
    </row>
    <row r="289" spans="11:12" x14ac:dyDescent="0.25">
      <c r="K289" s="45"/>
      <c r="L289" s="45"/>
    </row>
    <row r="290" spans="11:12" x14ac:dyDescent="0.25">
      <c r="K290" s="45"/>
      <c r="L290" s="45"/>
    </row>
    <row r="291" spans="11:12" x14ac:dyDescent="0.25">
      <c r="K291" s="45"/>
      <c r="L291" s="45"/>
    </row>
    <row r="292" spans="11:12" x14ac:dyDescent="0.25">
      <c r="K292" s="45"/>
      <c r="L292" s="45"/>
    </row>
    <row r="293" spans="11:12" x14ac:dyDescent="0.25">
      <c r="K293" s="45"/>
      <c r="L293" s="45"/>
    </row>
    <row r="294" spans="11:12" x14ac:dyDescent="0.25">
      <c r="K294" s="45"/>
      <c r="L294" s="45"/>
    </row>
    <row r="295" spans="11:12" x14ac:dyDescent="0.25">
      <c r="K295" s="45"/>
      <c r="L295" s="45"/>
    </row>
    <row r="296" spans="11:12" x14ac:dyDescent="0.25">
      <c r="K296" s="45"/>
      <c r="L296" s="45"/>
    </row>
    <row r="297" spans="11:12" x14ac:dyDescent="0.25">
      <c r="K297" s="45"/>
      <c r="L297" s="45"/>
    </row>
    <row r="298" spans="11:12" x14ac:dyDescent="0.25">
      <c r="K298" s="45"/>
      <c r="L298" s="45"/>
    </row>
    <row r="299" spans="11:12" x14ac:dyDescent="0.25">
      <c r="K299" s="45"/>
      <c r="L299" s="45"/>
    </row>
    <row r="300" spans="11:12" x14ac:dyDescent="0.25">
      <c r="K300" s="45"/>
      <c r="L300" s="45"/>
    </row>
    <row r="301" spans="11:12" x14ac:dyDescent="0.25">
      <c r="K301" s="45"/>
      <c r="L301" s="45"/>
    </row>
    <row r="302" spans="11:12" x14ac:dyDescent="0.25">
      <c r="K302" s="45"/>
      <c r="L302" s="45"/>
    </row>
    <row r="303" spans="11:12" x14ac:dyDescent="0.25">
      <c r="K303" s="45"/>
      <c r="L303" s="45"/>
    </row>
    <row r="304" spans="11:12" x14ac:dyDescent="0.25">
      <c r="K304" s="45"/>
      <c r="L304" s="45"/>
    </row>
    <row r="305" spans="11:12" x14ac:dyDescent="0.25">
      <c r="K305" s="45"/>
      <c r="L305" s="45"/>
    </row>
    <row r="306" spans="11:12" x14ac:dyDescent="0.25">
      <c r="K306" s="45"/>
      <c r="L306" s="45"/>
    </row>
    <row r="307" spans="11:12" x14ac:dyDescent="0.25">
      <c r="K307" s="45"/>
      <c r="L307" s="45"/>
    </row>
    <row r="308" spans="11:12" x14ac:dyDescent="0.25">
      <c r="K308" s="45"/>
      <c r="L308" s="45"/>
    </row>
    <row r="309" spans="11:12" x14ac:dyDescent="0.25">
      <c r="K309" s="45"/>
      <c r="L309" s="45"/>
    </row>
    <row r="310" spans="11:12" x14ac:dyDescent="0.25">
      <c r="K310" s="45"/>
      <c r="L310" s="45"/>
    </row>
    <row r="311" spans="11:12" x14ac:dyDescent="0.25">
      <c r="K311" s="45"/>
      <c r="L311" s="45"/>
    </row>
    <row r="312" spans="11:12" x14ac:dyDescent="0.25">
      <c r="K312" s="45"/>
      <c r="L312" s="45"/>
    </row>
    <row r="313" spans="11:12" x14ac:dyDescent="0.25">
      <c r="K313" s="45"/>
      <c r="L313" s="45"/>
    </row>
    <row r="314" spans="11:12" x14ac:dyDescent="0.25">
      <c r="K314" s="45"/>
      <c r="L314" s="45"/>
    </row>
    <row r="315" spans="11:12" x14ac:dyDescent="0.25">
      <c r="K315" s="45"/>
      <c r="L315" s="45"/>
    </row>
    <row r="316" spans="11:12" x14ac:dyDescent="0.25">
      <c r="K316" s="45"/>
      <c r="L316" s="45"/>
    </row>
    <row r="317" spans="11:12" x14ac:dyDescent="0.25">
      <c r="K317" s="45"/>
      <c r="L317" s="45"/>
    </row>
    <row r="318" spans="11:12" x14ac:dyDescent="0.25">
      <c r="K318" s="45"/>
      <c r="L318" s="45"/>
    </row>
    <row r="319" spans="11:12" x14ac:dyDescent="0.25">
      <c r="K319" s="45"/>
      <c r="L319" s="45"/>
    </row>
    <row r="320" spans="11:12" x14ac:dyDescent="0.25">
      <c r="K320" s="45"/>
      <c r="L320" s="45"/>
    </row>
    <row r="321" spans="11:12" x14ac:dyDescent="0.25">
      <c r="K321" s="45"/>
      <c r="L321" s="45"/>
    </row>
    <row r="322" spans="11:12" x14ac:dyDescent="0.25">
      <c r="K322" s="45"/>
      <c r="L322" s="45"/>
    </row>
    <row r="323" spans="11:12" x14ac:dyDescent="0.25">
      <c r="K323" s="45"/>
      <c r="L323" s="45"/>
    </row>
    <row r="324" spans="11:12" x14ac:dyDescent="0.25">
      <c r="K324" s="45"/>
      <c r="L324" s="45"/>
    </row>
    <row r="325" spans="11:12" x14ac:dyDescent="0.25">
      <c r="K325" s="45"/>
      <c r="L325" s="45"/>
    </row>
    <row r="326" spans="11:12" x14ac:dyDescent="0.25">
      <c r="K326" s="45"/>
      <c r="L326" s="45"/>
    </row>
    <row r="327" spans="11:12" x14ac:dyDescent="0.25">
      <c r="K327" s="45"/>
      <c r="L327" s="45"/>
    </row>
    <row r="328" spans="11:12" x14ac:dyDescent="0.25">
      <c r="K328" s="45"/>
      <c r="L328" s="45"/>
    </row>
    <row r="329" spans="11:12" x14ac:dyDescent="0.25">
      <c r="K329" s="45"/>
      <c r="L329" s="45"/>
    </row>
    <row r="330" spans="11:12" x14ac:dyDescent="0.25">
      <c r="K330" s="45"/>
      <c r="L330" s="45"/>
    </row>
    <row r="331" spans="11:12" x14ac:dyDescent="0.25">
      <c r="K331" s="45"/>
      <c r="L331" s="45"/>
    </row>
    <row r="332" spans="11:12" x14ac:dyDescent="0.25">
      <c r="K332" s="45"/>
      <c r="L332" s="45"/>
    </row>
    <row r="333" spans="11:12" x14ac:dyDescent="0.25">
      <c r="K333" s="45"/>
      <c r="L333" s="45"/>
    </row>
    <row r="334" spans="11:12" x14ac:dyDescent="0.25">
      <c r="K334" s="45"/>
      <c r="L334" s="45"/>
    </row>
    <row r="335" spans="11:12" x14ac:dyDescent="0.25">
      <c r="K335" s="45"/>
      <c r="L335" s="45"/>
    </row>
    <row r="336" spans="11:12" x14ac:dyDescent="0.25">
      <c r="K336" s="45"/>
      <c r="L336" s="45"/>
    </row>
    <row r="337" spans="11:12" x14ac:dyDescent="0.25">
      <c r="K337" s="45"/>
      <c r="L337" s="45"/>
    </row>
    <row r="338" spans="11:12" x14ac:dyDescent="0.25">
      <c r="K338" s="45"/>
      <c r="L338" s="45"/>
    </row>
    <row r="339" spans="11:12" x14ac:dyDescent="0.25">
      <c r="K339" s="45"/>
      <c r="L339" s="45"/>
    </row>
    <row r="340" spans="11:12" x14ac:dyDescent="0.25">
      <c r="K340" s="45"/>
      <c r="L340" s="45"/>
    </row>
    <row r="341" spans="11:12" x14ac:dyDescent="0.25">
      <c r="K341" s="45"/>
      <c r="L341" s="45"/>
    </row>
    <row r="342" spans="11:12" x14ac:dyDescent="0.25">
      <c r="K342" s="45"/>
      <c r="L342" s="45"/>
    </row>
    <row r="343" spans="11:12" x14ac:dyDescent="0.25">
      <c r="K343" s="45"/>
      <c r="L343" s="45"/>
    </row>
    <row r="344" spans="11:12" x14ac:dyDescent="0.25">
      <c r="K344" s="45"/>
      <c r="L344" s="45"/>
    </row>
    <row r="345" spans="11:12" x14ac:dyDescent="0.25">
      <c r="K345" s="45"/>
      <c r="L345" s="45"/>
    </row>
    <row r="346" spans="11:12" x14ac:dyDescent="0.25">
      <c r="K346" s="45"/>
      <c r="L346" s="45"/>
    </row>
    <row r="347" spans="11:12" x14ac:dyDescent="0.25">
      <c r="K347" s="45"/>
      <c r="L347" s="45"/>
    </row>
    <row r="348" spans="11:12" x14ac:dyDescent="0.25">
      <c r="K348" s="45"/>
      <c r="L348" s="45"/>
    </row>
    <row r="349" spans="11:12" x14ac:dyDescent="0.25">
      <c r="K349" s="45"/>
      <c r="L349" s="45"/>
    </row>
    <row r="350" spans="11:12" x14ac:dyDescent="0.25">
      <c r="K350" s="45"/>
      <c r="L350" s="45"/>
    </row>
    <row r="351" spans="11:12" x14ac:dyDescent="0.25">
      <c r="K351" s="45"/>
      <c r="L351" s="45"/>
    </row>
    <row r="352" spans="11:12" x14ac:dyDescent="0.25">
      <c r="K352" s="45"/>
      <c r="L352" s="45"/>
    </row>
    <row r="353" spans="11:12" x14ac:dyDescent="0.25">
      <c r="K353" s="45"/>
      <c r="L353" s="45"/>
    </row>
    <row r="354" spans="11:12" x14ac:dyDescent="0.25">
      <c r="K354" s="45"/>
      <c r="L354" s="45"/>
    </row>
    <row r="355" spans="11:12" x14ac:dyDescent="0.25">
      <c r="K355" s="45"/>
      <c r="L355" s="45"/>
    </row>
    <row r="356" spans="11:12" x14ac:dyDescent="0.25">
      <c r="K356" s="45"/>
      <c r="L356" s="45"/>
    </row>
    <row r="357" spans="11:12" x14ac:dyDescent="0.25">
      <c r="K357" s="45"/>
      <c r="L357" s="45"/>
    </row>
    <row r="358" spans="11:12" x14ac:dyDescent="0.25">
      <c r="K358" s="45"/>
      <c r="L358" s="45"/>
    </row>
    <row r="359" spans="11:12" x14ac:dyDescent="0.25">
      <c r="K359" s="45"/>
      <c r="L359" s="45"/>
    </row>
    <row r="360" spans="11:12" x14ac:dyDescent="0.25">
      <c r="K360" s="45"/>
      <c r="L360" s="45"/>
    </row>
    <row r="361" spans="11:12" x14ac:dyDescent="0.25">
      <c r="K361" s="45"/>
      <c r="L361" s="45"/>
    </row>
    <row r="362" spans="11:12" x14ac:dyDescent="0.25">
      <c r="K362" s="45"/>
      <c r="L362" s="45"/>
    </row>
    <row r="363" spans="11:12" x14ac:dyDescent="0.25">
      <c r="K363" s="45"/>
      <c r="L363" s="45"/>
    </row>
    <row r="364" spans="11:12" x14ac:dyDescent="0.25">
      <c r="K364" s="45"/>
      <c r="L364" s="45"/>
    </row>
    <row r="365" spans="11:12" x14ac:dyDescent="0.25">
      <c r="K365" s="45"/>
      <c r="L365" s="45"/>
    </row>
    <row r="366" spans="11:12" x14ac:dyDescent="0.25">
      <c r="K366" s="45"/>
      <c r="L366" s="45"/>
    </row>
    <row r="367" spans="11:12" x14ac:dyDescent="0.25">
      <c r="K367" s="45"/>
      <c r="L367" s="45"/>
    </row>
    <row r="368" spans="11:12" x14ac:dyDescent="0.25">
      <c r="K368" s="45"/>
      <c r="L368" s="45"/>
    </row>
    <row r="369" spans="11:12" x14ac:dyDescent="0.25">
      <c r="K369" s="45"/>
      <c r="L369" s="45"/>
    </row>
    <row r="370" spans="11:12" x14ac:dyDescent="0.25">
      <c r="K370" s="45"/>
      <c r="L370" s="45"/>
    </row>
    <row r="371" spans="11:12" x14ac:dyDescent="0.25">
      <c r="K371" s="45"/>
      <c r="L371" s="45"/>
    </row>
    <row r="372" spans="11:12" x14ac:dyDescent="0.25">
      <c r="K372" s="45"/>
      <c r="L372" s="45"/>
    </row>
    <row r="373" spans="11:12" x14ac:dyDescent="0.25">
      <c r="K373" s="45"/>
      <c r="L373" s="45"/>
    </row>
    <row r="374" spans="11:12" x14ac:dyDescent="0.25">
      <c r="K374" s="45"/>
      <c r="L374" s="45"/>
    </row>
    <row r="375" spans="11:12" x14ac:dyDescent="0.25">
      <c r="K375" s="45"/>
      <c r="L375" s="45"/>
    </row>
    <row r="376" spans="11:12" x14ac:dyDescent="0.25">
      <c r="K376" s="45"/>
      <c r="L376" s="45"/>
    </row>
    <row r="377" spans="11:12" x14ac:dyDescent="0.25">
      <c r="K377" s="45"/>
      <c r="L377" s="45"/>
    </row>
    <row r="378" spans="11:12" x14ac:dyDescent="0.25">
      <c r="K378" s="45"/>
      <c r="L378" s="45"/>
    </row>
    <row r="379" spans="11:12" x14ac:dyDescent="0.25">
      <c r="K379" s="45"/>
      <c r="L379" s="45"/>
    </row>
    <row r="380" spans="11:12" x14ac:dyDescent="0.25">
      <c r="K380" s="45"/>
      <c r="L380" s="45"/>
    </row>
    <row r="381" spans="11:12" x14ac:dyDescent="0.25">
      <c r="K381" s="45"/>
      <c r="L381" s="45"/>
    </row>
    <row r="382" spans="11:12" x14ac:dyDescent="0.25">
      <c r="K382" s="45"/>
      <c r="L382" s="45"/>
    </row>
    <row r="383" spans="11:12" x14ac:dyDescent="0.25">
      <c r="K383" s="45"/>
      <c r="L383" s="45"/>
    </row>
    <row r="384" spans="11:12" x14ac:dyDescent="0.25">
      <c r="K384" s="45"/>
      <c r="L384" s="45"/>
    </row>
    <row r="385" spans="11:12" x14ac:dyDescent="0.25">
      <c r="K385" s="45"/>
      <c r="L385" s="45"/>
    </row>
    <row r="386" spans="11:12" x14ac:dyDescent="0.25">
      <c r="K386" s="45"/>
      <c r="L386" s="45"/>
    </row>
    <row r="387" spans="11:12" x14ac:dyDescent="0.25">
      <c r="K387" s="45"/>
      <c r="L387" s="45"/>
    </row>
    <row r="388" spans="11:12" x14ac:dyDescent="0.25">
      <c r="K388" s="45"/>
      <c r="L388" s="45"/>
    </row>
    <row r="389" spans="11:12" x14ac:dyDescent="0.25">
      <c r="K389" s="45"/>
      <c r="L389" s="45"/>
    </row>
    <row r="390" spans="11:12" x14ac:dyDescent="0.25">
      <c r="K390" s="45"/>
      <c r="L390" s="45"/>
    </row>
    <row r="391" spans="11:12" x14ac:dyDescent="0.25">
      <c r="K391" s="45"/>
      <c r="L391" s="45"/>
    </row>
    <row r="392" spans="11:12" x14ac:dyDescent="0.25">
      <c r="K392" s="45"/>
      <c r="L392" s="45"/>
    </row>
    <row r="393" spans="11:12" x14ac:dyDescent="0.25">
      <c r="K393" s="45"/>
      <c r="L393" s="45"/>
    </row>
    <row r="394" spans="11:12" x14ac:dyDescent="0.25">
      <c r="K394" s="45"/>
      <c r="L394" s="45"/>
    </row>
    <row r="395" spans="11:12" x14ac:dyDescent="0.25">
      <c r="K395" s="45"/>
      <c r="L395" s="45"/>
    </row>
    <row r="396" spans="11:12" x14ac:dyDescent="0.25">
      <c r="K396" s="45"/>
      <c r="L396" s="45"/>
    </row>
    <row r="397" spans="11:12" x14ac:dyDescent="0.25">
      <c r="K397" s="45"/>
      <c r="L397" s="45"/>
    </row>
    <row r="398" spans="11:12" x14ac:dyDescent="0.25">
      <c r="K398" s="45"/>
      <c r="L398" s="45"/>
    </row>
    <row r="399" spans="11:12" x14ac:dyDescent="0.25">
      <c r="K399" s="45"/>
      <c r="L399" s="45"/>
    </row>
    <row r="400" spans="11:12" x14ac:dyDescent="0.25">
      <c r="K400" s="45"/>
      <c r="L400" s="45"/>
    </row>
    <row r="401" spans="11:12" x14ac:dyDescent="0.25">
      <c r="K401" s="45"/>
      <c r="L401" s="45"/>
    </row>
    <row r="402" spans="11:12" x14ac:dyDescent="0.25">
      <c r="K402" s="45"/>
      <c r="L402" s="45"/>
    </row>
    <row r="403" spans="11:12" x14ac:dyDescent="0.25">
      <c r="K403" s="45"/>
      <c r="L403" s="45"/>
    </row>
    <row r="404" spans="11:12" x14ac:dyDescent="0.25">
      <c r="K404" s="45"/>
      <c r="L404" s="45"/>
    </row>
    <row r="405" spans="11:12" x14ac:dyDescent="0.25">
      <c r="K405" s="45"/>
      <c r="L405" s="45"/>
    </row>
    <row r="406" spans="11:12" x14ac:dyDescent="0.25">
      <c r="K406" s="45"/>
      <c r="L406" s="45"/>
    </row>
    <row r="407" spans="11:12" x14ac:dyDescent="0.25">
      <c r="K407" s="45"/>
      <c r="L407" s="45"/>
    </row>
    <row r="408" spans="11:12" x14ac:dyDescent="0.25">
      <c r="K408" s="45"/>
      <c r="L408" s="45"/>
    </row>
    <row r="409" spans="11:12" x14ac:dyDescent="0.25">
      <c r="K409" s="45"/>
      <c r="L409" s="45"/>
    </row>
    <row r="410" spans="11:12" x14ac:dyDescent="0.25">
      <c r="K410" s="45"/>
      <c r="L410" s="45"/>
    </row>
    <row r="411" spans="11:12" x14ac:dyDescent="0.25">
      <c r="K411" s="45"/>
      <c r="L411" s="45"/>
    </row>
    <row r="412" spans="11:12" x14ac:dyDescent="0.25">
      <c r="K412" s="45"/>
      <c r="L412" s="45"/>
    </row>
    <row r="413" spans="11:12" x14ac:dyDescent="0.25">
      <c r="K413" s="45"/>
      <c r="L413" s="45"/>
    </row>
    <row r="414" spans="11:12" x14ac:dyDescent="0.25">
      <c r="K414" s="45"/>
      <c r="L414" s="45"/>
    </row>
    <row r="415" spans="11:12" x14ac:dyDescent="0.25">
      <c r="K415" s="45"/>
      <c r="L415" s="45"/>
    </row>
    <row r="416" spans="11:12" x14ac:dyDescent="0.25">
      <c r="K416" s="45"/>
      <c r="L416" s="45"/>
    </row>
    <row r="417" spans="11:12" x14ac:dyDescent="0.25">
      <c r="K417" s="45"/>
      <c r="L417" s="45"/>
    </row>
    <row r="418" spans="11:12" x14ac:dyDescent="0.25">
      <c r="K418" s="45"/>
      <c r="L418" s="45"/>
    </row>
    <row r="419" spans="11:12" x14ac:dyDescent="0.25">
      <c r="K419" s="45"/>
      <c r="L419" s="45"/>
    </row>
    <row r="420" spans="11:12" x14ac:dyDescent="0.25">
      <c r="K420" s="45"/>
      <c r="L420" s="45"/>
    </row>
    <row r="421" spans="11:12" x14ac:dyDescent="0.25">
      <c r="K421" s="45"/>
      <c r="L421" s="45"/>
    </row>
    <row r="422" spans="11:12" x14ac:dyDescent="0.25">
      <c r="K422" s="45"/>
      <c r="L422" s="45"/>
    </row>
    <row r="423" spans="11:12" x14ac:dyDescent="0.25">
      <c r="K423" s="45"/>
      <c r="L423" s="45"/>
    </row>
    <row r="424" spans="11:12" x14ac:dyDescent="0.25">
      <c r="K424" s="45"/>
      <c r="L424" s="45"/>
    </row>
    <row r="425" spans="11:12" x14ac:dyDescent="0.25">
      <c r="K425" s="45"/>
      <c r="L425" s="45"/>
    </row>
    <row r="426" spans="11:12" x14ac:dyDescent="0.25">
      <c r="K426" s="45"/>
      <c r="L426" s="45"/>
    </row>
    <row r="427" spans="11:12" x14ac:dyDescent="0.25">
      <c r="K427" s="45"/>
      <c r="L427" s="45"/>
    </row>
    <row r="428" spans="11:12" x14ac:dyDescent="0.25">
      <c r="K428" s="45"/>
      <c r="L428" s="45"/>
    </row>
    <row r="429" spans="11:12" x14ac:dyDescent="0.25">
      <c r="K429" s="45"/>
      <c r="L429" s="45"/>
    </row>
    <row r="430" spans="11:12" x14ac:dyDescent="0.25">
      <c r="K430" s="45"/>
      <c r="L430" s="45"/>
    </row>
    <row r="431" spans="11:12" x14ac:dyDescent="0.25">
      <c r="K431" s="45"/>
      <c r="L431" s="45"/>
    </row>
    <row r="432" spans="11:12" x14ac:dyDescent="0.25">
      <c r="K432" s="45"/>
      <c r="L432" s="45"/>
    </row>
    <row r="433" spans="11:12" x14ac:dyDescent="0.25">
      <c r="K433" s="45"/>
      <c r="L433" s="45"/>
    </row>
    <row r="434" spans="11:12" x14ac:dyDescent="0.25">
      <c r="K434" s="45"/>
      <c r="L434" s="45"/>
    </row>
    <row r="435" spans="11:12" x14ac:dyDescent="0.25">
      <c r="K435" s="45"/>
      <c r="L435" s="45"/>
    </row>
    <row r="436" spans="11:12" x14ac:dyDescent="0.25">
      <c r="K436" s="45"/>
      <c r="L436" s="45"/>
    </row>
    <row r="437" spans="11:12" x14ac:dyDescent="0.25">
      <c r="K437" s="45"/>
      <c r="L437" s="45"/>
    </row>
    <row r="438" spans="11:12" x14ac:dyDescent="0.25">
      <c r="K438" s="45"/>
      <c r="L438" s="45"/>
    </row>
    <row r="439" spans="11:12" x14ac:dyDescent="0.25">
      <c r="K439" s="45"/>
      <c r="L439" s="45"/>
    </row>
    <row r="440" spans="11:12" x14ac:dyDescent="0.25">
      <c r="K440" s="45"/>
      <c r="L440" s="45"/>
    </row>
    <row r="441" spans="11:12" x14ac:dyDescent="0.25">
      <c r="K441" s="45"/>
      <c r="L441" s="45"/>
    </row>
    <row r="442" spans="11:12" x14ac:dyDescent="0.25">
      <c r="K442" s="45"/>
      <c r="L442" s="45"/>
    </row>
    <row r="443" spans="11:12" x14ac:dyDescent="0.25">
      <c r="K443" s="45"/>
      <c r="L443" s="45"/>
    </row>
    <row r="444" spans="11:12" x14ac:dyDescent="0.25">
      <c r="K444" s="45"/>
      <c r="L444" s="45"/>
    </row>
    <row r="445" spans="11:12" x14ac:dyDescent="0.25">
      <c r="K445" s="45"/>
      <c r="L445" s="45"/>
    </row>
    <row r="446" spans="11:12" x14ac:dyDescent="0.25">
      <c r="K446" s="45"/>
      <c r="L446" s="45"/>
    </row>
    <row r="447" spans="11:12" x14ac:dyDescent="0.25">
      <c r="K447" s="45"/>
      <c r="L447" s="45"/>
    </row>
    <row r="448" spans="11:12" x14ac:dyDescent="0.25">
      <c r="K448" s="45"/>
      <c r="L448" s="45"/>
    </row>
    <row r="449" spans="11:12" x14ac:dyDescent="0.25">
      <c r="K449" s="45"/>
      <c r="L449" s="45"/>
    </row>
    <row r="450" spans="11:12" x14ac:dyDescent="0.25">
      <c r="K450" s="45"/>
      <c r="L450" s="45"/>
    </row>
    <row r="451" spans="11:12" x14ac:dyDescent="0.25">
      <c r="K451" s="45"/>
      <c r="L451" s="45"/>
    </row>
    <row r="452" spans="11:12" x14ac:dyDescent="0.25">
      <c r="K452" s="45"/>
      <c r="L452" s="45"/>
    </row>
    <row r="453" spans="11:12" x14ac:dyDescent="0.25">
      <c r="K453" s="45"/>
      <c r="L453" s="45"/>
    </row>
    <row r="454" spans="11:12" x14ac:dyDescent="0.25">
      <c r="K454" s="45"/>
      <c r="L454" s="45"/>
    </row>
    <row r="455" spans="11:12" x14ac:dyDescent="0.25">
      <c r="K455" s="45"/>
      <c r="L455" s="45"/>
    </row>
    <row r="456" spans="11:12" x14ac:dyDescent="0.25">
      <c r="K456" s="45"/>
      <c r="L456" s="45"/>
    </row>
    <row r="457" spans="11:12" x14ac:dyDescent="0.25">
      <c r="K457" s="45"/>
      <c r="L457" s="45"/>
    </row>
    <row r="458" spans="11:12" x14ac:dyDescent="0.25">
      <c r="K458" s="45"/>
      <c r="L458" s="45"/>
    </row>
    <row r="459" spans="11:12" x14ac:dyDescent="0.25">
      <c r="K459" s="45"/>
      <c r="L459" s="45"/>
    </row>
    <row r="460" spans="11:12" x14ac:dyDescent="0.25">
      <c r="K460" s="45"/>
      <c r="L460" s="45"/>
    </row>
    <row r="461" spans="11:12" x14ac:dyDescent="0.25">
      <c r="K461" s="45"/>
      <c r="L461" s="45"/>
    </row>
    <row r="462" spans="11:12" x14ac:dyDescent="0.25">
      <c r="K462" s="45"/>
      <c r="L462" s="45"/>
    </row>
    <row r="463" spans="11:12" x14ac:dyDescent="0.25">
      <c r="K463" s="45"/>
      <c r="L463" s="45"/>
    </row>
    <row r="464" spans="11:12" x14ac:dyDescent="0.25">
      <c r="K464" s="45"/>
      <c r="L464" s="45"/>
    </row>
    <row r="465" spans="11:12" x14ac:dyDescent="0.25">
      <c r="K465" s="45"/>
      <c r="L465" s="45"/>
    </row>
    <row r="466" spans="11:12" x14ac:dyDescent="0.25">
      <c r="K466" s="45"/>
      <c r="L466" s="45"/>
    </row>
    <row r="467" spans="11:12" x14ac:dyDescent="0.25">
      <c r="K467" s="45"/>
      <c r="L467" s="45"/>
    </row>
    <row r="468" spans="11:12" x14ac:dyDescent="0.25">
      <c r="K468" s="45"/>
      <c r="L468" s="45"/>
    </row>
    <row r="469" spans="11:12" x14ac:dyDescent="0.25">
      <c r="K469" s="45"/>
      <c r="L469" s="45"/>
    </row>
    <row r="470" spans="11:12" x14ac:dyDescent="0.25">
      <c r="K470" s="45"/>
      <c r="L470" s="45"/>
    </row>
    <row r="471" spans="11:12" x14ac:dyDescent="0.25">
      <c r="K471" s="45"/>
      <c r="L471" s="45"/>
    </row>
    <row r="472" spans="11:12" x14ac:dyDescent="0.25">
      <c r="K472" s="45"/>
      <c r="L472" s="45"/>
    </row>
    <row r="473" spans="11:12" x14ac:dyDescent="0.25">
      <c r="K473" s="45"/>
      <c r="L473" s="45"/>
    </row>
    <row r="474" spans="11:12" x14ac:dyDescent="0.25">
      <c r="K474" s="45"/>
      <c r="L474" s="45"/>
    </row>
    <row r="475" spans="11:12" x14ac:dyDescent="0.25">
      <c r="K475" s="45"/>
      <c r="L475" s="45"/>
    </row>
    <row r="476" spans="11:12" x14ac:dyDescent="0.25">
      <c r="K476" s="45"/>
      <c r="L476" s="45"/>
    </row>
    <row r="477" spans="11:12" x14ac:dyDescent="0.25">
      <c r="K477" s="45"/>
      <c r="L477" s="45"/>
    </row>
    <row r="478" spans="11:12" x14ac:dyDescent="0.25">
      <c r="K478" s="45"/>
      <c r="L478" s="45"/>
    </row>
    <row r="479" spans="11:12" x14ac:dyDescent="0.25">
      <c r="K479" s="45"/>
      <c r="L479" s="45"/>
    </row>
    <row r="480" spans="11:12" x14ac:dyDescent="0.25">
      <c r="K480" s="45"/>
      <c r="L480" s="45"/>
    </row>
    <row r="481" spans="11:12" x14ac:dyDescent="0.25">
      <c r="K481" s="45"/>
      <c r="L481" s="45"/>
    </row>
    <row r="482" spans="11:12" x14ac:dyDescent="0.25">
      <c r="K482" s="45"/>
      <c r="L482" s="45"/>
    </row>
    <row r="483" spans="11:12" x14ac:dyDescent="0.25">
      <c r="K483" s="45"/>
      <c r="L483" s="45"/>
    </row>
    <row r="484" spans="11:12" x14ac:dyDescent="0.25">
      <c r="K484" s="45"/>
      <c r="L484" s="45"/>
    </row>
    <row r="485" spans="11:12" x14ac:dyDescent="0.25">
      <c r="K485" s="45"/>
      <c r="L485" s="45"/>
    </row>
    <row r="486" spans="11:12" x14ac:dyDescent="0.25">
      <c r="K486" s="45"/>
      <c r="L486" s="45"/>
    </row>
    <row r="487" spans="11:12" x14ac:dyDescent="0.25">
      <c r="K487" s="45"/>
      <c r="L487" s="45"/>
    </row>
    <row r="488" spans="11:12" x14ac:dyDescent="0.25">
      <c r="K488" s="45"/>
      <c r="L488" s="45"/>
    </row>
    <row r="489" spans="11:12" x14ac:dyDescent="0.25">
      <c r="K489" s="45"/>
      <c r="L489" s="45"/>
    </row>
    <row r="490" spans="11:12" x14ac:dyDescent="0.25">
      <c r="K490" s="45"/>
      <c r="L490" s="45"/>
    </row>
    <row r="491" spans="11:12" x14ac:dyDescent="0.25">
      <c r="K491" s="45"/>
      <c r="L491" s="45"/>
    </row>
    <row r="492" spans="11:12" x14ac:dyDescent="0.25">
      <c r="K492" s="45"/>
      <c r="L492" s="45"/>
    </row>
    <row r="493" spans="11:12" x14ac:dyDescent="0.25">
      <c r="K493" s="45"/>
      <c r="L493" s="45"/>
    </row>
    <row r="494" spans="11:12" x14ac:dyDescent="0.25">
      <c r="K494" s="45"/>
      <c r="L494" s="45"/>
    </row>
    <row r="495" spans="11:12" x14ac:dyDescent="0.25">
      <c r="K495" s="45"/>
      <c r="L495" s="45"/>
    </row>
    <row r="496" spans="11:12" x14ac:dyDescent="0.25">
      <c r="K496" s="45"/>
      <c r="L496" s="45"/>
    </row>
    <row r="497" spans="11:12" x14ac:dyDescent="0.25">
      <c r="K497" s="45"/>
      <c r="L497" s="45"/>
    </row>
    <row r="498" spans="11:12" x14ac:dyDescent="0.25">
      <c r="K498" s="45"/>
      <c r="L498" s="45"/>
    </row>
    <row r="499" spans="11:12" x14ac:dyDescent="0.25">
      <c r="K499" s="45"/>
      <c r="L499" s="45"/>
    </row>
    <row r="500" spans="11:12" x14ac:dyDescent="0.25">
      <c r="K500" s="45"/>
      <c r="L500" s="45"/>
    </row>
    <row r="501" spans="11:12" x14ac:dyDescent="0.25">
      <c r="K501" s="45"/>
      <c r="L501" s="45"/>
    </row>
    <row r="502" spans="11:12" x14ac:dyDescent="0.25">
      <c r="K502" s="45"/>
      <c r="L502" s="45"/>
    </row>
    <row r="503" spans="11:12" x14ac:dyDescent="0.25">
      <c r="K503" s="45"/>
      <c r="L503" s="45"/>
    </row>
    <row r="504" spans="11:12" x14ac:dyDescent="0.25">
      <c r="K504" s="45"/>
      <c r="L504" s="45"/>
    </row>
    <row r="505" spans="11:12" x14ac:dyDescent="0.25">
      <c r="K505" s="45"/>
      <c r="L505" s="45"/>
    </row>
    <row r="506" spans="11:12" x14ac:dyDescent="0.25">
      <c r="K506" s="45"/>
      <c r="L506" s="45"/>
    </row>
    <row r="507" spans="11:12" x14ac:dyDescent="0.25">
      <c r="K507" s="45"/>
      <c r="L507" s="45"/>
    </row>
    <row r="508" spans="11:12" x14ac:dyDescent="0.25">
      <c r="K508" s="45"/>
      <c r="L508" s="45"/>
    </row>
    <row r="509" spans="11:12" x14ac:dyDescent="0.25">
      <c r="K509" s="45"/>
      <c r="L509" s="45"/>
    </row>
    <row r="510" spans="11:12" x14ac:dyDescent="0.25">
      <c r="K510" s="45"/>
      <c r="L510" s="45"/>
    </row>
    <row r="511" spans="11:12" x14ac:dyDescent="0.25">
      <c r="K511" s="45"/>
      <c r="L511" s="45"/>
    </row>
    <row r="512" spans="11:12" x14ac:dyDescent="0.25">
      <c r="K512" s="45"/>
      <c r="L512" s="45"/>
    </row>
    <row r="513" spans="11:12" x14ac:dyDescent="0.25">
      <c r="K513" s="45"/>
      <c r="L513" s="45"/>
    </row>
    <row r="514" spans="11:12" x14ac:dyDescent="0.25">
      <c r="K514" s="45"/>
      <c r="L514" s="45"/>
    </row>
    <row r="515" spans="11:12" x14ac:dyDescent="0.25">
      <c r="K515" s="45"/>
      <c r="L515" s="45"/>
    </row>
    <row r="516" spans="11:12" x14ac:dyDescent="0.25">
      <c r="K516" s="45"/>
      <c r="L516" s="45"/>
    </row>
    <row r="517" spans="11:12" x14ac:dyDescent="0.25">
      <c r="K517" s="45"/>
      <c r="L517" s="45"/>
    </row>
    <row r="518" spans="11:12" x14ac:dyDescent="0.25">
      <c r="K518" s="45"/>
      <c r="L518" s="45"/>
    </row>
    <row r="519" spans="11:12" x14ac:dyDescent="0.25">
      <c r="K519" s="45"/>
      <c r="L519" s="45"/>
    </row>
    <row r="520" spans="11:12" x14ac:dyDescent="0.25">
      <c r="K520" s="45"/>
      <c r="L520" s="45"/>
    </row>
    <row r="521" spans="11:12" x14ac:dyDescent="0.25">
      <c r="K521" s="45"/>
      <c r="L521" s="45"/>
    </row>
    <row r="522" spans="11:12" x14ac:dyDescent="0.25">
      <c r="K522" s="45"/>
      <c r="L522" s="45"/>
    </row>
    <row r="523" spans="11:12" x14ac:dyDescent="0.25">
      <c r="K523" s="45"/>
      <c r="L523" s="45"/>
    </row>
    <row r="524" spans="11:12" x14ac:dyDescent="0.25">
      <c r="K524" s="45"/>
      <c r="L524" s="45"/>
    </row>
    <row r="525" spans="11:12" x14ac:dyDescent="0.25">
      <c r="K525" s="45"/>
      <c r="L525" s="45"/>
    </row>
    <row r="526" spans="11:12" x14ac:dyDescent="0.25">
      <c r="K526" s="45"/>
      <c r="L526" s="45"/>
    </row>
    <row r="527" spans="11:12" x14ac:dyDescent="0.25">
      <c r="K527" s="45"/>
      <c r="L527" s="45"/>
    </row>
    <row r="528" spans="11:12" x14ac:dyDescent="0.25">
      <c r="K528" s="45"/>
      <c r="L528" s="45"/>
    </row>
    <row r="529" spans="11:12" x14ac:dyDescent="0.25">
      <c r="K529" s="45"/>
      <c r="L529" s="45"/>
    </row>
    <row r="530" spans="11:12" x14ac:dyDescent="0.25">
      <c r="K530" s="45"/>
      <c r="L530" s="45"/>
    </row>
    <row r="531" spans="11:12" x14ac:dyDescent="0.25">
      <c r="K531" s="45"/>
      <c r="L531" s="45"/>
    </row>
    <row r="532" spans="11:12" x14ac:dyDescent="0.25">
      <c r="K532" s="45"/>
      <c r="L532" s="45"/>
    </row>
    <row r="533" spans="11:12" x14ac:dyDescent="0.25">
      <c r="K533" s="45"/>
      <c r="L533" s="45"/>
    </row>
    <row r="534" spans="11:12" x14ac:dyDescent="0.25">
      <c r="K534" s="45"/>
      <c r="L534" s="45"/>
    </row>
    <row r="535" spans="11:12" x14ac:dyDescent="0.25">
      <c r="K535" s="45"/>
      <c r="L535" s="45"/>
    </row>
    <row r="536" spans="11:12" x14ac:dyDescent="0.25">
      <c r="K536" s="45"/>
      <c r="L536" s="45"/>
    </row>
    <row r="537" spans="11:12" x14ac:dyDescent="0.25">
      <c r="K537" s="45"/>
      <c r="L537" s="45"/>
    </row>
    <row r="538" spans="11:12" x14ac:dyDescent="0.25">
      <c r="K538" s="45"/>
      <c r="L538" s="45"/>
    </row>
    <row r="539" spans="11:12" x14ac:dyDescent="0.25">
      <c r="K539" s="45"/>
      <c r="L539" s="45"/>
    </row>
    <row r="540" spans="11:12" x14ac:dyDescent="0.25">
      <c r="K540" s="45"/>
      <c r="L540" s="45"/>
    </row>
    <row r="541" spans="11:12" x14ac:dyDescent="0.25">
      <c r="K541" s="45"/>
      <c r="L541" s="45"/>
    </row>
    <row r="542" spans="11:12" x14ac:dyDescent="0.25">
      <c r="K542" s="45"/>
      <c r="L542" s="45"/>
    </row>
    <row r="543" spans="11:12" x14ac:dyDescent="0.25">
      <c r="K543" s="45"/>
      <c r="L543" s="45"/>
    </row>
    <row r="544" spans="11:12" x14ac:dyDescent="0.25">
      <c r="K544" s="45"/>
      <c r="L544" s="45"/>
    </row>
    <row r="545" spans="11:12" x14ac:dyDescent="0.25">
      <c r="K545" s="45"/>
      <c r="L545" s="45"/>
    </row>
    <row r="546" spans="11:12" x14ac:dyDescent="0.25">
      <c r="K546" s="45"/>
      <c r="L546" s="45"/>
    </row>
    <row r="547" spans="11:12" x14ac:dyDescent="0.25">
      <c r="K547" s="45"/>
      <c r="L547" s="45"/>
    </row>
    <row r="548" spans="11:12" x14ac:dyDescent="0.25">
      <c r="K548" s="45"/>
      <c r="L548" s="45"/>
    </row>
    <row r="549" spans="11:12" x14ac:dyDescent="0.25">
      <c r="K549" s="45"/>
      <c r="L549" s="45"/>
    </row>
    <row r="550" spans="11:12" x14ac:dyDescent="0.25">
      <c r="K550" s="45"/>
      <c r="L550" s="45"/>
    </row>
    <row r="551" spans="11:12" x14ac:dyDescent="0.25">
      <c r="K551" s="45"/>
      <c r="L551" s="45"/>
    </row>
    <row r="552" spans="11:12" x14ac:dyDescent="0.25">
      <c r="K552" s="45"/>
      <c r="L552" s="45"/>
    </row>
    <row r="553" spans="11:12" x14ac:dyDescent="0.25">
      <c r="K553" s="45"/>
      <c r="L553" s="45"/>
    </row>
    <row r="554" spans="11:12" x14ac:dyDescent="0.25">
      <c r="K554" s="45"/>
      <c r="L554" s="45"/>
    </row>
    <row r="555" spans="11:12" x14ac:dyDescent="0.25">
      <c r="K555" s="45"/>
      <c r="L555" s="45"/>
    </row>
    <row r="556" spans="11:12" x14ac:dyDescent="0.25">
      <c r="K556" s="45"/>
      <c r="L556" s="45"/>
    </row>
    <row r="557" spans="11:12" x14ac:dyDescent="0.25">
      <c r="K557" s="45"/>
      <c r="L557" s="45"/>
    </row>
    <row r="558" spans="11:12" x14ac:dyDescent="0.25">
      <c r="K558" s="45"/>
      <c r="L558" s="45"/>
    </row>
    <row r="559" spans="11:12" x14ac:dyDescent="0.25">
      <c r="K559" s="45"/>
      <c r="L559" s="45"/>
    </row>
    <row r="560" spans="11:12" x14ac:dyDescent="0.25">
      <c r="K560" s="45"/>
      <c r="L560" s="45"/>
    </row>
    <row r="561" spans="11:12" x14ac:dyDescent="0.25">
      <c r="K561" s="45"/>
      <c r="L561" s="45"/>
    </row>
    <row r="562" spans="11:12" x14ac:dyDescent="0.25">
      <c r="K562" s="45"/>
      <c r="L562" s="45"/>
    </row>
    <row r="563" spans="11:12" x14ac:dyDescent="0.25">
      <c r="K563" s="45"/>
      <c r="L563" s="45"/>
    </row>
    <row r="564" spans="11:12" x14ac:dyDescent="0.25">
      <c r="K564" s="45"/>
      <c r="L564" s="45"/>
    </row>
    <row r="565" spans="11:12" x14ac:dyDescent="0.25">
      <c r="K565" s="45"/>
      <c r="L565" s="45"/>
    </row>
    <row r="566" spans="11:12" x14ac:dyDescent="0.25">
      <c r="K566" s="45"/>
      <c r="L566" s="45"/>
    </row>
    <row r="567" spans="11:12" x14ac:dyDescent="0.25">
      <c r="K567" s="45"/>
      <c r="L567" s="45"/>
    </row>
    <row r="568" spans="11:12" x14ac:dyDescent="0.25">
      <c r="K568" s="45"/>
      <c r="L568" s="45"/>
    </row>
    <row r="569" spans="11:12" x14ac:dyDescent="0.25">
      <c r="K569" s="45"/>
      <c r="L569" s="45"/>
    </row>
    <row r="570" spans="11:12" x14ac:dyDescent="0.25">
      <c r="K570" s="45"/>
      <c r="L570" s="45"/>
    </row>
    <row r="571" spans="11:12" x14ac:dyDescent="0.25">
      <c r="K571" s="45"/>
      <c r="L571" s="45"/>
    </row>
    <row r="572" spans="11:12" x14ac:dyDescent="0.25">
      <c r="K572" s="45"/>
      <c r="L572" s="45"/>
    </row>
    <row r="573" spans="11:12" x14ac:dyDescent="0.25">
      <c r="K573" s="45"/>
      <c r="L573" s="45"/>
    </row>
    <row r="574" spans="11:12" x14ac:dyDescent="0.25">
      <c r="K574" s="45"/>
      <c r="L574" s="45"/>
    </row>
    <row r="575" spans="11:12" x14ac:dyDescent="0.25">
      <c r="K575" s="45"/>
      <c r="L575" s="45"/>
    </row>
    <row r="576" spans="11:12" x14ac:dyDescent="0.25">
      <c r="K576" s="45"/>
      <c r="L576" s="45"/>
    </row>
    <row r="577" spans="11:12" x14ac:dyDescent="0.25">
      <c r="K577" s="45"/>
      <c r="L577" s="45"/>
    </row>
    <row r="578" spans="11:12" x14ac:dyDescent="0.25">
      <c r="K578" s="45"/>
      <c r="L578" s="45"/>
    </row>
    <row r="579" spans="11:12" x14ac:dyDescent="0.25">
      <c r="K579" s="45"/>
      <c r="L579" s="45"/>
    </row>
    <row r="580" spans="11:12" x14ac:dyDescent="0.25">
      <c r="K580" s="45"/>
      <c r="L580" s="45"/>
    </row>
    <row r="581" spans="11:12" x14ac:dyDescent="0.25">
      <c r="K581" s="45"/>
      <c r="L581" s="45"/>
    </row>
    <row r="582" spans="11:12" x14ac:dyDescent="0.25">
      <c r="K582" s="45"/>
      <c r="L582" s="45"/>
    </row>
    <row r="583" spans="11:12" x14ac:dyDescent="0.25">
      <c r="K583" s="45"/>
      <c r="L583" s="45"/>
    </row>
    <row r="584" spans="11:12" x14ac:dyDescent="0.25">
      <c r="K584" s="45"/>
      <c r="L584" s="45"/>
    </row>
    <row r="585" spans="11:12" x14ac:dyDescent="0.25">
      <c r="K585" s="45"/>
      <c r="L585" s="45"/>
    </row>
    <row r="586" spans="11:12" x14ac:dyDescent="0.25">
      <c r="K586" s="45"/>
      <c r="L586" s="45"/>
    </row>
    <row r="587" spans="11:12" x14ac:dyDescent="0.25">
      <c r="K587" s="45"/>
      <c r="L587" s="45"/>
    </row>
    <row r="588" spans="11:12" x14ac:dyDescent="0.25">
      <c r="K588" s="45"/>
      <c r="L588" s="45"/>
    </row>
    <row r="589" spans="11:12" x14ac:dyDescent="0.25">
      <c r="K589" s="45"/>
      <c r="L589" s="45"/>
    </row>
    <row r="590" spans="11:12" x14ac:dyDescent="0.25">
      <c r="K590" s="45"/>
      <c r="L590" s="45"/>
    </row>
    <row r="591" spans="11:12" x14ac:dyDescent="0.25">
      <c r="K591" s="45"/>
      <c r="L591" s="45"/>
    </row>
    <row r="592" spans="11:12" x14ac:dyDescent="0.25">
      <c r="K592" s="45"/>
      <c r="L592" s="45"/>
    </row>
    <row r="593" spans="11:12" x14ac:dyDescent="0.25">
      <c r="K593" s="45"/>
      <c r="L593" s="45"/>
    </row>
    <row r="594" spans="11:12" x14ac:dyDescent="0.25">
      <c r="K594" s="45"/>
      <c r="L594" s="45"/>
    </row>
    <row r="595" spans="11:12" x14ac:dyDescent="0.25">
      <c r="K595" s="45"/>
      <c r="L595" s="45"/>
    </row>
    <row r="596" spans="11:12" x14ac:dyDescent="0.25">
      <c r="K596" s="45"/>
      <c r="L596" s="45"/>
    </row>
    <row r="597" spans="11:12" x14ac:dyDescent="0.25">
      <c r="K597" s="45"/>
      <c r="L597" s="45"/>
    </row>
    <row r="598" spans="11:12" x14ac:dyDescent="0.25">
      <c r="K598" s="45"/>
      <c r="L598" s="45"/>
    </row>
    <row r="599" spans="11:12" x14ac:dyDescent="0.25">
      <c r="K599" s="45"/>
      <c r="L599" s="45"/>
    </row>
    <row r="600" spans="11:12" x14ac:dyDescent="0.25">
      <c r="K600" s="45"/>
      <c r="L600" s="45"/>
    </row>
    <row r="601" spans="11:12" x14ac:dyDescent="0.25">
      <c r="K601" s="45"/>
      <c r="L601" s="45"/>
    </row>
    <row r="602" spans="11:12" x14ac:dyDescent="0.25">
      <c r="K602" s="45"/>
      <c r="L602" s="45"/>
    </row>
    <row r="603" spans="11:12" x14ac:dyDescent="0.25">
      <c r="K603" s="45"/>
      <c r="L603" s="45"/>
    </row>
    <row r="604" spans="11:12" x14ac:dyDescent="0.25">
      <c r="K604" s="45"/>
      <c r="L604" s="45"/>
    </row>
    <row r="605" spans="11:12" x14ac:dyDescent="0.25">
      <c r="K605" s="45"/>
      <c r="L605" s="45"/>
    </row>
    <row r="606" spans="11:12" x14ac:dyDescent="0.25">
      <c r="K606" s="45"/>
      <c r="L606" s="45"/>
    </row>
    <row r="607" spans="11:12" x14ac:dyDescent="0.25">
      <c r="K607" s="45"/>
      <c r="L607" s="45"/>
    </row>
    <row r="608" spans="11:12" x14ac:dyDescent="0.25">
      <c r="K608" s="45"/>
      <c r="L608" s="45"/>
    </row>
    <row r="609" spans="11:12" x14ac:dyDescent="0.25">
      <c r="K609" s="45"/>
      <c r="L609" s="45"/>
    </row>
    <row r="610" spans="11:12" x14ac:dyDescent="0.25">
      <c r="K610" s="45"/>
      <c r="L610" s="45"/>
    </row>
    <row r="611" spans="11:12" x14ac:dyDescent="0.25">
      <c r="K611" s="45"/>
      <c r="L611" s="45"/>
    </row>
    <row r="612" spans="11:12" x14ac:dyDescent="0.25">
      <c r="K612" s="45"/>
      <c r="L612" s="45"/>
    </row>
    <row r="613" spans="11:12" x14ac:dyDescent="0.25">
      <c r="K613" s="45"/>
      <c r="L613" s="45"/>
    </row>
    <row r="614" spans="11:12" x14ac:dyDescent="0.25">
      <c r="K614" s="45"/>
      <c r="L614" s="45"/>
    </row>
    <row r="615" spans="11:12" x14ac:dyDescent="0.25">
      <c r="K615" s="45"/>
      <c r="L615" s="45"/>
    </row>
    <row r="616" spans="11:12" x14ac:dyDescent="0.25">
      <c r="K616" s="45"/>
      <c r="L616" s="45"/>
    </row>
    <row r="617" spans="11:12" x14ac:dyDescent="0.25">
      <c r="K617" s="45"/>
      <c r="L617" s="45"/>
    </row>
    <row r="618" spans="11:12" x14ac:dyDescent="0.25">
      <c r="K618" s="45"/>
      <c r="L618" s="45"/>
    </row>
    <row r="619" spans="11:12" x14ac:dyDescent="0.25">
      <c r="K619" s="45"/>
      <c r="L619" s="45"/>
    </row>
    <row r="620" spans="11:12" x14ac:dyDescent="0.25">
      <c r="K620" s="45"/>
      <c r="L620" s="45"/>
    </row>
    <row r="621" spans="11:12" x14ac:dyDescent="0.25">
      <c r="K621" s="45"/>
      <c r="L621" s="45"/>
    </row>
    <row r="622" spans="11:12" x14ac:dyDescent="0.25">
      <c r="K622" s="45"/>
      <c r="L622" s="45"/>
    </row>
    <row r="623" spans="11:12" x14ac:dyDescent="0.25">
      <c r="K623" s="45"/>
      <c r="L623" s="45"/>
    </row>
    <row r="624" spans="11:12" x14ac:dyDescent="0.25">
      <c r="K624" s="45"/>
      <c r="L624" s="45"/>
    </row>
    <row r="625" spans="11:12" x14ac:dyDescent="0.25">
      <c r="K625" s="45"/>
      <c r="L625" s="45"/>
    </row>
    <row r="626" spans="11:12" x14ac:dyDescent="0.25">
      <c r="K626" s="45"/>
      <c r="L626" s="45"/>
    </row>
    <row r="627" spans="11:12" x14ac:dyDescent="0.25">
      <c r="K627" s="45"/>
      <c r="L627" s="45"/>
    </row>
    <row r="628" spans="11:12" x14ac:dyDescent="0.25">
      <c r="K628" s="45"/>
      <c r="L628" s="45"/>
    </row>
    <row r="629" spans="11:12" x14ac:dyDescent="0.25">
      <c r="K629" s="45"/>
      <c r="L629" s="45"/>
    </row>
    <row r="630" spans="11:12" x14ac:dyDescent="0.25">
      <c r="K630" s="45"/>
      <c r="L630" s="45"/>
    </row>
    <row r="631" spans="11:12" x14ac:dyDescent="0.25">
      <c r="K631" s="45"/>
      <c r="L631" s="45"/>
    </row>
    <row r="632" spans="11:12" x14ac:dyDescent="0.25">
      <c r="K632" s="45"/>
      <c r="L632" s="45"/>
    </row>
    <row r="633" spans="11:12" x14ac:dyDescent="0.25">
      <c r="K633" s="45"/>
      <c r="L633" s="45"/>
    </row>
    <row r="634" spans="11:12" x14ac:dyDescent="0.25">
      <c r="K634" s="45"/>
      <c r="L634" s="45"/>
    </row>
    <row r="635" spans="11:12" x14ac:dyDescent="0.25">
      <c r="K635" s="45"/>
      <c r="L635" s="45"/>
    </row>
    <row r="636" spans="11:12" x14ac:dyDescent="0.25">
      <c r="K636" s="45"/>
      <c r="L636" s="45"/>
    </row>
    <row r="637" spans="11:12" x14ac:dyDescent="0.25">
      <c r="K637" s="45"/>
      <c r="L637" s="45"/>
    </row>
    <row r="638" spans="11:12" x14ac:dyDescent="0.25">
      <c r="K638" s="45"/>
      <c r="L638" s="45"/>
    </row>
    <row r="639" spans="11:12" x14ac:dyDescent="0.25">
      <c r="K639" s="45"/>
      <c r="L639" s="45"/>
    </row>
    <row r="640" spans="11:12" x14ac:dyDescent="0.25">
      <c r="K640" s="45"/>
      <c r="L640" s="45"/>
    </row>
    <row r="641" spans="11:12" x14ac:dyDescent="0.25">
      <c r="K641" s="45"/>
      <c r="L641" s="45"/>
    </row>
    <row r="642" spans="11:12" x14ac:dyDescent="0.25">
      <c r="K642" s="45"/>
      <c r="L642" s="45"/>
    </row>
    <row r="643" spans="11:12" x14ac:dyDescent="0.25">
      <c r="K643" s="45"/>
      <c r="L643" s="45"/>
    </row>
    <row r="644" spans="11:12" x14ac:dyDescent="0.25">
      <c r="K644" s="45"/>
      <c r="L644" s="45"/>
    </row>
    <row r="645" spans="11:12" x14ac:dyDescent="0.25">
      <c r="K645" s="45"/>
      <c r="L645" s="45"/>
    </row>
    <row r="646" spans="11:12" x14ac:dyDescent="0.25">
      <c r="K646" s="45"/>
      <c r="L646" s="45"/>
    </row>
    <row r="647" spans="11:12" x14ac:dyDescent="0.25">
      <c r="K647" s="45"/>
      <c r="L647" s="45"/>
    </row>
    <row r="648" spans="11:12" x14ac:dyDescent="0.25">
      <c r="K648" s="45"/>
      <c r="L648" s="45"/>
    </row>
    <row r="649" spans="11:12" x14ac:dyDescent="0.25">
      <c r="K649" s="45"/>
      <c r="L649" s="45"/>
    </row>
    <row r="650" spans="11:12" x14ac:dyDescent="0.25">
      <c r="K650" s="45"/>
      <c r="L650" s="45"/>
    </row>
    <row r="651" spans="11:12" x14ac:dyDescent="0.25">
      <c r="K651" s="45"/>
      <c r="L651" s="45"/>
    </row>
    <row r="652" spans="11:12" x14ac:dyDescent="0.25">
      <c r="K652" s="45"/>
      <c r="L652" s="45"/>
    </row>
    <row r="653" spans="11:12" x14ac:dyDescent="0.25">
      <c r="K653" s="45"/>
      <c r="L653" s="45"/>
    </row>
    <row r="654" spans="11:12" x14ac:dyDescent="0.25">
      <c r="K654" s="45"/>
      <c r="L654" s="45"/>
    </row>
    <row r="655" spans="11:12" x14ac:dyDescent="0.25">
      <c r="K655" s="45"/>
      <c r="L655" s="45"/>
    </row>
    <row r="656" spans="11:12" x14ac:dyDescent="0.25">
      <c r="K656" s="45"/>
      <c r="L656" s="45"/>
    </row>
    <row r="657" spans="11:12" x14ac:dyDescent="0.25">
      <c r="K657" s="45"/>
      <c r="L657" s="45"/>
    </row>
    <row r="658" spans="11:12" x14ac:dyDescent="0.25">
      <c r="K658" s="45"/>
      <c r="L658" s="45"/>
    </row>
    <row r="659" spans="11:12" x14ac:dyDescent="0.25">
      <c r="K659" s="45"/>
      <c r="L659" s="45"/>
    </row>
    <row r="660" spans="11:12" x14ac:dyDescent="0.25">
      <c r="K660" s="45"/>
      <c r="L660" s="45"/>
    </row>
    <row r="661" spans="11:12" x14ac:dyDescent="0.25">
      <c r="K661" s="45"/>
      <c r="L661" s="45"/>
    </row>
    <row r="662" spans="11:12" x14ac:dyDescent="0.25">
      <c r="K662" s="45"/>
      <c r="L662" s="45"/>
    </row>
    <row r="663" spans="11:12" x14ac:dyDescent="0.25">
      <c r="K663" s="45"/>
      <c r="L663" s="45"/>
    </row>
    <row r="664" spans="11:12" x14ac:dyDescent="0.25">
      <c r="K664" s="45"/>
      <c r="L664" s="45"/>
    </row>
    <row r="665" spans="11:12" x14ac:dyDescent="0.25">
      <c r="K665" s="45"/>
      <c r="L665" s="45"/>
    </row>
    <row r="666" spans="11:12" x14ac:dyDescent="0.25">
      <c r="K666" s="45"/>
      <c r="L666" s="45"/>
    </row>
    <row r="667" spans="11:12" x14ac:dyDescent="0.25">
      <c r="K667" s="45"/>
      <c r="L667" s="45"/>
    </row>
    <row r="668" spans="11:12" x14ac:dyDescent="0.25">
      <c r="K668" s="45"/>
      <c r="L668" s="45"/>
    </row>
    <row r="669" spans="11:12" x14ac:dyDescent="0.25">
      <c r="K669" s="45"/>
      <c r="L669" s="45"/>
    </row>
    <row r="670" spans="11:12" x14ac:dyDescent="0.25">
      <c r="K670" s="45"/>
      <c r="L670" s="45"/>
    </row>
    <row r="671" spans="11:12" x14ac:dyDescent="0.25">
      <c r="K671" s="45"/>
      <c r="L671" s="45"/>
    </row>
    <row r="672" spans="11:12" x14ac:dyDescent="0.25">
      <c r="K672" s="45"/>
      <c r="L672" s="45"/>
    </row>
    <row r="673" spans="11:12" x14ac:dyDescent="0.25">
      <c r="K673" s="45"/>
      <c r="L673" s="45"/>
    </row>
    <row r="674" spans="11:12" x14ac:dyDescent="0.25">
      <c r="K674" s="45"/>
      <c r="L674" s="45"/>
    </row>
    <row r="675" spans="11:12" x14ac:dyDescent="0.25">
      <c r="K675" s="45"/>
      <c r="L675" s="45"/>
    </row>
    <row r="676" spans="11:12" x14ac:dyDescent="0.25">
      <c r="K676" s="45"/>
      <c r="L676" s="45"/>
    </row>
    <row r="677" spans="11:12" x14ac:dyDescent="0.25">
      <c r="K677" s="45"/>
      <c r="L677" s="45"/>
    </row>
    <row r="678" spans="11:12" x14ac:dyDescent="0.25">
      <c r="K678" s="45"/>
      <c r="L678" s="45"/>
    </row>
    <row r="679" spans="11:12" x14ac:dyDescent="0.25">
      <c r="K679" s="45"/>
      <c r="L679" s="45"/>
    </row>
    <row r="680" spans="11:12" x14ac:dyDescent="0.25">
      <c r="K680" s="45"/>
      <c r="L680" s="45"/>
    </row>
    <row r="681" spans="11:12" x14ac:dyDescent="0.25">
      <c r="K681" s="45"/>
      <c r="L681" s="45"/>
    </row>
    <row r="682" spans="11:12" x14ac:dyDescent="0.25">
      <c r="K682" s="45"/>
      <c r="L682" s="45"/>
    </row>
    <row r="683" spans="11:12" x14ac:dyDescent="0.25">
      <c r="K683" s="45"/>
      <c r="L683" s="45"/>
    </row>
    <row r="684" spans="11:12" x14ac:dyDescent="0.25">
      <c r="K684" s="45"/>
      <c r="L684" s="45"/>
    </row>
    <row r="685" spans="11:12" x14ac:dyDescent="0.25">
      <c r="K685" s="45"/>
      <c r="L685" s="45"/>
    </row>
    <row r="686" spans="11:12" x14ac:dyDescent="0.25">
      <c r="K686" s="45"/>
      <c r="L686" s="45"/>
    </row>
    <row r="687" spans="11:12" x14ac:dyDescent="0.25">
      <c r="K687" s="45"/>
      <c r="L687" s="45"/>
    </row>
    <row r="688" spans="11:12" x14ac:dyDescent="0.25">
      <c r="K688" s="45"/>
      <c r="L688" s="45"/>
    </row>
    <row r="689" spans="11:12" x14ac:dyDescent="0.25">
      <c r="K689" s="45"/>
      <c r="L689" s="45"/>
    </row>
    <row r="690" spans="11:12" x14ac:dyDescent="0.25">
      <c r="K690" s="45"/>
      <c r="L690" s="45"/>
    </row>
    <row r="691" spans="11:12" x14ac:dyDescent="0.25">
      <c r="K691" s="45"/>
      <c r="L691" s="45"/>
    </row>
    <row r="692" spans="11:12" x14ac:dyDescent="0.25">
      <c r="K692" s="45"/>
      <c r="L692" s="45"/>
    </row>
    <row r="693" spans="11:12" x14ac:dyDescent="0.25">
      <c r="K693" s="45"/>
      <c r="L693" s="45"/>
    </row>
    <row r="694" spans="11:12" x14ac:dyDescent="0.25">
      <c r="K694" s="45"/>
      <c r="L694" s="45"/>
    </row>
    <row r="695" spans="11:12" x14ac:dyDescent="0.25">
      <c r="K695" s="45"/>
      <c r="L695" s="45"/>
    </row>
    <row r="696" spans="11:12" x14ac:dyDescent="0.25">
      <c r="K696" s="45"/>
      <c r="L696" s="45"/>
    </row>
    <row r="697" spans="11:12" x14ac:dyDescent="0.25">
      <c r="K697" s="45"/>
      <c r="L697" s="45"/>
    </row>
    <row r="698" spans="11:12" x14ac:dyDescent="0.25">
      <c r="K698" s="45"/>
      <c r="L698" s="45"/>
    </row>
    <row r="699" spans="11:12" x14ac:dyDescent="0.25">
      <c r="K699" s="45"/>
      <c r="L699" s="45"/>
    </row>
    <row r="700" spans="11:12" x14ac:dyDescent="0.25">
      <c r="K700" s="45"/>
      <c r="L700" s="45"/>
    </row>
    <row r="701" spans="11:12" x14ac:dyDescent="0.25">
      <c r="K701" s="45"/>
      <c r="L701" s="45"/>
    </row>
    <row r="702" spans="11:12" x14ac:dyDescent="0.25">
      <c r="K702" s="45"/>
      <c r="L702" s="45"/>
    </row>
    <row r="703" spans="11:12" x14ac:dyDescent="0.25">
      <c r="K703" s="45"/>
      <c r="L703" s="45"/>
    </row>
    <row r="704" spans="11:12" x14ac:dyDescent="0.25">
      <c r="K704" s="45"/>
      <c r="L704" s="45"/>
    </row>
    <row r="705" spans="11:12" x14ac:dyDescent="0.25">
      <c r="K705" s="45"/>
      <c r="L705" s="45"/>
    </row>
    <row r="706" spans="11:12" x14ac:dyDescent="0.25">
      <c r="K706" s="45"/>
      <c r="L706" s="45"/>
    </row>
    <row r="707" spans="11:12" x14ac:dyDescent="0.25">
      <c r="K707" s="45"/>
      <c r="L707" s="45"/>
    </row>
    <row r="708" spans="11:12" x14ac:dyDescent="0.25">
      <c r="K708" s="45"/>
      <c r="L708" s="45"/>
    </row>
    <row r="709" spans="11:12" x14ac:dyDescent="0.25">
      <c r="K709" s="45"/>
      <c r="L709" s="45"/>
    </row>
    <row r="710" spans="11:12" x14ac:dyDescent="0.25">
      <c r="K710" s="45"/>
      <c r="L710" s="45"/>
    </row>
    <row r="711" spans="11:12" x14ac:dyDescent="0.25">
      <c r="K711" s="45"/>
      <c r="L711" s="45"/>
    </row>
    <row r="712" spans="11:12" x14ac:dyDescent="0.25">
      <c r="K712" s="45"/>
      <c r="L712" s="45"/>
    </row>
    <row r="713" spans="11:12" x14ac:dyDescent="0.25">
      <c r="K713" s="45"/>
      <c r="L713" s="45"/>
    </row>
    <row r="714" spans="11:12" x14ac:dyDescent="0.25">
      <c r="K714" s="45"/>
      <c r="L714" s="45"/>
    </row>
    <row r="715" spans="11:12" x14ac:dyDescent="0.25">
      <c r="K715" s="45"/>
      <c r="L715" s="45"/>
    </row>
    <row r="716" spans="11:12" x14ac:dyDescent="0.25">
      <c r="K716" s="45"/>
      <c r="L716" s="45"/>
    </row>
    <row r="717" spans="11:12" x14ac:dyDescent="0.25">
      <c r="K717" s="45"/>
      <c r="L717" s="45"/>
    </row>
    <row r="718" spans="11:12" x14ac:dyDescent="0.25">
      <c r="K718" s="45"/>
      <c r="L718" s="45"/>
    </row>
    <row r="719" spans="11:12" x14ac:dyDescent="0.25">
      <c r="K719" s="45"/>
      <c r="L719" s="45"/>
    </row>
    <row r="720" spans="11:12" x14ac:dyDescent="0.25">
      <c r="K720" s="45"/>
      <c r="L720" s="45"/>
    </row>
    <row r="721" spans="11:12" x14ac:dyDescent="0.25">
      <c r="K721" s="45"/>
      <c r="L721" s="45"/>
    </row>
    <row r="722" spans="11:12" x14ac:dyDescent="0.25">
      <c r="K722" s="45"/>
      <c r="L722" s="45"/>
    </row>
    <row r="723" spans="11:12" x14ac:dyDescent="0.25">
      <c r="K723" s="45"/>
      <c r="L723" s="45"/>
    </row>
    <row r="724" spans="11:12" x14ac:dyDescent="0.25">
      <c r="K724" s="45"/>
      <c r="L724" s="45"/>
    </row>
    <row r="725" spans="11:12" x14ac:dyDescent="0.25">
      <c r="K725" s="45"/>
      <c r="L725" s="45"/>
    </row>
    <row r="726" spans="11:12" x14ac:dyDescent="0.25">
      <c r="K726" s="45"/>
      <c r="L726" s="45"/>
    </row>
    <row r="727" spans="11:12" x14ac:dyDescent="0.25">
      <c r="K727" s="45"/>
      <c r="L727" s="45"/>
    </row>
    <row r="728" spans="11:12" x14ac:dyDescent="0.25">
      <c r="K728" s="45"/>
      <c r="L728" s="45"/>
    </row>
    <row r="729" spans="11:12" x14ac:dyDescent="0.25">
      <c r="K729" s="45"/>
      <c r="L729" s="45"/>
    </row>
    <row r="730" spans="11:12" x14ac:dyDescent="0.25">
      <c r="K730" s="45"/>
      <c r="L730" s="45"/>
    </row>
    <row r="731" spans="11:12" x14ac:dyDescent="0.25">
      <c r="K731" s="45"/>
      <c r="L731" s="45"/>
    </row>
    <row r="732" spans="11:12" x14ac:dyDescent="0.25">
      <c r="K732" s="45"/>
      <c r="L732" s="45"/>
    </row>
    <row r="733" spans="11:12" x14ac:dyDescent="0.25">
      <c r="K733" s="45"/>
      <c r="L733" s="45"/>
    </row>
    <row r="734" spans="11:12" x14ac:dyDescent="0.25">
      <c r="K734" s="45"/>
      <c r="L734" s="45"/>
    </row>
    <row r="735" spans="11:12" x14ac:dyDescent="0.25">
      <c r="K735" s="45"/>
      <c r="L735" s="45"/>
    </row>
    <row r="736" spans="11:12" x14ac:dyDescent="0.25">
      <c r="K736" s="45"/>
      <c r="L736" s="45"/>
    </row>
    <row r="737" spans="11:12" x14ac:dyDescent="0.25">
      <c r="K737" s="45"/>
      <c r="L737" s="45"/>
    </row>
    <row r="738" spans="11:12" x14ac:dyDescent="0.25">
      <c r="K738" s="45"/>
      <c r="L738" s="45"/>
    </row>
    <row r="739" spans="11:12" x14ac:dyDescent="0.25">
      <c r="K739" s="45"/>
      <c r="L739" s="45"/>
    </row>
    <row r="740" spans="11:12" x14ac:dyDescent="0.25">
      <c r="K740" s="45"/>
      <c r="L740" s="45"/>
    </row>
    <row r="741" spans="11:12" x14ac:dyDescent="0.25">
      <c r="K741" s="45"/>
      <c r="L741" s="45"/>
    </row>
    <row r="742" spans="11:12" x14ac:dyDescent="0.25">
      <c r="K742" s="45"/>
      <c r="L742" s="45"/>
    </row>
    <row r="743" spans="11:12" x14ac:dyDescent="0.25">
      <c r="K743" s="45"/>
      <c r="L743" s="45"/>
    </row>
    <row r="744" spans="11:12" x14ac:dyDescent="0.25">
      <c r="K744" s="45"/>
      <c r="L744" s="45"/>
    </row>
    <row r="745" spans="11:12" x14ac:dyDescent="0.25">
      <c r="K745" s="45"/>
      <c r="L745" s="45"/>
    </row>
    <row r="746" spans="11:12" x14ac:dyDescent="0.25">
      <c r="K746" s="45"/>
      <c r="L746" s="45"/>
    </row>
    <row r="747" spans="11:12" x14ac:dyDescent="0.25">
      <c r="K747" s="45"/>
      <c r="L747" s="45"/>
    </row>
    <row r="748" spans="11:12" x14ac:dyDescent="0.25">
      <c r="K748" s="45"/>
      <c r="L748" s="45"/>
    </row>
    <row r="749" spans="11:12" x14ac:dyDescent="0.25">
      <c r="K749" s="45"/>
      <c r="L749" s="45"/>
    </row>
    <row r="750" spans="11:12" x14ac:dyDescent="0.25">
      <c r="K750" s="45"/>
      <c r="L750" s="45"/>
    </row>
    <row r="751" spans="11:12" x14ac:dyDescent="0.25">
      <c r="K751" s="45"/>
      <c r="L751" s="45"/>
    </row>
    <row r="752" spans="11:12" x14ac:dyDescent="0.25">
      <c r="K752" s="45"/>
      <c r="L752" s="45"/>
    </row>
    <row r="753" spans="11:12" x14ac:dyDescent="0.25">
      <c r="K753" s="45"/>
      <c r="L753" s="45"/>
    </row>
    <row r="754" spans="11:12" x14ac:dyDescent="0.25">
      <c r="K754" s="45"/>
      <c r="L754" s="45"/>
    </row>
    <row r="755" spans="11:12" x14ac:dyDescent="0.25">
      <c r="L755" s="45"/>
    </row>
    <row r="756" spans="11:12" x14ac:dyDescent="0.25">
      <c r="L756" s="45"/>
    </row>
    <row r="757" spans="11:12" x14ac:dyDescent="0.25">
      <c r="L757" s="45"/>
    </row>
    <row r="758" spans="11:12" x14ac:dyDescent="0.25">
      <c r="L758" s="45"/>
    </row>
    <row r="759" spans="11:12" x14ac:dyDescent="0.25">
      <c r="L759" s="45"/>
    </row>
    <row r="760" spans="11:12" x14ac:dyDescent="0.25">
      <c r="L760" s="45"/>
    </row>
    <row r="761" spans="11:12" x14ac:dyDescent="0.25">
      <c r="L761" s="45"/>
    </row>
    <row r="762" spans="11:12" x14ac:dyDescent="0.25">
      <c r="L762" s="45"/>
    </row>
    <row r="763" spans="11:12" x14ac:dyDescent="0.25">
      <c r="L763" s="45"/>
    </row>
    <row r="764" spans="11:12" x14ac:dyDescent="0.25">
      <c r="L764" s="45"/>
    </row>
    <row r="765" spans="11:12" x14ac:dyDescent="0.25">
      <c r="L765" s="45"/>
    </row>
    <row r="766" spans="11:12" x14ac:dyDescent="0.25">
      <c r="L766" s="45"/>
    </row>
    <row r="767" spans="11:12" x14ac:dyDescent="0.25">
      <c r="L767" s="45"/>
    </row>
    <row r="768" spans="11:12" x14ac:dyDescent="0.25">
      <c r="L768" s="45"/>
    </row>
    <row r="769" spans="12:12" x14ac:dyDescent="0.25">
      <c r="L769" s="45"/>
    </row>
    <row r="770" spans="12:12" x14ac:dyDescent="0.25">
      <c r="L770" s="45"/>
    </row>
    <row r="771" spans="12:12" x14ac:dyDescent="0.25">
      <c r="L771" s="45"/>
    </row>
    <row r="772" spans="12:12" x14ac:dyDescent="0.25">
      <c r="L772" s="45"/>
    </row>
    <row r="773" spans="12:12" x14ac:dyDescent="0.25">
      <c r="L773" s="45"/>
    </row>
    <row r="774" spans="12:12" x14ac:dyDescent="0.25">
      <c r="L774" s="45"/>
    </row>
  </sheetData>
  <autoFilter ref="A1:J138" xr:uid="{B5A921C3-9CFD-45B1-95FD-FE3F4778D122}"/>
  <conditionalFormatting sqref="N10:Y16">
    <cfRule type="cellIs" dxfId="0" priority="1" operator="lessThan">
      <formula>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269B-7D7F-4F0F-BB5A-D00F42799532}">
  <dimension ref="A1:J12"/>
  <sheetViews>
    <sheetView workbookViewId="0">
      <selection activeCell="E13" sqref="E13"/>
    </sheetView>
  </sheetViews>
  <sheetFormatPr baseColWidth="10" defaultRowHeight="15" x14ac:dyDescent="0.25"/>
  <cols>
    <col min="1" max="1" width="17.85546875" bestFit="1" customWidth="1"/>
    <col min="2" max="2" width="17.85546875" customWidth="1"/>
    <col min="4" max="4" width="19.85546875" customWidth="1"/>
  </cols>
  <sheetData>
    <row r="1" spans="1:10" x14ac:dyDescent="0.25">
      <c r="A1" t="s">
        <v>142</v>
      </c>
      <c r="D1" s="39" t="s">
        <v>141</v>
      </c>
      <c r="I1" s="43" t="s">
        <v>153</v>
      </c>
      <c r="J1" s="43"/>
    </row>
    <row r="2" spans="1:10" x14ac:dyDescent="0.25">
      <c r="A2" t="s">
        <v>18</v>
      </c>
      <c r="D2" t="s">
        <v>136</v>
      </c>
      <c r="I2" s="40" t="s">
        <v>141</v>
      </c>
      <c r="J2" t="s">
        <v>142</v>
      </c>
    </row>
    <row r="3" spans="1:10" x14ac:dyDescent="0.25">
      <c r="A3" t="s">
        <v>17</v>
      </c>
      <c r="C3" s="40" t="s">
        <v>52</v>
      </c>
      <c r="D3" t="s">
        <v>139</v>
      </c>
      <c r="I3" s="41" t="s">
        <v>143</v>
      </c>
      <c r="J3" s="42" t="s">
        <v>144</v>
      </c>
    </row>
    <row r="4" spans="1:10" x14ac:dyDescent="0.25">
      <c r="A4" t="s">
        <v>37</v>
      </c>
      <c r="C4" s="40" t="s">
        <v>18</v>
      </c>
      <c r="D4" t="s">
        <v>133</v>
      </c>
      <c r="I4" s="41" t="s">
        <v>135</v>
      </c>
      <c r="J4" s="42" t="s">
        <v>144</v>
      </c>
    </row>
    <row r="5" spans="1:10" x14ac:dyDescent="0.25">
      <c r="A5" t="s">
        <v>46</v>
      </c>
      <c r="C5" s="40" t="s">
        <v>17</v>
      </c>
      <c r="D5" t="s">
        <v>138</v>
      </c>
      <c r="I5" s="41" t="s">
        <v>145</v>
      </c>
      <c r="J5" s="42" t="s">
        <v>146</v>
      </c>
    </row>
    <row r="6" spans="1:10" x14ac:dyDescent="0.25">
      <c r="A6" t="s">
        <v>38</v>
      </c>
      <c r="C6" s="40" t="s">
        <v>17</v>
      </c>
      <c r="D6" t="s">
        <v>131</v>
      </c>
      <c r="I6" s="41" t="s">
        <v>136</v>
      </c>
      <c r="J6" s="42" t="s">
        <v>147</v>
      </c>
    </row>
    <row r="7" spans="1:10" x14ac:dyDescent="0.25">
      <c r="A7" t="s">
        <v>52</v>
      </c>
      <c r="C7" s="40" t="s">
        <v>37</v>
      </c>
      <c r="D7" t="s">
        <v>140</v>
      </c>
      <c r="I7" s="41" t="s">
        <v>148</v>
      </c>
      <c r="J7" s="42" t="s">
        <v>147</v>
      </c>
    </row>
    <row r="8" spans="1:10" x14ac:dyDescent="0.25">
      <c r="C8" s="40" t="s">
        <v>37</v>
      </c>
      <c r="D8" t="s">
        <v>134</v>
      </c>
      <c r="I8" s="41" t="s">
        <v>132</v>
      </c>
      <c r="J8" s="42" t="s">
        <v>149</v>
      </c>
    </row>
    <row r="9" spans="1:10" x14ac:dyDescent="0.25">
      <c r="C9" s="40" t="s">
        <v>38</v>
      </c>
      <c r="D9" t="s">
        <v>135</v>
      </c>
      <c r="I9" s="41" t="s">
        <v>133</v>
      </c>
      <c r="J9" s="42" t="s">
        <v>149</v>
      </c>
    </row>
    <row r="10" spans="1:10" x14ac:dyDescent="0.25">
      <c r="C10" s="40" t="s">
        <v>18</v>
      </c>
      <c r="D10" t="s">
        <v>132</v>
      </c>
      <c r="I10" s="41" t="s">
        <v>150</v>
      </c>
      <c r="J10" s="42" t="s">
        <v>149</v>
      </c>
    </row>
    <row r="11" spans="1:10" x14ac:dyDescent="0.25">
      <c r="C11" s="40" t="s">
        <v>46</v>
      </c>
      <c r="D11" t="s">
        <v>137</v>
      </c>
      <c r="I11" s="41" t="s">
        <v>138</v>
      </c>
      <c r="J11" s="42" t="s">
        <v>151</v>
      </c>
    </row>
    <row r="12" spans="1:10" x14ac:dyDescent="0.25">
      <c r="D12" s="44" t="s">
        <v>148</v>
      </c>
      <c r="I12" s="41" t="s">
        <v>131</v>
      </c>
      <c r="J12" s="42" t="s">
        <v>152</v>
      </c>
    </row>
  </sheetData>
  <mergeCells count="1">
    <mergeCell ref="I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FDB7C39BA8247BAA68C0F6FF2AFD0" ma:contentTypeVersion="18" ma:contentTypeDescription="Crée un document." ma:contentTypeScope="" ma:versionID="e3050d2525704b6d63bc924bfe79724c">
  <xsd:schema xmlns:xsd="http://www.w3.org/2001/XMLSchema" xmlns:xs="http://www.w3.org/2001/XMLSchema" xmlns:p="http://schemas.microsoft.com/office/2006/metadata/properties" xmlns:ns2="c4bed588-6492-43b0-a3a7-0157da86792a" xmlns:ns3="59cd2dcb-38bd-475d-ac24-2aa317b2c3e7" targetNamespace="http://schemas.microsoft.com/office/2006/metadata/properties" ma:root="true" ma:fieldsID="d4b6095d19be7242af742512a16df6d3" ns2:_="" ns3:_="">
    <xsd:import namespace="c4bed588-6492-43b0-a3a7-0157da86792a"/>
    <xsd:import namespace="59cd2dcb-38bd-475d-ac24-2aa317b2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ed588-6492-43b0-a3a7-0157da867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237cf616-87ee-4e83-a220-9de32941d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d2dcb-38bd-475d-ac24-2aa317b2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6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Type de contenu"/>
        <xsd:element ref="dc:title" minOccurs="0" maxOccurs="1" ma:index="3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bed588-6492-43b0-a3a7-0157da8679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1EEB50-928F-463F-A795-ECC0D72B5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ed588-6492-43b0-a3a7-0157da86792a"/>
    <ds:schemaRef ds:uri="59cd2dcb-38bd-475d-ac24-2aa317b2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D6C4C5-8395-401D-BB10-1BB0AC3803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595DF5-7F62-455A-982A-6C51D4335B28}">
  <ds:schemaRefs>
    <ds:schemaRef ds:uri="http://schemas.microsoft.com/office/2006/metadata/properties"/>
    <ds:schemaRef ds:uri="http://schemas.microsoft.com/office/infopath/2007/PartnerControls"/>
    <ds:schemaRef ds:uri="c4bed588-6492-43b0-a3a7-0157da8679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Pré-tab</vt:lpstr>
      <vt:lpstr>Source</vt:lpstr>
      <vt:lpstr>Data brutes</vt:lpstr>
      <vt:lpstr>Data filtrées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BUTSCHER Lucas</dc:creator>
  <cp:lastModifiedBy>Téo Gothié</cp:lastModifiedBy>
  <dcterms:created xsi:type="dcterms:W3CDTF">2024-08-30T09:35:43Z</dcterms:created>
  <dcterms:modified xsi:type="dcterms:W3CDTF">2024-11-07T10:48:21Z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0x010100074FDB7C39BA8247BAA68C0F6FF2AFD0</vt:lpwstr>
  </property>
  <property fmtid="{D5CDD505-2E9C-101B-9397-08002B2CF9AE}" pid="3" name="MediaServiceImageTags">
    <vt:lpwstr/>
  </property>
</Properties>
</file>