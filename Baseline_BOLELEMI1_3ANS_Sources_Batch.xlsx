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rutes" sheetId="1" state="visible" r:id="rId1"/>
    <sheet xmlns:r="http://schemas.openxmlformats.org/officeDocument/2006/relationships" name="Data filtrees" sheetId="2" state="visible" r:id="rId2"/>
    <sheet xmlns:r="http://schemas.openxmlformats.org/officeDocument/2006/relationships" name="NB" sheetId="3" state="visible" r:id="rId3"/>
    <sheet xmlns:r="http://schemas.openxmlformats.org/officeDocument/2006/relationships" name="malt_yield_r2" sheetId="4" state="visible" r:id="rId4"/>
    <sheet xmlns:r="http://schemas.openxmlformats.org/officeDocument/2006/relationships" name="malt_dry_yield" sheetId="5" state="visible" r:id="rId5"/>
    <sheet xmlns:r="http://schemas.openxmlformats.org/officeDocument/2006/relationships" name="goods_weight" sheetId="6" state="visible" r:id="rId6"/>
    <sheet xmlns:r="http://schemas.openxmlformats.org/officeDocument/2006/relationships" name="goods_moisture" sheetId="7" state="visible" r:id="rId7"/>
    <sheet xmlns:r="http://schemas.openxmlformats.org/officeDocument/2006/relationships" name="malt_moisture" sheetId="8" state="visible" r:id="rId8"/>
    <sheet xmlns:r="http://schemas.openxmlformats.org/officeDocument/2006/relationships" name="FAN" sheetId="9" state="visible" r:id="rId9"/>
    <sheet xmlns:r="http://schemas.openxmlformats.org/officeDocument/2006/relationships" name="friabilite" sheetId="10" state="visible" r:id="rId10"/>
    <sheet xmlns:r="http://schemas.openxmlformats.org/officeDocument/2006/relationships" name="coloration_EBC" sheetId="11" state="visible" r:id="rId11"/>
    <sheet xmlns:r="http://schemas.openxmlformats.org/officeDocument/2006/relationships" name="beta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C5CAB"/>
      <sz val="12"/>
    </font>
    <font>
      <b val="1"/>
      <color rgb="001C5CAB"/>
    </font>
    <font>
      <b val="1"/>
    </font>
    <font>
      <i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A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Batch</t>
        </is>
      </c>
      <c r="B1" s="1" t="inlineStr">
        <is>
          <t>Specifications</t>
        </is>
      </c>
      <c r="C1" s="1" t="inlineStr">
        <is>
          <t>Variety</t>
        </is>
      </c>
      <c r="D1" s="1" t="inlineStr">
        <is>
          <t>Start of production</t>
        </is>
      </c>
      <c r="E1" s="1" t="inlineStr">
        <is>
          <t>End of production</t>
        </is>
      </c>
      <c r="F1" s="1" t="inlineStr">
        <is>
          <t>Malt Yield R2</t>
        </is>
      </c>
      <c r="G1" s="1" t="inlineStr">
        <is>
          <t>R2 Dry</t>
        </is>
      </c>
      <c r="H1" s="1" t="inlineStr">
        <is>
          <t>Goods Weight</t>
        </is>
      </c>
      <c r="I1" s="1" t="inlineStr">
        <is>
          <t>Goods Moisture</t>
        </is>
      </c>
      <c r="J1" s="1" t="inlineStr">
        <is>
          <t>Moisture Malt Quality</t>
        </is>
      </c>
      <c r="K1" s="1" t="inlineStr">
        <is>
          <t>FAN</t>
        </is>
      </c>
      <c r="L1" s="1" t="inlineStr">
        <is>
          <t>Friability</t>
        </is>
      </c>
      <c r="M1" s="1" t="inlineStr">
        <is>
          <t>Color EBC</t>
        </is>
      </c>
      <c r="N1" s="1" t="inlineStr">
        <is>
          <t>Betaglucans</t>
        </is>
      </c>
    </row>
    <row r="2">
      <c r="A2" t="inlineStr">
        <is>
          <t>705</t>
        </is>
      </c>
      <c r="B2" t="inlineStr">
        <is>
          <t>2RS</t>
        </is>
      </c>
      <c r="C2" t="inlineStr">
        <is>
          <t>TRAVELER</t>
        </is>
      </c>
      <c r="D2" t="inlineStr">
        <is>
          <t>2024-02-20T00:00:00</t>
        </is>
      </c>
      <c r="E2" t="inlineStr">
        <is>
          <t>2024-02-28T00:00:00</t>
        </is>
      </c>
      <c r="F2" t="inlineStr">
        <is>
          <t>85.39</t>
        </is>
      </c>
      <c r="G2" t="inlineStr"/>
      <c r="H2" t="inlineStr">
        <is>
          <t>283.31</t>
        </is>
      </c>
      <c r="I2" t="inlineStr">
        <is>
          <t>13.1</t>
        </is>
      </c>
      <c r="J2" t="inlineStr"/>
      <c r="K2" t="inlineStr"/>
      <c r="L2" t="inlineStr"/>
      <c r="M2" t="inlineStr"/>
      <c r="N2" t="inlineStr"/>
    </row>
    <row r="3">
      <c r="A3" t="inlineStr">
        <is>
          <t>706</t>
        </is>
      </c>
      <c r="B3" t="inlineStr">
        <is>
          <t>2RS</t>
        </is>
      </c>
      <c r="C3" t="inlineStr">
        <is>
          <t>TRAVELER</t>
        </is>
      </c>
      <c r="D3" t="inlineStr">
        <is>
          <t>2024-02-21T00:00:00</t>
        </is>
      </c>
      <c r="E3" t="inlineStr">
        <is>
          <t>2024-02-29T00:00:00</t>
        </is>
      </c>
      <c r="F3" t="inlineStr">
        <is>
          <t>85.6</t>
        </is>
      </c>
      <c r="G3" t="inlineStr"/>
      <c r="H3" t="inlineStr">
        <is>
          <t>283.31</t>
        </is>
      </c>
      <c r="I3" t="inlineStr">
        <is>
          <t>13.1</t>
        </is>
      </c>
      <c r="J3" t="inlineStr"/>
      <c r="K3" t="inlineStr"/>
      <c r="L3" t="inlineStr"/>
      <c r="M3" t="inlineStr"/>
      <c r="N3" t="inlineStr"/>
    </row>
    <row r="4">
      <c r="A4" t="inlineStr">
        <is>
          <t>707</t>
        </is>
      </c>
      <c r="B4" t="inlineStr">
        <is>
          <t>2RS</t>
        </is>
      </c>
      <c r="C4" t="inlineStr">
        <is>
          <t>TRAVELER</t>
        </is>
      </c>
      <c r="D4" t="inlineStr">
        <is>
          <t>2024-02-22T00:00:00</t>
        </is>
      </c>
      <c r="E4" t="inlineStr">
        <is>
          <t>2024-03-01T00:00:00</t>
        </is>
      </c>
      <c r="F4" t="inlineStr">
        <is>
          <t>86.25</t>
        </is>
      </c>
      <c r="G4" t="inlineStr">
        <is>
          <t>94.5</t>
        </is>
      </c>
      <c r="H4" t="inlineStr">
        <is>
          <t>282.33999999999997</t>
        </is>
      </c>
      <c r="I4" t="inlineStr">
        <is>
          <t>12.8</t>
        </is>
      </c>
      <c r="J4" t="inlineStr">
        <is>
          <t>4.4800000000000004</t>
        </is>
      </c>
      <c r="K4" t="inlineStr">
        <is>
          <t>156</t>
        </is>
      </c>
      <c r="L4" t="inlineStr">
        <is>
          <t>82.08</t>
        </is>
      </c>
      <c r="M4" t="inlineStr">
        <is>
          <t>4</t>
        </is>
      </c>
      <c r="N4" t="inlineStr">
        <is>
          <t>283</t>
        </is>
      </c>
    </row>
    <row r="5">
      <c r="A5" t="inlineStr">
        <is>
          <t>708</t>
        </is>
      </c>
      <c r="B5" t="inlineStr">
        <is>
          <t>2RS</t>
        </is>
      </c>
      <c r="C5" t="inlineStr">
        <is>
          <t>TRAVELER</t>
        </is>
      </c>
      <c r="D5" t="inlineStr">
        <is>
          <t>2024-02-23T00:00:00</t>
        </is>
      </c>
      <c r="E5" t="inlineStr">
        <is>
          <t>2024-03-02T00:00:00</t>
        </is>
      </c>
      <c r="F5" t="inlineStr">
        <is>
          <t>86.14</t>
        </is>
      </c>
      <c r="G5" t="inlineStr">
        <is>
          <t>91.9</t>
        </is>
      </c>
      <c r="H5" t="inlineStr">
        <is>
          <t>282.41000000000003</t>
        </is>
      </c>
      <c r="I5" t="inlineStr">
        <is>
          <t>10.4</t>
        </is>
      </c>
      <c r="J5" t="inlineStr">
        <is>
          <t>4.46</t>
        </is>
      </c>
      <c r="K5" t="inlineStr">
        <is>
          <t>153</t>
        </is>
      </c>
      <c r="L5" t="inlineStr">
        <is>
          <t>81.3</t>
        </is>
      </c>
      <c r="M5" t="inlineStr">
        <is>
          <t>4.4000000000000004</t>
        </is>
      </c>
      <c r="N5" t="inlineStr">
        <is>
          <t>267</t>
        </is>
      </c>
    </row>
    <row r="6">
      <c r="A6" t="inlineStr">
        <is>
          <t>709</t>
        </is>
      </c>
      <c r="B6" t="inlineStr">
        <is>
          <t>2RS</t>
        </is>
      </c>
      <c r="C6" t="inlineStr">
        <is>
          <t>TRAVELER</t>
        </is>
      </c>
      <c r="D6" t="inlineStr">
        <is>
          <t>2024-02-25T00:00:00</t>
        </is>
      </c>
      <c r="E6" t="inlineStr">
        <is>
          <t>2024-03-04T00:00:00</t>
        </is>
      </c>
      <c r="F6" t="inlineStr">
        <is>
          <t>86.17</t>
        </is>
      </c>
      <c r="G6" t="inlineStr">
        <is>
          <t>94.6</t>
        </is>
      </c>
      <c r="H6" t="inlineStr">
        <is>
          <t>284.43</t>
        </is>
      </c>
      <c r="I6" t="inlineStr">
        <is>
          <t>12.7</t>
        </is>
      </c>
      <c r="J6" t="inlineStr">
        <is>
          <t>4.2</t>
        </is>
      </c>
      <c r="K6" t="inlineStr">
        <is>
          <t>135</t>
        </is>
      </c>
      <c r="L6" t="inlineStr">
        <is>
          <t>85.14</t>
        </is>
      </c>
      <c r="M6" t="inlineStr">
        <is>
          <t>3.6</t>
        </is>
      </c>
      <c r="N6" t="inlineStr">
        <is>
          <t>282</t>
        </is>
      </c>
    </row>
    <row r="7">
      <c r="A7" t="inlineStr">
        <is>
          <t>710</t>
        </is>
      </c>
      <c r="B7" t="inlineStr">
        <is>
          <t>IBON</t>
        </is>
      </c>
      <c r="C7" t="inlineStr">
        <is>
          <t>IBON</t>
        </is>
      </c>
      <c r="D7" t="inlineStr">
        <is>
          <t>2024-02-26T00:00:00</t>
        </is>
      </c>
      <c r="E7" t="inlineStr">
        <is>
          <t>2024-03-05T00:00:00</t>
        </is>
      </c>
      <c r="F7" t="inlineStr">
        <is>
          <t>83.07</t>
        </is>
      </c>
      <c r="G7" t="inlineStr">
        <is>
          <t>93.8</t>
        </is>
      </c>
      <c r="H7" t="inlineStr">
        <is>
          <t>283</t>
        </is>
      </c>
      <c r="I7" t="inlineStr">
        <is>
          <t>15.4</t>
        </is>
      </c>
      <c r="J7" t="inlineStr">
        <is>
          <t>4.4400000000000004</t>
        </is>
      </c>
      <c r="K7" t="inlineStr">
        <is>
          <t>135</t>
        </is>
      </c>
      <c r="L7" t="inlineStr">
        <is>
          <t>52</t>
        </is>
      </c>
      <c r="M7" t="inlineStr">
        <is>
          <t>4.0999999999999996</t>
        </is>
      </c>
      <c r="N7" t="inlineStr">
        <is>
          <t>367</t>
        </is>
      </c>
    </row>
    <row r="8">
      <c r="A8" t="inlineStr">
        <is>
          <t>711</t>
        </is>
      </c>
      <c r="B8" t="inlineStr">
        <is>
          <t>2RS</t>
        </is>
      </c>
      <c r="C8" t="inlineStr">
        <is>
          <t>TRAVELER</t>
        </is>
      </c>
      <c r="D8" t="inlineStr">
        <is>
          <t>2024-02-27T00:00:00</t>
        </is>
      </c>
      <c r="E8" t="inlineStr">
        <is>
          <t>2024-03-06T00:00:00</t>
        </is>
      </c>
      <c r="F8" t="inlineStr">
        <is>
          <t>81.92</t>
        </is>
      </c>
      <c r="G8" t="inlineStr">
        <is>
          <t>87.6</t>
        </is>
      </c>
      <c r="H8" t="inlineStr">
        <is>
          <t>294.33999999999997</t>
        </is>
      </c>
      <c r="I8" t="inlineStr">
        <is>
          <t>10.5</t>
        </is>
      </c>
      <c r="J8" t="inlineStr">
        <is>
          <t>4.33</t>
        </is>
      </c>
      <c r="K8" t="inlineStr">
        <is>
          <t>113</t>
        </is>
      </c>
      <c r="L8" t="inlineStr">
        <is>
          <t>79.260000000000005</t>
        </is>
      </c>
      <c r="M8" t="inlineStr">
        <is>
          <t>4.5</t>
        </is>
      </c>
      <c r="N8" t="inlineStr">
        <is>
          <t>293</t>
        </is>
      </c>
    </row>
    <row r="9">
      <c r="A9" t="inlineStr">
        <is>
          <t>712</t>
        </is>
      </c>
      <c r="B9" t="inlineStr">
        <is>
          <t>2RS</t>
        </is>
      </c>
      <c r="C9" t="inlineStr">
        <is>
          <t>TRAVELER</t>
        </is>
      </c>
      <c r="D9" t="inlineStr">
        <is>
          <t>2024-02-28T00:00:00</t>
        </is>
      </c>
      <c r="E9" t="inlineStr">
        <is>
          <t>2024-03-07T00:00:00</t>
        </is>
      </c>
      <c r="F9" t="inlineStr">
        <is>
          <t>85.64</t>
        </is>
      </c>
      <c r="G9" t="inlineStr">
        <is>
          <t>90.6</t>
        </is>
      </c>
      <c r="H9" t="inlineStr">
        <is>
          <t>282.41000000000003</t>
        </is>
      </c>
      <c r="I9" t="inlineStr">
        <is>
          <t>10.1</t>
        </is>
      </c>
      <c r="J9" t="inlineStr">
        <is>
          <t>4.8899999999999997</t>
        </is>
      </c>
      <c r="K9" t="inlineStr">
        <is>
          <t>144</t>
        </is>
      </c>
      <c r="L9" t="inlineStr">
        <is>
          <t>79.400000000000006</t>
        </is>
      </c>
      <c r="M9" t="inlineStr">
        <is>
          <t>4.5</t>
        </is>
      </c>
      <c r="N9" t="inlineStr">
        <is>
          <t>293</t>
        </is>
      </c>
    </row>
    <row r="10">
      <c r="A10" t="inlineStr">
        <is>
          <t>713</t>
        </is>
      </c>
      <c r="B10" t="inlineStr">
        <is>
          <t>2RS</t>
        </is>
      </c>
      <c r="C10" t="inlineStr">
        <is>
          <t>TRAVELER</t>
        </is>
      </c>
      <c r="D10" t="inlineStr">
        <is>
          <t>2024-02-29T00:00:00</t>
        </is>
      </c>
      <c r="E10" t="inlineStr">
        <is>
          <t>2024-03-08T00:00:00</t>
        </is>
      </c>
      <c r="F10" t="inlineStr">
        <is>
          <t>85.74</t>
        </is>
      </c>
      <c r="G10" t="inlineStr">
        <is>
          <t>91.3</t>
        </is>
      </c>
      <c r="H10" t="inlineStr">
        <is>
          <t>282.64999999999998</t>
        </is>
      </c>
      <c r="I10" t="inlineStr">
        <is>
          <t>10.1</t>
        </is>
      </c>
      <c r="J10" t="inlineStr">
        <is>
          <t>4.3</t>
        </is>
      </c>
      <c r="K10" t="inlineStr">
        <is>
          <t>155</t>
        </is>
      </c>
      <c r="L10" t="inlineStr">
        <is>
          <t>90.42</t>
        </is>
      </c>
      <c r="M10" t="inlineStr">
        <is>
          <t>3.7</t>
        </is>
      </c>
      <c r="N10" t="inlineStr">
        <is>
          <t>108</t>
        </is>
      </c>
    </row>
    <row r="11">
      <c r="A11" t="inlineStr">
        <is>
          <t>714</t>
        </is>
      </c>
      <c r="B11" t="inlineStr">
        <is>
          <t>2RS</t>
        </is>
      </c>
      <c r="C11" t="inlineStr">
        <is>
          <t>TRAVELER</t>
        </is>
      </c>
      <c r="D11" t="inlineStr">
        <is>
          <t>2024-03-01T00:00:00</t>
        </is>
      </c>
      <c r="E11" t="inlineStr">
        <is>
          <t>2024-03-09T00:00:00</t>
        </is>
      </c>
      <c r="F11" t="inlineStr">
        <is>
          <t>86.28</t>
        </is>
      </c>
      <c r="G11" t="inlineStr">
        <is>
          <t>94.7</t>
        </is>
      </c>
      <c r="H11" t="inlineStr">
        <is>
          <t>282.92</t>
        </is>
      </c>
      <c r="I11" t="inlineStr">
        <is>
          <t>12.9</t>
        </is>
      </c>
      <c r="J11" t="inlineStr">
        <is>
          <t>4.42</t>
        </is>
      </c>
      <c r="K11" t="inlineStr">
        <is>
          <t>147</t>
        </is>
      </c>
      <c r="L11" t="inlineStr">
        <is>
          <t>87.8</t>
        </is>
      </c>
      <c r="M11" t="inlineStr">
        <is>
          <t>4.0999999999999996</t>
        </is>
      </c>
      <c r="N11" t="inlineStr">
        <is>
          <t>186</t>
        </is>
      </c>
    </row>
    <row r="12">
      <c r="A12" t="inlineStr">
        <is>
          <t>715</t>
        </is>
      </c>
      <c r="B12" t="inlineStr">
        <is>
          <t>2RS</t>
        </is>
      </c>
      <c r="C12" t="inlineStr">
        <is>
          <t>TRAVELER</t>
        </is>
      </c>
      <c r="D12" t="inlineStr">
        <is>
          <t>2024-03-02T00:00:00</t>
        </is>
      </c>
      <c r="E12" t="inlineStr">
        <is>
          <t>2024-03-10T00:00:00</t>
        </is>
      </c>
      <c r="F12" t="inlineStr">
        <is>
          <t>85.2</t>
        </is>
      </c>
      <c r="G12" t="inlineStr">
        <is>
          <t>93.8</t>
        </is>
      </c>
      <c r="H12" t="inlineStr">
        <is>
          <t>283.22000000000003</t>
        </is>
      </c>
      <c r="I12" t="inlineStr">
        <is>
          <t>13.6</t>
        </is>
      </c>
      <c r="J12" t="inlineStr">
        <is>
          <t>4.8899999999999997</t>
        </is>
      </c>
      <c r="K12" t="inlineStr">
        <is>
          <t>144</t>
        </is>
      </c>
      <c r="L12" t="inlineStr">
        <is>
          <t>79.400000000000006</t>
        </is>
      </c>
      <c r="M12" t="inlineStr">
        <is>
          <t>4.5</t>
        </is>
      </c>
      <c r="N12" t="inlineStr">
        <is>
          <t>293</t>
        </is>
      </c>
    </row>
    <row r="13">
      <c r="A13" t="inlineStr">
        <is>
          <t>716</t>
        </is>
      </c>
      <c r="B13" t="inlineStr">
        <is>
          <t>2RS</t>
        </is>
      </c>
      <c r="C13" t="inlineStr">
        <is>
          <t>TRAVELER</t>
        </is>
      </c>
      <c r="D13" t="inlineStr">
        <is>
          <t>2024-03-04T00:00:00</t>
        </is>
      </c>
      <c r="E13" t="inlineStr">
        <is>
          <t>2024-03-12T00:00:00</t>
        </is>
      </c>
      <c r="F13" t="inlineStr">
        <is>
          <t>85.05</t>
        </is>
      </c>
      <c r="G13" t="inlineStr">
        <is>
          <t>94.2</t>
        </is>
      </c>
      <c r="H13" t="inlineStr">
        <is>
          <t>282.88</t>
        </is>
      </c>
      <c r="I13" t="inlineStr">
        <is>
          <t>13.6</t>
        </is>
      </c>
      <c r="J13" t="inlineStr">
        <is>
          <t>4.29</t>
        </is>
      </c>
      <c r="K13" t="inlineStr">
        <is>
          <t>154</t>
        </is>
      </c>
      <c r="L13" t="inlineStr">
        <is>
          <t>82</t>
        </is>
      </c>
      <c r="M13" t="inlineStr">
        <is>
          <t>4.8</t>
        </is>
      </c>
      <c r="N13" t="inlineStr">
        <is>
          <t>350</t>
        </is>
      </c>
    </row>
    <row r="14">
      <c r="A14" t="inlineStr">
        <is>
          <t>717</t>
        </is>
      </c>
      <c r="B14" t="inlineStr">
        <is>
          <t>2RS</t>
        </is>
      </c>
      <c r="C14" t="inlineStr">
        <is>
          <t>TRAVELER</t>
        </is>
      </c>
      <c r="D14" t="inlineStr">
        <is>
          <t>2024-03-05T00:00:00</t>
        </is>
      </c>
      <c r="E14" t="inlineStr">
        <is>
          <t>2024-03-13T00:00:00</t>
        </is>
      </c>
      <c r="F14" t="inlineStr">
        <is>
          <t>85.03</t>
        </is>
      </c>
      <c r="G14" t="inlineStr">
        <is>
          <t>94</t>
        </is>
      </c>
      <c r="H14" t="inlineStr">
        <is>
          <t>282.79000000000002</t>
        </is>
      </c>
      <c r="I14" t="inlineStr">
        <is>
          <t>13.4</t>
        </is>
      </c>
      <c r="J14" t="inlineStr">
        <is>
          <t>4.29</t>
        </is>
      </c>
      <c r="K14" t="inlineStr">
        <is>
          <t>154</t>
        </is>
      </c>
      <c r="L14" t="inlineStr">
        <is>
          <t>82.68</t>
        </is>
      </c>
      <c r="M14" t="inlineStr">
        <is>
          <t>4.4000000000000004</t>
        </is>
      </c>
      <c r="N14" t="inlineStr">
        <is>
          <t>329</t>
        </is>
      </c>
    </row>
    <row r="15">
      <c r="A15" t="inlineStr">
        <is>
          <t>718</t>
        </is>
      </c>
      <c r="B15" t="inlineStr">
        <is>
          <t>2RS</t>
        </is>
      </c>
      <c r="C15" t="inlineStr">
        <is>
          <t>TRAVELER</t>
        </is>
      </c>
      <c r="D15" t="inlineStr">
        <is>
          <t>2024-03-06T00:00:00</t>
        </is>
      </c>
      <c r="E15" t="inlineStr">
        <is>
          <t>2024-03-14T00:00:00</t>
        </is>
      </c>
      <c r="F15" t="inlineStr">
        <is>
          <t>84.44</t>
        </is>
      </c>
      <c r="G15" t="inlineStr">
        <is>
          <t>94.6</t>
        </is>
      </c>
      <c r="H15" t="inlineStr">
        <is>
          <t>287.06</t>
        </is>
      </c>
      <c r="I15" t="inlineStr">
        <is>
          <t>14.6</t>
        </is>
      </c>
      <c r="J15" t="inlineStr">
        <is>
          <t>4.3</t>
        </is>
      </c>
      <c r="K15" t="inlineStr">
        <is>
          <t>154</t>
        </is>
      </c>
      <c r="L15" t="inlineStr">
        <is>
          <t>82</t>
        </is>
      </c>
      <c r="M15" t="inlineStr">
        <is>
          <t>4.8</t>
        </is>
      </c>
      <c r="N15" t="inlineStr">
        <is>
          <t>350</t>
        </is>
      </c>
    </row>
    <row r="16">
      <c r="A16" t="inlineStr">
        <is>
          <t>719</t>
        </is>
      </c>
      <c r="B16" t="inlineStr">
        <is>
          <t>IBON</t>
        </is>
      </c>
      <c r="C16" t="inlineStr">
        <is>
          <t>IBON</t>
        </is>
      </c>
      <c r="D16" t="inlineStr">
        <is>
          <t>2024-03-07T00:00:00</t>
        </is>
      </c>
      <c r="E16" t="inlineStr">
        <is>
          <t>2024-03-15T00:00:00</t>
        </is>
      </c>
      <c r="F16" t="inlineStr">
        <is>
          <t>83.43</t>
        </is>
      </c>
      <c r="G16" t="inlineStr">
        <is>
          <t>94.9</t>
        </is>
      </c>
      <c r="H16" t="inlineStr">
        <is>
          <t>275.43</t>
        </is>
      </c>
      <c r="I16" t="inlineStr">
        <is>
          <t>15.9</t>
        </is>
      </c>
      <c r="J16" t="inlineStr">
        <is>
          <t>4.32</t>
        </is>
      </c>
      <c r="K16" t="inlineStr">
        <is>
          <t>142</t>
        </is>
      </c>
      <c r="L16" t="inlineStr">
        <is>
          <t>54.7</t>
        </is>
      </c>
      <c r="M16" t="inlineStr">
        <is>
          <t>4.2</t>
        </is>
      </c>
      <c r="N16" t="inlineStr">
        <is>
          <t>329</t>
        </is>
      </c>
    </row>
    <row r="17">
      <c r="A17" t="inlineStr">
        <is>
          <t>720</t>
        </is>
      </c>
      <c r="B17" t="inlineStr">
        <is>
          <t>2RS</t>
        </is>
      </c>
      <c r="C17" t="inlineStr">
        <is>
          <t>TRAVELER</t>
        </is>
      </c>
      <c r="D17" t="inlineStr">
        <is>
          <t>2024-03-08T00:00:00</t>
        </is>
      </c>
      <c r="E17" t="inlineStr">
        <is>
          <t>2024-03-16T00:00:00</t>
        </is>
      </c>
      <c r="F17" t="inlineStr">
        <is>
          <t>85.48</t>
        </is>
      </c>
      <c r="G17" t="inlineStr">
        <is>
          <t>94.7</t>
        </is>
      </c>
      <c r="H17" t="inlineStr">
        <is>
          <t>283.20999999999998</t>
        </is>
      </c>
      <c r="I17" t="inlineStr">
        <is>
          <t>13.4</t>
        </is>
      </c>
      <c r="J17" t="inlineStr">
        <is>
          <t>4.0999999999999996</t>
        </is>
      </c>
      <c r="K17" t="inlineStr">
        <is>
          <t>151</t>
        </is>
      </c>
      <c r="L17" t="inlineStr">
        <is>
          <t>82.8</t>
        </is>
      </c>
      <c r="M17" t="inlineStr">
        <is>
          <t>4.29</t>
        </is>
      </c>
      <c r="N17" t="inlineStr">
        <is>
          <t>311</t>
        </is>
      </c>
    </row>
    <row r="18">
      <c r="A18" t="inlineStr">
        <is>
          <t>721</t>
        </is>
      </c>
      <c r="B18" t="inlineStr">
        <is>
          <t>IBON</t>
        </is>
      </c>
      <c r="C18" t="inlineStr">
        <is>
          <t>IBON</t>
        </is>
      </c>
      <c r="D18" t="inlineStr">
        <is>
          <t>2024-03-09T00:00:00</t>
        </is>
      </c>
      <c r="E18" t="inlineStr">
        <is>
          <t>2024-03-17T00:00:00</t>
        </is>
      </c>
      <c r="F18" t="inlineStr">
        <is>
          <t>84.06</t>
        </is>
      </c>
      <c r="G18" t="inlineStr">
        <is>
          <t>94.7</t>
        </is>
      </c>
      <c r="H18" t="inlineStr">
        <is>
          <t>274.87</t>
        </is>
      </c>
      <c r="I18" t="inlineStr">
        <is>
          <t>15.2</t>
        </is>
      </c>
      <c r="J18" t="inlineStr">
        <is>
          <t>4.43</t>
        </is>
      </c>
      <c r="K18" t="inlineStr">
        <is>
          <t>137</t>
        </is>
      </c>
      <c r="L18" t="inlineStr">
        <is>
          <t>52</t>
        </is>
      </c>
      <c r="M18" t="inlineStr">
        <is>
          <t>4.4000000000000004</t>
        </is>
      </c>
      <c r="N18" t="inlineStr">
        <is>
          <t>433</t>
        </is>
      </c>
    </row>
    <row r="19">
      <c r="A19" t="inlineStr">
        <is>
          <t>722</t>
        </is>
      </c>
      <c r="B19" t="inlineStr">
        <is>
          <t>2RS</t>
        </is>
      </c>
      <c r="C19" t="inlineStr">
        <is>
          <t>TRAVELER</t>
        </is>
      </c>
      <c r="D19" t="inlineStr">
        <is>
          <t>2024-03-10T00:00:00</t>
        </is>
      </c>
      <c r="E19" t="inlineStr">
        <is>
          <t>2024-03-18T00:00:00</t>
        </is>
      </c>
      <c r="F19" t="inlineStr">
        <is>
          <t>85.17</t>
        </is>
      </c>
      <c r="G19" t="inlineStr">
        <is>
          <t>94.6</t>
        </is>
      </c>
      <c r="H19" t="inlineStr">
        <is>
          <t>286.99</t>
        </is>
      </c>
      <c r="I19" t="inlineStr">
        <is>
          <t>13.7</t>
        </is>
      </c>
      <c r="J19" t="inlineStr">
        <is>
          <t>4.1399999999999997</t>
        </is>
      </c>
      <c r="K19" t="inlineStr">
        <is>
          <t>153</t>
        </is>
      </c>
      <c r="L19" t="inlineStr">
        <is>
          <t>84.32</t>
        </is>
      </c>
      <c r="M19" t="inlineStr">
        <is>
          <t>4.8</t>
        </is>
      </c>
      <c r="N19" t="inlineStr">
        <is>
          <t>324</t>
        </is>
      </c>
    </row>
    <row r="20">
      <c r="A20" t="inlineStr">
        <is>
          <t>723</t>
        </is>
      </c>
      <c r="B20" t="inlineStr">
        <is>
          <t>2RS</t>
        </is>
      </c>
      <c r="C20" t="inlineStr">
        <is>
          <t>TRAVELER</t>
        </is>
      </c>
      <c r="D20" t="inlineStr">
        <is>
          <t>2024-03-12T00:00:00</t>
        </is>
      </c>
      <c r="E20" t="inlineStr">
        <is>
          <t>2024-03-20T00:00:00</t>
        </is>
      </c>
      <c r="F20" t="inlineStr">
        <is>
          <t>84.87</t>
        </is>
      </c>
      <c r="G20" t="inlineStr">
        <is>
          <t>95.4</t>
        </is>
      </c>
      <c r="H20" t="inlineStr">
        <is>
          <t>283.35000000000002</t>
        </is>
      </c>
      <c r="I20" t="inlineStr">
        <is>
          <t>14.9</t>
        </is>
      </c>
      <c r="J20" t="inlineStr">
        <is>
          <t>4.3899999999999997</t>
        </is>
      </c>
      <c r="K20" t="inlineStr">
        <is>
          <t>129</t>
        </is>
      </c>
      <c r="L20" t="inlineStr">
        <is>
          <t>78</t>
        </is>
      </c>
      <c r="M20" t="inlineStr">
        <is>
          <t>3.9</t>
        </is>
      </c>
      <c r="N20" t="inlineStr">
        <is>
          <t>420</t>
        </is>
      </c>
    </row>
    <row r="21">
      <c r="A21" t="inlineStr">
        <is>
          <t>724</t>
        </is>
      </c>
      <c r="B21" t="inlineStr">
        <is>
          <t>IBON</t>
        </is>
      </c>
      <c r="C21" t="inlineStr">
        <is>
          <t>IBON</t>
        </is>
      </c>
      <c r="D21" t="inlineStr">
        <is>
          <t>2024-03-13T00:00:00</t>
        </is>
      </c>
      <c r="E21" t="inlineStr">
        <is>
          <t>2024-03-21T00:00:00</t>
        </is>
      </c>
      <c r="F21" t="inlineStr">
        <is>
          <t>83.38</t>
        </is>
      </c>
      <c r="G21" t="inlineStr">
        <is>
          <t>91.3</t>
        </is>
      </c>
      <c r="H21" t="inlineStr">
        <is>
          <t>274.31</t>
        </is>
      </c>
      <c r="I21" t="inlineStr">
        <is>
          <t>12.5</t>
        </is>
      </c>
      <c r="J21" t="inlineStr">
        <is>
          <t>4.16</t>
        </is>
      </c>
      <c r="K21" t="inlineStr">
        <is>
          <t>135</t>
        </is>
      </c>
      <c r="L21" t="inlineStr">
        <is>
          <t>56.2</t>
        </is>
      </c>
      <c r="M21" t="inlineStr">
        <is>
          <t>4.2</t>
        </is>
      </c>
      <c r="N21" t="inlineStr">
        <is>
          <t>428</t>
        </is>
      </c>
    </row>
    <row r="22">
      <c r="A22" t="inlineStr">
        <is>
          <t>725</t>
        </is>
      </c>
      <c r="B22" t="inlineStr">
        <is>
          <t>IBON</t>
        </is>
      </c>
      <c r="C22" t="inlineStr">
        <is>
          <t>IBON</t>
        </is>
      </c>
      <c r="D22" t="inlineStr">
        <is>
          <t>2024-03-14T00:00:00</t>
        </is>
      </c>
      <c r="E22" t="inlineStr">
        <is>
          <t>2024-03-22T00:00:00</t>
        </is>
      </c>
      <c r="F22" t="inlineStr">
        <is>
          <t>83.21</t>
        </is>
      </c>
      <c r="G22" t="inlineStr">
        <is>
          <t>94.2</t>
        </is>
      </c>
      <c r="H22" t="inlineStr">
        <is>
          <t>274.95</t>
        </is>
      </c>
      <c r="I22" t="inlineStr">
        <is>
          <t>15.6</t>
        </is>
      </c>
      <c r="J22" t="inlineStr">
        <is>
          <t>4.42</t>
        </is>
      </c>
      <c r="K22" t="inlineStr">
        <is>
          <t>142</t>
        </is>
      </c>
      <c r="L22" t="inlineStr">
        <is>
          <t>52.8</t>
        </is>
      </c>
      <c r="M22" t="inlineStr">
        <is>
          <t>3.4</t>
        </is>
      </c>
      <c r="N22" t="inlineStr">
        <is>
          <t>462</t>
        </is>
      </c>
    </row>
    <row r="23">
      <c r="A23" t="inlineStr">
        <is>
          <t>726</t>
        </is>
      </c>
      <c r="B23" t="inlineStr">
        <is>
          <t>IBON</t>
        </is>
      </c>
      <c r="C23" t="inlineStr">
        <is>
          <t>IBON</t>
        </is>
      </c>
      <c r="D23" t="inlineStr">
        <is>
          <t>2024-03-15T00:00:00</t>
        </is>
      </c>
      <c r="E23" t="inlineStr">
        <is>
          <t>2024-03-23T00:00:00</t>
        </is>
      </c>
      <c r="F23" t="inlineStr">
        <is>
          <t>83.32</t>
        </is>
      </c>
      <c r="G23" t="inlineStr">
        <is>
          <t>94</t>
        </is>
      </c>
      <c r="H23" t="inlineStr">
        <is>
          <t>274.33</t>
        </is>
      </c>
      <c r="I23" t="inlineStr">
        <is>
          <t>15</t>
        </is>
      </c>
      <c r="J23" t="inlineStr">
        <is>
          <t>4.1500000000000004</t>
        </is>
      </c>
      <c r="K23" t="inlineStr">
        <is>
          <t>155</t>
        </is>
      </c>
      <c r="L23" t="inlineStr">
        <is>
          <t>58.1</t>
        </is>
      </c>
      <c r="M23" t="inlineStr">
        <is>
          <t>4.7</t>
        </is>
      </c>
      <c r="N23" t="inlineStr">
        <is>
          <t>302</t>
        </is>
      </c>
    </row>
    <row r="24">
      <c r="A24" t="inlineStr">
        <is>
          <t>727</t>
        </is>
      </c>
      <c r="B24" t="inlineStr">
        <is>
          <t>IBON</t>
        </is>
      </c>
      <c r="C24" t="inlineStr">
        <is>
          <t>IBON</t>
        </is>
      </c>
      <c r="D24" t="inlineStr">
        <is>
          <t>2024-03-16T00:00:00</t>
        </is>
      </c>
      <c r="E24" t="inlineStr">
        <is>
          <t>2024-03-24T00:00:00</t>
        </is>
      </c>
      <c r="F24" t="inlineStr">
        <is>
          <t>83.35</t>
        </is>
      </c>
      <c r="G24" t="inlineStr">
        <is>
          <t>94.1</t>
        </is>
      </c>
      <c r="H24" t="inlineStr">
        <is>
          <t>275.12</t>
        </is>
      </c>
      <c r="I24" t="inlineStr">
        <is>
          <t>15.2</t>
        </is>
      </c>
      <c r="J24" t="inlineStr">
        <is>
          <t>4.2699999999999996</t>
        </is>
      </c>
      <c r="K24" t="inlineStr">
        <is>
          <t>144</t>
        </is>
      </c>
      <c r="L24" t="inlineStr">
        <is>
          <t>52</t>
        </is>
      </c>
      <c r="M24" t="inlineStr">
        <is>
          <t>3.8</t>
        </is>
      </c>
      <c r="N24" t="inlineStr">
        <is>
          <t>388</t>
        </is>
      </c>
    </row>
    <row r="25">
      <c r="A25" t="inlineStr">
        <is>
          <t>728</t>
        </is>
      </c>
      <c r="B25" t="inlineStr">
        <is>
          <t>IBON</t>
        </is>
      </c>
      <c r="C25" t="inlineStr">
        <is>
          <t>IBON</t>
        </is>
      </c>
      <c r="D25" t="inlineStr">
        <is>
          <t>2024-03-17T00:00:00</t>
        </is>
      </c>
      <c r="E25" t="inlineStr">
        <is>
          <t>2024-03-25T00:00:00</t>
        </is>
      </c>
      <c r="F25" t="inlineStr">
        <is>
          <t>83.8</t>
        </is>
      </c>
      <c r="G25" t="inlineStr">
        <is>
          <t>94.2</t>
        </is>
      </c>
      <c r="H25" t="inlineStr">
        <is>
          <t>274.10000000000002</t>
        </is>
      </c>
      <c r="I25" t="inlineStr">
        <is>
          <t>15</t>
        </is>
      </c>
      <c r="J25" t="inlineStr">
        <is>
          <t>4.47</t>
        </is>
      </c>
      <c r="K25" t="inlineStr">
        <is>
          <t>137</t>
        </is>
      </c>
      <c r="L25" t="inlineStr">
        <is>
          <t>49</t>
        </is>
      </c>
      <c r="M25" t="inlineStr">
        <is>
          <t>3.6</t>
        </is>
      </c>
      <c r="N25" t="inlineStr">
        <is>
          <t>425</t>
        </is>
      </c>
    </row>
    <row r="26">
      <c r="A26" t="inlineStr">
        <is>
          <t>729</t>
        </is>
      </c>
      <c r="B26" t="inlineStr">
        <is>
          <t>2RS</t>
        </is>
      </c>
      <c r="C26" t="inlineStr">
        <is>
          <t>TRAVELER</t>
        </is>
      </c>
      <c r="D26" t="inlineStr">
        <is>
          <t>2024-03-19T00:00:00</t>
        </is>
      </c>
      <c r="E26" t="inlineStr">
        <is>
          <t>2024-03-27T00:00:00</t>
        </is>
      </c>
      <c r="F26" t="inlineStr">
        <is>
          <t>84.13</t>
        </is>
      </c>
      <c r="G26" t="inlineStr">
        <is>
          <t>94.4</t>
        </is>
      </c>
      <c r="H26" t="inlineStr">
        <is>
          <t>282.76</t>
        </is>
      </c>
      <c r="I26" t="inlineStr">
        <is>
          <t>14.9</t>
        </is>
      </c>
      <c r="J26" t="inlineStr">
        <is>
          <t>4.55</t>
        </is>
      </c>
      <c r="K26" t="inlineStr">
        <is>
          <t>138</t>
        </is>
      </c>
      <c r="L26" t="inlineStr">
        <is>
          <t>81</t>
        </is>
      </c>
      <c r="M26" t="inlineStr">
        <is>
          <t>3.34</t>
        </is>
      </c>
      <c r="N26" t="inlineStr">
        <is>
          <t>267</t>
        </is>
      </c>
    </row>
    <row r="27">
      <c r="A27" t="inlineStr">
        <is>
          <t>730</t>
        </is>
      </c>
      <c r="B27" t="inlineStr">
        <is>
          <t>2RS</t>
        </is>
      </c>
      <c r="C27" t="inlineStr">
        <is>
          <t>TRAVELER</t>
        </is>
      </c>
      <c r="D27" t="inlineStr">
        <is>
          <t>2024-03-20T00:00:00</t>
        </is>
      </c>
      <c r="E27" t="inlineStr">
        <is>
          <t>2024-03-28T00:00:00</t>
        </is>
      </c>
      <c r="F27" t="inlineStr">
        <is>
          <t>84.06</t>
        </is>
      </c>
      <c r="G27" t="inlineStr">
        <is>
          <t>94.8</t>
        </is>
      </c>
      <c r="H27" t="inlineStr">
        <is>
          <t>287.72000000000003</t>
        </is>
      </c>
      <c r="I27" t="inlineStr">
        <is>
          <t>15.1</t>
        </is>
      </c>
      <c r="J27" t="inlineStr">
        <is>
          <t>4.29</t>
        </is>
      </c>
      <c r="K27" t="inlineStr">
        <is>
          <t>115</t>
        </is>
      </c>
      <c r="L27" t="inlineStr">
        <is>
          <t>82.2</t>
        </is>
      </c>
      <c r="M27" t="inlineStr">
        <is>
          <t>3.4</t>
        </is>
      </c>
      <c r="N27" t="inlineStr">
        <is>
          <t>292</t>
        </is>
      </c>
    </row>
    <row r="28">
      <c r="A28" t="inlineStr">
        <is>
          <t>731</t>
        </is>
      </c>
      <c r="B28" t="inlineStr">
        <is>
          <t>2RS</t>
        </is>
      </c>
      <c r="C28" t="inlineStr">
        <is>
          <t>TRAVELER</t>
        </is>
      </c>
      <c r="D28" t="inlineStr">
        <is>
          <t>2024-03-21T00:00:00</t>
        </is>
      </c>
      <c r="E28" t="inlineStr">
        <is>
          <t>2024-03-29T00:00:00</t>
        </is>
      </c>
      <c r="F28" t="inlineStr">
        <is>
          <t>84.01</t>
        </is>
      </c>
      <c r="G28" t="inlineStr">
        <is>
          <t>94.4</t>
        </is>
      </c>
      <c r="H28" t="inlineStr">
        <is>
          <t>286.75</t>
        </is>
      </c>
      <c r="I28" t="inlineStr">
        <is>
          <t>14.9</t>
        </is>
      </c>
      <c r="J28" t="inlineStr">
        <is>
          <t>4.34</t>
        </is>
      </c>
      <c r="K28" t="inlineStr">
        <is>
          <t>126</t>
        </is>
      </c>
      <c r="L28" t="inlineStr">
        <is>
          <t>83.48</t>
        </is>
      </c>
      <c r="M28" t="inlineStr">
        <is>
          <t>4</t>
        </is>
      </c>
      <c r="N28" t="inlineStr">
        <is>
          <t>188</t>
        </is>
      </c>
    </row>
    <row r="29">
      <c r="A29" t="inlineStr">
        <is>
          <t>732</t>
        </is>
      </c>
      <c r="B29" t="inlineStr">
        <is>
          <t>2RS</t>
        </is>
      </c>
      <c r="C29" t="inlineStr">
        <is>
          <t>TRAVELER</t>
        </is>
      </c>
      <c r="D29" t="inlineStr">
        <is>
          <t>2024-03-22T00:00:00</t>
        </is>
      </c>
      <c r="E29" t="inlineStr">
        <is>
          <t>2024-03-30T00:00:00</t>
        </is>
      </c>
      <c r="F29" t="inlineStr">
        <is>
          <t>85.14</t>
        </is>
      </c>
      <c r="G29" t="inlineStr">
        <is>
          <t>95.4</t>
        </is>
      </c>
      <c r="H29" t="inlineStr">
        <is>
          <t>283.06</t>
        </is>
      </c>
      <c r="I29" t="inlineStr">
        <is>
          <t>14.6</t>
        </is>
      </c>
      <c r="J29" t="inlineStr">
        <is>
          <t>4.3099999999999996</t>
        </is>
      </c>
      <c r="K29" t="inlineStr">
        <is>
          <t>132</t>
        </is>
      </c>
      <c r="L29" t="inlineStr">
        <is>
          <t>84.28</t>
        </is>
      </c>
      <c r="M29" t="inlineStr">
        <is>
          <t>3.88</t>
        </is>
      </c>
      <c r="N29" t="inlineStr">
        <is>
          <t>178</t>
        </is>
      </c>
    </row>
    <row r="30">
      <c r="A30" t="inlineStr">
        <is>
          <t>733</t>
        </is>
      </c>
      <c r="B30" t="inlineStr">
        <is>
          <t>2RS</t>
        </is>
      </c>
      <c r="C30" t="inlineStr">
        <is>
          <t>TRAVELER</t>
        </is>
      </c>
      <c r="D30" t="inlineStr">
        <is>
          <t>2024-03-23T00:00:00</t>
        </is>
      </c>
      <c r="E30" t="inlineStr">
        <is>
          <t>2024-03-31T00:00:00</t>
        </is>
      </c>
      <c r="F30" t="inlineStr">
        <is>
          <t>86.26</t>
        </is>
      </c>
      <c r="G30" t="inlineStr">
        <is>
          <t>96.3</t>
        </is>
      </c>
      <c r="H30" t="inlineStr">
        <is>
          <t>287.10000000000002</t>
        </is>
      </c>
      <c r="I30" t="inlineStr">
        <is>
          <t>14.5</t>
        </is>
      </c>
      <c r="J30" t="inlineStr">
        <is>
          <t>4.5199999999999996</t>
        </is>
      </c>
      <c r="K30" t="inlineStr">
        <is>
          <t>130</t>
        </is>
      </c>
      <c r="L30" t="inlineStr">
        <is>
          <t>87</t>
        </is>
      </c>
      <c r="M30" t="inlineStr">
        <is>
          <t>4.2</t>
        </is>
      </c>
      <c r="N30" t="inlineStr">
        <is>
          <t>150</t>
        </is>
      </c>
    </row>
    <row r="31">
      <c r="A31" t="inlineStr">
        <is>
          <t>734</t>
        </is>
      </c>
      <c r="B31" t="inlineStr">
        <is>
          <t>2RS</t>
        </is>
      </c>
      <c r="C31" t="inlineStr">
        <is>
          <t>TRAVELER</t>
        </is>
      </c>
      <c r="D31" t="inlineStr">
        <is>
          <t>2024-03-24T00:00:00</t>
        </is>
      </c>
      <c r="E31" t="inlineStr">
        <is>
          <t>2024-04-01T00:00:00</t>
        </is>
      </c>
      <c r="F31" t="inlineStr">
        <is>
          <t>83.47</t>
        </is>
      </c>
      <c r="G31" t="inlineStr">
        <is>
          <t>93.7</t>
        </is>
      </c>
      <c r="H31" t="inlineStr">
        <is>
          <t>287.89999999999998</t>
        </is>
      </c>
      <c r="I31" t="inlineStr">
        <is>
          <t>14.8</t>
        </is>
      </c>
      <c r="J31" t="inlineStr">
        <is>
          <t>4.3600000000000003</t>
        </is>
      </c>
      <c r="K31" t="inlineStr">
        <is>
          <t>124</t>
        </is>
      </c>
      <c r="L31" t="inlineStr">
        <is>
          <t>84.2</t>
        </is>
      </c>
      <c r="M31" t="inlineStr">
        <is>
          <t>4.1500000000000004</t>
        </is>
      </c>
      <c r="N31" t="inlineStr">
        <is>
          <t>172</t>
        </is>
      </c>
    </row>
    <row r="32">
      <c r="A32" t="inlineStr">
        <is>
          <t>735</t>
        </is>
      </c>
      <c r="B32" t="inlineStr">
        <is>
          <t>2RS</t>
        </is>
      </c>
      <c r="C32" t="inlineStr">
        <is>
          <t>TRAVELER</t>
        </is>
      </c>
      <c r="D32" t="inlineStr">
        <is>
          <t>2024-03-25T00:00:00</t>
        </is>
      </c>
      <c r="E32" t="inlineStr">
        <is>
          <t>2024-04-02T00:00:00</t>
        </is>
      </c>
      <c r="F32" t="inlineStr">
        <is>
          <t>82.81</t>
        </is>
      </c>
      <c r="G32" t="inlineStr">
        <is>
          <t>92.7</t>
        </is>
      </c>
      <c r="H32" t="inlineStr">
        <is>
          <t>286.89</t>
        </is>
      </c>
      <c r="I32" t="inlineStr">
        <is>
          <t>14.8</t>
        </is>
      </c>
      <c r="J32" t="inlineStr">
        <is>
          <t>4.6100000000000003</t>
        </is>
      </c>
      <c r="K32" t="inlineStr">
        <is>
          <t>138</t>
        </is>
      </c>
      <c r="L32" t="inlineStr">
        <is>
          <t>82.48</t>
        </is>
      </c>
      <c r="M32" t="inlineStr">
        <is>
          <t>4.5</t>
        </is>
      </c>
      <c r="N32" t="inlineStr">
        <is>
          <t>154</t>
        </is>
      </c>
    </row>
    <row r="33">
      <c r="A33" t="inlineStr">
        <is>
          <t>736</t>
        </is>
      </c>
      <c r="B33" t="inlineStr">
        <is>
          <t>2RS</t>
        </is>
      </c>
      <c r="C33" t="inlineStr">
        <is>
          <t>TRAVELER</t>
        </is>
      </c>
      <c r="D33" t="inlineStr">
        <is>
          <t>2024-03-26T00:00:00</t>
        </is>
      </c>
      <c r="E33" t="inlineStr">
        <is>
          <t>2024-04-03T00:00:00</t>
        </is>
      </c>
      <c r="F33" t="inlineStr">
        <is>
          <t>84.16</t>
        </is>
      </c>
      <c r="G33" t="inlineStr">
        <is>
          <t>94</t>
        </is>
      </c>
      <c r="H33" t="inlineStr">
        <is>
          <t>286.33999999999997</t>
        </is>
      </c>
      <c r="I33" t="inlineStr">
        <is>
          <t>14.3</t>
        </is>
      </c>
      <c r="J33" t="inlineStr">
        <is>
          <t>4.32</t>
        </is>
      </c>
      <c r="K33" t="inlineStr">
        <is>
          <t>128</t>
        </is>
      </c>
      <c r="L33" t="inlineStr">
        <is>
          <t>83.12</t>
        </is>
      </c>
      <c r="M33" t="inlineStr">
        <is>
          <t>3.9</t>
        </is>
      </c>
      <c r="N33" t="inlineStr">
        <is>
          <t>203</t>
        </is>
      </c>
    </row>
    <row r="34">
      <c r="A34" t="inlineStr">
        <is>
          <t>737</t>
        </is>
      </c>
      <c r="B34" t="inlineStr">
        <is>
          <t>2RS</t>
        </is>
      </c>
      <c r="C34" t="inlineStr">
        <is>
          <t>TRAVELER</t>
        </is>
      </c>
      <c r="D34" t="inlineStr">
        <is>
          <t>2024-03-28T00:00:00</t>
        </is>
      </c>
      <c r="E34" t="inlineStr">
        <is>
          <t>2024-04-05T00:00:00</t>
        </is>
      </c>
      <c r="F34" t="inlineStr">
        <is>
          <t>83.24</t>
        </is>
      </c>
      <c r="G34" t="inlineStr">
        <is>
          <t>93.4</t>
        </is>
      </c>
      <c r="H34" t="inlineStr">
        <is>
          <t>286.97000000000003</t>
        </is>
      </c>
      <c r="I34" t="inlineStr">
        <is>
          <t>14.8</t>
        </is>
      </c>
      <c r="J34" t="inlineStr">
        <is>
          <t>4.4000000000000004</t>
        </is>
      </c>
      <c r="K34" t="inlineStr">
        <is>
          <t>138</t>
        </is>
      </c>
      <c r="L34" t="inlineStr">
        <is>
          <t>84.9</t>
        </is>
      </c>
      <c r="M34" t="inlineStr">
        <is>
          <t>4.0999999999999996</t>
        </is>
      </c>
      <c r="N34" t="inlineStr">
        <is>
          <t>145</t>
        </is>
      </c>
    </row>
    <row r="35">
      <c r="A35" t="inlineStr">
        <is>
          <t>738</t>
        </is>
      </c>
      <c r="B35" t="inlineStr">
        <is>
          <t>2RS</t>
        </is>
      </c>
      <c r="C35" t="inlineStr">
        <is>
          <t>TRAVELER</t>
        </is>
      </c>
      <c r="D35" t="inlineStr">
        <is>
          <t>2024-03-29T00:00:00</t>
        </is>
      </c>
      <c r="E35" t="inlineStr">
        <is>
          <t>2024-04-06T00:00:00</t>
        </is>
      </c>
      <c r="F35" t="inlineStr">
        <is>
          <t>83.33</t>
        </is>
      </c>
      <c r="G35" t="inlineStr">
        <is>
          <t>93.8</t>
        </is>
      </c>
      <c r="H35" t="inlineStr">
        <is>
          <t>286.49</t>
        </is>
      </c>
      <c r="I35" t="inlineStr">
        <is>
          <t>14.9</t>
        </is>
      </c>
      <c r="J35" t="inlineStr">
        <is>
          <t>4.24</t>
        </is>
      </c>
      <c r="K35" t="inlineStr">
        <is>
          <t>133</t>
        </is>
      </c>
      <c r="L35" t="inlineStr">
        <is>
          <t>84.76</t>
        </is>
      </c>
      <c r="M35" t="inlineStr">
        <is>
          <t>4.09</t>
        </is>
      </c>
      <c r="N35" t="inlineStr">
        <is>
          <t>170</t>
        </is>
      </c>
    </row>
    <row r="36">
      <c r="A36" t="inlineStr">
        <is>
          <t>739</t>
        </is>
      </c>
      <c r="B36" t="inlineStr">
        <is>
          <t>2RS</t>
        </is>
      </c>
      <c r="C36" t="inlineStr">
        <is>
          <t>TRAVELER</t>
        </is>
      </c>
      <c r="D36" t="inlineStr">
        <is>
          <t>2024-03-31T00:00:00</t>
        </is>
      </c>
      <c r="E36" t="inlineStr">
        <is>
          <t>2024-04-08T00:00:00</t>
        </is>
      </c>
      <c r="F36" t="inlineStr">
        <is>
          <t>83.68</t>
        </is>
      </c>
      <c r="G36" t="inlineStr">
        <is>
          <t>93.7</t>
        </is>
      </c>
      <c r="H36" t="inlineStr">
        <is>
          <t>285.75</t>
        </is>
      </c>
      <c r="I36" t="inlineStr">
        <is>
          <t>14.7</t>
        </is>
      </c>
      <c r="J36" t="inlineStr">
        <is>
          <t>4.53</t>
        </is>
      </c>
      <c r="K36" t="inlineStr">
        <is>
          <t>137</t>
        </is>
      </c>
      <c r="L36" t="inlineStr">
        <is>
          <t>84.96</t>
        </is>
      </c>
      <c r="M36" t="inlineStr">
        <is>
          <t>3.89</t>
        </is>
      </c>
      <c r="N36" t="inlineStr">
        <is>
          <t>175</t>
        </is>
      </c>
    </row>
    <row r="37">
      <c r="A37" t="inlineStr">
        <is>
          <t>740</t>
        </is>
      </c>
      <c r="B37" t="inlineStr">
        <is>
          <t>2RS</t>
        </is>
      </c>
      <c r="C37" t="inlineStr">
        <is>
          <t>TRAVELER</t>
        </is>
      </c>
      <c r="D37" t="inlineStr">
        <is>
          <t>2024-04-01T00:00:00</t>
        </is>
      </c>
      <c r="E37" t="inlineStr">
        <is>
          <t>2024-04-09T00:00:00</t>
        </is>
      </c>
      <c r="F37" t="inlineStr">
        <is>
          <t>84.29</t>
        </is>
      </c>
      <c r="G37" t="inlineStr">
        <is>
          <t>94.7</t>
        </is>
      </c>
      <c r="H37" t="inlineStr">
        <is>
          <t>285.92</t>
        </is>
      </c>
      <c r="I37" t="inlineStr">
        <is>
          <t>15</t>
        </is>
      </c>
      <c r="J37" t="inlineStr">
        <is>
          <t>4.47</t>
        </is>
      </c>
      <c r="K37" t="inlineStr">
        <is>
          <t>134</t>
        </is>
      </c>
      <c r="L37" t="inlineStr">
        <is>
          <t>81.22</t>
        </is>
      </c>
      <c r="M37" t="inlineStr">
        <is>
          <t>3.86</t>
        </is>
      </c>
      <c r="N37" t="inlineStr">
        <is>
          <t>208</t>
        </is>
      </c>
    </row>
    <row r="38">
      <c r="A38" t="inlineStr">
        <is>
          <t>741</t>
        </is>
      </c>
      <c r="B38" t="inlineStr">
        <is>
          <t>2RS</t>
        </is>
      </c>
      <c r="C38" t="inlineStr">
        <is>
          <t>TRAVELER</t>
        </is>
      </c>
      <c r="D38" t="inlineStr">
        <is>
          <t>2024-04-02T00:00:00</t>
        </is>
      </c>
      <c r="E38" t="inlineStr">
        <is>
          <t>2024-04-10T00:00:00</t>
        </is>
      </c>
      <c r="F38" t="inlineStr">
        <is>
          <t>84</t>
        </is>
      </c>
      <c r="G38" t="inlineStr">
        <is>
          <t>94</t>
        </is>
      </c>
      <c r="H38" t="inlineStr">
        <is>
          <t>286.37</t>
        </is>
      </c>
      <c r="I38" t="inlineStr">
        <is>
          <t>14.7</t>
        </is>
      </c>
      <c r="J38" t="inlineStr">
        <is>
          <t>4.5599999999999996</t>
        </is>
      </c>
      <c r="K38" t="inlineStr">
        <is>
          <t>134</t>
        </is>
      </c>
      <c r="L38" t="inlineStr">
        <is>
          <t>83.28</t>
        </is>
      </c>
      <c r="M38" t="inlineStr">
        <is>
          <t>3.98</t>
        </is>
      </c>
      <c r="N38" t="inlineStr">
        <is>
          <t>186</t>
        </is>
      </c>
    </row>
    <row r="39">
      <c r="A39" t="inlineStr">
        <is>
          <t>742</t>
        </is>
      </c>
      <c r="B39" t="inlineStr">
        <is>
          <t>2RS</t>
        </is>
      </c>
      <c r="C39" t="inlineStr">
        <is>
          <t>TRAVELER</t>
        </is>
      </c>
      <c r="D39" t="inlineStr">
        <is>
          <t>2024-04-03T00:00:00</t>
        </is>
      </c>
      <c r="E39" t="inlineStr">
        <is>
          <t>2024-04-11T00:00:00</t>
        </is>
      </c>
      <c r="F39" t="inlineStr">
        <is>
          <t>84.27</t>
        </is>
      </c>
      <c r="G39" t="inlineStr">
        <is>
          <t>94.3</t>
        </is>
      </c>
      <c r="H39" t="inlineStr">
        <is>
          <t>286.5</t>
        </is>
      </c>
      <c r="I39" t="inlineStr">
        <is>
          <t>14.8</t>
        </is>
      </c>
      <c r="J39" t="inlineStr">
        <is>
          <t>4.63</t>
        </is>
      </c>
      <c r="K39" t="inlineStr">
        <is>
          <t>130</t>
        </is>
      </c>
      <c r="L39" t="inlineStr">
        <is>
          <t>81.400000000000006</t>
        </is>
      </c>
      <c r="M39" t="inlineStr">
        <is>
          <t>3.99</t>
        </is>
      </c>
      <c r="N39" t="inlineStr">
        <is>
          <t>225</t>
        </is>
      </c>
    </row>
    <row r="40">
      <c r="A40" t="inlineStr">
        <is>
          <t>743</t>
        </is>
      </c>
      <c r="B40" t="inlineStr">
        <is>
          <t>2RS</t>
        </is>
      </c>
      <c r="C40" t="inlineStr">
        <is>
          <t>TRAVELER</t>
        </is>
      </c>
      <c r="D40" t="inlineStr">
        <is>
          <t>2024-04-04T00:00:00</t>
        </is>
      </c>
      <c r="E40" t="inlineStr">
        <is>
          <t>2024-04-12T00:00:00</t>
        </is>
      </c>
      <c r="F40" t="inlineStr">
        <is>
          <t>83.96</t>
        </is>
      </c>
      <c r="G40" t="inlineStr">
        <is>
          <t>94.5</t>
        </is>
      </c>
      <c r="H40" t="inlineStr">
        <is>
          <t>285.94</t>
        </is>
      </c>
      <c r="I40" t="inlineStr">
        <is>
          <t>14.9</t>
        </is>
      </c>
      <c r="J40" t="inlineStr">
        <is>
          <t>4.1900000000000004</t>
        </is>
      </c>
      <c r="K40" t="inlineStr">
        <is>
          <t>123</t>
        </is>
      </c>
      <c r="L40" t="inlineStr">
        <is>
          <t>81.5</t>
        </is>
      </c>
      <c r="M40" t="inlineStr">
        <is>
          <t>3.96</t>
        </is>
      </c>
      <c r="N40" t="inlineStr">
        <is>
          <t>264</t>
        </is>
      </c>
    </row>
    <row r="41">
      <c r="A41" t="inlineStr">
        <is>
          <t>744</t>
        </is>
      </c>
      <c r="B41" t="inlineStr">
        <is>
          <t>2RS</t>
        </is>
      </c>
      <c r="C41" t="inlineStr">
        <is>
          <t>TRAVELER</t>
        </is>
      </c>
      <c r="D41" t="inlineStr">
        <is>
          <t>2024-04-06T00:00:00</t>
        </is>
      </c>
      <c r="E41" t="inlineStr">
        <is>
          <t>2024-04-14T00:00:00</t>
        </is>
      </c>
      <c r="F41" t="inlineStr">
        <is>
          <t>83.63</t>
        </is>
      </c>
      <c r="G41" t="inlineStr">
        <is>
          <t>94.5</t>
        </is>
      </c>
      <c r="H41" t="inlineStr">
        <is>
          <t>286.18</t>
        </is>
      </c>
      <c r="I41" t="inlineStr">
        <is>
          <t>15.3</t>
        </is>
      </c>
      <c r="J41" t="inlineStr">
        <is>
          <t>4.28</t>
        </is>
      </c>
      <c r="K41" t="inlineStr">
        <is>
          <t>136</t>
        </is>
      </c>
      <c r="L41" t="inlineStr">
        <is>
          <t>87.4</t>
        </is>
      </c>
      <c r="M41" t="inlineStr">
        <is>
          <t>4.4000000000000004</t>
        </is>
      </c>
      <c r="N41" t="inlineStr">
        <is>
          <t>158</t>
        </is>
      </c>
    </row>
    <row r="42">
      <c r="A42" t="inlineStr">
        <is>
          <t>745</t>
        </is>
      </c>
      <c r="B42" t="inlineStr">
        <is>
          <t>2RS</t>
        </is>
      </c>
      <c r="C42" t="inlineStr">
        <is>
          <t>TRAVELER</t>
        </is>
      </c>
      <c r="D42" t="inlineStr">
        <is>
          <t>2024-04-07T00:00:00</t>
        </is>
      </c>
      <c r="E42" t="inlineStr">
        <is>
          <t>2024-04-15T00:00:00</t>
        </is>
      </c>
      <c r="F42" t="inlineStr">
        <is>
          <t>83.86</t>
        </is>
      </c>
      <c r="G42" t="inlineStr">
        <is>
          <t>94.1</t>
        </is>
      </c>
      <c r="H42" t="inlineStr">
        <is>
          <t>286.45</t>
        </is>
      </c>
      <c r="I42" t="inlineStr">
        <is>
          <t>15</t>
        </is>
      </c>
      <c r="J42" t="inlineStr">
        <is>
          <t>4.66</t>
        </is>
      </c>
      <c r="K42" t="inlineStr">
        <is>
          <t>124</t>
        </is>
      </c>
      <c r="L42" t="inlineStr">
        <is>
          <t>85.6</t>
        </is>
      </c>
      <c r="M42" t="inlineStr">
        <is>
          <t>4.4000000000000004</t>
        </is>
      </c>
      <c r="N42" t="inlineStr">
        <is>
          <t>160</t>
        </is>
      </c>
    </row>
    <row r="43">
      <c r="A43" t="inlineStr">
        <is>
          <t>746</t>
        </is>
      </c>
      <c r="B43" t="inlineStr">
        <is>
          <t>2RS</t>
        </is>
      </c>
      <c r="C43" t="inlineStr">
        <is>
          <t>TRAVELER</t>
        </is>
      </c>
      <c r="D43" t="inlineStr">
        <is>
          <t>2024-04-08T00:00:00</t>
        </is>
      </c>
      <c r="E43" t="inlineStr">
        <is>
          <t>2024-04-16T00:00:00</t>
        </is>
      </c>
      <c r="F43" t="inlineStr">
        <is>
          <t>84.45</t>
        </is>
      </c>
      <c r="G43" t="inlineStr">
        <is>
          <t>95.1</t>
        </is>
      </c>
      <c r="H43" t="inlineStr">
        <is>
          <t>285.27</t>
        </is>
      </c>
      <c r="I43" t="inlineStr">
        <is>
          <t>14.9</t>
        </is>
      </c>
      <c r="J43" t="inlineStr">
        <is>
          <t>4.1399999999999997</t>
        </is>
      </c>
      <c r="K43" t="inlineStr">
        <is>
          <t>117</t>
        </is>
      </c>
      <c r="L43" t="inlineStr">
        <is>
          <t>84.6</t>
        </is>
      </c>
      <c r="M43" t="inlineStr">
        <is>
          <t>4.2</t>
        </is>
      </c>
      <c r="N43" t="inlineStr">
        <is>
          <t>192</t>
        </is>
      </c>
    </row>
    <row r="44">
      <c r="A44" t="inlineStr">
        <is>
          <t>747</t>
        </is>
      </c>
      <c r="B44" t="inlineStr">
        <is>
          <t>2RS</t>
        </is>
      </c>
      <c r="C44" t="inlineStr">
        <is>
          <t>TRAVELER</t>
        </is>
      </c>
      <c r="D44" t="inlineStr">
        <is>
          <t>2024-04-09T00:00:00</t>
        </is>
      </c>
      <c r="E44" t="inlineStr">
        <is>
          <t>2024-04-17T00:00:00</t>
        </is>
      </c>
      <c r="F44" t="inlineStr">
        <is>
          <t>83.38</t>
        </is>
      </c>
      <c r="G44" t="inlineStr">
        <is>
          <t>94.1</t>
        </is>
      </c>
      <c r="H44" t="inlineStr">
        <is>
          <t>287.52</t>
        </is>
      </c>
      <c r="I44" t="inlineStr">
        <is>
          <t>15.3</t>
        </is>
      </c>
      <c r="J44" t="inlineStr">
        <is>
          <t>4.3600000000000003</t>
        </is>
      </c>
      <c r="K44" t="inlineStr">
        <is>
          <t>126</t>
        </is>
      </c>
      <c r="L44" t="inlineStr">
        <is>
          <t>79.3</t>
        </is>
      </c>
      <c r="M44" t="inlineStr">
        <is>
          <t>3.9</t>
        </is>
      </c>
      <c r="N44" t="inlineStr">
        <is>
          <t>257</t>
        </is>
      </c>
    </row>
    <row r="45">
      <c r="A45" t="inlineStr">
        <is>
          <t>748</t>
        </is>
      </c>
      <c r="B45" t="inlineStr">
        <is>
          <t>2RS</t>
        </is>
      </c>
      <c r="C45" t="inlineStr">
        <is>
          <t>TRAVELER</t>
        </is>
      </c>
      <c r="D45" t="inlineStr">
        <is>
          <t>2024-04-10T00:00:00</t>
        </is>
      </c>
      <c r="E45" t="inlineStr">
        <is>
          <t>2024-04-18T00:00:00</t>
        </is>
      </c>
      <c r="F45" t="inlineStr">
        <is>
          <t>83.22</t>
        </is>
      </c>
      <c r="G45" t="inlineStr">
        <is>
          <t>93.9</t>
        </is>
      </c>
      <c r="H45" t="inlineStr">
        <is>
          <t>288.77</t>
        </is>
      </c>
      <c r="I45" t="inlineStr">
        <is>
          <t>15.1</t>
        </is>
      </c>
      <c r="J45" t="inlineStr">
        <is>
          <t>4.25</t>
        </is>
      </c>
      <c r="K45" t="inlineStr">
        <is>
          <t>126</t>
        </is>
      </c>
      <c r="L45" t="inlineStr">
        <is>
          <t>78.64</t>
        </is>
      </c>
      <c r="M45" t="inlineStr">
        <is>
          <t>3.94</t>
        </is>
      </c>
      <c r="N45" t="inlineStr">
        <is>
          <t>261</t>
        </is>
      </c>
    </row>
    <row r="46">
      <c r="A46" t="inlineStr">
        <is>
          <t>749</t>
        </is>
      </c>
      <c r="B46" t="inlineStr">
        <is>
          <t>2RS</t>
        </is>
      </c>
      <c r="C46" t="inlineStr">
        <is>
          <t>TRAVELER</t>
        </is>
      </c>
      <c r="D46" t="inlineStr">
        <is>
          <t>2024-04-11T00:00:00</t>
        </is>
      </c>
      <c r="E46" t="inlineStr">
        <is>
          <t>2024-04-19T00:00:00</t>
        </is>
      </c>
      <c r="F46" t="inlineStr">
        <is>
          <t>83.32</t>
        </is>
      </c>
      <c r="G46" t="inlineStr">
        <is>
          <t>93.7</t>
        </is>
      </c>
      <c r="H46" t="inlineStr">
        <is>
          <t>286.35000000000002</t>
        </is>
      </c>
      <c r="I46" t="inlineStr">
        <is>
          <t>15</t>
        </is>
      </c>
      <c r="J46" t="inlineStr">
        <is>
          <t>4.3899999999999997</t>
        </is>
      </c>
      <c r="K46" t="inlineStr">
        <is>
          <t>128</t>
        </is>
      </c>
      <c r="L46" t="inlineStr">
        <is>
          <t>84.16</t>
        </is>
      </c>
      <c r="M46" t="inlineStr">
        <is>
          <t>4</t>
        </is>
      </c>
      <c r="N46" t="inlineStr">
        <is>
          <t>187</t>
        </is>
      </c>
    </row>
    <row r="47">
      <c r="A47" t="inlineStr">
        <is>
          <t>750</t>
        </is>
      </c>
      <c r="B47" t="inlineStr">
        <is>
          <t>2RS</t>
        </is>
      </c>
      <c r="C47" t="inlineStr">
        <is>
          <t>TRAVELER</t>
        </is>
      </c>
      <c r="D47" t="inlineStr">
        <is>
          <t>2024-04-12T00:00:00</t>
        </is>
      </c>
      <c r="E47" t="inlineStr">
        <is>
          <t>2024-04-20T00:00:00</t>
        </is>
      </c>
      <c r="F47" t="inlineStr">
        <is>
          <t>82.75</t>
        </is>
      </c>
      <c r="G47" t="inlineStr">
        <is>
          <t>92.8</t>
        </is>
      </c>
      <c r="H47" t="inlineStr">
        <is>
          <t>287.36</t>
        </is>
      </c>
      <c r="I47" t="inlineStr">
        <is>
          <t>14.7</t>
        </is>
      </c>
      <c r="J47" t="inlineStr">
        <is>
          <t>4.3499999999999996</t>
        </is>
      </c>
      <c r="K47" t="inlineStr">
        <is>
          <t>127</t>
        </is>
      </c>
      <c r="L47" t="inlineStr">
        <is>
          <t>85.44</t>
        </is>
      </c>
      <c r="M47" t="inlineStr">
        <is>
          <t>4.3</t>
        </is>
      </c>
      <c r="N47" t="inlineStr">
        <is>
          <t>182</t>
        </is>
      </c>
    </row>
    <row r="48">
      <c r="A48" t="inlineStr">
        <is>
          <t>751</t>
        </is>
      </c>
      <c r="B48" t="inlineStr">
        <is>
          <t>2RS</t>
        </is>
      </c>
      <c r="C48" t="inlineStr">
        <is>
          <t>TRAVELER</t>
        </is>
      </c>
      <c r="D48" t="inlineStr">
        <is>
          <t>2024-04-14T00:00:00</t>
        </is>
      </c>
      <c r="E48" t="inlineStr">
        <is>
          <t>2024-04-22T00:00:00</t>
        </is>
      </c>
      <c r="F48" t="inlineStr">
        <is>
          <t>82.72</t>
        </is>
      </c>
      <c r="G48" t="inlineStr">
        <is>
          <t>92.4</t>
        </is>
      </c>
      <c r="H48" t="inlineStr">
        <is>
          <t>285.75</t>
        </is>
      </c>
      <c r="I48" t="inlineStr">
        <is>
          <t>14.9</t>
        </is>
      </c>
      <c r="J48" t="inlineStr">
        <is>
          <t>4.97</t>
        </is>
      </c>
      <c r="K48" t="inlineStr">
        <is>
          <t>136</t>
        </is>
      </c>
      <c r="L48" t="inlineStr">
        <is>
          <t>77.260000000000005</t>
        </is>
      </c>
      <c r="M48" t="inlineStr">
        <is>
          <t>4.0999999999999996</t>
        </is>
      </c>
      <c r="N48" t="inlineStr">
        <is>
          <t>255</t>
        </is>
      </c>
    </row>
    <row r="49">
      <c r="A49" t="inlineStr">
        <is>
          <t>752</t>
        </is>
      </c>
      <c r="B49" t="inlineStr">
        <is>
          <t>2RS</t>
        </is>
      </c>
      <c r="C49" t="inlineStr">
        <is>
          <t>TRAVELER</t>
        </is>
      </c>
      <c r="D49" t="inlineStr">
        <is>
          <t>2024-04-15T00:00:00</t>
        </is>
      </c>
      <c r="E49" t="inlineStr">
        <is>
          <t>2024-04-23T00:00:00</t>
        </is>
      </c>
      <c r="F49" t="inlineStr">
        <is>
          <t>83.07</t>
        </is>
      </c>
      <c r="G49" t="inlineStr">
        <is>
          <t>92.9</t>
        </is>
      </c>
      <c r="H49" t="inlineStr">
        <is>
          <t>286.33999999999997</t>
        </is>
      </c>
      <c r="I49" t="inlineStr">
        <is>
          <t>14.5</t>
        </is>
      </c>
      <c r="J49" t="inlineStr">
        <is>
          <t>4.38</t>
        </is>
      </c>
      <c r="K49" t="inlineStr">
        <is>
          <t>134</t>
        </is>
      </c>
      <c r="L49" t="inlineStr">
        <is>
          <t>80.48</t>
        </is>
      </c>
      <c r="M49" t="inlineStr">
        <is>
          <t>4.3</t>
        </is>
      </c>
      <c r="N49" t="inlineStr">
        <is>
          <t>191</t>
        </is>
      </c>
    </row>
    <row r="50">
      <c r="A50" t="inlineStr">
        <is>
          <t>753</t>
        </is>
      </c>
      <c r="B50" t="inlineStr">
        <is>
          <t>2RS</t>
        </is>
      </c>
      <c r="C50" t="inlineStr">
        <is>
          <t>TRAVELER</t>
        </is>
      </c>
      <c r="D50" t="inlineStr">
        <is>
          <t>2024-04-16T00:00:00</t>
        </is>
      </c>
      <c r="E50" t="inlineStr">
        <is>
          <t>2024-04-24T00:00:00</t>
        </is>
      </c>
      <c r="F50" t="inlineStr">
        <is>
          <t>82.89</t>
        </is>
      </c>
      <c r="G50" t="inlineStr">
        <is>
          <t>92.5</t>
        </is>
      </c>
      <c r="H50" t="inlineStr">
        <is>
          <t>286.58999999999997</t>
        </is>
      </c>
      <c r="I50" t="inlineStr">
        <is>
          <t>14.3</t>
        </is>
      </c>
      <c r="J50" t="inlineStr">
        <is>
          <t>4.3899999999999997</t>
        </is>
      </c>
      <c r="K50" t="inlineStr">
        <is>
          <t>127</t>
        </is>
      </c>
      <c r="L50" t="inlineStr">
        <is>
          <t>81.319999999999993</t>
        </is>
      </c>
      <c r="M50" t="inlineStr">
        <is>
          <t>4.3</t>
        </is>
      </c>
      <c r="N50" t="inlineStr">
        <is>
          <t>167</t>
        </is>
      </c>
    </row>
    <row r="51">
      <c r="A51" t="inlineStr">
        <is>
          <t>754</t>
        </is>
      </c>
      <c r="B51" t="inlineStr">
        <is>
          <t>IBON</t>
        </is>
      </c>
      <c r="C51" t="inlineStr">
        <is>
          <t>IBON</t>
        </is>
      </c>
      <c r="D51" t="inlineStr">
        <is>
          <t>2024-04-17T00:00:00</t>
        </is>
      </c>
      <c r="E51" t="inlineStr">
        <is>
          <t>2024-04-25T00:00:00</t>
        </is>
      </c>
      <c r="F51" t="inlineStr">
        <is>
          <t>82.21</t>
        </is>
      </c>
      <c r="G51" t="inlineStr">
        <is>
          <t>92.9</t>
        </is>
      </c>
      <c r="H51" t="inlineStr">
        <is>
          <t>282.08</t>
        </is>
      </c>
      <c r="I51" t="inlineStr">
        <is>
          <t>15.4</t>
        </is>
      </c>
      <c r="J51" t="inlineStr">
        <is>
          <t>4.37</t>
        </is>
      </c>
      <c r="K51" t="inlineStr">
        <is>
          <t>145</t>
        </is>
      </c>
      <c r="L51" t="inlineStr">
        <is>
          <t>52.84</t>
        </is>
      </c>
      <c r="M51" t="inlineStr">
        <is>
          <t>5.0999999999999996</t>
        </is>
      </c>
      <c r="N51" t="inlineStr">
        <is>
          <t>357</t>
        </is>
      </c>
    </row>
    <row r="52">
      <c r="A52" t="inlineStr">
        <is>
          <t>755</t>
        </is>
      </c>
      <c r="B52" t="inlineStr">
        <is>
          <t>IBON</t>
        </is>
      </c>
      <c r="C52" t="inlineStr">
        <is>
          <t>IBON</t>
        </is>
      </c>
      <c r="D52" t="inlineStr">
        <is>
          <t>2024-04-18T00:00:00</t>
        </is>
      </c>
      <c r="E52" t="inlineStr">
        <is>
          <t>2024-04-26T00:00:00</t>
        </is>
      </c>
      <c r="F52" t="inlineStr">
        <is>
          <t>82.3</t>
        </is>
      </c>
      <c r="G52" t="inlineStr">
        <is>
          <t>92.7</t>
        </is>
      </c>
      <c r="H52" t="inlineStr">
        <is>
          <t>282.08</t>
        </is>
      </c>
      <c r="I52" t="inlineStr">
        <is>
          <t>15.3</t>
        </is>
      </c>
      <c r="J52" t="inlineStr">
        <is>
          <t>4.6399999999999997</t>
        </is>
      </c>
      <c r="K52" t="inlineStr">
        <is>
          <t>151</t>
        </is>
      </c>
      <c r="L52" t="inlineStr">
        <is>
          <t>53.52</t>
        </is>
      </c>
      <c r="M52" t="inlineStr">
        <is>
          <t>5.55</t>
        </is>
      </c>
      <c r="N52" t="inlineStr">
        <is>
          <t>277</t>
        </is>
      </c>
    </row>
    <row r="53">
      <c r="A53" t="inlineStr">
        <is>
          <t>756</t>
        </is>
      </c>
      <c r="B53" t="inlineStr">
        <is>
          <t>IBON</t>
        </is>
      </c>
      <c r="C53" t="inlineStr">
        <is>
          <t>IBON</t>
        </is>
      </c>
      <c r="D53" t="inlineStr">
        <is>
          <t>2024-04-19T00:00:00</t>
        </is>
      </c>
      <c r="E53" t="inlineStr">
        <is>
          <t>2024-04-27T00:00:00</t>
        </is>
      </c>
      <c r="F53" t="inlineStr">
        <is>
          <t>82.69</t>
        </is>
      </c>
      <c r="G53" t="inlineStr">
        <is>
          <t>93.4</t>
        </is>
      </c>
      <c r="H53" t="inlineStr">
        <is>
          <t>283.14999999999998</t>
        </is>
      </c>
      <c r="I53" t="inlineStr">
        <is>
          <t>15.4</t>
        </is>
      </c>
      <c r="J53" t="inlineStr">
        <is>
          <t>4.45</t>
        </is>
      </c>
      <c r="K53" t="inlineStr">
        <is>
          <t>141</t>
        </is>
      </c>
      <c r="L53" t="inlineStr">
        <is>
          <t>52.26</t>
        </is>
      </c>
      <c r="M53" t="inlineStr">
        <is>
          <t>4.8</t>
        </is>
      </c>
      <c r="N53" t="inlineStr">
        <is>
          <t>308</t>
        </is>
      </c>
    </row>
    <row r="54">
      <c r="A54" t="inlineStr">
        <is>
          <t>757</t>
        </is>
      </c>
      <c r="B54" t="inlineStr">
        <is>
          <t>2RS</t>
        </is>
      </c>
      <c r="C54" t="inlineStr">
        <is>
          <t>TRAVELER</t>
        </is>
      </c>
      <c r="D54" t="inlineStr">
        <is>
          <t>2024-04-21T00:00:00</t>
        </is>
      </c>
      <c r="E54" t="inlineStr">
        <is>
          <t>2024-04-29T00:00:00</t>
        </is>
      </c>
      <c r="F54" t="inlineStr">
        <is>
          <t>83.18</t>
        </is>
      </c>
      <c r="G54" t="inlineStr">
        <is>
          <t>92.7</t>
        </is>
      </c>
      <c r="H54" t="inlineStr">
        <is>
          <t>286.54000000000002</t>
        </is>
      </c>
      <c r="I54" t="inlineStr">
        <is>
          <t>14.7</t>
        </is>
      </c>
      <c r="J54" t="inlineStr">
        <is>
          <t>4.95</t>
        </is>
      </c>
      <c r="K54" t="inlineStr">
        <is>
          <t>134</t>
        </is>
      </c>
      <c r="L54" t="inlineStr">
        <is>
          <t>84.24</t>
        </is>
      </c>
      <c r="M54" t="inlineStr">
        <is>
          <t>3.9</t>
        </is>
      </c>
      <c r="N54" t="inlineStr">
        <is>
          <t>154</t>
        </is>
      </c>
    </row>
    <row r="55">
      <c r="A55" t="inlineStr">
        <is>
          <t>758</t>
        </is>
      </c>
      <c r="B55" t="inlineStr">
        <is>
          <t>2RS</t>
        </is>
      </c>
      <c r="C55" t="inlineStr">
        <is>
          <t>TRAVELER</t>
        </is>
      </c>
      <c r="D55" t="inlineStr">
        <is>
          <t>2024-04-22T00:00:00</t>
        </is>
      </c>
      <c r="E55" t="inlineStr">
        <is>
          <t>2024-04-30T00:00:00</t>
        </is>
      </c>
      <c r="F55" t="inlineStr">
        <is>
          <t>83.25</t>
        </is>
      </c>
      <c r="G55" t="inlineStr">
        <is>
          <t>93.3</t>
        </is>
      </c>
      <c r="H55" t="inlineStr">
        <is>
          <t>288.26</t>
        </is>
      </c>
      <c r="I55" t="inlineStr">
        <is>
          <t>14.7</t>
        </is>
      </c>
      <c r="J55" t="inlineStr">
        <is>
          <t>4.45</t>
        </is>
      </c>
      <c r="K55" t="inlineStr">
        <is>
          <t>135</t>
        </is>
      </c>
      <c r="L55" t="inlineStr">
        <is>
          <t>82</t>
        </is>
      </c>
      <c r="M55" t="inlineStr">
        <is>
          <t>3.9</t>
        </is>
      </c>
      <c r="N55" t="inlineStr">
        <is>
          <t>210</t>
        </is>
      </c>
    </row>
    <row r="56">
      <c r="A56" t="inlineStr">
        <is>
          <t>759</t>
        </is>
      </c>
      <c r="B56" t="inlineStr">
        <is>
          <t>2RS</t>
        </is>
      </c>
      <c r="C56" t="inlineStr">
        <is>
          <t>TRAVELER</t>
        </is>
      </c>
      <c r="D56" t="inlineStr">
        <is>
          <t>2024-04-23T00:00:00</t>
        </is>
      </c>
      <c r="E56" t="inlineStr">
        <is>
          <t>2024-05-01T00:00:00</t>
        </is>
      </c>
      <c r="F56" t="inlineStr">
        <is>
          <t>82.32</t>
        </is>
      </c>
      <c r="G56" t="inlineStr">
        <is>
          <t>92.3</t>
        </is>
      </c>
      <c r="H56" t="inlineStr">
        <is>
          <t>288.06</t>
        </is>
      </c>
      <c r="I56" t="inlineStr">
        <is>
          <t>14.7</t>
        </is>
      </c>
      <c r="J56" t="inlineStr">
        <is>
          <t>4.38</t>
        </is>
      </c>
      <c r="K56" t="inlineStr">
        <is>
          <t>147</t>
        </is>
      </c>
      <c r="L56" t="inlineStr">
        <is>
          <t>82.12</t>
        </is>
      </c>
      <c r="M56" t="inlineStr">
        <is>
          <t>4.6399999999999997</t>
        </is>
      </c>
      <c r="N56" t="inlineStr">
        <is>
          <t>237</t>
        </is>
      </c>
    </row>
    <row r="57">
      <c r="A57" t="inlineStr">
        <is>
          <t>760</t>
        </is>
      </c>
      <c r="B57" t="inlineStr">
        <is>
          <t>2RS</t>
        </is>
      </c>
      <c r="C57" t="inlineStr">
        <is>
          <t>TRAVELER</t>
        </is>
      </c>
      <c r="D57" t="inlineStr">
        <is>
          <t>2024-04-24T00:00:00</t>
        </is>
      </c>
      <c r="E57" t="inlineStr">
        <is>
          <t>2024-05-02T00:00:00</t>
        </is>
      </c>
      <c r="F57" t="inlineStr">
        <is>
          <t>84.12</t>
        </is>
      </c>
      <c r="G57" t="inlineStr">
        <is>
          <t>94</t>
        </is>
      </c>
      <c r="H57" t="inlineStr">
        <is>
          <t>286.18</t>
        </is>
      </c>
      <c r="I57" t="inlineStr">
        <is>
          <t>14.4</t>
        </is>
      </c>
      <c r="J57" t="inlineStr">
        <is>
          <t>4.3600000000000003</t>
        </is>
      </c>
      <c r="K57" t="inlineStr">
        <is>
          <t>126</t>
        </is>
      </c>
      <c r="L57" t="inlineStr">
        <is>
          <t>80.12</t>
        </is>
      </c>
      <c r="M57" t="inlineStr">
        <is>
          <t>3.9</t>
        </is>
      </c>
      <c r="N57" t="inlineStr">
        <is>
          <t>240</t>
        </is>
      </c>
    </row>
    <row r="58">
      <c r="A58" t="inlineStr">
        <is>
          <t>761</t>
        </is>
      </c>
      <c r="B58" t="inlineStr">
        <is>
          <t>2RS</t>
        </is>
      </c>
      <c r="C58" t="inlineStr">
        <is>
          <t>TRAVELER</t>
        </is>
      </c>
      <c r="D58" t="inlineStr">
        <is>
          <t>2024-04-25T00:00:00</t>
        </is>
      </c>
      <c r="E58" t="inlineStr">
        <is>
          <t>2024-05-03T00:00:00</t>
        </is>
      </c>
      <c r="F58" t="inlineStr">
        <is>
          <t>82.81</t>
        </is>
      </c>
      <c r="G58" t="inlineStr">
        <is>
          <t>92.4</t>
        </is>
      </c>
      <c r="H58" t="inlineStr">
        <is>
          <t>286.18</t>
        </is>
      </c>
      <c r="I58" t="inlineStr">
        <is>
          <t>14.4</t>
        </is>
      </c>
      <c r="J58" t="inlineStr">
        <is>
          <t>4.47</t>
        </is>
      </c>
      <c r="K58" t="inlineStr">
        <is>
          <t>146</t>
        </is>
      </c>
      <c r="L58" t="inlineStr">
        <is>
          <t>82.38</t>
        </is>
      </c>
      <c r="M58" t="inlineStr">
        <is>
          <t>4.49</t>
        </is>
      </c>
      <c r="N58" t="inlineStr">
        <is>
          <t>171</t>
        </is>
      </c>
    </row>
    <row r="59">
      <c r="A59" t="inlineStr">
        <is>
          <t>762</t>
        </is>
      </c>
      <c r="B59" t="inlineStr">
        <is>
          <t>2RS</t>
        </is>
      </c>
      <c r="C59" t="inlineStr">
        <is>
          <t>TRAVELER</t>
        </is>
      </c>
      <c r="D59" t="inlineStr">
        <is>
          <t>2024-04-26T00:00:00</t>
        </is>
      </c>
      <c r="E59" t="inlineStr">
        <is>
          <t>2024-05-04T00:00:00</t>
        </is>
      </c>
      <c r="F59" t="inlineStr">
        <is>
          <t>82.88</t>
        </is>
      </c>
      <c r="G59" t="inlineStr">
        <is>
          <t>92.5</t>
        </is>
      </c>
      <c r="H59" t="inlineStr">
        <is>
          <t>285.76</t>
        </is>
      </c>
      <c r="I59" t="inlineStr">
        <is>
          <t>14.3</t>
        </is>
      </c>
      <c r="J59" t="inlineStr">
        <is>
          <t>4.4000000000000004</t>
        </is>
      </c>
      <c r="K59" t="inlineStr">
        <is>
          <t>146</t>
        </is>
      </c>
      <c r="L59" t="inlineStr">
        <is>
          <t>85.4</t>
        </is>
      </c>
      <c r="M59" t="inlineStr">
        <is>
          <t>4.08</t>
        </is>
      </c>
      <c r="N59" t="inlineStr">
        <is>
          <t>143</t>
        </is>
      </c>
    </row>
    <row r="60">
      <c r="A60" t="inlineStr">
        <is>
          <t>763</t>
        </is>
      </c>
      <c r="B60" t="inlineStr">
        <is>
          <t>2RS</t>
        </is>
      </c>
      <c r="C60" t="inlineStr">
        <is>
          <t>TRAVELER</t>
        </is>
      </c>
      <c r="D60" t="inlineStr">
        <is>
          <t>2024-04-28T00:00:00</t>
        </is>
      </c>
      <c r="E60" t="inlineStr">
        <is>
          <t>2024-05-06T00:00:00</t>
        </is>
      </c>
      <c r="F60" t="inlineStr">
        <is>
          <t>82.89</t>
        </is>
      </c>
      <c r="G60" t="inlineStr">
        <is>
          <t>92.9</t>
        </is>
      </c>
      <c r="H60" t="inlineStr">
        <is>
          <t>285.74</t>
        </is>
      </c>
      <c r="I60" t="inlineStr">
        <is>
          <t>14.5</t>
        </is>
      </c>
      <c r="J60" t="inlineStr">
        <is>
          <t>4.2</t>
        </is>
      </c>
      <c r="K60" t="inlineStr">
        <is>
          <t>138</t>
        </is>
      </c>
      <c r="L60" t="inlineStr">
        <is>
          <t>86.04</t>
        </is>
      </c>
      <c r="M60" t="inlineStr">
        <is>
          <t>4.2300000000000004</t>
        </is>
      </c>
      <c r="N60" t="inlineStr">
        <is>
          <t>161</t>
        </is>
      </c>
    </row>
    <row r="61">
      <c r="A61" t="inlineStr">
        <is>
          <t>764</t>
        </is>
      </c>
      <c r="B61" t="inlineStr">
        <is>
          <t>2RS</t>
        </is>
      </c>
      <c r="C61" t="inlineStr">
        <is>
          <t>TRAVELER</t>
        </is>
      </c>
      <c r="D61" t="inlineStr">
        <is>
          <t>2024-04-29T00:00:00</t>
        </is>
      </c>
      <c r="E61" t="inlineStr">
        <is>
          <t>2024-05-07T00:00:00</t>
        </is>
      </c>
      <c r="F61" t="inlineStr">
        <is>
          <t>83.4</t>
        </is>
      </c>
      <c r="G61" t="inlineStr">
        <is>
          <t>93.4</t>
        </is>
      </c>
      <c r="H61" t="inlineStr">
        <is>
          <t>286.26</t>
        </is>
      </c>
      <c r="I61" t="inlineStr">
        <is>
          <t>14.5</t>
        </is>
      </c>
      <c r="J61" t="inlineStr">
        <is>
          <t>4.26</t>
        </is>
      </c>
      <c r="K61" t="inlineStr">
        <is>
          <t>135</t>
        </is>
      </c>
      <c r="L61" t="inlineStr">
        <is>
          <t>84.46</t>
        </is>
      </c>
      <c r="M61" t="inlineStr">
        <is>
          <t>3.96</t>
        </is>
      </c>
      <c r="N61" t="inlineStr">
        <is>
          <t>126</t>
        </is>
      </c>
    </row>
    <row r="62">
      <c r="A62" t="inlineStr">
        <is>
          <t>765</t>
        </is>
      </c>
      <c r="B62" t="inlineStr">
        <is>
          <t>2RS</t>
        </is>
      </c>
      <c r="C62" t="inlineStr">
        <is>
          <t>TRAVELER</t>
        </is>
      </c>
      <c r="D62" t="inlineStr">
        <is>
          <t>2024-04-30T00:00:00</t>
        </is>
      </c>
      <c r="E62" t="inlineStr">
        <is>
          <t>2024-05-08T00:00:00</t>
        </is>
      </c>
      <c r="F62" t="inlineStr">
        <is>
          <t>83.33</t>
        </is>
      </c>
      <c r="G62" t="inlineStr">
        <is>
          <t>93.1</t>
        </is>
      </c>
      <c r="H62" t="inlineStr">
        <is>
          <t>285.33</t>
        </is>
      </c>
      <c r="I62" t="inlineStr">
        <is>
          <t>14.4</t>
        </is>
      </c>
      <c r="J62" t="inlineStr">
        <is>
          <t>4.3499999999999996</t>
        </is>
      </c>
      <c r="K62" t="inlineStr">
        <is>
          <t>123</t>
        </is>
      </c>
      <c r="L62" t="inlineStr">
        <is>
          <t>83.7</t>
        </is>
      </c>
      <c r="M62" t="inlineStr">
        <is>
          <t>4.0599999999999996</t>
        </is>
      </c>
      <c r="N62" t="inlineStr">
        <is>
          <t>181</t>
        </is>
      </c>
    </row>
    <row r="63">
      <c r="A63" t="inlineStr">
        <is>
          <t>766</t>
        </is>
      </c>
      <c r="B63" t="inlineStr">
        <is>
          <t>2RS</t>
        </is>
      </c>
      <c r="C63" t="inlineStr">
        <is>
          <t>TRAVELER</t>
        </is>
      </c>
      <c r="D63" t="inlineStr">
        <is>
          <t>2024-05-01T00:00:00</t>
        </is>
      </c>
      <c r="E63" t="inlineStr">
        <is>
          <t>2024-05-09T00:00:00</t>
        </is>
      </c>
      <c r="F63" t="inlineStr">
        <is>
          <t>83.17</t>
        </is>
      </c>
      <c r="G63" t="inlineStr">
        <is>
          <t>93.4</t>
        </is>
      </c>
      <c r="H63" t="inlineStr">
        <is>
          <t>287.01</t>
        </is>
      </c>
      <c r="I63" t="inlineStr">
        <is>
          <t>14.8</t>
        </is>
      </c>
      <c r="J63" t="inlineStr">
        <is>
          <t>4.3499999999999996</t>
        </is>
      </c>
      <c r="K63" t="inlineStr">
        <is>
          <t>128</t>
        </is>
      </c>
      <c r="L63" t="inlineStr">
        <is>
          <t>84.94</t>
        </is>
      </c>
      <c r="M63" t="inlineStr">
        <is>
          <t>4.0999999999999996</t>
        </is>
      </c>
      <c r="N63" t="inlineStr">
        <is>
          <t>180</t>
        </is>
      </c>
    </row>
    <row r="64">
      <c r="A64" t="inlineStr">
        <is>
          <t>767</t>
        </is>
      </c>
      <c r="B64" t="inlineStr">
        <is>
          <t>2RS</t>
        </is>
      </c>
      <c r="C64" t="inlineStr">
        <is>
          <t>TRAVELER</t>
        </is>
      </c>
      <c r="D64" t="inlineStr">
        <is>
          <t>2024-05-02T00:00:00</t>
        </is>
      </c>
      <c r="E64" t="inlineStr">
        <is>
          <t>2024-05-10T00:00:00</t>
        </is>
      </c>
      <c r="F64" t="inlineStr">
        <is>
          <t>83.33</t>
        </is>
      </c>
      <c r="G64" t="inlineStr">
        <is>
          <t>93.7</t>
        </is>
      </c>
      <c r="H64" t="inlineStr">
        <is>
          <t>285.91000000000003</t>
        </is>
      </c>
      <c r="I64" t="inlineStr">
        <is>
          <t>14.8</t>
        </is>
      </c>
      <c r="J64" t="inlineStr">
        <is>
          <t>4.24</t>
        </is>
      </c>
      <c r="K64" t="inlineStr">
        <is>
          <t>129</t>
        </is>
      </c>
      <c r="L64" t="inlineStr">
        <is>
          <t>84.02</t>
        </is>
      </c>
      <c r="M64" t="inlineStr">
        <is>
          <t>4.0999999999999996</t>
        </is>
      </c>
      <c r="N64" t="inlineStr">
        <is>
          <t>197</t>
        </is>
      </c>
    </row>
    <row r="65">
      <c r="A65" t="inlineStr">
        <is>
          <t>768</t>
        </is>
      </c>
      <c r="B65" t="inlineStr">
        <is>
          <t>2RS</t>
        </is>
      </c>
      <c r="C65" t="inlineStr">
        <is>
          <t>TRAVELER</t>
        </is>
      </c>
      <c r="D65" t="inlineStr">
        <is>
          <t>2024-05-03T00:00:00</t>
        </is>
      </c>
      <c r="E65" t="inlineStr">
        <is>
          <t>2024-05-11T00:00:00</t>
        </is>
      </c>
      <c r="F65" t="inlineStr">
        <is>
          <t>82.91</t>
        </is>
      </c>
      <c r="G65" t="inlineStr">
        <is>
          <t>93</t>
        </is>
      </c>
      <c r="H65" t="inlineStr">
        <is>
          <t>285.54000000000002</t>
        </is>
      </c>
      <c r="I65" t="inlineStr">
        <is>
          <t>14.6</t>
        </is>
      </c>
      <c r="J65" t="inlineStr">
        <is>
          <t>4.1900000000000004</t>
        </is>
      </c>
      <c r="K65" t="inlineStr">
        <is>
          <t>127</t>
        </is>
      </c>
      <c r="L65" t="inlineStr">
        <is>
          <t>86.8</t>
        </is>
      </c>
      <c r="M65" t="inlineStr">
        <is>
          <t>3.75</t>
        </is>
      </c>
      <c r="N65" t="inlineStr">
        <is>
          <t>164</t>
        </is>
      </c>
    </row>
    <row r="66">
      <c r="A66" t="inlineStr">
        <is>
          <t>769</t>
        </is>
      </c>
      <c r="B66" t="inlineStr">
        <is>
          <t>2RS</t>
        </is>
      </c>
      <c r="C66" t="inlineStr">
        <is>
          <t>TRAVELER</t>
        </is>
      </c>
      <c r="D66" t="inlineStr">
        <is>
          <t>2024-05-05T00:00:00</t>
        </is>
      </c>
      <c r="E66" t="inlineStr">
        <is>
          <t>2024-05-13T00:00:00</t>
        </is>
      </c>
      <c r="F66" t="inlineStr">
        <is>
          <t>83.12</t>
        </is>
      </c>
      <c r="G66" t="inlineStr">
        <is>
          <t>93.4</t>
        </is>
      </c>
      <c r="H66" t="inlineStr">
        <is>
          <t>287.70999999999998</t>
        </is>
      </c>
      <c r="I66" t="inlineStr">
        <is>
          <t>14.9</t>
        </is>
      </c>
      <c r="J66" t="inlineStr">
        <is>
          <t>4.4000000000000004</t>
        </is>
      </c>
      <c r="K66" t="inlineStr">
        <is>
          <t>118</t>
        </is>
      </c>
      <c r="L66" t="inlineStr">
        <is>
          <t>80.16</t>
        </is>
      </c>
      <c r="M66" t="inlineStr">
        <is>
          <t>3.8</t>
        </is>
      </c>
      <c r="N66" t="inlineStr">
        <is>
          <t>188</t>
        </is>
      </c>
    </row>
    <row r="67">
      <c r="A67" t="inlineStr">
        <is>
          <t>770</t>
        </is>
      </c>
      <c r="B67" t="inlineStr">
        <is>
          <t>2RS</t>
        </is>
      </c>
      <c r="C67" t="inlineStr">
        <is>
          <t>TRAVELER</t>
        </is>
      </c>
      <c r="D67" t="inlineStr">
        <is>
          <t>2024-05-06T00:00:00</t>
        </is>
      </c>
      <c r="E67" t="inlineStr">
        <is>
          <t>2024-05-14T00:00:00</t>
        </is>
      </c>
      <c r="F67" t="inlineStr">
        <is>
          <t>82.77</t>
        </is>
      </c>
      <c r="G67" t="inlineStr">
        <is>
          <t>93.1</t>
        </is>
      </c>
      <c r="H67" t="inlineStr">
        <is>
          <t>286</t>
        </is>
      </c>
      <c r="I67" t="inlineStr">
        <is>
          <t>14.8</t>
        </is>
      </c>
      <c r="J67" t="inlineStr">
        <is>
          <t>4.1900000000000004</t>
        </is>
      </c>
      <c r="K67" t="inlineStr">
        <is>
          <t>127</t>
        </is>
      </c>
      <c r="L67" t="inlineStr">
        <is>
          <t>86.8</t>
        </is>
      </c>
      <c r="M67" t="inlineStr">
        <is>
          <t>3.75</t>
        </is>
      </c>
      <c r="N67" t="inlineStr">
        <is>
          <t>164</t>
        </is>
      </c>
    </row>
    <row r="68">
      <c r="A68" t="inlineStr">
        <is>
          <t>771</t>
        </is>
      </c>
      <c r="B68" t="inlineStr">
        <is>
          <t>2RS</t>
        </is>
      </c>
      <c r="C68" t="inlineStr">
        <is>
          <t>TRAVELER</t>
        </is>
      </c>
      <c r="D68" t="inlineStr">
        <is>
          <t>2024-05-07T00:00:00</t>
        </is>
      </c>
      <c r="E68" t="inlineStr">
        <is>
          <t>2024-05-15T00:00:00</t>
        </is>
      </c>
      <c r="F68" t="inlineStr">
        <is>
          <t>83.44</t>
        </is>
      </c>
      <c r="G68" t="inlineStr">
        <is>
          <t>93.7</t>
        </is>
      </c>
      <c r="H68" t="inlineStr">
        <is>
          <t>285.82</t>
        </is>
      </c>
      <c r="I68" t="inlineStr">
        <is>
          <t>14.8</t>
        </is>
      </c>
      <c r="J68" t="inlineStr">
        <is>
          <t>4.37</t>
        </is>
      </c>
      <c r="K68" t="inlineStr">
        <is>
          <t>130</t>
        </is>
      </c>
      <c r="L68" t="inlineStr">
        <is>
          <t>83.44</t>
        </is>
      </c>
      <c r="M68" t="inlineStr">
        <is>
          <t>4.3</t>
        </is>
      </c>
      <c r="N68" t="inlineStr">
        <is>
          <t>238</t>
        </is>
      </c>
    </row>
    <row r="69">
      <c r="A69" t="inlineStr">
        <is>
          <t>772</t>
        </is>
      </c>
      <c r="B69" t="inlineStr">
        <is>
          <t>2RS</t>
        </is>
      </c>
      <c r="C69" t="inlineStr">
        <is>
          <t>TRAVELER</t>
        </is>
      </c>
      <c r="D69" t="inlineStr">
        <is>
          <t>2024-05-08T00:00:00</t>
        </is>
      </c>
      <c r="E69" t="inlineStr">
        <is>
          <t>2024-05-16T00:00:00</t>
        </is>
      </c>
      <c r="F69" t="inlineStr">
        <is>
          <t>83.65</t>
        </is>
      </c>
      <c r="G69" t="inlineStr">
        <is>
          <t>93.9</t>
        </is>
      </c>
      <c r="H69" t="inlineStr">
        <is>
          <t>286.08999999999997</t>
        </is>
      </c>
      <c r="I69" t="inlineStr">
        <is>
          <t>14.8</t>
        </is>
      </c>
      <c r="J69" t="inlineStr">
        <is>
          <t>4.37</t>
        </is>
      </c>
      <c r="K69" t="inlineStr">
        <is>
          <t>123</t>
        </is>
      </c>
      <c r="L69" t="inlineStr">
        <is>
          <t>82.7</t>
        </is>
      </c>
      <c r="M69" t="inlineStr">
        <is>
          <t>4</t>
        </is>
      </c>
      <c r="N69" t="inlineStr">
        <is>
          <t>248</t>
        </is>
      </c>
    </row>
    <row r="70">
      <c r="A70" t="inlineStr">
        <is>
          <t>773</t>
        </is>
      </c>
      <c r="B70" t="inlineStr">
        <is>
          <t>2RS</t>
        </is>
      </c>
      <c r="C70" t="inlineStr">
        <is>
          <t>TRAVELER</t>
        </is>
      </c>
      <c r="D70" t="inlineStr">
        <is>
          <t>2024-05-10T00:00:00</t>
        </is>
      </c>
      <c r="E70" t="inlineStr">
        <is>
          <t>2024-05-18T00:00:00</t>
        </is>
      </c>
      <c r="F70" t="inlineStr">
        <is>
          <t>83.29</t>
        </is>
      </c>
      <c r="G70" t="inlineStr">
        <is>
          <t>93.3</t>
        </is>
      </c>
      <c r="H70" t="inlineStr">
        <is>
          <t>286.2</t>
        </is>
      </c>
      <c r="I70" t="inlineStr">
        <is>
          <t>14.8</t>
        </is>
      </c>
      <c r="J70" t="inlineStr">
        <is>
          <t>4.53</t>
        </is>
      </c>
      <c r="K70" t="inlineStr">
        <is>
          <t>123</t>
        </is>
      </c>
      <c r="L70" t="inlineStr">
        <is>
          <t>84.34</t>
        </is>
      </c>
      <c r="M70" t="inlineStr">
        <is>
          <t>3.97</t>
        </is>
      </c>
      <c r="N70" t="inlineStr">
        <is>
          <t>237</t>
        </is>
      </c>
    </row>
    <row r="71">
      <c r="A71" t="inlineStr">
        <is>
          <t>774</t>
        </is>
      </c>
      <c r="B71" t="inlineStr">
        <is>
          <t>2RS</t>
        </is>
      </c>
      <c r="C71" t="inlineStr">
        <is>
          <t>TRAVELER</t>
        </is>
      </c>
      <c r="D71" t="inlineStr">
        <is>
          <t>2024-05-11T00:00:00</t>
        </is>
      </c>
      <c r="E71" t="inlineStr">
        <is>
          <t>2024-05-19T00:00:00</t>
        </is>
      </c>
      <c r="F71" t="inlineStr">
        <is>
          <t>83.05</t>
        </is>
      </c>
      <c r="G71" t="inlineStr">
        <is>
          <t>93.4</t>
        </is>
      </c>
      <c r="H71" t="inlineStr">
        <is>
          <t>286.02999999999997</t>
        </is>
      </c>
      <c r="I71" t="inlineStr">
        <is>
          <t>14.8</t>
        </is>
      </c>
      <c r="J71" t="inlineStr">
        <is>
          <t>4.22</t>
        </is>
      </c>
      <c r="K71" t="inlineStr">
        <is>
          <t>125</t>
        </is>
      </c>
      <c r="L71" t="inlineStr">
        <is>
          <t>86.8</t>
        </is>
      </c>
      <c r="M71" t="inlineStr">
        <is>
          <t>4.12</t>
        </is>
      </c>
      <c r="N71" t="inlineStr">
        <is>
          <t>198</t>
        </is>
      </c>
    </row>
    <row r="72">
      <c r="A72" t="inlineStr">
        <is>
          <t>775</t>
        </is>
      </c>
      <c r="B72" t="inlineStr">
        <is>
          <t>2RS</t>
        </is>
      </c>
      <c r="C72" t="inlineStr">
        <is>
          <t>TRAVELER</t>
        </is>
      </c>
      <c r="D72" t="inlineStr">
        <is>
          <t>2024-05-12T00:00:00</t>
        </is>
      </c>
      <c r="E72" t="inlineStr">
        <is>
          <t>2024-05-20T00:00:00</t>
        </is>
      </c>
      <c r="F72" t="inlineStr">
        <is>
          <t>83.53</t>
        </is>
      </c>
      <c r="G72" t="inlineStr">
        <is>
          <t>93.1</t>
        </is>
      </c>
      <c r="H72" t="inlineStr">
        <is>
          <t>281.45</t>
        </is>
      </c>
      <c r="I72" t="inlineStr">
        <is>
          <t>14.5</t>
        </is>
      </c>
      <c r="J72" t="inlineStr">
        <is>
          <t>4.6900000000000004</t>
        </is>
      </c>
      <c r="K72" t="inlineStr">
        <is>
          <t>127</t>
        </is>
      </c>
      <c r="L72" t="inlineStr">
        <is>
          <t>82.9</t>
        </is>
      </c>
      <c r="M72" t="inlineStr">
        <is>
          <t>4</t>
        </is>
      </c>
      <c r="N72" t="inlineStr">
        <is>
          <t>205</t>
        </is>
      </c>
    </row>
    <row r="73">
      <c r="A73" t="inlineStr">
        <is>
          <t>776</t>
        </is>
      </c>
      <c r="B73" t="inlineStr">
        <is>
          <t>2RS</t>
        </is>
      </c>
      <c r="C73" t="inlineStr">
        <is>
          <t>TRAVELER</t>
        </is>
      </c>
      <c r="D73" t="inlineStr">
        <is>
          <t>2024-05-13T00:00:00</t>
        </is>
      </c>
      <c r="E73" t="inlineStr">
        <is>
          <t>2024-05-21T00:00:00</t>
        </is>
      </c>
      <c r="F73" t="inlineStr">
        <is>
          <t>83.23</t>
        </is>
      </c>
      <c r="G73" t="inlineStr">
        <is>
          <t>93.8</t>
        </is>
      </c>
      <c r="H73" t="inlineStr">
        <is>
          <t>286.58999999999997</t>
        </is>
      </c>
      <c r="I73" t="inlineStr">
        <is>
          <t>15</t>
        </is>
      </c>
      <c r="J73" t="inlineStr">
        <is>
          <t>4.2300000000000004</t>
        </is>
      </c>
      <c r="K73" t="inlineStr">
        <is>
          <t>121</t>
        </is>
      </c>
      <c r="L73" t="inlineStr">
        <is>
          <t>81</t>
        </is>
      </c>
      <c r="M73" t="inlineStr">
        <is>
          <t>3.7</t>
        </is>
      </c>
      <c r="N73" t="inlineStr">
        <is>
          <t>266</t>
        </is>
      </c>
    </row>
    <row r="74">
      <c r="A74" t="inlineStr">
        <is>
          <t>777</t>
        </is>
      </c>
      <c r="B74" t="inlineStr">
        <is>
          <t>2RS</t>
        </is>
      </c>
      <c r="C74" t="inlineStr">
        <is>
          <t>TRAVELER</t>
        </is>
      </c>
      <c r="D74" t="inlineStr">
        <is>
          <t>2024-05-14T00:00:00</t>
        </is>
      </c>
      <c r="E74" t="inlineStr">
        <is>
          <t>2024-05-22T00:00:00</t>
        </is>
      </c>
      <c r="F74" t="inlineStr">
        <is>
          <t>82.67</t>
        </is>
      </c>
      <c r="G74" t="inlineStr">
        <is>
          <t>93.1</t>
        </is>
      </c>
      <c r="H74" t="inlineStr">
        <is>
          <t>286.58</t>
        </is>
      </c>
      <c r="I74" t="inlineStr">
        <is>
          <t>14.9</t>
        </is>
      </c>
      <c r="J74" t="inlineStr">
        <is>
          <t>4.2</t>
        </is>
      </c>
      <c r="K74" t="inlineStr"/>
      <c r="L74" t="inlineStr">
        <is>
          <t>73.61</t>
        </is>
      </c>
      <c r="M74" t="inlineStr"/>
      <c r="N74" t="inlineStr">
        <is>
          <t>405</t>
        </is>
      </c>
    </row>
    <row r="75">
      <c r="A75" t="inlineStr">
        <is>
          <t>778</t>
        </is>
      </c>
      <c r="B75" t="inlineStr">
        <is>
          <t>2RS</t>
        </is>
      </c>
      <c r="C75" t="inlineStr">
        <is>
          <t>TRAVELER</t>
        </is>
      </c>
      <c r="D75" t="inlineStr">
        <is>
          <t>2024-05-15T00:00:00</t>
        </is>
      </c>
      <c r="E75" t="inlineStr">
        <is>
          <t>2024-05-23T00:00:00</t>
        </is>
      </c>
      <c r="F75" t="inlineStr">
        <is>
          <t>83.11</t>
        </is>
      </c>
      <c r="G75" t="inlineStr">
        <is>
          <t>93.2</t>
        </is>
      </c>
      <c r="H75" t="inlineStr">
        <is>
          <t>286.47000000000003</t>
        </is>
      </c>
      <c r="I75" t="inlineStr">
        <is>
          <t>14.7</t>
        </is>
      </c>
      <c r="J75" t="inlineStr">
        <is>
          <t>4.3099999999999996</t>
        </is>
      </c>
      <c r="K75" t="inlineStr"/>
      <c r="L75" t="inlineStr">
        <is>
          <t>78.16</t>
        </is>
      </c>
      <c r="M75" t="inlineStr"/>
      <c r="N75" t="inlineStr">
        <is>
          <t>320</t>
        </is>
      </c>
    </row>
    <row r="76">
      <c r="A76" t="inlineStr">
        <is>
          <t>779</t>
        </is>
      </c>
      <c r="B76" t="inlineStr">
        <is>
          <t>2RS</t>
        </is>
      </c>
      <c r="C76" t="inlineStr">
        <is>
          <t>TRAVELER</t>
        </is>
      </c>
      <c r="D76" t="inlineStr">
        <is>
          <t>2024-05-16T00:00:00</t>
        </is>
      </c>
      <c r="E76" t="inlineStr">
        <is>
          <t>2024-05-24T00:00:00</t>
        </is>
      </c>
      <c r="F76" t="inlineStr">
        <is>
          <t>83.32</t>
        </is>
      </c>
      <c r="G76" t="inlineStr">
        <is>
          <t>93.4</t>
        </is>
      </c>
      <c r="H76" t="inlineStr">
        <is>
          <t>282.10000000000002</t>
        </is>
      </c>
      <c r="I76" t="inlineStr">
        <is>
          <t>14.5</t>
        </is>
      </c>
      <c r="J76" t="inlineStr">
        <is>
          <t>4.13</t>
        </is>
      </c>
      <c r="K76" t="inlineStr"/>
      <c r="L76" t="inlineStr">
        <is>
          <t>75.099999999999994</t>
        </is>
      </c>
      <c r="M76" t="inlineStr"/>
      <c r="N76" t="inlineStr">
        <is>
          <t>298</t>
        </is>
      </c>
    </row>
    <row r="77">
      <c r="A77" t="inlineStr">
        <is>
          <t>780</t>
        </is>
      </c>
      <c r="B77" t="inlineStr">
        <is>
          <t>IBON</t>
        </is>
      </c>
      <c r="C77" t="inlineStr">
        <is>
          <t>IBON</t>
        </is>
      </c>
      <c r="D77" t="inlineStr">
        <is>
          <t>2024-05-17T00:00:00</t>
        </is>
      </c>
      <c r="E77" t="inlineStr">
        <is>
          <t>2024-05-25T00:00:00</t>
        </is>
      </c>
      <c r="F77" t="inlineStr">
        <is>
          <t>83.33</t>
        </is>
      </c>
      <c r="G77" t="inlineStr">
        <is>
          <t>93.4</t>
        </is>
      </c>
      <c r="H77" t="inlineStr">
        <is>
          <t>282.55</t>
        </is>
      </c>
      <c r="I77" t="inlineStr">
        <is>
          <t>14.9</t>
        </is>
      </c>
      <c r="J77" t="inlineStr">
        <is>
          <t>4.6399999999999997</t>
        </is>
      </c>
      <c r="K77" t="inlineStr"/>
      <c r="L77" t="inlineStr">
        <is>
          <t>56.96</t>
        </is>
      </c>
      <c r="M77" t="inlineStr"/>
      <c r="N77" t="inlineStr">
        <is>
          <t>363</t>
        </is>
      </c>
    </row>
    <row r="78">
      <c r="A78" t="inlineStr">
        <is>
          <t>781</t>
        </is>
      </c>
      <c r="B78" t="inlineStr">
        <is>
          <t>IBON</t>
        </is>
      </c>
      <c r="C78" t="inlineStr">
        <is>
          <t>IBON</t>
        </is>
      </c>
      <c r="D78" t="inlineStr">
        <is>
          <t>2024-05-18T00:00:00</t>
        </is>
      </c>
      <c r="E78" t="inlineStr">
        <is>
          <t>2024-05-26T00:00:00</t>
        </is>
      </c>
      <c r="F78" t="inlineStr">
        <is>
          <t>83.08</t>
        </is>
      </c>
      <c r="G78" t="inlineStr">
        <is>
          <t>92.9</t>
        </is>
      </c>
      <c r="H78" t="inlineStr">
        <is>
          <t>282.33</t>
        </is>
      </c>
      <c r="I78" t="inlineStr">
        <is>
          <t>14.7</t>
        </is>
      </c>
      <c r="J78" t="inlineStr">
        <is>
          <t>4.59</t>
        </is>
      </c>
      <c r="K78" t="inlineStr"/>
      <c r="L78" t="inlineStr">
        <is>
          <t>52.5</t>
        </is>
      </c>
      <c r="M78" t="inlineStr"/>
      <c r="N78" t="inlineStr">
        <is>
          <t>414</t>
        </is>
      </c>
    </row>
    <row r="79">
      <c r="A79" t="inlineStr">
        <is>
          <t>782</t>
        </is>
      </c>
      <c r="B79" t="inlineStr">
        <is>
          <t>IBON</t>
        </is>
      </c>
      <c r="C79" t="inlineStr">
        <is>
          <t>IBON</t>
        </is>
      </c>
      <c r="D79" t="inlineStr">
        <is>
          <t>2024-05-19T00:00:00</t>
        </is>
      </c>
      <c r="E79" t="inlineStr">
        <is>
          <t>2024-05-27T00:00:00</t>
        </is>
      </c>
      <c r="F79" t="inlineStr">
        <is>
          <t>82.37</t>
        </is>
      </c>
      <c r="G79" t="inlineStr">
        <is>
          <t>92.2</t>
        </is>
      </c>
      <c r="H79" t="inlineStr">
        <is>
          <t>282.94</t>
        </is>
      </c>
      <c r="I79" t="inlineStr">
        <is>
          <t>14.5</t>
        </is>
      </c>
      <c r="J79" t="inlineStr">
        <is>
          <t>4.28</t>
        </is>
      </c>
      <c r="K79" t="inlineStr"/>
      <c r="L79" t="inlineStr">
        <is>
          <t>57</t>
        </is>
      </c>
      <c r="M79" t="inlineStr"/>
      <c r="N79" t="inlineStr">
        <is>
          <t>290</t>
        </is>
      </c>
    </row>
    <row r="80">
      <c r="A80" t="inlineStr">
        <is>
          <t>783</t>
        </is>
      </c>
      <c r="B80" t="inlineStr">
        <is>
          <t>2RS</t>
        </is>
      </c>
      <c r="C80" t="inlineStr">
        <is>
          <t>TRAVELER</t>
        </is>
      </c>
      <c r="D80" t="inlineStr">
        <is>
          <t>2024-05-21T00:00:00</t>
        </is>
      </c>
      <c r="E80" t="inlineStr">
        <is>
          <t>2024-05-29T00:00:00</t>
        </is>
      </c>
      <c r="F80" t="inlineStr">
        <is>
          <t>83.45</t>
        </is>
      </c>
      <c r="G80" t="inlineStr">
        <is>
          <t>93.4</t>
        </is>
      </c>
      <c r="H80" t="inlineStr">
        <is>
          <t>286.89</t>
        </is>
      </c>
      <c r="I80" t="inlineStr">
        <is>
          <t>14.4</t>
        </is>
      </c>
      <c r="J80" t="inlineStr">
        <is>
          <t>4.16</t>
        </is>
      </c>
      <c r="K80" t="inlineStr"/>
      <c r="L80" t="inlineStr">
        <is>
          <t>82.32</t>
        </is>
      </c>
      <c r="M80" t="inlineStr"/>
      <c r="N80" t="inlineStr">
        <is>
          <t>249</t>
        </is>
      </c>
    </row>
    <row r="81">
      <c r="A81" t="inlineStr">
        <is>
          <t>784</t>
        </is>
      </c>
      <c r="B81" t="inlineStr">
        <is>
          <t>2RS</t>
        </is>
      </c>
      <c r="C81" t="inlineStr">
        <is>
          <t>TRAVELER</t>
        </is>
      </c>
      <c r="D81" t="inlineStr">
        <is>
          <t>2024-05-22T00:00:00</t>
        </is>
      </c>
      <c r="E81" t="inlineStr">
        <is>
          <t>2024-05-30T00:00:00</t>
        </is>
      </c>
      <c r="F81" t="inlineStr">
        <is>
          <t>83.37</t>
        </is>
      </c>
      <c r="G81" t="inlineStr"/>
      <c r="H81" t="inlineStr">
        <is>
          <t>285.60000000000002</t>
        </is>
      </c>
      <c r="I81" t="inlineStr">
        <is>
          <t>14.5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785</t>
        </is>
      </c>
      <c r="B82" t="inlineStr">
        <is>
          <t>2RS</t>
        </is>
      </c>
      <c r="C82" t="inlineStr">
        <is>
          <t>TRAVELER</t>
        </is>
      </c>
      <c r="D82" t="inlineStr">
        <is>
          <t>2024-05-23T00:00:00</t>
        </is>
      </c>
      <c r="E82" t="inlineStr">
        <is>
          <t>2024-05-31T00:00:00</t>
        </is>
      </c>
      <c r="F82" t="inlineStr">
        <is>
          <t>83.32</t>
        </is>
      </c>
      <c r="G82" t="inlineStr">
        <is>
          <t>93.5</t>
        </is>
      </c>
      <c r="H82" t="inlineStr">
        <is>
          <t>287.75</t>
        </is>
      </c>
      <c r="I82" t="inlineStr">
        <is>
          <t>14.5</t>
        </is>
      </c>
      <c r="J82" t="inlineStr">
        <is>
          <t>4.0199999999999996</t>
        </is>
      </c>
      <c r="K82" t="inlineStr"/>
      <c r="L82" t="inlineStr">
        <is>
          <t>81.239999999999995</t>
        </is>
      </c>
      <c r="M82" t="inlineStr"/>
      <c r="N82" t="inlineStr">
        <is>
          <t>376</t>
        </is>
      </c>
    </row>
    <row r="83">
      <c r="A83" t="inlineStr">
        <is>
          <t>786</t>
        </is>
      </c>
      <c r="B83" t="inlineStr">
        <is>
          <t>2RS</t>
        </is>
      </c>
      <c r="C83" t="inlineStr">
        <is>
          <t>TRAVELER</t>
        </is>
      </c>
      <c r="D83" t="inlineStr">
        <is>
          <t>2024-05-24T00:00:00</t>
        </is>
      </c>
      <c r="E83" t="inlineStr">
        <is>
          <t>2024-06-01T00:00:00</t>
        </is>
      </c>
      <c r="F83" t="inlineStr">
        <is>
          <t>82.98</t>
        </is>
      </c>
      <c r="G83" t="inlineStr">
        <is>
          <t>93.6</t>
        </is>
      </c>
      <c r="H83" t="inlineStr">
        <is>
          <t>286.91000000000003</t>
        </is>
      </c>
      <c r="I83" t="inlineStr">
        <is>
          <t>14.9</t>
        </is>
      </c>
      <c r="J83" t="inlineStr">
        <is>
          <t>4.0599999999999996</t>
        </is>
      </c>
      <c r="K83" t="inlineStr"/>
      <c r="L83" t="inlineStr">
        <is>
          <t>82.21</t>
        </is>
      </c>
      <c r="M83" t="inlineStr"/>
      <c r="N83" t="inlineStr">
        <is>
          <t>307</t>
        </is>
      </c>
    </row>
    <row r="84">
      <c r="A84" t="inlineStr">
        <is>
          <t>787</t>
        </is>
      </c>
      <c r="B84" t="inlineStr">
        <is>
          <t>2RS</t>
        </is>
      </c>
      <c r="C84" t="inlineStr">
        <is>
          <t>TRAVELER</t>
        </is>
      </c>
      <c r="D84" t="inlineStr">
        <is>
          <t>2024-05-25T00:00:00</t>
        </is>
      </c>
      <c r="E84" t="inlineStr">
        <is>
          <t>2024-06-02T00:00:00</t>
        </is>
      </c>
      <c r="F84" t="inlineStr">
        <is>
          <t>82.82</t>
        </is>
      </c>
      <c r="G84" t="inlineStr">
        <is>
          <t>93.4</t>
        </is>
      </c>
      <c r="H84" t="inlineStr">
        <is>
          <t>286.5</t>
        </is>
      </c>
      <c r="I84" t="inlineStr">
        <is>
          <t>14.9</t>
        </is>
      </c>
      <c r="J84" t="inlineStr">
        <is>
          <t>4</t>
        </is>
      </c>
      <c r="K84" t="inlineStr"/>
      <c r="L84" t="inlineStr">
        <is>
          <t>83.3</t>
        </is>
      </c>
      <c r="M84" t="inlineStr"/>
      <c r="N84" t="inlineStr">
        <is>
          <t>362</t>
        </is>
      </c>
    </row>
    <row r="85">
      <c r="A85" t="inlineStr">
        <is>
          <t>788</t>
        </is>
      </c>
      <c r="B85" t="inlineStr">
        <is>
          <t>2RS</t>
        </is>
      </c>
      <c r="C85" t="inlineStr">
        <is>
          <t>TRAVELER</t>
        </is>
      </c>
      <c r="D85" t="inlineStr">
        <is>
          <t>2024-05-26T00:00:00</t>
        </is>
      </c>
      <c r="E85" t="inlineStr">
        <is>
          <t>2024-06-03T00:00:00</t>
        </is>
      </c>
      <c r="F85" t="inlineStr">
        <is>
          <t>83.47</t>
        </is>
      </c>
      <c r="G85" t="inlineStr">
        <is>
          <t>93.6</t>
        </is>
      </c>
      <c r="H85" t="inlineStr">
        <is>
          <t>287.02999999999997</t>
        </is>
      </c>
      <c r="I85" t="inlineStr">
        <is>
          <t>14.6</t>
        </is>
      </c>
      <c r="J85" t="inlineStr">
        <is>
          <t>4.2699999999999996</t>
        </is>
      </c>
      <c r="K85" t="inlineStr"/>
      <c r="L85" t="inlineStr">
        <is>
          <t>82.8</t>
        </is>
      </c>
      <c r="M85" t="inlineStr"/>
      <c r="N85" t="inlineStr">
        <is>
          <t>289</t>
        </is>
      </c>
    </row>
    <row r="86">
      <c r="A86" t="inlineStr">
        <is>
          <t>789</t>
        </is>
      </c>
      <c r="B86" t="inlineStr">
        <is>
          <t>2RS</t>
        </is>
      </c>
      <c r="C86" t="inlineStr">
        <is>
          <t>TRAVELER</t>
        </is>
      </c>
      <c r="D86" t="inlineStr">
        <is>
          <t>2024-05-27T00:00:00</t>
        </is>
      </c>
      <c r="E86" t="inlineStr">
        <is>
          <t>2024-06-04T00:00:00</t>
        </is>
      </c>
      <c r="F86" t="inlineStr">
        <is>
          <t>84.8</t>
        </is>
      </c>
      <c r="G86" t="inlineStr">
        <is>
          <t>94.5</t>
        </is>
      </c>
      <c r="H86" t="inlineStr">
        <is>
          <t>286.74</t>
        </is>
      </c>
      <c r="I86" t="inlineStr">
        <is>
          <t>14</t>
        </is>
      </c>
      <c r="J86" t="inlineStr">
        <is>
          <t>4.16</t>
        </is>
      </c>
      <c r="K86" t="inlineStr"/>
      <c r="L86" t="inlineStr">
        <is>
          <t>82.74</t>
        </is>
      </c>
      <c r="M86" t="inlineStr"/>
      <c r="N86" t="inlineStr">
        <is>
          <t>283</t>
        </is>
      </c>
    </row>
    <row r="87">
      <c r="A87" t="inlineStr">
        <is>
          <t>790</t>
        </is>
      </c>
      <c r="B87" t="inlineStr">
        <is>
          <t>2RS</t>
        </is>
      </c>
      <c r="C87" t="inlineStr">
        <is>
          <t>TRAVELER</t>
        </is>
      </c>
      <c r="D87" t="inlineStr">
        <is>
          <t>2024-05-29T00:00:00</t>
        </is>
      </c>
      <c r="E87" t="inlineStr">
        <is>
          <t>2024-06-06T00:00:00</t>
        </is>
      </c>
      <c r="F87" t="inlineStr">
        <is>
          <t>83.67</t>
        </is>
      </c>
      <c r="G87" t="inlineStr">
        <is>
          <t>94</t>
        </is>
      </c>
      <c r="H87" t="inlineStr">
        <is>
          <t>286.63</t>
        </is>
      </c>
      <c r="I87" t="inlineStr">
        <is>
          <t>14.3</t>
        </is>
      </c>
      <c r="J87" t="inlineStr">
        <is>
          <t>3.75</t>
        </is>
      </c>
      <c r="K87" t="inlineStr">
        <is>
          <t>130</t>
        </is>
      </c>
      <c r="L87" t="inlineStr">
        <is>
          <t>81</t>
        </is>
      </c>
      <c r="M87" t="inlineStr">
        <is>
          <t>4.0999999999999996</t>
        </is>
      </c>
      <c r="N87" t="inlineStr">
        <is>
          <t>273</t>
        </is>
      </c>
    </row>
    <row r="88">
      <c r="A88" t="inlineStr">
        <is>
          <t>791</t>
        </is>
      </c>
      <c r="B88" t="inlineStr">
        <is>
          <t>2RS</t>
        </is>
      </c>
      <c r="C88" t="inlineStr">
        <is>
          <t>TRAVELER</t>
        </is>
      </c>
      <c r="D88" t="inlineStr">
        <is>
          <t>2024-05-30T00:00:00</t>
        </is>
      </c>
      <c r="E88" t="inlineStr">
        <is>
          <t>2024-06-07T00:00:00</t>
        </is>
      </c>
      <c r="F88" t="inlineStr">
        <is>
          <t>84.77</t>
        </is>
      </c>
      <c r="G88" t="inlineStr">
        <is>
          <t>94.3</t>
        </is>
      </c>
      <c r="H88" t="inlineStr">
        <is>
          <t>286.74</t>
        </is>
      </c>
      <c r="I88" t="inlineStr">
        <is>
          <t>13.9</t>
        </is>
      </c>
      <c r="J88" t="inlineStr">
        <is>
          <t>4.2300000000000004</t>
        </is>
      </c>
      <c r="K88" t="inlineStr">
        <is>
          <t>132</t>
        </is>
      </c>
      <c r="L88" t="inlineStr">
        <is>
          <t>81.58</t>
        </is>
      </c>
      <c r="M88" t="inlineStr">
        <is>
          <t>3.79</t>
        </is>
      </c>
      <c r="N88" t="inlineStr">
        <is>
          <t>338</t>
        </is>
      </c>
    </row>
    <row r="89">
      <c r="A89" t="inlineStr">
        <is>
          <t>792</t>
        </is>
      </c>
      <c r="B89" t="inlineStr">
        <is>
          <t>2RS</t>
        </is>
      </c>
      <c r="C89" t="inlineStr">
        <is>
          <t>TRAVELER</t>
        </is>
      </c>
      <c r="D89" t="inlineStr">
        <is>
          <t>2024-05-31T00:00:00</t>
        </is>
      </c>
      <c r="E89" t="inlineStr">
        <is>
          <t>2024-06-08T00:00:00</t>
        </is>
      </c>
      <c r="F89" t="inlineStr">
        <is>
          <t>84.16</t>
        </is>
      </c>
      <c r="G89" t="inlineStr">
        <is>
          <t>94.2</t>
        </is>
      </c>
      <c r="H89" t="inlineStr">
        <is>
          <t>286.19</t>
        </is>
      </c>
      <c r="I89" t="inlineStr">
        <is>
          <t>14.5</t>
        </is>
      </c>
      <c r="J89" t="inlineStr">
        <is>
          <t>4.28</t>
        </is>
      </c>
      <c r="K89" t="inlineStr">
        <is>
          <t>145</t>
        </is>
      </c>
      <c r="L89" t="inlineStr">
        <is>
          <t>85</t>
        </is>
      </c>
      <c r="M89" t="inlineStr">
        <is>
          <t>3.8</t>
        </is>
      </c>
      <c r="N89" t="inlineStr">
        <is>
          <t>192</t>
        </is>
      </c>
    </row>
    <row r="90">
      <c r="A90" t="inlineStr">
        <is>
          <t>793</t>
        </is>
      </c>
      <c r="B90" t="inlineStr">
        <is>
          <t>IBON</t>
        </is>
      </c>
      <c r="C90" t="inlineStr">
        <is>
          <t>IBON</t>
        </is>
      </c>
      <c r="D90" t="inlineStr">
        <is>
          <t>2024-06-01T00:00:00</t>
        </is>
      </c>
      <c r="E90" t="inlineStr">
        <is>
          <t>2024-06-09T00:00:00</t>
        </is>
      </c>
      <c r="F90" t="inlineStr">
        <is>
          <t>83.55</t>
        </is>
      </c>
      <c r="G90" t="inlineStr">
        <is>
          <t>93.2</t>
        </is>
      </c>
      <c r="H90" t="inlineStr">
        <is>
          <t>282.63</t>
        </is>
      </c>
      <c r="I90" t="inlineStr">
        <is>
          <t>14.2</t>
        </is>
      </c>
      <c r="J90" t="inlineStr">
        <is>
          <t>4.33</t>
        </is>
      </c>
      <c r="K90" t="inlineStr">
        <is>
          <t>157</t>
        </is>
      </c>
      <c r="L90" t="inlineStr">
        <is>
          <t>54.2</t>
        </is>
      </c>
      <c r="M90" t="inlineStr">
        <is>
          <t>5.3</t>
        </is>
      </c>
      <c r="N90" t="inlineStr">
        <is>
          <t>400</t>
        </is>
      </c>
    </row>
    <row r="91">
      <c r="A91" t="inlineStr">
        <is>
          <t>794</t>
        </is>
      </c>
      <c r="B91" t="inlineStr">
        <is>
          <t>IBON</t>
        </is>
      </c>
      <c r="C91" t="inlineStr">
        <is>
          <t>IBON</t>
        </is>
      </c>
      <c r="D91" t="inlineStr">
        <is>
          <t>2024-06-02T00:00:00</t>
        </is>
      </c>
      <c r="E91" t="inlineStr">
        <is>
          <t>2024-06-10T00:00:00</t>
        </is>
      </c>
      <c r="F91" t="inlineStr">
        <is>
          <t>83.4</t>
        </is>
      </c>
      <c r="G91" t="inlineStr">
        <is>
          <t>93</t>
        </is>
      </c>
      <c r="H91" t="inlineStr">
        <is>
          <t>283.19</t>
        </is>
      </c>
      <c r="I91" t="inlineStr">
        <is>
          <t>14.3</t>
        </is>
      </c>
      <c r="J91" t="inlineStr">
        <is>
          <t>4.46</t>
        </is>
      </c>
      <c r="K91" t="inlineStr">
        <is>
          <t>163</t>
        </is>
      </c>
      <c r="L91" t="inlineStr">
        <is>
          <t>52</t>
        </is>
      </c>
      <c r="M91" t="inlineStr">
        <is>
          <t>5.8</t>
        </is>
      </c>
      <c r="N91" t="inlineStr">
        <is>
          <t>333</t>
        </is>
      </c>
    </row>
    <row r="92">
      <c r="A92" t="inlineStr">
        <is>
          <t>795</t>
        </is>
      </c>
      <c r="B92" t="inlineStr">
        <is>
          <t>IBON</t>
        </is>
      </c>
      <c r="C92" t="inlineStr">
        <is>
          <t>IBON</t>
        </is>
      </c>
      <c r="D92" t="inlineStr">
        <is>
          <t>2024-06-03T00:00:00</t>
        </is>
      </c>
      <c r="E92" t="inlineStr">
        <is>
          <t>2024-06-11T00:00:00</t>
        </is>
      </c>
      <c r="F92" t="inlineStr">
        <is>
          <t>82.64</t>
        </is>
      </c>
      <c r="G92" t="inlineStr">
        <is>
          <t>92.3</t>
        </is>
      </c>
      <c r="H92" t="inlineStr">
        <is>
          <t>283.10000000000002</t>
        </is>
      </c>
      <c r="I92" t="inlineStr">
        <is>
          <t>14.4</t>
        </is>
      </c>
      <c r="J92" t="inlineStr">
        <is>
          <t>4.38</t>
        </is>
      </c>
      <c r="K92" t="inlineStr">
        <is>
          <t>167</t>
        </is>
      </c>
      <c r="L92" t="inlineStr">
        <is>
          <t>55.8</t>
        </is>
      </c>
      <c r="M92" t="inlineStr">
        <is>
          <t>5.6</t>
        </is>
      </c>
      <c r="N92" t="inlineStr">
        <is>
          <t>402</t>
        </is>
      </c>
    </row>
    <row r="93">
      <c r="A93" t="inlineStr">
        <is>
          <t>796</t>
        </is>
      </c>
      <c r="B93" t="inlineStr">
        <is>
          <t>2RS</t>
        </is>
      </c>
      <c r="C93" t="inlineStr">
        <is>
          <t>TRAVELER</t>
        </is>
      </c>
      <c r="D93" t="inlineStr">
        <is>
          <t>2024-06-05T00:00:00</t>
        </is>
      </c>
      <c r="E93" t="inlineStr">
        <is>
          <t>2024-06-13T00:00:00</t>
        </is>
      </c>
      <c r="F93" t="inlineStr">
        <is>
          <t>84.17</t>
        </is>
      </c>
      <c r="G93" t="inlineStr">
        <is>
          <t>93.6</t>
        </is>
      </c>
      <c r="H93" t="inlineStr">
        <is>
          <t>287.57</t>
        </is>
      </c>
      <c r="I93" t="inlineStr">
        <is>
          <t>14</t>
        </is>
      </c>
      <c r="J93" t="inlineStr">
        <is>
          <t>4.34</t>
        </is>
      </c>
      <c r="K93" t="inlineStr">
        <is>
          <t>118</t>
        </is>
      </c>
      <c r="L93" t="inlineStr">
        <is>
          <t>83.12</t>
        </is>
      </c>
      <c r="M93" t="inlineStr">
        <is>
          <t>3.16</t>
        </is>
      </c>
      <c r="N93" t="inlineStr">
        <is>
          <t>252</t>
        </is>
      </c>
    </row>
    <row r="94">
      <c r="A94" t="inlineStr">
        <is>
          <t>797</t>
        </is>
      </c>
      <c r="B94" t="inlineStr">
        <is>
          <t>2RS</t>
        </is>
      </c>
      <c r="C94" t="inlineStr">
        <is>
          <t>TRAVELER</t>
        </is>
      </c>
      <c r="D94" t="inlineStr">
        <is>
          <t>2024-06-06T00:00:00</t>
        </is>
      </c>
      <c r="E94" t="inlineStr">
        <is>
          <t>2024-06-14T00:00:00</t>
        </is>
      </c>
      <c r="F94" t="inlineStr">
        <is>
          <t>84.19</t>
        </is>
      </c>
      <c r="G94" t="inlineStr">
        <is>
          <t>93.8</t>
        </is>
      </c>
      <c r="H94" t="inlineStr">
        <is>
          <t>287.44</t>
        </is>
      </c>
      <c r="I94" t="inlineStr">
        <is>
          <t>14.1</t>
        </is>
      </c>
      <c r="J94" t="inlineStr">
        <is>
          <t>4.2699999999999996</t>
        </is>
      </c>
      <c r="K94" t="inlineStr">
        <is>
          <t>117</t>
        </is>
      </c>
      <c r="L94" t="inlineStr">
        <is>
          <t>79.34</t>
        </is>
      </c>
      <c r="M94" t="inlineStr">
        <is>
          <t>3.19</t>
        </is>
      </c>
      <c r="N94" t="inlineStr">
        <is>
          <t>305</t>
        </is>
      </c>
    </row>
    <row r="95">
      <c r="A95" t="inlineStr">
        <is>
          <t>798</t>
        </is>
      </c>
      <c r="B95" t="inlineStr">
        <is>
          <t>2RS</t>
        </is>
      </c>
      <c r="C95" t="inlineStr">
        <is>
          <t>TRAVELER</t>
        </is>
      </c>
      <c r="D95" t="inlineStr">
        <is>
          <t>2024-06-07T00:00:00</t>
        </is>
      </c>
      <c r="E95" t="inlineStr">
        <is>
          <t>2024-06-15T00:00:00</t>
        </is>
      </c>
      <c r="F95" t="inlineStr">
        <is>
          <t>84.01</t>
        </is>
      </c>
      <c r="G95" t="inlineStr">
        <is>
          <t>93.7</t>
        </is>
      </c>
      <c r="H95" t="inlineStr">
        <is>
          <t>286.73</t>
        </is>
      </c>
      <c r="I95" t="inlineStr">
        <is>
          <t>14.3</t>
        </is>
      </c>
      <c r="J95" t="inlineStr">
        <is>
          <t>4.45</t>
        </is>
      </c>
      <c r="K95" t="inlineStr">
        <is>
          <t>119</t>
        </is>
      </c>
      <c r="L95" t="inlineStr">
        <is>
          <t>79.7</t>
        </is>
      </c>
      <c r="M95" t="inlineStr">
        <is>
          <t>3.25</t>
        </is>
      </c>
      <c r="N95" t="inlineStr">
        <is>
          <t>313</t>
        </is>
      </c>
    </row>
    <row r="96">
      <c r="A96" t="inlineStr">
        <is>
          <t>799</t>
        </is>
      </c>
      <c r="B96" t="inlineStr">
        <is>
          <t>2RS</t>
        </is>
      </c>
      <c r="C96" t="inlineStr">
        <is>
          <t>TRAVELER</t>
        </is>
      </c>
      <c r="D96" t="inlineStr">
        <is>
          <t>2024-06-08T00:00:00</t>
        </is>
      </c>
      <c r="E96" t="inlineStr">
        <is>
          <t>2024-06-16T00:00:00</t>
        </is>
      </c>
      <c r="F96" t="inlineStr">
        <is>
          <t>83.55</t>
        </is>
      </c>
      <c r="G96" t="inlineStr">
        <is>
          <t>93.4</t>
        </is>
      </c>
      <c r="H96" t="inlineStr">
        <is>
          <t>286.89</t>
        </is>
      </c>
      <c r="I96" t="inlineStr">
        <is>
          <t>14.1</t>
        </is>
      </c>
      <c r="J96" t="inlineStr">
        <is>
          <t>3.94</t>
        </is>
      </c>
      <c r="K96" t="inlineStr">
        <is>
          <t>118</t>
        </is>
      </c>
      <c r="L96" t="inlineStr">
        <is>
          <t>82.94</t>
        </is>
      </c>
      <c r="M96" t="inlineStr">
        <is>
          <t>3.6</t>
        </is>
      </c>
      <c r="N96" t="inlineStr">
        <is>
          <t>297</t>
        </is>
      </c>
    </row>
    <row r="97">
      <c r="A97" t="inlineStr">
        <is>
          <t>800</t>
        </is>
      </c>
      <c r="B97" t="inlineStr">
        <is>
          <t>2RS</t>
        </is>
      </c>
      <c r="C97" t="inlineStr">
        <is>
          <t>TRAVELER</t>
        </is>
      </c>
      <c r="D97" t="inlineStr">
        <is>
          <t>2024-06-09T00:00:00</t>
        </is>
      </c>
      <c r="E97" t="inlineStr">
        <is>
          <t>2024-06-17T00:00:00</t>
        </is>
      </c>
      <c r="F97" t="inlineStr">
        <is>
          <t>83.36</t>
        </is>
      </c>
      <c r="G97" t="inlineStr">
        <is>
          <t>93.1</t>
        </is>
      </c>
      <c r="H97" t="inlineStr">
        <is>
          <t>287.56</t>
        </is>
      </c>
      <c r="I97" t="inlineStr">
        <is>
          <t>13.9</t>
        </is>
      </c>
      <c r="J97" t="inlineStr">
        <is>
          <t>3.81</t>
        </is>
      </c>
      <c r="K97" t="inlineStr">
        <is>
          <t>120</t>
        </is>
      </c>
      <c r="L97" t="inlineStr">
        <is>
          <t>90.8</t>
        </is>
      </c>
      <c r="M97" t="inlineStr">
        <is>
          <t>3.4</t>
        </is>
      </c>
      <c r="N97" t="inlineStr">
        <is>
          <t>177</t>
        </is>
      </c>
    </row>
    <row r="98">
      <c r="A98" t="inlineStr">
        <is>
          <t>801</t>
        </is>
      </c>
      <c r="B98" t="inlineStr">
        <is>
          <t>2RS</t>
        </is>
      </c>
      <c r="C98" t="inlineStr">
        <is>
          <t>TRAVELER</t>
        </is>
      </c>
      <c r="D98" t="inlineStr">
        <is>
          <t>2024-06-10T00:00:00</t>
        </is>
      </c>
      <c r="E98" t="inlineStr">
        <is>
          <t>2024-06-18T00:00:00</t>
        </is>
      </c>
      <c r="F98" t="inlineStr">
        <is>
          <t>83.35</t>
        </is>
      </c>
      <c r="G98" t="inlineStr">
        <is>
          <t>93.5</t>
        </is>
      </c>
      <c r="H98" t="inlineStr">
        <is>
          <t>287.43</t>
        </is>
      </c>
      <c r="I98" t="inlineStr">
        <is>
          <t>14.3</t>
        </is>
      </c>
      <c r="J98" t="inlineStr">
        <is>
          <t>3.91</t>
        </is>
      </c>
      <c r="K98" t="inlineStr">
        <is>
          <t>121</t>
        </is>
      </c>
      <c r="L98" t="inlineStr">
        <is>
          <t>85.62</t>
        </is>
      </c>
      <c r="M98" t="inlineStr">
        <is>
          <t>3.65</t>
        </is>
      </c>
      <c r="N98" t="inlineStr">
        <is>
          <t>225</t>
        </is>
      </c>
    </row>
    <row r="99">
      <c r="A99" t="inlineStr">
        <is>
          <t>802</t>
        </is>
      </c>
      <c r="B99" t="inlineStr">
        <is>
          <t>2RS</t>
        </is>
      </c>
      <c r="C99" t="inlineStr">
        <is>
          <t>TRAVELER</t>
        </is>
      </c>
      <c r="D99" t="inlineStr">
        <is>
          <t>2024-06-12T00:00:00</t>
        </is>
      </c>
      <c r="E99" t="inlineStr">
        <is>
          <t>2024-06-20T00:00:00</t>
        </is>
      </c>
      <c r="F99" t="inlineStr">
        <is>
          <t>83.61</t>
        </is>
      </c>
      <c r="G99" t="inlineStr">
        <is>
          <t>93.5</t>
        </is>
      </c>
      <c r="H99" t="inlineStr">
        <is>
          <t>286.54000000000002</t>
        </is>
      </c>
      <c r="I99" t="inlineStr">
        <is>
          <t>14</t>
        </is>
      </c>
      <c r="J99" t="inlineStr">
        <is>
          <t>3.82</t>
        </is>
      </c>
      <c r="K99" t="inlineStr">
        <is>
          <t>119</t>
        </is>
      </c>
      <c r="L99" t="inlineStr">
        <is>
          <t>86.84</t>
        </is>
      </c>
      <c r="M99" t="inlineStr">
        <is>
          <t>3.2</t>
        </is>
      </c>
      <c r="N99" t="inlineStr">
        <is>
          <t>220</t>
        </is>
      </c>
    </row>
    <row r="100">
      <c r="A100" t="inlineStr">
        <is>
          <t>803</t>
        </is>
      </c>
      <c r="B100" t="inlineStr">
        <is>
          <t>2RS</t>
        </is>
      </c>
      <c r="C100" t="inlineStr">
        <is>
          <t>TRAVELER</t>
        </is>
      </c>
      <c r="D100" t="inlineStr">
        <is>
          <t>2024-06-13T00:00:00</t>
        </is>
      </c>
      <c r="E100" t="inlineStr">
        <is>
          <t>2024-06-21T00:00:00</t>
        </is>
      </c>
      <c r="F100" t="inlineStr">
        <is>
          <t>83.42</t>
        </is>
      </c>
      <c r="G100" t="inlineStr">
        <is>
          <t>93.4</t>
        </is>
      </c>
      <c r="H100" t="inlineStr">
        <is>
          <t>286.7</t>
        </is>
      </c>
      <c r="I100" t="inlineStr">
        <is>
          <t>14.2</t>
        </is>
      </c>
      <c r="J100" t="inlineStr">
        <is>
          <t>3.9</t>
        </is>
      </c>
      <c r="K100" t="inlineStr">
        <is>
          <t>126</t>
        </is>
      </c>
      <c r="L100" t="inlineStr">
        <is>
          <t>85.6</t>
        </is>
      </c>
      <c r="M100" t="inlineStr">
        <is>
          <t>3.7</t>
        </is>
      </c>
      <c r="N100" t="inlineStr">
        <is>
          <t>232</t>
        </is>
      </c>
    </row>
    <row r="101">
      <c r="A101" t="inlineStr">
        <is>
          <t>804</t>
        </is>
      </c>
      <c r="B101" t="inlineStr">
        <is>
          <t>2RS</t>
        </is>
      </c>
      <c r="C101" t="inlineStr">
        <is>
          <t>TRAVELER</t>
        </is>
      </c>
      <c r="D101" t="inlineStr">
        <is>
          <t>2024-06-14T00:00:00</t>
        </is>
      </c>
      <c r="E101" t="inlineStr">
        <is>
          <t>2024-06-22T00:00:00</t>
        </is>
      </c>
      <c r="F101" t="inlineStr">
        <is>
          <t>84.12</t>
        </is>
      </c>
      <c r="G101" t="inlineStr">
        <is>
          <t>93.8</t>
        </is>
      </c>
      <c r="H101" t="inlineStr">
        <is>
          <t>286.76</t>
        </is>
      </c>
      <c r="I101" t="inlineStr">
        <is>
          <t>14.1</t>
        </is>
      </c>
      <c r="J101" t="inlineStr">
        <is>
          <t>4.1900000000000004</t>
        </is>
      </c>
      <c r="K101" t="inlineStr">
        <is>
          <t>131</t>
        </is>
      </c>
      <c r="L101" t="inlineStr">
        <is>
          <t>85.4</t>
        </is>
      </c>
      <c r="M101" t="inlineStr">
        <is>
          <t>3.4</t>
        </is>
      </c>
      <c r="N101" t="inlineStr">
        <is>
          <t>195</t>
        </is>
      </c>
    </row>
    <row r="102">
      <c r="A102" t="inlineStr">
        <is>
          <t>805</t>
        </is>
      </c>
      <c r="B102" t="inlineStr">
        <is>
          <t>2RS</t>
        </is>
      </c>
      <c r="C102" t="inlineStr">
        <is>
          <t>TRAVELER</t>
        </is>
      </c>
      <c r="D102" t="inlineStr">
        <is>
          <t>2024-06-15T00:00:00</t>
        </is>
      </c>
      <c r="E102" t="inlineStr">
        <is>
          <t>2024-06-23T00:00:00</t>
        </is>
      </c>
      <c r="F102" t="inlineStr">
        <is>
          <t>83.47</t>
        </is>
      </c>
      <c r="G102" t="inlineStr">
        <is>
          <t>92.9</t>
        </is>
      </c>
      <c r="H102" t="inlineStr">
        <is>
          <t>287.35000000000002</t>
        </is>
      </c>
      <c r="I102" t="inlineStr">
        <is>
          <t>14.1</t>
        </is>
      </c>
      <c r="J102" t="inlineStr">
        <is>
          <t>4.42</t>
        </is>
      </c>
      <c r="K102" t="inlineStr">
        <is>
          <t>156</t>
        </is>
      </c>
      <c r="L102" t="inlineStr">
        <is>
          <t>84.1</t>
        </is>
      </c>
      <c r="M102" t="inlineStr">
        <is>
          <t>4.28</t>
        </is>
      </c>
      <c r="N102" t="inlineStr">
        <is>
          <t>179</t>
        </is>
      </c>
    </row>
    <row r="103">
      <c r="A103" t="inlineStr">
        <is>
          <t>806</t>
        </is>
      </c>
      <c r="B103" t="inlineStr">
        <is>
          <t>2RS</t>
        </is>
      </c>
      <c r="C103" t="inlineStr">
        <is>
          <t>TRAVELER</t>
        </is>
      </c>
      <c r="D103" t="inlineStr">
        <is>
          <t>2024-06-16T00:00:00</t>
        </is>
      </c>
      <c r="E103" t="inlineStr">
        <is>
          <t>2024-06-24T00:00:00</t>
        </is>
      </c>
      <c r="F103" t="inlineStr">
        <is>
          <t>83.25</t>
        </is>
      </c>
      <c r="G103" t="inlineStr">
        <is>
          <t>92.3</t>
        </is>
      </c>
      <c r="H103" t="inlineStr">
        <is>
          <t>287.39999999999998</t>
        </is>
      </c>
      <c r="I103" t="inlineStr">
        <is>
          <t>13.8</t>
        </is>
      </c>
      <c r="J103" t="inlineStr">
        <is>
          <t>4.43</t>
        </is>
      </c>
      <c r="K103" t="inlineStr">
        <is>
          <t>148</t>
        </is>
      </c>
      <c r="L103" t="inlineStr">
        <is>
          <t>88.54</t>
        </is>
      </c>
      <c r="M103" t="inlineStr">
        <is>
          <t>3.9</t>
        </is>
      </c>
      <c r="N103" t="inlineStr">
        <is>
          <t>145</t>
        </is>
      </c>
    </row>
    <row r="104">
      <c r="A104" t="inlineStr">
        <is>
          <t>807</t>
        </is>
      </c>
      <c r="B104" t="inlineStr">
        <is>
          <t>2RS</t>
        </is>
      </c>
      <c r="C104" t="inlineStr">
        <is>
          <t>TRAVELER</t>
        </is>
      </c>
      <c r="D104" t="inlineStr">
        <is>
          <t>2024-06-17T00:00:00</t>
        </is>
      </c>
      <c r="E104" t="inlineStr">
        <is>
          <t>2024-06-25T00:00:00</t>
        </is>
      </c>
      <c r="F104" t="inlineStr">
        <is>
          <t>83.25</t>
        </is>
      </c>
      <c r="G104" t="inlineStr">
        <is>
          <t>92.8</t>
        </is>
      </c>
      <c r="H104" t="inlineStr">
        <is>
          <t>287.36</t>
        </is>
      </c>
      <c r="I104" t="inlineStr">
        <is>
          <t>14</t>
        </is>
      </c>
      <c r="J104" t="inlineStr">
        <is>
          <t>4.12</t>
        </is>
      </c>
      <c r="K104" t="inlineStr">
        <is>
          <t>140</t>
        </is>
      </c>
      <c r="L104" t="inlineStr">
        <is>
          <t>86.88</t>
        </is>
      </c>
      <c r="M104" t="inlineStr">
        <is>
          <t>3.9</t>
        </is>
      </c>
      <c r="N104" t="inlineStr">
        <is>
          <t>183</t>
        </is>
      </c>
    </row>
    <row r="105">
      <c r="A105" t="inlineStr">
        <is>
          <t>808</t>
        </is>
      </c>
      <c r="B105" t="inlineStr">
        <is>
          <t>2RS</t>
        </is>
      </c>
      <c r="C105" t="inlineStr">
        <is>
          <t>TRAVELER</t>
        </is>
      </c>
      <c r="D105" t="inlineStr">
        <is>
          <t>2024-06-19T00:00:00</t>
        </is>
      </c>
      <c r="E105" t="inlineStr">
        <is>
          <t>2024-06-27T00:00:00</t>
        </is>
      </c>
      <c r="F105" t="inlineStr">
        <is>
          <t>84.63</t>
        </is>
      </c>
      <c r="G105" t="inlineStr">
        <is>
          <t>94</t>
        </is>
      </c>
      <c r="H105" t="inlineStr">
        <is>
          <t>287.24</t>
        </is>
      </c>
      <c r="I105" t="inlineStr">
        <is>
          <t>14</t>
        </is>
      </c>
      <c r="J105" t="inlineStr">
        <is>
          <t>4.49</t>
        </is>
      </c>
      <c r="K105" t="inlineStr">
        <is>
          <t>121</t>
        </is>
      </c>
      <c r="L105" t="inlineStr">
        <is>
          <t>83.3</t>
        </is>
      </c>
      <c r="M105" t="inlineStr">
        <is>
          <t>3.4</t>
        </is>
      </c>
      <c r="N105" t="inlineStr">
        <is>
          <t>257</t>
        </is>
      </c>
    </row>
    <row r="106">
      <c r="A106" t="inlineStr">
        <is>
          <t>809</t>
        </is>
      </c>
      <c r="B106" t="inlineStr">
        <is>
          <t>2RS</t>
        </is>
      </c>
      <c r="C106" t="inlineStr">
        <is>
          <t>TRAVELER</t>
        </is>
      </c>
      <c r="D106" t="inlineStr">
        <is>
          <t>2024-06-20T00:00:00</t>
        </is>
      </c>
      <c r="E106" t="inlineStr">
        <is>
          <t>2024-06-28T00:00:00</t>
        </is>
      </c>
      <c r="F106" t="inlineStr">
        <is>
          <t>84.54</t>
        </is>
      </c>
      <c r="G106" t="inlineStr">
        <is>
          <t>93.9</t>
        </is>
      </c>
      <c r="H106" t="inlineStr">
        <is>
          <t>287.11</t>
        </is>
      </c>
      <c r="I106" t="inlineStr">
        <is>
          <t>14</t>
        </is>
      </c>
      <c r="J106" t="inlineStr">
        <is>
          <t>4.46</t>
        </is>
      </c>
      <c r="K106" t="inlineStr">
        <is>
          <t>130</t>
        </is>
      </c>
      <c r="L106" t="inlineStr">
        <is>
          <t>83.52</t>
        </is>
      </c>
      <c r="M106" t="inlineStr">
        <is>
          <t>3.7</t>
        </is>
      </c>
      <c r="N106" t="inlineStr">
        <is>
          <t>240</t>
        </is>
      </c>
    </row>
    <row r="107">
      <c r="A107" t="inlineStr">
        <is>
          <t>810</t>
        </is>
      </c>
      <c r="B107" t="inlineStr">
        <is>
          <t>2RS</t>
        </is>
      </c>
      <c r="C107" t="inlineStr">
        <is>
          <t>TRAVELER</t>
        </is>
      </c>
      <c r="D107" t="inlineStr">
        <is>
          <t>2024-06-21T00:00:00</t>
        </is>
      </c>
      <c r="E107" t="inlineStr">
        <is>
          <t>2024-06-29T00:00:00</t>
        </is>
      </c>
      <c r="F107" t="inlineStr">
        <is>
          <t>83.81</t>
        </is>
      </c>
      <c r="G107" t="inlineStr">
        <is>
          <t>93.9</t>
        </is>
      </c>
      <c r="H107" t="inlineStr">
        <is>
          <t>286.52</t>
        </is>
      </c>
      <c r="I107" t="inlineStr">
        <is>
          <t>14.7</t>
        </is>
      </c>
      <c r="J107" t="inlineStr">
        <is>
          <t>4.4000000000000004</t>
        </is>
      </c>
      <c r="K107" t="inlineStr">
        <is>
          <t>126</t>
        </is>
      </c>
      <c r="L107" t="inlineStr">
        <is>
          <t>82.7</t>
        </is>
      </c>
      <c r="M107" t="inlineStr">
        <is>
          <t>3.8</t>
        </is>
      </c>
      <c r="N107" t="inlineStr">
        <is>
          <t>205</t>
        </is>
      </c>
    </row>
    <row r="108">
      <c r="A108" t="inlineStr">
        <is>
          <t>811</t>
        </is>
      </c>
      <c r="B108" t="inlineStr">
        <is>
          <t>2RS</t>
        </is>
      </c>
      <c r="C108" t="inlineStr">
        <is>
          <t>TRAVELER</t>
        </is>
      </c>
      <c r="D108" t="inlineStr">
        <is>
          <t>2024-06-22T00:00:00</t>
        </is>
      </c>
      <c r="E108" t="inlineStr">
        <is>
          <t>2024-06-30T00:00:00</t>
        </is>
      </c>
      <c r="F108" t="inlineStr">
        <is>
          <t>83.04</t>
        </is>
      </c>
      <c r="G108" t="inlineStr">
        <is>
          <t>92.4</t>
        </is>
      </c>
      <c r="H108" t="inlineStr">
        <is>
          <t>287.2</t>
        </is>
      </c>
      <c r="I108" t="inlineStr">
        <is>
          <t>14.4</t>
        </is>
      </c>
      <c r="J108" t="inlineStr">
        <is>
          <t>4.74</t>
        </is>
      </c>
      <c r="K108" t="inlineStr">
        <is>
          <t>139</t>
        </is>
      </c>
      <c r="L108" t="inlineStr">
        <is>
          <t>82.84</t>
        </is>
      </c>
      <c r="M108" t="inlineStr">
        <is>
          <t>4.2</t>
        </is>
      </c>
      <c r="N108" t="inlineStr">
        <is>
          <t>189</t>
        </is>
      </c>
    </row>
    <row r="109">
      <c r="A109" t="inlineStr">
        <is>
          <t>812</t>
        </is>
      </c>
      <c r="B109" t="inlineStr">
        <is>
          <t>2RS</t>
        </is>
      </c>
      <c r="C109" t="inlineStr">
        <is>
          <t>TRAVELER</t>
        </is>
      </c>
      <c r="D109" t="inlineStr">
        <is>
          <t>2024-06-23T00:00:00</t>
        </is>
      </c>
      <c r="E109" t="inlineStr">
        <is>
          <t>2024-07-01T00:00:00</t>
        </is>
      </c>
      <c r="F109" t="inlineStr">
        <is>
          <t>82.81</t>
        </is>
      </c>
      <c r="G109" t="inlineStr">
        <is>
          <t>92.9</t>
        </is>
      </c>
      <c r="H109" t="inlineStr">
        <is>
          <t>286.51</t>
        </is>
      </c>
      <c r="I109" t="inlineStr">
        <is>
          <t>14.7</t>
        </is>
      </c>
      <c r="J109" t="inlineStr">
        <is>
          <t>4.2699999999999996</t>
        </is>
      </c>
      <c r="K109" t="inlineStr">
        <is>
          <t>137</t>
        </is>
      </c>
      <c r="L109" t="inlineStr">
        <is>
          <t>86.82</t>
        </is>
      </c>
      <c r="M109" t="inlineStr">
        <is>
          <t>3.7</t>
        </is>
      </c>
      <c r="N109" t="inlineStr">
        <is>
          <t>216</t>
        </is>
      </c>
    </row>
    <row r="110">
      <c r="A110" t="inlineStr">
        <is>
          <t>813</t>
        </is>
      </c>
      <c r="B110" t="inlineStr">
        <is>
          <t>2RS</t>
        </is>
      </c>
      <c r="C110" t="inlineStr">
        <is>
          <t>TRAVELER</t>
        </is>
      </c>
      <c r="D110" t="inlineStr">
        <is>
          <t>2024-06-25T00:00:00</t>
        </is>
      </c>
      <c r="E110" t="inlineStr">
        <is>
          <t>2024-07-03T00:00:00</t>
        </is>
      </c>
      <c r="F110" t="inlineStr">
        <is>
          <t>83.08</t>
        </is>
      </c>
      <c r="G110" t="inlineStr">
        <is>
          <t>93.1</t>
        </is>
      </c>
      <c r="H110" t="inlineStr">
        <is>
          <t>286.37</t>
        </is>
      </c>
      <c r="I110" t="inlineStr">
        <is>
          <t>14.6</t>
        </is>
      </c>
      <c r="J110" t="inlineStr">
        <is>
          <t>4.26</t>
        </is>
      </c>
      <c r="K110" t="inlineStr">
        <is>
          <t>127</t>
        </is>
      </c>
      <c r="L110" t="inlineStr">
        <is>
          <t>79.62</t>
        </is>
      </c>
      <c r="M110" t="inlineStr">
        <is>
          <t>3.58</t>
        </is>
      </c>
      <c r="N110" t="inlineStr">
        <is>
          <t>297</t>
        </is>
      </c>
    </row>
    <row r="111">
      <c r="A111" t="inlineStr">
        <is>
          <t>814</t>
        </is>
      </c>
      <c r="B111" t="inlineStr">
        <is>
          <t>2RS</t>
        </is>
      </c>
      <c r="C111" t="inlineStr">
        <is>
          <t>TRAVELER</t>
        </is>
      </c>
      <c r="D111" t="inlineStr">
        <is>
          <t>2024-06-26T00:00:00</t>
        </is>
      </c>
      <c r="E111" t="inlineStr">
        <is>
          <t>2024-07-04T00:00:00</t>
        </is>
      </c>
      <c r="F111" t="inlineStr">
        <is>
          <t>83.39</t>
        </is>
      </c>
      <c r="G111" t="inlineStr">
        <is>
          <t>93.2</t>
        </is>
      </c>
      <c r="H111" t="inlineStr">
        <is>
          <t>286.18</t>
        </is>
      </c>
      <c r="I111" t="inlineStr">
        <is>
          <t>14.4</t>
        </is>
      </c>
      <c r="J111" t="inlineStr">
        <is>
          <t>4.29</t>
        </is>
      </c>
      <c r="K111" t="inlineStr">
        <is>
          <t>123</t>
        </is>
      </c>
      <c r="L111" t="inlineStr">
        <is>
          <t>83.92</t>
        </is>
      </c>
      <c r="M111" t="inlineStr">
        <is>
          <t>3.7</t>
        </is>
      </c>
      <c r="N111" t="inlineStr">
        <is>
          <t>208</t>
        </is>
      </c>
    </row>
    <row r="112">
      <c r="A112" t="inlineStr">
        <is>
          <t>815</t>
        </is>
      </c>
      <c r="B112" t="inlineStr">
        <is>
          <t>2RS</t>
        </is>
      </c>
      <c r="C112" t="inlineStr">
        <is>
          <t>TRAVELER</t>
        </is>
      </c>
      <c r="D112" t="inlineStr">
        <is>
          <t>2024-06-27T00:00:00</t>
        </is>
      </c>
      <c r="E112" t="inlineStr">
        <is>
          <t>2024-07-05T00:00:00</t>
        </is>
      </c>
      <c r="F112" t="inlineStr">
        <is>
          <t>83.92</t>
        </is>
      </c>
      <c r="G112" t="inlineStr">
        <is>
          <t>94</t>
        </is>
      </c>
      <c r="H112" t="inlineStr">
        <is>
          <t>287.85000000000002</t>
        </is>
      </c>
      <c r="I112" t="inlineStr">
        <is>
          <t>14.5</t>
        </is>
      </c>
      <c r="J112" t="inlineStr">
        <is>
          <t>4.28</t>
        </is>
      </c>
      <c r="K112" t="inlineStr">
        <is>
          <t>122</t>
        </is>
      </c>
      <c r="L112" t="inlineStr">
        <is>
          <t>84.5</t>
        </is>
      </c>
      <c r="M112" t="inlineStr">
        <is>
          <t>3.89</t>
        </is>
      </c>
      <c r="N112" t="inlineStr">
        <is>
          <t>225</t>
        </is>
      </c>
    </row>
    <row r="113">
      <c r="A113" t="inlineStr">
        <is>
          <t>816</t>
        </is>
      </c>
      <c r="B113" t="inlineStr">
        <is>
          <t>2RS</t>
        </is>
      </c>
      <c r="C113" t="inlineStr">
        <is>
          <t>TRAVELER</t>
        </is>
      </c>
      <c r="D113" t="inlineStr">
        <is>
          <t>2024-06-28T00:00:00</t>
        </is>
      </c>
      <c r="E113" t="inlineStr">
        <is>
          <t>2024-07-06T00:00:00</t>
        </is>
      </c>
      <c r="F113" t="inlineStr">
        <is>
          <t>82.19</t>
        </is>
      </c>
      <c r="G113" t="inlineStr">
        <is>
          <t>92.2</t>
        </is>
      </c>
      <c r="H113" t="inlineStr">
        <is>
          <t>287.08</t>
        </is>
      </c>
      <c r="I113" t="inlineStr">
        <is>
          <t>14.7</t>
        </is>
      </c>
      <c r="J113" t="inlineStr">
        <is>
          <t>4.28</t>
        </is>
      </c>
      <c r="K113" t="inlineStr">
        <is>
          <t>140</t>
        </is>
      </c>
      <c r="L113" t="inlineStr">
        <is>
          <t>87.03</t>
        </is>
      </c>
      <c r="M113" t="inlineStr">
        <is>
          <t>4.4000000000000004</t>
        </is>
      </c>
      <c r="N113" t="inlineStr">
        <is>
          <t>166</t>
        </is>
      </c>
    </row>
    <row r="114">
      <c r="A114" t="inlineStr">
        <is>
          <t>817</t>
        </is>
      </c>
      <c r="B114" t="inlineStr">
        <is>
          <t>2RS</t>
        </is>
      </c>
      <c r="C114" t="inlineStr">
        <is>
          <t>TRAVELER</t>
        </is>
      </c>
      <c r="D114" t="inlineStr">
        <is>
          <t>2024-06-29T00:00:00</t>
        </is>
      </c>
      <c r="E114" t="inlineStr">
        <is>
          <t>2024-07-07T00:00:00</t>
        </is>
      </c>
      <c r="F114" t="inlineStr">
        <is>
          <t>82.67</t>
        </is>
      </c>
      <c r="G114" t="inlineStr">
        <is>
          <t>92.3</t>
        </is>
      </c>
      <c r="H114" t="inlineStr">
        <is>
          <t>290.27999999999997</t>
        </is>
      </c>
      <c r="I114" t="inlineStr">
        <is>
          <t>14.6</t>
        </is>
      </c>
      <c r="J114" t="inlineStr">
        <is>
          <t>4.63</t>
        </is>
      </c>
      <c r="K114" t="inlineStr">
        <is>
          <t>136</t>
        </is>
      </c>
      <c r="L114" t="inlineStr">
        <is>
          <t>78.430000000000007</t>
        </is>
      </c>
      <c r="M114" t="inlineStr">
        <is>
          <t>4.3</t>
        </is>
      </c>
      <c r="N114" t="inlineStr">
        <is>
          <t>288</t>
        </is>
      </c>
    </row>
    <row r="115">
      <c r="A115" t="inlineStr">
        <is>
          <t>818</t>
        </is>
      </c>
      <c r="B115" t="inlineStr">
        <is>
          <t>2RS</t>
        </is>
      </c>
      <c r="C115" t="inlineStr">
        <is>
          <t>TRAVELER</t>
        </is>
      </c>
      <c r="D115" t="inlineStr">
        <is>
          <t>2024-07-01T00:00:00</t>
        </is>
      </c>
      <c r="E115" t="inlineStr">
        <is>
          <t>2024-07-09T00:00:00</t>
        </is>
      </c>
      <c r="F115" t="inlineStr">
        <is>
          <t>83.68</t>
        </is>
      </c>
      <c r="G115" t="inlineStr">
        <is>
          <t>93.5</t>
        </is>
      </c>
      <c r="H115" t="inlineStr">
        <is>
          <t>286.86</t>
        </is>
      </c>
      <c r="I115" t="inlineStr">
        <is>
          <t>14.7</t>
        </is>
      </c>
      <c r="J115" t="inlineStr">
        <is>
          <t>4.6399999999999997</t>
        </is>
      </c>
      <c r="K115" t="inlineStr">
        <is>
          <t>158</t>
        </is>
      </c>
      <c r="L115" t="inlineStr">
        <is>
          <t>76.41</t>
        </is>
      </c>
      <c r="M115" t="inlineStr">
        <is>
          <t>3.98</t>
        </is>
      </c>
      <c r="N115" t="inlineStr">
        <is>
          <t>376</t>
        </is>
      </c>
    </row>
    <row r="116">
      <c r="A116" t="inlineStr">
        <is>
          <t>819</t>
        </is>
      </c>
      <c r="B116" t="inlineStr">
        <is>
          <t>2RS</t>
        </is>
      </c>
      <c r="C116" t="inlineStr">
        <is>
          <t>TRAVELER</t>
        </is>
      </c>
      <c r="D116" t="inlineStr">
        <is>
          <t>2024-07-02T00:00:00</t>
        </is>
      </c>
      <c r="E116" t="inlineStr">
        <is>
          <t>2024-07-10T00:00:00</t>
        </is>
      </c>
      <c r="F116" t="inlineStr">
        <is>
          <t>84.19</t>
        </is>
      </c>
      <c r="G116" t="inlineStr">
        <is>
          <t>95.2</t>
        </is>
      </c>
      <c r="H116" t="inlineStr">
        <is>
          <t>285.91000000000003</t>
        </is>
      </c>
      <c r="I116" t="inlineStr">
        <is>
          <t>14.8</t>
        </is>
      </c>
      <c r="J116" t="inlineStr">
        <is>
          <t>3.67</t>
        </is>
      </c>
      <c r="K116" t="inlineStr">
        <is>
          <t>119</t>
        </is>
      </c>
      <c r="L116" t="inlineStr">
        <is>
          <t>66.72</t>
        </is>
      </c>
      <c r="M116" t="inlineStr">
        <is>
          <t>3.71</t>
        </is>
      </c>
      <c r="N116" t="inlineStr">
        <is>
          <t>610</t>
        </is>
      </c>
    </row>
    <row r="117">
      <c r="A117" t="inlineStr">
        <is>
          <t>820</t>
        </is>
      </c>
      <c r="B117" t="inlineStr">
        <is>
          <t>2RS</t>
        </is>
      </c>
      <c r="C117" t="inlineStr">
        <is>
          <t>TRAVELER</t>
        </is>
      </c>
      <c r="D117" t="inlineStr">
        <is>
          <t>2024-07-04T00:00:00</t>
        </is>
      </c>
      <c r="E117" t="inlineStr">
        <is>
          <t>2024-07-12T00:00:00</t>
        </is>
      </c>
      <c r="F117" t="inlineStr">
        <is>
          <t>83.98</t>
        </is>
      </c>
      <c r="G117" t="inlineStr">
        <is>
          <t>94.1</t>
        </is>
      </c>
      <c r="H117" t="inlineStr">
        <is>
          <t>286.12</t>
        </is>
      </c>
      <c r="I117" t="inlineStr">
        <is>
          <t>14.6</t>
        </is>
      </c>
      <c r="J117" t="inlineStr">
        <is>
          <t>4.3</t>
        </is>
      </c>
      <c r="K117" t="inlineStr">
        <is>
          <t>122</t>
        </is>
      </c>
      <c r="L117" t="inlineStr">
        <is>
          <t>79.099999999999994</t>
        </is>
      </c>
      <c r="M117" t="inlineStr">
        <is>
          <t>3.6</t>
        </is>
      </c>
      <c r="N117" t="inlineStr">
        <is>
          <t>333</t>
        </is>
      </c>
    </row>
    <row r="118">
      <c r="A118" t="inlineStr">
        <is>
          <t>821</t>
        </is>
      </c>
      <c r="B118" t="inlineStr">
        <is>
          <t>2RS</t>
        </is>
      </c>
      <c r="C118" t="inlineStr">
        <is>
          <t>TRAVELER</t>
        </is>
      </c>
      <c r="D118" t="inlineStr">
        <is>
          <t>2024-07-05T00:00:00</t>
        </is>
      </c>
      <c r="E118" t="inlineStr">
        <is>
          <t>2024-07-13T00:00:00</t>
        </is>
      </c>
      <c r="F118" t="inlineStr">
        <is>
          <t>83.94</t>
        </is>
      </c>
      <c r="G118" t="inlineStr">
        <is>
          <t>94.4</t>
        </is>
      </c>
      <c r="H118" t="inlineStr">
        <is>
          <t>287.11</t>
        </is>
      </c>
      <c r="I118" t="inlineStr">
        <is>
          <t>15.3</t>
        </is>
      </c>
      <c r="J118" t="inlineStr">
        <is>
          <t>4.72</t>
        </is>
      </c>
      <c r="K118" t="inlineStr">
        <is>
          <t>136</t>
        </is>
      </c>
      <c r="L118" t="inlineStr">
        <is>
          <t>80.540000000000006</t>
        </is>
      </c>
      <c r="M118" t="inlineStr">
        <is>
          <t>3.86</t>
        </is>
      </c>
      <c r="N118" t="inlineStr">
        <is>
          <t>214</t>
        </is>
      </c>
    </row>
    <row r="119">
      <c r="A119" t="inlineStr">
        <is>
          <t>822</t>
        </is>
      </c>
      <c r="B119" t="inlineStr">
        <is>
          <t>IBON</t>
        </is>
      </c>
      <c r="C119" t="inlineStr">
        <is>
          <t>IBON</t>
        </is>
      </c>
      <c r="D119" t="inlineStr">
        <is>
          <t>2024-07-06T00:00:00</t>
        </is>
      </c>
      <c r="E119" t="inlineStr">
        <is>
          <t>2024-07-14T00:00:00</t>
        </is>
      </c>
      <c r="F119" t="inlineStr">
        <is>
          <t>82.95</t>
        </is>
      </c>
      <c r="G119" t="inlineStr">
        <is>
          <t>93.3</t>
        </is>
      </c>
      <c r="H119" t="inlineStr">
        <is>
          <t>282.43</t>
        </is>
      </c>
      <c r="I119" t="inlineStr">
        <is>
          <t>15.3</t>
        </is>
      </c>
      <c r="J119" t="inlineStr">
        <is>
          <t>4.72</t>
        </is>
      </c>
      <c r="K119" t="inlineStr">
        <is>
          <t>143</t>
        </is>
      </c>
      <c r="L119" t="inlineStr">
        <is>
          <t>51.2</t>
        </is>
      </c>
      <c r="M119" t="inlineStr">
        <is>
          <t>5.2</t>
        </is>
      </c>
      <c r="N119" t="inlineStr">
        <is>
          <t>534</t>
        </is>
      </c>
    </row>
    <row r="120">
      <c r="A120" t="inlineStr">
        <is>
          <t>823</t>
        </is>
      </c>
      <c r="B120" t="inlineStr">
        <is>
          <t>IBON</t>
        </is>
      </c>
      <c r="C120" t="inlineStr">
        <is>
          <t>IBON</t>
        </is>
      </c>
      <c r="D120" t="inlineStr">
        <is>
          <t>2024-07-06T00:00:00</t>
        </is>
      </c>
      <c r="E120" t="inlineStr">
        <is>
          <t>2024-07-14T00:00:00</t>
        </is>
      </c>
      <c r="F120" t="inlineStr">
        <is>
          <t>83.03</t>
        </is>
      </c>
      <c r="G120" t="inlineStr">
        <is>
          <t>93.5</t>
        </is>
      </c>
      <c r="H120" t="inlineStr">
        <is>
          <t>282.43</t>
        </is>
      </c>
      <c r="I120" t="inlineStr">
        <is>
          <t>15.3</t>
        </is>
      </c>
      <c r="J120" t="inlineStr">
        <is>
          <t>4.6500000000000004</t>
        </is>
      </c>
      <c r="K120" t="inlineStr">
        <is>
          <t>164</t>
        </is>
      </c>
      <c r="L120" t="inlineStr">
        <is>
          <t>52.5</t>
        </is>
      </c>
      <c r="M120" t="inlineStr">
        <is>
          <t>5.8</t>
        </is>
      </c>
      <c r="N120" t="inlineStr">
        <is>
          <t>399</t>
        </is>
      </c>
    </row>
    <row r="121">
      <c r="A121" t="inlineStr">
        <is>
          <t>824</t>
        </is>
      </c>
      <c r="B121" t="inlineStr">
        <is>
          <t>IBON</t>
        </is>
      </c>
      <c r="C121" t="inlineStr">
        <is>
          <t>IBON</t>
        </is>
      </c>
      <c r="D121" t="inlineStr">
        <is>
          <t>2024-07-08T00:00:00</t>
        </is>
      </c>
      <c r="E121" t="inlineStr">
        <is>
          <t>2024-07-16T00:00:00</t>
        </is>
      </c>
      <c r="F121" t="inlineStr">
        <is>
          <t>83.76</t>
        </is>
      </c>
      <c r="G121" t="inlineStr">
        <is>
          <t>93.3</t>
        </is>
      </c>
      <c r="H121" t="inlineStr">
        <is>
          <t>282.39</t>
        </is>
      </c>
      <c r="I121" t="inlineStr">
        <is>
          <t>14.6</t>
        </is>
      </c>
      <c r="J121" t="inlineStr">
        <is>
          <t>4.9000000000000004</t>
        </is>
      </c>
      <c r="K121" t="inlineStr">
        <is>
          <t>140</t>
        </is>
      </c>
      <c r="L121" t="inlineStr">
        <is>
          <t>50</t>
        </is>
      </c>
      <c r="M121" t="inlineStr">
        <is>
          <t>5.0999999999999996</t>
        </is>
      </c>
      <c r="N121" t="inlineStr">
        <is>
          <t>465</t>
        </is>
      </c>
    </row>
    <row r="122">
      <c r="A122" t="inlineStr">
        <is>
          <t>825</t>
        </is>
      </c>
      <c r="B122" t="inlineStr">
        <is>
          <t>2RS</t>
        </is>
      </c>
      <c r="C122" t="inlineStr">
        <is>
          <t>TRAVELER</t>
        </is>
      </c>
      <c r="D122" t="inlineStr">
        <is>
          <t>2024-07-09T00:00:00</t>
        </is>
      </c>
      <c r="E122" t="inlineStr">
        <is>
          <t>2024-07-17T00:00:00</t>
        </is>
      </c>
      <c r="F122" t="inlineStr">
        <is>
          <t>83.63</t>
        </is>
      </c>
      <c r="G122" t="inlineStr">
        <is>
          <t>93.6</t>
        </is>
      </c>
      <c r="H122" t="inlineStr">
        <is>
          <t>286.05</t>
        </is>
      </c>
      <c r="I122" t="inlineStr">
        <is>
          <t>14.5</t>
        </is>
      </c>
      <c r="J122" t="inlineStr">
        <is>
          <t>4.34</t>
        </is>
      </c>
      <c r="K122" t="inlineStr">
        <is>
          <t>127</t>
        </is>
      </c>
      <c r="L122" t="inlineStr">
        <is>
          <t>83</t>
        </is>
      </c>
      <c r="M122" t="inlineStr">
        <is>
          <t>4</t>
        </is>
      </c>
      <c r="N122" t="inlineStr">
        <is>
          <t>224</t>
        </is>
      </c>
    </row>
    <row r="123">
      <c r="A123" t="inlineStr">
        <is>
          <t>826</t>
        </is>
      </c>
      <c r="B123" t="inlineStr">
        <is>
          <t>2RS</t>
        </is>
      </c>
      <c r="C123" t="inlineStr">
        <is>
          <t>TRAVELER</t>
        </is>
      </c>
      <c r="D123" t="inlineStr">
        <is>
          <t>2024-07-11T00:00:00</t>
        </is>
      </c>
      <c r="E123" t="inlineStr">
        <is>
          <t>2024-07-19T00:00:00</t>
        </is>
      </c>
      <c r="F123" t="inlineStr">
        <is>
          <t>84.23</t>
        </is>
      </c>
      <c r="G123" t="inlineStr">
        <is>
          <t>94.1</t>
        </is>
      </c>
      <c r="H123" t="inlineStr">
        <is>
          <t>286.2</t>
        </is>
      </c>
      <c r="I123" t="inlineStr">
        <is>
          <t>14.5</t>
        </is>
      </c>
      <c r="J123" t="inlineStr">
        <is>
          <t>4.51</t>
        </is>
      </c>
      <c r="K123" t="inlineStr">
        <is>
          <t>135</t>
        </is>
      </c>
      <c r="L123" t="inlineStr">
        <is>
          <t>83.9</t>
        </is>
      </c>
      <c r="M123" t="inlineStr">
        <is>
          <t>3.85</t>
        </is>
      </c>
      <c r="N123" t="inlineStr">
        <is>
          <t>251</t>
        </is>
      </c>
    </row>
    <row r="124">
      <c r="A124" t="inlineStr">
        <is>
          <t>827</t>
        </is>
      </c>
      <c r="B124" t="inlineStr">
        <is>
          <t>2RS</t>
        </is>
      </c>
      <c r="C124" t="inlineStr">
        <is>
          <t>TRAVELER</t>
        </is>
      </c>
      <c r="D124" t="inlineStr">
        <is>
          <t>2024-07-12T00:00:00</t>
        </is>
      </c>
      <c r="E124" t="inlineStr">
        <is>
          <t>2024-07-20T00:00:00</t>
        </is>
      </c>
      <c r="F124" t="inlineStr">
        <is>
          <t>83.64</t>
        </is>
      </c>
      <c r="G124" t="inlineStr">
        <is>
          <t>93.5</t>
        </is>
      </c>
      <c r="H124" t="inlineStr">
        <is>
          <t>286.38</t>
        </is>
      </c>
      <c r="I124" t="inlineStr">
        <is>
          <t>14.4</t>
        </is>
      </c>
      <c r="J124" t="inlineStr">
        <is>
          <t>4.32</t>
        </is>
      </c>
      <c r="K124" t="inlineStr">
        <is>
          <t>134</t>
        </is>
      </c>
      <c r="L124" t="inlineStr">
        <is>
          <t>83.8</t>
        </is>
      </c>
      <c r="M124" t="inlineStr">
        <is>
          <t>4.0999999999999996</t>
        </is>
      </c>
      <c r="N124" t="inlineStr">
        <is>
          <t>284</t>
        </is>
      </c>
    </row>
    <row r="125">
      <c r="A125" t="inlineStr">
        <is>
          <t>828</t>
        </is>
      </c>
      <c r="B125" t="inlineStr">
        <is>
          <t>IBON</t>
        </is>
      </c>
      <c r="C125" t="inlineStr">
        <is>
          <t>IBON</t>
        </is>
      </c>
      <c r="D125" t="inlineStr">
        <is>
          <t>2024-07-13T00:00:00</t>
        </is>
      </c>
      <c r="E125" t="inlineStr">
        <is>
          <t>2024-07-21T00:00:00</t>
        </is>
      </c>
      <c r="F125" t="inlineStr">
        <is>
          <t>83.36</t>
        </is>
      </c>
      <c r="G125" t="inlineStr">
        <is>
          <t>93.6</t>
        </is>
      </c>
      <c r="H125" t="inlineStr">
        <is>
          <t>282.49</t>
        </is>
      </c>
      <c r="I125" t="inlineStr">
        <is>
          <t>15.2</t>
        </is>
      </c>
      <c r="J125" t="inlineStr">
        <is>
          <t>4.79</t>
        </is>
      </c>
      <c r="K125" t="inlineStr">
        <is>
          <t>130</t>
        </is>
      </c>
      <c r="L125" t="inlineStr">
        <is>
          <t>46.9</t>
        </is>
      </c>
      <c r="M125" t="inlineStr">
        <is>
          <t>3.8</t>
        </is>
      </c>
      <c r="N125" t="inlineStr">
        <is>
          <t>639</t>
        </is>
      </c>
    </row>
    <row r="126">
      <c r="A126" t="inlineStr">
        <is>
          <t>829</t>
        </is>
      </c>
      <c r="B126" t="inlineStr">
        <is>
          <t>IBON</t>
        </is>
      </c>
      <c r="C126" t="inlineStr">
        <is>
          <t>IBON</t>
        </is>
      </c>
      <c r="D126" t="inlineStr">
        <is>
          <t>2024-07-14T00:00:00</t>
        </is>
      </c>
      <c r="E126" t="inlineStr">
        <is>
          <t>2024-07-22T00:00:00</t>
        </is>
      </c>
      <c r="F126" t="inlineStr">
        <is>
          <t>82.77</t>
        </is>
      </c>
      <c r="G126" t="inlineStr">
        <is>
          <t>93</t>
        </is>
      </c>
      <c r="H126" t="inlineStr">
        <is>
          <t>282.51</t>
        </is>
      </c>
      <c r="I126" t="inlineStr">
        <is>
          <t>15.3</t>
        </is>
      </c>
      <c r="J126" t="inlineStr">
        <is>
          <t>4.8499999999999996</t>
        </is>
      </c>
      <c r="K126" t="inlineStr">
        <is>
          <t>139</t>
        </is>
      </c>
      <c r="L126" t="inlineStr">
        <is>
          <t>50.4</t>
        </is>
      </c>
      <c r="M126" t="inlineStr">
        <is>
          <t>3.9</t>
        </is>
      </c>
      <c r="N126" t="inlineStr">
        <is>
          <t>625</t>
        </is>
      </c>
    </row>
    <row r="127">
      <c r="A127" t="inlineStr">
        <is>
          <t>830</t>
        </is>
      </c>
      <c r="B127" t="inlineStr">
        <is>
          <t>IBON</t>
        </is>
      </c>
      <c r="C127" t="inlineStr">
        <is>
          <t>IBON</t>
        </is>
      </c>
      <c r="D127" t="inlineStr">
        <is>
          <t>2024-07-16T00:00:00</t>
        </is>
      </c>
      <c r="E127" t="inlineStr">
        <is>
          <t>2024-07-24T00:00:00</t>
        </is>
      </c>
      <c r="F127" t="inlineStr">
        <is>
          <t>83.09</t>
        </is>
      </c>
      <c r="G127" t="inlineStr">
        <is>
          <t>93.5</t>
        </is>
      </c>
      <c r="H127" t="inlineStr">
        <is>
          <t>283.36</t>
        </is>
      </c>
      <c r="I127" t="inlineStr">
        <is>
          <t>15.3</t>
        </is>
      </c>
      <c r="J127" t="inlineStr">
        <is>
          <t>4.67</t>
        </is>
      </c>
      <c r="K127" t="inlineStr">
        <is>
          <t>134</t>
        </is>
      </c>
      <c r="L127" t="inlineStr">
        <is>
          <t>47.14</t>
        </is>
      </c>
      <c r="M127" t="inlineStr">
        <is>
          <t>4</t>
        </is>
      </c>
      <c r="N127" t="inlineStr">
        <is>
          <t>575</t>
        </is>
      </c>
    </row>
    <row r="128">
      <c r="A128" t="inlineStr">
        <is>
          <t>831</t>
        </is>
      </c>
      <c r="B128" t="inlineStr">
        <is>
          <t>2RS</t>
        </is>
      </c>
      <c r="C128" t="inlineStr">
        <is>
          <t>TRAVELER</t>
        </is>
      </c>
      <c r="D128" t="inlineStr">
        <is>
          <t>2024-07-17T00:00:00</t>
        </is>
      </c>
      <c r="E128" t="inlineStr">
        <is>
          <t>2024-07-25T00:00:00</t>
        </is>
      </c>
      <c r="F128" t="inlineStr">
        <is>
          <t>83.49</t>
        </is>
      </c>
      <c r="G128" t="inlineStr">
        <is>
          <t>93.8</t>
        </is>
      </c>
      <c r="H128" t="inlineStr">
        <is>
          <t>286.63</t>
        </is>
      </c>
      <c r="I128" t="inlineStr">
        <is>
          <t>15</t>
        </is>
      </c>
      <c r="J128" t="inlineStr">
        <is>
          <t>4.5199999999999996</t>
        </is>
      </c>
      <c r="K128" t="inlineStr">
        <is>
          <t>126</t>
        </is>
      </c>
      <c r="L128" t="inlineStr">
        <is>
          <t>76.540000000000006</t>
        </is>
      </c>
      <c r="M128" t="inlineStr">
        <is>
          <t>3.52</t>
        </is>
      </c>
      <c r="N128" t="inlineStr">
        <is>
          <t>352</t>
        </is>
      </c>
    </row>
    <row r="129">
      <c r="A129" t="inlineStr">
        <is>
          <t>832</t>
        </is>
      </c>
      <c r="B129" t="inlineStr">
        <is>
          <t>2RS</t>
        </is>
      </c>
      <c r="C129" t="inlineStr">
        <is>
          <t>TRAVELER</t>
        </is>
      </c>
      <c r="D129" t="inlineStr">
        <is>
          <t>2024-07-18T00:00:00</t>
        </is>
      </c>
      <c r="E129" t="inlineStr">
        <is>
          <t>2024-07-26T00:00:00</t>
        </is>
      </c>
      <c r="F129" t="inlineStr">
        <is>
          <t>83.27</t>
        </is>
      </c>
      <c r="G129" t="inlineStr">
        <is>
          <t>92.7</t>
        </is>
      </c>
      <c r="H129" t="inlineStr">
        <is>
          <t>286.24</t>
        </is>
      </c>
      <c r="I129" t="inlineStr">
        <is>
          <t>14.9</t>
        </is>
      </c>
      <c r="J129" t="inlineStr">
        <is>
          <t>5.23</t>
        </is>
      </c>
      <c r="K129" t="inlineStr">
        <is>
          <t>133</t>
        </is>
      </c>
      <c r="L129" t="inlineStr">
        <is>
          <t>74.5</t>
        </is>
      </c>
      <c r="M129" t="inlineStr">
        <is>
          <t>3.81</t>
        </is>
      </c>
      <c r="N129" t="inlineStr">
        <is>
          <t>352</t>
        </is>
      </c>
    </row>
    <row r="130">
      <c r="A130" t="inlineStr">
        <is>
          <t>833</t>
        </is>
      </c>
      <c r="B130" t="inlineStr">
        <is>
          <t>2RS</t>
        </is>
      </c>
      <c r="C130" t="inlineStr">
        <is>
          <t>TRAVELER</t>
        </is>
      </c>
      <c r="D130" t="inlineStr">
        <is>
          <t>2024-07-19T00:00:00</t>
        </is>
      </c>
      <c r="E130" t="inlineStr">
        <is>
          <t>2024-07-27T00:00:00</t>
        </is>
      </c>
      <c r="F130" t="inlineStr">
        <is>
          <t>83.97</t>
        </is>
      </c>
      <c r="G130" t="inlineStr">
        <is>
          <t>94</t>
        </is>
      </c>
      <c r="H130" t="inlineStr">
        <is>
          <t>287.12</t>
        </is>
      </c>
      <c r="I130" t="inlineStr">
        <is>
          <t>14.6</t>
        </is>
      </c>
      <c r="J130" t="inlineStr">
        <is>
          <t>4.38</t>
        </is>
      </c>
      <c r="K130" t="inlineStr">
        <is>
          <t>128</t>
        </is>
      </c>
      <c r="L130" t="inlineStr">
        <is>
          <t>80</t>
        </is>
      </c>
      <c r="M130" t="inlineStr">
        <is>
          <t>3.9</t>
        </is>
      </c>
      <c r="N130" t="inlineStr">
        <is>
          <t>289</t>
        </is>
      </c>
    </row>
    <row r="131">
      <c r="A131" t="inlineStr">
        <is>
          <t>834</t>
        </is>
      </c>
      <c r="B131" t="inlineStr">
        <is>
          <t>2RS</t>
        </is>
      </c>
      <c r="C131" t="inlineStr">
        <is>
          <t>TRAVELER</t>
        </is>
      </c>
      <c r="D131" t="inlineStr">
        <is>
          <t>2024-07-20T00:00:00</t>
        </is>
      </c>
      <c r="E131" t="inlineStr">
        <is>
          <t>2024-07-28T00:00:00</t>
        </is>
      </c>
      <c r="F131" t="inlineStr">
        <is>
          <t>82.87</t>
        </is>
      </c>
      <c r="G131" t="inlineStr">
        <is>
          <t>93.4</t>
        </is>
      </c>
      <c r="H131" t="inlineStr">
        <is>
          <t>285.74</t>
        </is>
      </c>
      <c r="I131" t="inlineStr">
        <is>
          <t>15.3</t>
        </is>
      </c>
      <c r="J131" t="inlineStr">
        <is>
          <t>4.51</t>
        </is>
      </c>
      <c r="K131" t="inlineStr">
        <is>
          <t>129</t>
        </is>
      </c>
      <c r="L131" t="inlineStr">
        <is>
          <t>75.31</t>
        </is>
      </c>
      <c r="M131" t="inlineStr">
        <is>
          <t>4.3</t>
        </is>
      </c>
      <c r="N131" t="inlineStr">
        <is>
          <t>334</t>
        </is>
      </c>
    </row>
    <row r="132">
      <c r="A132" t="inlineStr">
        <is>
          <t>835</t>
        </is>
      </c>
      <c r="B132" t="inlineStr">
        <is>
          <t>IBON</t>
        </is>
      </c>
      <c r="C132" t="inlineStr">
        <is>
          <t>IBON</t>
        </is>
      </c>
      <c r="D132" t="inlineStr">
        <is>
          <t>2024-07-21T00:00:00</t>
        </is>
      </c>
      <c r="E132" t="inlineStr">
        <is>
          <t>2024-07-29T00:00:00</t>
        </is>
      </c>
      <c r="F132" t="inlineStr">
        <is>
          <t>83.65</t>
        </is>
      </c>
      <c r="G132" t="inlineStr">
        <is>
          <t>94.2</t>
        </is>
      </c>
      <c r="H132" t="inlineStr">
        <is>
          <t>280.44</t>
        </is>
      </c>
      <c r="I132" t="inlineStr">
        <is>
          <t>15.2</t>
        </is>
      </c>
      <c r="J132" t="inlineStr">
        <is>
          <t>4.47</t>
        </is>
      </c>
      <c r="K132" t="inlineStr">
        <is>
          <t>139.6</t>
        </is>
      </c>
      <c r="L132" t="inlineStr">
        <is>
          <t>49.1</t>
        </is>
      </c>
      <c r="M132" t="inlineStr">
        <is>
          <t>5.47</t>
        </is>
      </c>
      <c r="N132" t="inlineStr">
        <is>
          <t>614</t>
        </is>
      </c>
    </row>
    <row r="133">
      <c r="A133" t="inlineStr">
        <is>
          <t>836</t>
        </is>
      </c>
      <c r="B133" t="inlineStr">
        <is>
          <t>IBON</t>
        </is>
      </c>
      <c r="C133" t="inlineStr">
        <is>
          <t>IBON</t>
        </is>
      </c>
      <c r="D133" t="inlineStr">
        <is>
          <t>2024-07-23T00:00:00</t>
        </is>
      </c>
      <c r="E133" t="inlineStr">
        <is>
          <t>2024-07-31T00:00:00</t>
        </is>
      </c>
      <c r="F133" t="inlineStr">
        <is>
          <t>84.1</t>
        </is>
      </c>
      <c r="G133" t="inlineStr">
        <is>
          <t>94.4</t>
        </is>
      </c>
      <c r="H133" t="inlineStr">
        <is>
          <t>283.25</t>
        </is>
      </c>
      <c r="I133" t="inlineStr">
        <is>
          <t>15.1</t>
        </is>
      </c>
      <c r="J133" t="inlineStr">
        <is>
          <t>4.7300000000000004</t>
        </is>
      </c>
      <c r="K133" t="inlineStr">
        <is>
          <t>138</t>
        </is>
      </c>
      <c r="L133" t="inlineStr">
        <is>
          <t>41.8</t>
        </is>
      </c>
      <c r="M133" t="inlineStr">
        <is>
          <t>4.7</t>
        </is>
      </c>
      <c r="N133" t="inlineStr">
        <is>
          <t>678</t>
        </is>
      </c>
    </row>
    <row r="134">
      <c r="A134" t="inlineStr">
        <is>
          <t>837</t>
        </is>
      </c>
      <c r="B134" t="inlineStr">
        <is>
          <t>IBON</t>
        </is>
      </c>
      <c r="C134" t="inlineStr">
        <is>
          <t>IBON</t>
        </is>
      </c>
      <c r="D134" t="inlineStr">
        <is>
          <t>2024-07-24T00:00:00</t>
        </is>
      </c>
      <c r="E134" t="inlineStr">
        <is>
          <t>2024-08-01T00:00:00</t>
        </is>
      </c>
      <c r="F134" t="inlineStr">
        <is>
          <t>83.67</t>
        </is>
      </c>
      <c r="G134" t="inlineStr">
        <is>
          <t>93.7</t>
        </is>
      </c>
      <c r="H134" t="inlineStr">
        <is>
          <t>280.93</t>
        </is>
      </c>
      <c r="I134" t="inlineStr">
        <is>
          <t>14.9</t>
        </is>
      </c>
      <c r="J134" t="inlineStr">
        <is>
          <t>4.7</t>
        </is>
      </c>
      <c r="K134" t="inlineStr">
        <is>
          <t>140</t>
        </is>
      </c>
      <c r="L134" t="inlineStr">
        <is>
          <t>45.64</t>
        </is>
      </c>
      <c r="M134" t="inlineStr">
        <is>
          <t>5.0999999999999996</t>
        </is>
      </c>
      <c r="N134" t="inlineStr">
        <is>
          <t>601</t>
        </is>
      </c>
    </row>
    <row r="135">
      <c r="A135" t="inlineStr">
        <is>
          <t>838</t>
        </is>
      </c>
      <c r="B135" t="inlineStr">
        <is>
          <t>2RS</t>
        </is>
      </c>
      <c r="C135" t="inlineStr">
        <is>
          <t>TRAVELER</t>
        </is>
      </c>
      <c r="D135" t="inlineStr">
        <is>
          <t>2024-07-25T00:00:00</t>
        </is>
      </c>
      <c r="E135" t="inlineStr">
        <is>
          <t>2024-08-02T00:00:00</t>
        </is>
      </c>
      <c r="F135" t="inlineStr">
        <is>
          <t>83.39</t>
        </is>
      </c>
      <c r="G135" t="inlineStr">
        <is>
          <t>93.6</t>
        </is>
      </c>
      <c r="H135" t="inlineStr">
        <is>
          <t>285.49</t>
        </is>
      </c>
      <c r="I135" t="inlineStr">
        <is>
          <t>14.9</t>
        </is>
      </c>
      <c r="J135" t="inlineStr">
        <is>
          <t>4.53</t>
        </is>
      </c>
      <c r="K135" t="inlineStr">
        <is>
          <t>124</t>
        </is>
      </c>
      <c r="L135" t="inlineStr">
        <is>
          <t>75</t>
        </is>
      </c>
      <c r="M135" t="inlineStr">
        <is>
          <t>3.5</t>
        </is>
      </c>
      <c r="N135" t="inlineStr">
        <is>
          <t>405</t>
        </is>
      </c>
    </row>
    <row r="136">
      <c r="A136" t="inlineStr">
        <is>
          <t>839</t>
        </is>
      </c>
      <c r="B136" t="inlineStr">
        <is>
          <t>2RS</t>
        </is>
      </c>
      <c r="C136" t="inlineStr">
        <is>
          <t>TRAVELER</t>
        </is>
      </c>
      <c r="D136" t="inlineStr">
        <is>
          <t>2024-07-27T00:00:00</t>
        </is>
      </c>
      <c r="E136" t="inlineStr">
        <is>
          <t>2024-08-04T00:00:00</t>
        </is>
      </c>
      <c r="F136" t="inlineStr">
        <is>
          <t>84.21</t>
        </is>
      </c>
      <c r="G136" t="inlineStr">
        <is>
          <t>93.9</t>
        </is>
      </c>
      <c r="H136" t="inlineStr">
        <is>
          <t>286.06</t>
        </is>
      </c>
      <c r="I136" t="inlineStr">
        <is>
          <t>14.2</t>
        </is>
      </c>
      <c r="J136" t="inlineStr">
        <is>
          <t>4.28</t>
        </is>
      </c>
      <c r="K136" t="inlineStr">
        <is>
          <t>142</t>
        </is>
      </c>
      <c r="L136" t="inlineStr">
        <is>
          <t>79.400000000000006</t>
        </is>
      </c>
      <c r="M136" t="inlineStr">
        <is>
          <t>4.08</t>
        </is>
      </c>
      <c r="N136" t="inlineStr">
        <is>
          <t>327</t>
        </is>
      </c>
    </row>
    <row r="137">
      <c r="A137" t="inlineStr">
        <is>
          <t>840</t>
        </is>
      </c>
      <c r="B137" t="inlineStr">
        <is>
          <t>2RS</t>
        </is>
      </c>
      <c r="C137" t="inlineStr">
        <is>
          <t>TRAVELER</t>
        </is>
      </c>
      <c r="D137" t="inlineStr">
        <is>
          <t>2024-07-28T00:00:00</t>
        </is>
      </c>
      <c r="E137" t="inlineStr">
        <is>
          <t>2024-08-05T00:00:00</t>
        </is>
      </c>
      <c r="F137" t="inlineStr">
        <is>
          <t>83.96</t>
        </is>
      </c>
      <c r="G137" t="inlineStr">
        <is>
          <t>93.8</t>
        </is>
      </c>
      <c r="H137" t="inlineStr">
        <is>
          <t>287</t>
        </is>
      </c>
      <c r="I137" t="inlineStr">
        <is>
          <t>14.4</t>
        </is>
      </c>
      <c r="J137" t="inlineStr">
        <is>
          <t>4.33</t>
        </is>
      </c>
      <c r="K137" t="inlineStr">
        <is>
          <t>146</t>
        </is>
      </c>
      <c r="L137" t="inlineStr">
        <is>
          <t>83.36</t>
        </is>
      </c>
      <c r="M137" t="inlineStr">
        <is>
          <t>4.5</t>
        </is>
      </c>
      <c r="N137" t="inlineStr">
        <is>
          <t>181</t>
        </is>
      </c>
    </row>
    <row r="138">
      <c r="A138" t="inlineStr">
        <is>
          <t>841</t>
        </is>
      </c>
      <c r="B138" t="inlineStr">
        <is>
          <t>2RS</t>
        </is>
      </c>
      <c r="C138" t="inlineStr">
        <is>
          <t>TRAVELER</t>
        </is>
      </c>
      <c r="D138" t="inlineStr">
        <is>
          <t>2024-07-30T00:00:00</t>
        </is>
      </c>
      <c r="E138" t="inlineStr">
        <is>
          <t>2024-08-07T00:00:00</t>
        </is>
      </c>
      <c r="F138" t="inlineStr">
        <is>
          <t>84.04</t>
        </is>
      </c>
      <c r="G138" t="inlineStr">
        <is>
          <t>94.1</t>
        </is>
      </c>
      <c r="H138" t="inlineStr">
        <is>
          <t>286.16000000000003</t>
        </is>
      </c>
      <c r="I138" t="inlineStr">
        <is>
          <t>14.4</t>
        </is>
      </c>
      <c r="J138" t="inlineStr">
        <is>
          <t>4.1900000000000004</t>
        </is>
      </c>
      <c r="K138" t="inlineStr">
        <is>
          <t>143</t>
        </is>
      </c>
      <c r="L138" t="inlineStr">
        <is>
          <t>78.98</t>
        </is>
      </c>
      <c r="M138" t="inlineStr">
        <is>
          <t>4.22</t>
        </is>
      </c>
      <c r="N138" t="inlineStr">
        <is>
          <t>289</t>
        </is>
      </c>
    </row>
    <row r="139">
      <c r="A139" t="inlineStr">
        <is>
          <t>842</t>
        </is>
      </c>
      <c r="B139" t="inlineStr">
        <is>
          <t>2RS</t>
        </is>
      </c>
      <c r="C139" t="inlineStr">
        <is>
          <t>TRAVELER</t>
        </is>
      </c>
      <c r="D139" t="inlineStr">
        <is>
          <t>2024-08-01T00:00:00</t>
        </is>
      </c>
      <c r="E139" t="inlineStr">
        <is>
          <t>2024-08-09T00:00:00</t>
        </is>
      </c>
      <c r="F139" t="inlineStr">
        <is>
          <t>84.06</t>
        </is>
      </c>
      <c r="G139" t="inlineStr">
        <is>
          <t>94.1</t>
        </is>
      </c>
      <c r="H139" t="inlineStr">
        <is>
          <t>285.62</t>
        </is>
      </c>
      <c r="I139" t="inlineStr">
        <is>
          <t>14.4</t>
        </is>
      </c>
      <c r="J139" t="inlineStr">
        <is>
          <t>4.21</t>
        </is>
      </c>
      <c r="K139" t="inlineStr">
        <is>
          <t>137</t>
        </is>
      </c>
      <c r="L139" t="inlineStr">
        <is>
          <t>79.5</t>
        </is>
      </c>
      <c r="M139" t="inlineStr">
        <is>
          <t>4.2</t>
        </is>
      </c>
      <c r="N139" t="inlineStr">
        <is>
          <t>295</t>
        </is>
      </c>
    </row>
    <row r="140">
      <c r="A140" t="inlineStr">
        <is>
          <t>843</t>
        </is>
      </c>
      <c r="B140" t="inlineStr">
        <is>
          <t>2RS</t>
        </is>
      </c>
      <c r="C140" t="inlineStr">
        <is>
          <t>TRAVELER</t>
        </is>
      </c>
      <c r="D140" t="inlineStr">
        <is>
          <t>2024-08-03T00:00:00</t>
        </is>
      </c>
      <c r="E140" t="inlineStr">
        <is>
          <t>2024-08-11T00:00:00</t>
        </is>
      </c>
      <c r="F140" t="inlineStr">
        <is>
          <t>84.35</t>
        </is>
      </c>
      <c r="G140" t="inlineStr">
        <is>
          <t>94.2</t>
        </is>
      </c>
      <c r="H140" t="inlineStr">
        <is>
          <t>285.79000000000002</t>
        </is>
      </c>
      <c r="I140" t="inlineStr">
        <is>
          <t>14.5</t>
        </is>
      </c>
      <c r="J140" t="inlineStr">
        <is>
          <t>4.53</t>
        </is>
      </c>
      <c r="K140" t="inlineStr">
        <is>
          <t>119</t>
        </is>
      </c>
      <c r="L140" t="inlineStr">
        <is>
          <t>76.84</t>
        </is>
      </c>
      <c r="M140" t="inlineStr">
        <is>
          <t>3.6</t>
        </is>
      </c>
      <c r="N140" t="inlineStr">
        <is>
          <t>413</t>
        </is>
      </c>
    </row>
    <row r="141">
      <c r="A141" t="inlineStr">
        <is>
          <t>844</t>
        </is>
      </c>
      <c r="B141" t="inlineStr">
        <is>
          <t>2RS</t>
        </is>
      </c>
      <c r="C141" t="inlineStr">
        <is>
          <t>TRAVELER</t>
        </is>
      </c>
      <c r="D141" t="inlineStr">
        <is>
          <t>2024-08-04T00:00:00</t>
        </is>
      </c>
      <c r="E141" t="inlineStr">
        <is>
          <t>2024-08-12T00:00:00</t>
        </is>
      </c>
      <c r="F141" t="inlineStr">
        <is>
          <t>83.54</t>
        </is>
      </c>
      <c r="G141" t="inlineStr">
        <is>
          <t>93.6</t>
        </is>
      </c>
      <c r="H141" t="inlineStr">
        <is>
          <t>286.61</t>
        </is>
      </c>
      <c r="I141" t="inlineStr">
        <is>
          <t>14.6</t>
        </is>
      </c>
      <c r="J141" t="inlineStr">
        <is>
          <t>4.3600000000000003</t>
        </is>
      </c>
      <c r="K141" t="inlineStr">
        <is>
          <t>126</t>
        </is>
      </c>
      <c r="L141" t="inlineStr">
        <is>
          <t>79.42</t>
        </is>
      </c>
      <c r="M141" t="inlineStr">
        <is>
          <t>3.7</t>
        </is>
      </c>
      <c r="N141" t="inlineStr">
        <is>
          <t>366</t>
        </is>
      </c>
    </row>
    <row r="142">
      <c r="A142" t="inlineStr">
        <is>
          <t>845</t>
        </is>
      </c>
      <c r="B142" t="inlineStr">
        <is>
          <t>2RS</t>
        </is>
      </c>
      <c r="C142" t="inlineStr">
        <is>
          <t>TRAVELER</t>
        </is>
      </c>
      <c r="D142" t="inlineStr">
        <is>
          <t>2024-08-05T00:00:00</t>
        </is>
      </c>
      <c r="E142" t="inlineStr">
        <is>
          <t>2024-08-13T00:00:00</t>
        </is>
      </c>
      <c r="F142" t="inlineStr">
        <is>
          <t>83.75</t>
        </is>
      </c>
      <c r="G142" t="inlineStr">
        <is>
          <t>93.8</t>
        </is>
      </c>
      <c r="H142" t="inlineStr">
        <is>
          <t>286.33999999999997</t>
        </is>
      </c>
      <c r="I142" t="inlineStr">
        <is>
          <t>14.7</t>
        </is>
      </c>
      <c r="J142" t="inlineStr">
        <is>
          <t>4.47</t>
        </is>
      </c>
      <c r="K142" t="inlineStr">
        <is>
          <t>140</t>
        </is>
      </c>
      <c r="L142" t="inlineStr">
        <is>
          <t>79</t>
        </is>
      </c>
      <c r="M142" t="inlineStr">
        <is>
          <t>3.98</t>
        </is>
      </c>
      <c r="N142" t="inlineStr">
        <is>
          <t>282</t>
        </is>
      </c>
    </row>
    <row r="143">
      <c r="A143" t="inlineStr">
        <is>
          <t>846</t>
        </is>
      </c>
      <c r="B143" t="inlineStr">
        <is>
          <t>2RS</t>
        </is>
      </c>
      <c r="C143" t="inlineStr">
        <is>
          <t>TRAVELER</t>
        </is>
      </c>
      <c r="D143" t="inlineStr">
        <is>
          <t>2024-08-07T00:00:00</t>
        </is>
      </c>
      <c r="E143" t="inlineStr">
        <is>
          <t>2024-08-15T00:00:00</t>
        </is>
      </c>
      <c r="F143" t="inlineStr">
        <is>
          <t>83.33</t>
        </is>
      </c>
      <c r="G143" t="inlineStr">
        <is>
          <t>93.2</t>
        </is>
      </c>
      <c r="H143" t="inlineStr">
        <is>
          <t>286.69</t>
        </is>
      </c>
      <c r="I143" t="inlineStr">
        <is>
          <t>14.6</t>
        </is>
      </c>
      <c r="J143" t="inlineStr">
        <is>
          <t>4.49</t>
        </is>
      </c>
      <c r="K143" t="inlineStr">
        <is>
          <t>142</t>
        </is>
      </c>
      <c r="L143" t="inlineStr">
        <is>
          <t>79.06</t>
        </is>
      </c>
      <c r="M143" t="inlineStr">
        <is>
          <t>4.26</t>
        </is>
      </c>
      <c r="N143" t="inlineStr">
        <is>
          <t>269</t>
        </is>
      </c>
    </row>
    <row r="144">
      <c r="A144" t="inlineStr">
        <is>
          <t>847</t>
        </is>
      </c>
      <c r="B144" t="inlineStr">
        <is>
          <t>2RS</t>
        </is>
      </c>
      <c r="C144" t="inlineStr">
        <is>
          <t>TRAVELER</t>
        </is>
      </c>
      <c r="D144" t="inlineStr">
        <is>
          <t>2024-08-09T00:00:00</t>
        </is>
      </c>
      <c r="E144" t="inlineStr">
        <is>
          <t>2024-08-17T00:00:00</t>
        </is>
      </c>
      <c r="F144" t="inlineStr">
        <is>
          <t>83.62</t>
        </is>
      </c>
      <c r="G144" t="inlineStr">
        <is>
          <t>93.5</t>
        </is>
      </c>
      <c r="H144" t="inlineStr">
        <is>
          <t>286.44</t>
        </is>
      </c>
      <c r="I144" t="inlineStr">
        <is>
          <t>14.6</t>
        </is>
      </c>
      <c r="J144" t="inlineStr">
        <is>
          <t>4.47</t>
        </is>
      </c>
      <c r="K144" t="inlineStr">
        <is>
          <t>144</t>
        </is>
      </c>
      <c r="L144" t="inlineStr">
        <is>
          <t>80.180000000000007</t>
        </is>
      </c>
      <c r="M144" t="inlineStr">
        <is>
          <t>4.2</t>
        </is>
      </c>
      <c r="N144" t="inlineStr">
        <is>
          <t>223</t>
        </is>
      </c>
    </row>
    <row r="145">
      <c r="A145" t="inlineStr">
        <is>
          <t>848</t>
        </is>
      </c>
      <c r="B145" t="inlineStr">
        <is>
          <t>2RS</t>
        </is>
      </c>
      <c r="C145" t="inlineStr">
        <is>
          <t>TRAVELER</t>
        </is>
      </c>
      <c r="D145" t="inlineStr">
        <is>
          <t>2024-08-10T00:00:00</t>
        </is>
      </c>
      <c r="E145" t="inlineStr">
        <is>
          <t>2024-08-18T00:00:00</t>
        </is>
      </c>
      <c r="F145" t="inlineStr">
        <is>
          <t>84.67</t>
        </is>
      </c>
      <c r="G145" t="inlineStr">
        <is>
          <t>94.4</t>
        </is>
      </c>
      <c r="H145" t="inlineStr">
        <is>
          <t>283.77999999999997</t>
        </is>
      </c>
      <c r="I145" t="inlineStr">
        <is>
          <t>14.3</t>
        </is>
      </c>
      <c r="J145" t="inlineStr">
        <is>
          <t>4.43</t>
        </is>
      </c>
      <c r="K145" t="inlineStr">
        <is>
          <t>133</t>
        </is>
      </c>
      <c r="L145" t="inlineStr">
        <is>
          <t>77.099999999999994</t>
        </is>
      </c>
      <c r="M145" t="inlineStr">
        <is>
          <t>3.7</t>
        </is>
      </c>
      <c r="N145" t="inlineStr">
        <is>
          <t>399</t>
        </is>
      </c>
    </row>
    <row r="146">
      <c r="A146" t="inlineStr">
        <is>
          <t>849</t>
        </is>
      </c>
      <c r="B146" t="inlineStr">
        <is>
          <t>IBON</t>
        </is>
      </c>
      <c r="C146" t="inlineStr">
        <is>
          <t>IBON</t>
        </is>
      </c>
      <c r="D146" t="inlineStr">
        <is>
          <t>2024-08-12T00:00:00</t>
        </is>
      </c>
      <c r="E146" t="inlineStr">
        <is>
          <t>2024-08-20T00:00:00</t>
        </is>
      </c>
      <c r="F146" t="inlineStr">
        <is>
          <t>83.35</t>
        </is>
      </c>
      <c r="G146" t="inlineStr">
        <is>
          <t>93.5</t>
        </is>
      </c>
      <c r="H146" t="inlineStr">
        <is>
          <t>280.74</t>
        </is>
      </c>
      <c r="I146" t="inlineStr">
        <is>
          <t>14.9</t>
        </is>
      </c>
      <c r="J146" t="inlineStr">
        <is>
          <t>4.49</t>
        </is>
      </c>
      <c r="K146" t="inlineStr">
        <is>
          <t>141</t>
        </is>
      </c>
      <c r="L146" t="inlineStr">
        <is>
          <t>55.42</t>
        </is>
      </c>
      <c r="M146" t="inlineStr">
        <is>
          <t>5</t>
        </is>
      </c>
      <c r="N146" t="inlineStr">
        <is>
          <t>532</t>
        </is>
      </c>
    </row>
    <row r="147">
      <c r="A147" t="inlineStr">
        <is>
          <t>850</t>
        </is>
      </c>
      <c r="B147" t="inlineStr">
        <is>
          <t>2RS</t>
        </is>
      </c>
      <c r="C147" t="inlineStr">
        <is>
          <t>TRAVELER</t>
        </is>
      </c>
      <c r="D147" t="inlineStr">
        <is>
          <t>2024-08-14T00:00:00</t>
        </is>
      </c>
      <c r="E147" t="inlineStr">
        <is>
          <t>2024-08-22T00:00:00</t>
        </is>
      </c>
      <c r="F147" t="inlineStr">
        <is>
          <t>84.21</t>
        </is>
      </c>
      <c r="G147" t="inlineStr">
        <is>
          <t>93.9</t>
        </is>
      </c>
      <c r="H147" t="inlineStr">
        <is>
          <t>285.75</t>
        </is>
      </c>
      <c r="I147" t="inlineStr">
        <is>
          <t>14.2</t>
        </is>
      </c>
      <c r="J147" t="inlineStr">
        <is>
          <t>4.38</t>
        </is>
      </c>
      <c r="K147" t="inlineStr">
        <is>
          <t>128</t>
        </is>
      </c>
      <c r="L147" t="inlineStr">
        <is>
          <t>75.209999999999994</t>
        </is>
      </c>
      <c r="M147" t="inlineStr">
        <is>
          <t>3.7</t>
        </is>
      </c>
      <c r="N147" t="inlineStr">
        <is>
          <t>424</t>
        </is>
      </c>
    </row>
    <row r="148">
      <c r="A148" t="inlineStr">
        <is>
          <t>851</t>
        </is>
      </c>
      <c r="B148" t="inlineStr">
        <is>
          <t>IBON</t>
        </is>
      </c>
      <c r="C148" t="inlineStr">
        <is>
          <t>IBON</t>
        </is>
      </c>
      <c r="D148" t="inlineStr">
        <is>
          <t>2024-08-15T00:00:00</t>
        </is>
      </c>
      <c r="E148" t="inlineStr">
        <is>
          <t>2024-08-23T00:00:00</t>
        </is>
      </c>
      <c r="F148" t="inlineStr">
        <is>
          <t>83.97</t>
        </is>
      </c>
      <c r="G148" t="inlineStr"/>
      <c r="H148" t="inlineStr">
        <is>
          <t>281.29000000000002</t>
        </is>
      </c>
      <c r="I148" t="inlineStr"/>
      <c r="J148" t="inlineStr">
        <is>
          <t>4.93</t>
        </is>
      </c>
      <c r="K148" t="inlineStr">
        <is>
          <t>136</t>
        </is>
      </c>
      <c r="L148" t="inlineStr">
        <is>
          <t>50.62</t>
        </is>
      </c>
      <c r="M148" t="inlineStr">
        <is>
          <t>4.9000000000000004</t>
        </is>
      </c>
      <c r="N148" t="inlineStr">
        <is>
          <t>585</t>
        </is>
      </c>
    </row>
    <row r="149">
      <c r="A149" t="inlineStr">
        <is>
          <t>852</t>
        </is>
      </c>
      <c r="B149" t="inlineStr">
        <is>
          <t>IBON</t>
        </is>
      </c>
      <c r="C149" t="inlineStr">
        <is>
          <t>IBON</t>
        </is>
      </c>
      <c r="D149" t="inlineStr">
        <is>
          <t>2024-08-17T00:00:00</t>
        </is>
      </c>
      <c r="E149" t="inlineStr">
        <is>
          <t>2024-08-25T00:00:00</t>
        </is>
      </c>
      <c r="F149" t="inlineStr">
        <is>
          <t>84.19</t>
        </is>
      </c>
      <c r="G149" t="inlineStr">
        <is>
          <t>93.8</t>
        </is>
      </c>
      <c r="H149" t="inlineStr">
        <is>
          <t>277.47000000000003</t>
        </is>
      </c>
      <c r="I149" t="inlineStr">
        <is>
          <t>14.4</t>
        </is>
      </c>
      <c r="J149" t="inlineStr">
        <is>
          <t>4.66</t>
        </is>
      </c>
      <c r="K149" t="inlineStr">
        <is>
          <t>135</t>
        </is>
      </c>
      <c r="L149" t="inlineStr">
        <is>
          <t>43.48</t>
        </is>
      </c>
      <c r="M149" t="inlineStr">
        <is>
          <t>5.8</t>
        </is>
      </c>
      <c r="N149" t="inlineStr">
        <is>
          <t>687</t>
        </is>
      </c>
    </row>
    <row r="150">
      <c r="A150" t="inlineStr">
        <is>
          <t>853</t>
        </is>
      </c>
      <c r="B150" t="inlineStr">
        <is>
          <t>2RS</t>
        </is>
      </c>
      <c r="C150" t="inlineStr">
        <is>
          <t>TRAVELER</t>
        </is>
      </c>
      <c r="D150" t="inlineStr">
        <is>
          <t>2024-08-18T00:00:00</t>
        </is>
      </c>
      <c r="E150" t="inlineStr">
        <is>
          <t>2024-08-26T00:00:00</t>
        </is>
      </c>
      <c r="F150" t="inlineStr">
        <is>
          <t>83.99</t>
        </is>
      </c>
      <c r="G150" t="inlineStr">
        <is>
          <t>93.5</t>
        </is>
      </c>
      <c r="H150" t="inlineStr">
        <is>
          <t>284.02999999999997</t>
        </is>
      </c>
      <c r="I150" t="inlineStr">
        <is>
          <t>14.3</t>
        </is>
      </c>
      <c r="J150" t="inlineStr">
        <is>
          <t>4.57</t>
        </is>
      </c>
      <c r="K150" t="inlineStr">
        <is>
          <t>137</t>
        </is>
      </c>
      <c r="L150" t="inlineStr">
        <is>
          <t>78.459999999999994</t>
        </is>
      </c>
      <c r="M150" t="inlineStr">
        <is>
          <t>4</t>
        </is>
      </c>
      <c r="N150" t="inlineStr">
        <is>
          <t>314</t>
        </is>
      </c>
    </row>
    <row r="151">
      <c r="A151" t="inlineStr">
        <is>
          <t>854</t>
        </is>
      </c>
      <c r="B151" t="inlineStr">
        <is>
          <t>2RS</t>
        </is>
      </c>
      <c r="C151" t="inlineStr">
        <is>
          <t>TRAVELER</t>
        </is>
      </c>
      <c r="D151" t="inlineStr">
        <is>
          <t>2024-08-19T00:00:00</t>
        </is>
      </c>
      <c r="E151" t="inlineStr">
        <is>
          <t>2024-08-27T00:00:00</t>
        </is>
      </c>
      <c r="F151" t="inlineStr">
        <is>
          <t>84.3</t>
        </is>
      </c>
      <c r="G151" t="inlineStr">
        <is>
          <t>93.6</t>
        </is>
      </c>
      <c r="H151" t="inlineStr">
        <is>
          <t>286.47000000000003</t>
        </is>
      </c>
      <c r="I151" t="inlineStr">
        <is>
          <t>14.3</t>
        </is>
      </c>
      <c r="J151" t="inlineStr">
        <is>
          <t>4.9000000000000004</t>
        </is>
      </c>
      <c r="K151" t="inlineStr">
        <is>
          <t>144</t>
        </is>
      </c>
      <c r="L151" t="inlineStr">
        <is>
          <t>79</t>
        </is>
      </c>
      <c r="M151" t="inlineStr">
        <is>
          <t>4.2300000000000004</t>
        </is>
      </c>
      <c r="N151" t="inlineStr">
        <is>
          <t>239</t>
        </is>
      </c>
    </row>
    <row r="152">
      <c r="A152" t="inlineStr">
        <is>
          <t>855</t>
        </is>
      </c>
      <c r="B152" t="inlineStr">
        <is>
          <t>2RS</t>
        </is>
      </c>
      <c r="C152" t="inlineStr">
        <is>
          <t>TRAVELER</t>
        </is>
      </c>
      <c r="D152" t="inlineStr">
        <is>
          <t>2024-08-20T00:00:00</t>
        </is>
      </c>
      <c r="E152" t="inlineStr">
        <is>
          <t>2024-08-28T00:00:00</t>
        </is>
      </c>
      <c r="F152" t="inlineStr">
        <is>
          <t>83.45</t>
        </is>
      </c>
      <c r="G152" t="inlineStr">
        <is>
          <t>93.3</t>
        </is>
      </c>
      <c r="H152" t="inlineStr">
        <is>
          <t>277.23</t>
        </is>
      </c>
      <c r="I152" t="inlineStr">
        <is>
          <t>14.6</t>
        </is>
      </c>
      <c r="J152" t="inlineStr">
        <is>
          <t>4.5</t>
        </is>
      </c>
      <c r="K152" t="inlineStr"/>
      <c r="L152" t="inlineStr"/>
      <c r="M152" t="inlineStr"/>
      <c r="N152" t="inlineStr"/>
    </row>
    <row r="153">
      <c r="A153" t="inlineStr">
        <is>
          <t>856</t>
        </is>
      </c>
      <c r="B153" t="inlineStr">
        <is>
          <t>2RS</t>
        </is>
      </c>
      <c r="C153" t="inlineStr">
        <is>
          <t>TRAVELER</t>
        </is>
      </c>
      <c r="D153" t="inlineStr">
        <is>
          <t>2024-08-21T00:00:00</t>
        </is>
      </c>
      <c r="E153" t="inlineStr">
        <is>
          <t>2024-08-29T00:00:00</t>
        </is>
      </c>
      <c r="F153" t="inlineStr">
        <is>
          <t>83.51</t>
        </is>
      </c>
      <c r="G153" t="inlineStr">
        <is>
          <t>93.4</t>
        </is>
      </c>
      <c r="H153" t="inlineStr">
        <is>
          <t>285.91000000000003</t>
        </is>
      </c>
      <c r="I153" t="inlineStr">
        <is>
          <t>14.6</t>
        </is>
      </c>
      <c r="J153" t="inlineStr">
        <is>
          <t>4.4800000000000004</t>
        </is>
      </c>
      <c r="K153" t="inlineStr">
        <is>
          <t>125</t>
        </is>
      </c>
      <c r="L153" t="inlineStr">
        <is>
          <t>76.5</t>
        </is>
      </c>
      <c r="M153" t="inlineStr">
        <is>
          <t>4.0999999999999996</t>
        </is>
      </c>
      <c r="N153" t="inlineStr">
        <is>
          <t>325</t>
        </is>
      </c>
    </row>
    <row r="154">
      <c r="A154" t="inlineStr">
        <is>
          <t>857</t>
        </is>
      </c>
      <c r="B154" t="inlineStr">
        <is>
          <t>2RS</t>
        </is>
      </c>
      <c r="C154" t="inlineStr">
        <is>
          <t>TRAVELER</t>
        </is>
      </c>
      <c r="D154" t="inlineStr">
        <is>
          <t>2024-08-22T00:00:00</t>
        </is>
      </c>
      <c r="E154" t="inlineStr">
        <is>
          <t>2024-08-30T00:00:00</t>
        </is>
      </c>
      <c r="F154" t="inlineStr">
        <is>
          <t>83.6</t>
        </is>
      </c>
      <c r="G154" t="inlineStr">
        <is>
          <t>93.9</t>
        </is>
      </c>
      <c r="H154" t="inlineStr">
        <is>
          <t>285.63</t>
        </is>
      </c>
      <c r="I154" t="inlineStr">
        <is>
          <t>14.9</t>
        </is>
      </c>
      <c r="J154" t="inlineStr">
        <is>
          <t>4.46</t>
        </is>
      </c>
      <c r="K154" t="inlineStr">
        <is>
          <t>124</t>
        </is>
      </c>
      <c r="L154" t="inlineStr">
        <is>
          <t>75.680000000000007</t>
        </is>
      </c>
      <c r="M154" t="inlineStr">
        <is>
          <t>4.0199999999999996</t>
        </is>
      </c>
      <c r="N154" t="inlineStr">
        <is>
          <t>413</t>
        </is>
      </c>
    </row>
    <row r="155">
      <c r="A155" t="inlineStr">
        <is>
          <t>858</t>
        </is>
      </c>
      <c r="B155" t="inlineStr">
        <is>
          <t>2RS</t>
        </is>
      </c>
      <c r="C155" t="inlineStr">
        <is>
          <t>TRAVELER</t>
        </is>
      </c>
      <c r="D155" t="inlineStr">
        <is>
          <t>2024-08-24T00:00:00</t>
        </is>
      </c>
      <c r="E155" t="inlineStr">
        <is>
          <t>2024-09-01T00:00:00</t>
        </is>
      </c>
      <c r="F155" t="inlineStr">
        <is>
          <t>83.83</t>
        </is>
      </c>
      <c r="G155" t="inlineStr">
        <is>
          <t>93.4</t>
        </is>
      </c>
      <c r="H155" t="inlineStr">
        <is>
          <t>286.86</t>
        </is>
      </c>
      <c r="I155" t="inlineStr">
        <is>
          <t>14.7</t>
        </is>
      </c>
      <c r="J155" t="inlineStr">
        <is>
          <t>4.99</t>
        </is>
      </c>
      <c r="K155" t="inlineStr">
        <is>
          <t>134.4</t>
        </is>
      </c>
      <c r="L155" t="inlineStr">
        <is>
          <t>71.83</t>
        </is>
      </c>
      <c r="M155" t="inlineStr">
        <is>
          <t>4.0999999999999996</t>
        </is>
      </c>
      <c r="N155" t="inlineStr">
        <is>
          <t>387</t>
        </is>
      </c>
    </row>
    <row r="156">
      <c r="A156" t="inlineStr">
        <is>
          <t>859</t>
        </is>
      </c>
      <c r="B156" t="inlineStr">
        <is>
          <t>2RS</t>
        </is>
      </c>
      <c r="C156" t="inlineStr">
        <is>
          <t>TRAVELER</t>
        </is>
      </c>
      <c r="D156" t="inlineStr">
        <is>
          <t>2024-08-25T00:00:00</t>
        </is>
      </c>
      <c r="E156" t="inlineStr">
        <is>
          <t>2024-09-02T00:00:00</t>
        </is>
      </c>
      <c r="F156" t="inlineStr">
        <is>
          <t>84.02</t>
        </is>
      </c>
      <c r="G156" t="inlineStr">
        <is>
          <t>93.9</t>
        </is>
      </c>
      <c r="H156" t="inlineStr">
        <is>
          <t>286.62</t>
        </is>
      </c>
      <c r="I156" t="inlineStr">
        <is>
          <t>14.5</t>
        </is>
      </c>
      <c r="J156" t="inlineStr">
        <is>
          <t>4.41</t>
        </is>
      </c>
      <c r="K156" t="inlineStr">
        <is>
          <t>134</t>
        </is>
      </c>
      <c r="L156" t="inlineStr">
        <is>
          <t>85.12</t>
        </is>
      </c>
      <c r="M156" t="inlineStr">
        <is>
          <t>3.91</t>
        </is>
      </c>
      <c r="N156" t="inlineStr">
        <is>
          <t>213</t>
        </is>
      </c>
    </row>
    <row r="157">
      <c r="A157" t="inlineStr">
        <is>
          <t>860</t>
        </is>
      </c>
      <c r="B157" t="inlineStr">
        <is>
          <t>2RS</t>
        </is>
      </c>
      <c r="C157" t="inlineStr">
        <is>
          <t>TRAVELER</t>
        </is>
      </c>
      <c r="D157" t="inlineStr">
        <is>
          <t>2024-08-26T00:00:00</t>
        </is>
      </c>
      <c r="E157" t="inlineStr">
        <is>
          <t>2024-09-03T00:00:00</t>
        </is>
      </c>
      <c r="F157" t="inlineStr">
        <is>
          <t>83.73</t>
        </is>
      </c>
      <c r="G157" t="inlineStr">
        <is>
          <t>93.5</t>
        </is>
      </c>
      <c r="H157" t="inlineStr">
        <is>
          <t>285.33</t>
        </is>
      </c>
      <c r="I157" t="inlineStr">
        <is>
          <t>14.5</t>
        </is>
      </c>
      <c r="J157" t="inlineStr">
        <is>
          <t>4.49</t>
        </is>
      </c>
      <c r="K157" t="inlineStr">
        <is>
          <t>135</t>
        </is>
      </c>
      <c r="L157" t="inlineStr">
        <is>
          <t>77.97</t>
        </is>
      </c>
      <c r="M157" t="inlineStr">
        <is>
          <t>4.3</t>
        </is>
      </c>
      <c r="N157" t="inlineStr">
        <is>
          <t>270</t>
        </is>
      </c>
    </row>
    <row r="158">
      <c r="A158" t="inlineStr">
        <is>
          <t>861</t>
        </is>
      </c>
      <c r="B158" t="inlineStr">
        <is>
          <t>IBON</t>
        </is>
      </c>
      <c r="C158" t="inlineStr">
        <is>
          <t>IBON</t>
        </is>
      </c>
      <c r="D158" t="inlineStr">
        <is>
          <t>2024-08-27T00:00:00</t>
        </is>
      </c>
      <c r="E158" t="inlineStr">
        <is>
          <t>2024-09-04T00:00:00</t>
        </is>
      </c>
      <c r="F158" t="inlineStr">
        <is>
          <t>84.76</t>
        </is>
      </c>
      <c r="G158" t="inlineStr">
        <is>
          <t>94.6</t>
        </is>
      </c>
      <c r="H158" t="inlineStr">
        <is>
          <t>281.64</t>
        </is>
      </c>
      <c r="I158" t="inlineStr">
        <is>
          <t>14.5</t>
        </is>
      </c>
      <c r="J158" t="inlineStr">
        <is>
          <t>4.5999999999999996</t>
        </is>
      </c>
      <c r="K158" t="inlineStr">
        <is>
          <t>125</t>
        </is>
      </c>
      <c r="L158" t="inlineStr">
        <is>
          <t>42.7</t>
        </is>
      </c>
      <c r="M158" t="inlineStr">
        <is>
          <t>4.8</t>
        </is>
      </c>
      <c r="N158" t="inlineStr">
        <is>
          <t>683</t>
        </is>
      </c>
    </row>
    <row r="159">
      <c r="A159" t="inlineStr">
        <is>
          <t>862</t>
        </is>
      </c>
      <c r="B159" t="inlineStr">
        <is>
          <t>2RS</t>
        </is>
      </c>
      <c r="C159" t="inlineStr">
        <is>
          <t>TRAVELER</t>
        </is>
      </c>
      <c r="D159" t="inlineStr">
        <is>
          <t>2024-08-29T00:00:00</t>
        </is>
      </c>
      <c r="E159" t="inlineStr">
        <is>
          <t>2024-09-06T00:00:00</t>
        </is>
      </c>
      <c r="F159" t="inlineStr">
        <is>
          <t>83.36</t>
        </is>
      </c>
      <c r="G159" t="inlineStr">
        <is>
          <t>93.4</t>
        </is>
      </c>
      <c r="H159" t="inlineStr">
        <is>
          <t>285.44</t>
        </is>
      </c>
      <c r="I159" t="inlineStr">
        <is>
          <t>14.7</t>
        </is>
      </c>
      <c r="J159" t="inlineStr">
        <is>
          <t>4.45</t>
        </is>
      </c>
      <c r="K159" t="inlineStr">
        <is>
          <t>140</t>
        </is>
      </c>
      <c r="L159" t="inlineStr">
        <is>
          <t>84.45</t>
        </is>
      </c>
      <c r="M159" t="inlineStr">
        <is>
          <t>4</t>
        </is>
      </c>
      <c r="N159" t="inlineStr">
        <is>
          <t>190</t>
        </is>
      </c>
    </row>
    <row r="160">
      <c r="A160" t="inlineStr">
        <is>
          <t>863</t>
        </is>
      </c>
      <c r="B160" t="inlineStr">
        <is>
          <t>2RS</t>
        </is>
      </c>
      <c r="C160" t="inlineStr">
        <is>
          <t>TRAVELER</t>
        </is>
      </c>
      <c r="D160" t="inlineStr">
        <is>
          <t>2024-08-30T00:00:00</t>
        </is>
      </c>
      <c r="E160" t="inlineStr">
        <is>
          <t>2024-09-07T00:00:00</t>
        </is>
      </c>
      <c r="F160" t="inlineStr">
        <is>
          <t>83.97</t>
        </is>
      </c>
      <c r="G160" t="inlineStr">
        <is>
          <t>93.9</t>
        </is>
      </c>
      <c r="H160" t="inlineStr">
        <is>
          <t>286.11</t>
        </is>
      </c>
      <c r="I160" t="inlineStr">
        <is>
          <t>14.2</t>
        </is>
      </c>
      <c r="J160" t="inlineStr">
        <is>
          <t>4.0999999999999996</t>
        </is>
      </c>
      <c r="K160" t="inlineStr">
        <is>
          <t>135</t>
        </is>
      </c>
      <c r="L160" t="inlineStr">
        <is>
          <t>84.72</t>
        </is>
      </c>
      <c r="M160" t="inlineStr">
        <is>
          <t>4.4000000000000004</t>
        </is>
      </c>
      <c r="N160" t="inlineStr">
        <is>
          <t>208</t>
        </is>
      </c>
    </row>
    <row r="161">
      <c r="A161" t="inlineStr">
        <is>
          <t>864</t>
        </is>
      </c>
      <c r="B161" t="inlineStr">
        <is>
          <t>2RS</t>
        </is>
      </c>
      <c r="C161" t="inlineStr">
        <is>
          <t>TRAVELER</t>
        </is>
      </c>
      <c r="D161" t="inlineStr">
        <is>
          <t>2024-08-31T00:00:00</t>
        </is>
      </c>
      <c r="E161" t="inlineStr">
        <is>
          <t>2024-09-08T00:00:00</t>
        </is>
      </c>
      <c r="F161" t="inlineStr">
        <is>
          <t>83.21</t>
        </is>
      </c>
      <c r="G161" t="inlineStr">
        <is>
          <t>92.9</t>
        </is>
      </c>
      <c r="H161" t="inlineStr">
        <is>
          <t>286.13</t>
        </is>
      </c>
      <c r="I161" t="inlineStr">
        <is>
          <t>14.6</t>
        </is>
      </c>
      <c r="J161" t="inlineStr">
        <is>
          <t>4.63</t>
        </is>
      </c>
      <c r="K161" t="inlineStr">
        <is>
          <t>123</t>
        </is>
      </c>
      <c r="L161" t="inlineStr">
        <is>
          <t>78.7</t>
        </is>
      </c>
      <c r="M161" t="inlineStr">
        <is>
          <t>4.26</t>
        </is>
      </c>
      <c r="N161" t="inlineStr">
        <is>
          <t>270</t>
        </is>
      </c>
    </row>
    <row r="162">
      <c r="A162" t="inlineStr">
        <is>
          <t>865</t>
        </is>
      </c>
      <c r="B162" t="inlineStr">
        <is>
          <t>2RS</t>
        </is>
      </c>
      <c r="C162" t="inlineStr">
        <is>
          <t>TRAVELER</t>
        </is>
      </c>
      <c r="D162" t="inlineStr">
        <is>
          <t>2024-09-01T00:00:00</t>
        </is>
      </c>
      <c r="E162" t="inlineStr">
        <is>
          <t>2024-09-09T00:00:00</t>
        </is>
      </c>
      <c r="F162" t="inlineStr">
        <is>
          <t>83.69</t>
        </is>
      </c>
      <c r="G162" t="inlineStr">
        <is>
          <t>93.7</t>
        </is>
      </c>
      <c r="H162" t="inlineStr">
        <is>
          <t>285.99</t>
        </is>
      </c>
      <c r="I162" t="inlineStr">
        <is>
          <t>14.7</t>
        </is>
      </c>
      <c r="J162" t="inlineStr">
        <is>
          <t>4.45</t>
        </is>
      </c>
      <c r="K162" t="inlineStr">
        <is>
          <t>130</t>
        </is>
      </c>
      <c r="L162" t="inlineStr">
        <is>
          <t>79.05</t>
        </is>
      </c>
      <c r="M162" t="inlineStr">
        <is>
          <t>3.9</t>
        </is>
      </c>
      <c r="N162" t="inlineStr">
        <is>
          <t>282</t>
        </is>
      </c>
    </row>
    <row r="163">
      <c r="A163" t="inlineStr">
        <is>
          <t>866</t>
        </is>
      </c>
      <c r="B163" t="inlineStr">
        <is>
          <t>2RS</t>
        </is>
      </c>
      <c r="C163" t="inlineStr">
        <is>
          <t>TRAVELER</t>
        </is>
      </c>
      <c r="D163" t="inlineStr">
        <is>
          <t>2024-09-02T00:00:00</t>
        </is>
      </c>
      <c r="E163" t="inlineStr">
        <is>
          <t>2024-09-10T00:00:00</t>
        </is>
      </c>
      <c r="F163" t="inlineStr">
        <is>
          <t>83.07</t>
        </is>
      </c>
      <c r="G163" t="inlineStr">
        <is>
          <t>93.1</t>
        </is>
      </c>
      <c r="H163" t="inlineStr">
        <is>
          <t>286.83</t>
        </is>
      </c>
      <c r="I163" t="inlineStr">
        <is>
          <t>14.8</t>
        </is>
      </c>
      <c r="J163" t="inlineStr">
        <is>
          <t>4.55</t>
        </is>
      </c>
      <c r="K163" t="inlineStr">
        <is>
          <t>141</t>
        </is>
      </c>
      <c r="L163" t="inlineStr">
        <is>
          <t>80.900000000000006</t>
        </is>
      </c>
      <c r="M163" t="inlineStr">
        <is>
          <t>4.38</t>
        </is>
      </c>
      <c r="N163" t="inlineStr">
        <is>
          <t>233</t>
        </is>
      </c>
    </row>
    <row r="164">
      <c r="A164" t="inlineStr">
        <is>
          <t>867</t>
        </is>
      </c>
      <c r="B164" t="inlineStr">
        <is>
          <t>2RS</t>
        </is>
      </c>
      <c r="C164" t="inlineStr">
        <is>
          <t>TRAVELER</t>
        </is>
      </c>
      <c r="D164" t="inlineStr">
        <is>
          <t>2024-09-04T00:00:00</t>
        </is>
      </c>
      <c r="E164" t="inlineStr">
        <is>
          <t>2024-09-12T00:00:00</t>
        </is>
      </c>
      <c r="F164" t="inlineStr">
        <is>
          <t>83.82</t>
        </is>
      </c>
      <c r="G164" t="inlineStr">
        <is>
          <t>94</t>
        </is>
      </c>
      <c r="H164" t="inlineStr">
        <is>
          <t>284.27999999999997</t>
        </is>
      </c>
      <c r="I164" t="inlineStr">
        <is>
          <t>14.8</t>
        </is>
      </c>
      <c r="J164" t="inlineStr">
        <is>
          <t>4.47</t>
        </is>
      </c>
      <c r="K164" t="inlineStr">
        <is>
          <t>146</t>
        </is>
      </c>
      <c r="L164" t="inlineStr">
        <is>
          <t>77.38</t>
        </is>
      </c>
      <c r="M164" t="inlineStr">
        <is>
          <t>4.4000000000000004</t>
        </is>
      </c>
      <c r="N164" t="inlineStr">
        <is>
          <t>251</t>
        </is>
      </c>
    </row>
    <row r="165">
      <c r="A165" t="inlineStr">
        <is>
          <t>868</t>
        </is>
      </c>
      <c r="B165" t="inlineStr">
        <is>
          <t>2RS</t>
        </is>
      </c>
      <c r="C165" t="inlineStr">
        <is>
          <t>TRAVELER</t>
        </is>
      </c>
      <c r="D165" t="inlineStr">
        <is>
          <t>2024-09-05T00:00:00</t>
        </is>
      </c>
      <c r="E165" t="inlineStr">
        <is>
          <t>2024-09-13T00:00:00</t>
        </is>
      </c>
      <c r="F165" t="inlineStr">
        <is>
          <t>83.82</t>
        </is>
      </c>
      <c r="G165" t="inlineStr">
        <is>
          <t>93.6</t>
        </is>
      </c>
      <c r="H165" t="inlineStr">
        <is>
          <t>285.75</t>
        </is>
      </c>
      <c r="I165" t="inlineStr">
        <is>
          <t>14.4</t>
        </is>
      </c>
      <c r="J165" t="inlineStr">
        <is>
          <t>4.37</t>
        </is>
      </c>
      <c r="K165" t="inlineStr">
        <is>
          <t>125.5</t>
        </is>
      </c>
      <c r="L165" t="inlineStr">
        <is>
          <t>75.87</t>
        </is>
      </c>
      <c r="M165" t="inlineStr">
        <is>
          <t>3.87</t>
        </is>
      </c>
      <c r="N165" t="inlineStr">
        <is>
          <t>460</t>
        </is>
      </c>
    </row>
    <row r="166">
      <c r="A166" t="inlineStr">
        <is>
          <t>869</t>
        </is>
      </c>
      <c r="B166" t="inlineStr">
        <is>
          <t>2RS</t>
        </is>
      </c>
      <c r="C166" t="inlineStr">
        <is>
          <t>TRAVELER</t>
        </is>
      </c>
      <c r="D166" t="inlineStr">
        <is>
          <t>2024-09-07T00:00:00</t>
        </is>
      </c>
      <c r="E166" t="inlineStr">
        <is>
          <t>2024-09-15T00:00:00</t>
        </is>
      </c>
      <c r="F166" t="inlineStr">
        <is>
          <t>82.73</t>
        </is>
      </c>
      <c r="G166" t="inlineStr">
        <is>
          <t>92.5</t>
        </is>
      </c>
      <c r="H166" t="inlineStr">
        <is>
          <t>288.88</t>
        </is>
      </c>
      <c r="I166" t="inlineStr">
        <is>
          <t>14.7</t>
        </is>
      </c>
      <c r="J166" t="inlineStr">
        <is>
          <t>4.67</t>
        </is>
      </c>
      <c r="K166" t="inlineStr">
        <is>
          <t>128</t>
        </is>
      </c>
      <c r="L166" t="inlineStr">
        <is>
          <t>76.45</t>
        </is>
      </c>
      <c r="M166" t="inlineStr">
        <is>
          <t>3.7</t>
        </is>
      </c>
      <c r="N166" t="inlineStr">
        <is>
          <t>412</t>
        </is>
      </c>
    </row>
    <row r="167">
      <c r="A167" t="inlineStr">
        <is>
          <t>870</t>
        </is>
      </c>
      <c r="B167" t="inlineStr">
        <is>
          <t>2RS</t>
        </is>
      </c>
      <c r="C167" t="inlineStr">
        <is>
          <t>TRAVELER</t>
        </is>
      </c>
      <c r="D167" t="inlineStr">
        <is>
          <t>2024-09-08T00:00:00</t>
        </is>
      </c>
      <c r="E167" t="inlineStr">
        <is>
          <t>2024-09-16T00:00:00</t>
        </is>
      </c>
      <c r="F167" t="inlineStr">
        <is>
          <t>85.47</t>
        </is>
      </c>
      <c r="G167" t="inlineStr">
        <is>
          <t>95.3</t>
        </is>
      </c>
      <c r="H167" t="inlineStr">
        <is>
          <t>286.83</t>
        </is>
      </c>
      <c r="I167" t="inlineStr">
        <is>
          <t>14.4</t>
        </is>
      </c>
      <c r="J167" t="inlineStr">
        <is>
          <t>4.57</t>
        </is>
      </c>
      <c r="K167" t="inlineStr">
        <is>
          <t>139</t>
        </is>
      </c>
      <c r="L167" t="inlineStr">
        <is>
          <t>77.16</t>
        </is>
      </c>
      <c r="M167" t="inlineStr">
        <is>
          <t>4.0999999999999996</t>
        </is>
      </c>
      <c r="N167" t="inlineStr">
        <is>
          <t>465</t>
        </is>
      </c>
    </row>
    <row r="168">
      <c r="A168" t="inlineStr">
        <is>
          <t>871</t>
        </is>
      </c>
      <c r="B168" t="inlineStr">
        <is>
          <t>2RS</t>
        </is>
      </c>
      <c r="C168" t="inlineStr">
        <is>
          <t>TRAVELER</t>
        </is>
      </c>
      <c r="D168" t="inlineStr">
        <is>
          <t>2024-09-09T00:00:00</t>
        </is>
      </c>
      <c r="E168" t="inlineStr">
        <is>
          <t>2024-09-17T00:00:00</t>
        </is>
      </c>
      <c r="F168" t="inlineStr">
        <is>
          <t>83.53</t>
        </is>
      </c>
      <c r="G168" t="inlineStr">
        <is>
          <t>94</t>
        </is>
      </c>
      <c r="H168" t="inlineStr">
        <is>
          <t>284.91000000000003</t>
        </is>
      </c>
      <c r="I168" t="inlineStr">
        <is>
          <t>15</t>
        </is>
      </c>
      <c r="J168" t="inlineStr">
        <is>
          <t>4.3600000000000003</t>
        </is>
      </c>
      <c r="K168" t="inlineStr">
        <is>
          <t>142</t>
        </is>
      </c>
      <c r="L168" t="inlineStr">
        <is>
          <t>79.28</t>
        </is>
      </c>
      <c r="M168" t="inlineStr">
        <is>
          <t>4.22</t>
        </is>
      </c>
      <c r="N168" t="inlineStr">
        <is>
          <t>274</t>
        </is>
      </c>
    </row>
    <row r="169">
      <c r="A169" t="inlineStr">
        <is>
          <t>872</t>
        </is>
      </c>
      <c r="B169" t="inlineStr">
        <is>
          <t>2RS</t>
        </is>
      </c>
      <c r="C169" t="inlineStr">
        <is>
          <t>TRAVELER</t>
        </is>
      </c>
      <c r="D169" t="inlineStr">
        <is>
          <t>2024-09-11T00:00:00</t>
        </is>
      </c>
      <c r="E169" t="inlineStr">
        <is>
          <t>2024-09-19T00:00:00</t>
        </is>
      </c>
      <c r="F169" t="inlineStr">
        <is>
          <t>83.35</t>
        </is>
      </c>
      <c r="G169" t="inlineStr">
        <is>
          <t>93.4</t>
        </is>
      </c>
      <c r="H169" t="inlineStr">
        <is>
          <t>285.41000000000003</t>
        </is>
      </c>
      <c r="I169" t="inlineStr">
        <is>
          <t>14.6</t>
        </is>
      </c>
      <c r="J169" t="inlineStr">
        <is>
          <t>4.33</t>
        </is>
      </c>
      <c r="K169" t="inlineStr">
        <is>
          <t>132</t>
        </is>
      </c>
      <c r="L169" t="inlineStr">
        <is>
          <t>76.739999999999995</t>
        </is>
      </c>
      <c r="M169" t="inlineStr">
        <is>
          <t>4.4000000000000004</t>
        </is>
      </c>
      <c r="N169" t="inlineStr">
        <is>
          <t>315</t>
        </is>
      </c>
    </row>
    <row r="170">
      <c r="A170" t="inlineStr">
        <is>
          <t>873</t>
        </is>
      </c>
      <c r="B170" t="inlineStr">
        <is>
          <t>2RS</t>
        </is>
      </c>
      <c r="C170" t="inlineStr">
        <is>
          <t>TRAVELER</t>
        </is>
      </c>
      <c r="D170" t="inlineStr">
        <is>
          <t>2024-09-12T00:00:00</t>
        </is>
      </c>
      <c r="E170" t="inlineStr">
        <is>
          <t>2024-09-20T00:00:00</t>
        </is>
      </c>
      <c r="F170" t="inlineStr">
        <is>
          <t>83.95</t>
        </is>
      </c>
      <c r="G170" t="inlineStr">
        <is>
          <t>93.8</t>
        </is>
      </c>
      <c r="H170" t="inlineStr">
        <is>
          <t>285.56</t>
        </is>
      </c>
      <c r="I170" t="inlineStr">
        <is>
          <t>14.7</t>
        </is>
      </c>
      <c r="J170" t="inlineStr">
        <is>
          <t>4.71</t>
        </is>
      </c>
      <c r="K170" t="inlineStr">
        <is>
          <t>132</t>
        </is>
      </c>
      <c r="L170" t="inlineStr">
        <is>
          <t>77.67</t>
        </is>
      </c>
      <c r="M170" t="inlineStr">
        <is>
          <t>4.0999999999999996</t>
        </is>
      </c>
      <c r="N170" t="inlineStr">
        <is>
          <t>346</t>
        </is>
      </c>
    </row>
    <row r="171">
      <c r="A171" t="inlineStr">
        <is>
          <t>874</t>
        </is>
      </c>
      <c r="B171" t="inlineStr">
        <is>
          <t>IBON</t>
        </is>
      </c>
      <c r="C171" t="inlineStr">
        <is>
          <t>IBON</t>
        </is>
      </c>
      <c r="D171" t="inlineStr">
        <is>
          <t>2024-09-13T00:00:00</t>
        </is>
      </c>
      <c r="E171" t="inlineStr">
        <is>
          <t>2024-09-21T00:00:00</t>
        </is>
      </c>
      <c r="F171" t="inlineStr">
        <is>
          <t>83.95</t>
        </is>
      </c>
      <c r="G171" t="inlineStr">
        <is>
          <t>93.3</t>
        </is>
      </c>
      <c r="H171" t="inlineStr">
        <is>
          <t>281.7</t>
        </is>
      </c>
      <c r="I171" t="inlineStr">
        <is>
          <t>14.5</t>
        </is>
      </c>
      <c r="J171" t="inlineStr">
        <is>
          <t>4.96</t>
        </is>
      </c>
      <c r="K171" t="inlineStr">
        <is>
          <t>142</t>
        </is>
      </c>
      <c r="L171" t="inlineStr">
        <is>
          <t>54.94</t>
        </is>
      </c>
      <c r="M171" t="inlineStr">
        <is>
          <t>4.9000000000000004</t>
        </is>
      </c>
      <c r="N171" t="inlineStr">
        <is>
          <t>598</t>
        </is>
      </c>
    </row>
    <row r="172">
      <c r="A172" t="inlineStr">
        <is>
          <t>875</t>
        </is>
      </c>
      <c r="B172" t="inlineStr">
        <is>
          <t>2RS</t>
        </is>
      </c>
      <c r="C172" t="inlineStr">
        <is>
          <t>TRAVELER</t>
        </is>
      </c>
      <c r="D172" t="inlineStr">
        <is>
          <t>2024-09-15T00:00:00</t>
        </is>
      </c>
      <c r="E172" t="inlineStr">
        <is>
          <t>2024-09-23T00:00:00</t>
        </is>
      </c>
      <c r="F172" t="inlineStr">
        <is>
          <t>83.1</t>
        </is>
      </c>
      <c r="G172" t="inlineStr">
        <is>
          <t>93.2</t>
        </is>
      </c>
      <c r="H172" t="inlineStr">
        <is>
          <t>282.51</t>
        </is>
      </c>
      <c r="I172" t="inlineStr">
        <is>
          <t>14.8</t>
        </is>
      </c>
      <c r="J172" t="inlineStr">
        <is>
          <t>4.45</t>
        </is>
      </c>
      <c r="K172" t="inlineStr">
        <is>
          <t>137</t>
        </is>
      </c>
      <c r="L172" t="inlineStr">
        <is>
          <t>85.5</t>
        </is>
      </c>
      <c r="M172" t="inlineStr">
        <is>
          <t>4.0999999999999996</t>
        </is>
      </c>
      <c r="N172" t="inlineStr">
        <is>
          <t>223</t>
        </is>
      </c>
    </row>
    <row r="173">
      <c r="A173" t="inlineStr">
        <is>
          <t>876</t>
        </is>
      </c>
      <c r="B173" t="inlineStr">
        <is>
          <t>2RS</t>
        </is>
      </c>
      <c r="C173" t="inlineStr">
        <is>
          <t>TRAVELER</t>
        </is>
      </c>
      <c r="D173" t="inlineStr">
        <is>
          <t>2024-09-16T00:00:00</t>
        </is>
      </c>
      <c r="E173" t="inlineStr">
        <is>
          <t>2024-09-24T00:00:00</t>
        </is>
      </c>
      <c r="F173" t="inlineStr">
        <is>
          <t>83.25</t>
        </is>
      </c>
      <c r="G173" t="inlineStr">
        <is>
          <t>93.7</t>
        </is>
      </c>
      <c r="H173" t="inlineStr">
        <is>
          <t>285.11</t>
        </is>
      </c>
      <c r="I173" t="inlineStr">
        <is>
          <t>15</t>
        </is>
      </c>
      <c r="J173" t="inlineStr">
        <is>
          <t>4.33</t>
        </is>
      </c>
      <c r="K173" t="inlineStr">
        <is>
          <t>140</t>
        </is>
      </c>
      <c r="L173" t="inlineStr">
        <is>
          <t>79.599999999999994</t>
        </is>
      </c>
      <c r="M173" t="inlineStr">
        <is>
          <t>3.9</t>
        </is>
      </c>
      <c r="N173" t="inlineStr">
        <is>
          <t>287</t>
        </is>
      </c>
    </row>
    <row r="174">
      <c r="A174" t="inlineStr">
        <is>
          <t>877</t>
        </is>
      </c>
      <c r="B174" t="inlineStr">
        <is>
          <t>2RS</t>
        </is>
      </c>
      <c r="C174" t="inlineStr">
        <is>
          <t>TRAVELER</t>
        </is>
      </c>
      <c r="D174" t="inlineStr">
        <is>
          <t>2024-09-17T00:00:00</t>
        </is>
      </c>
      <c r="E174" t="inlineStr">
        <is>
          <t>2024-09-25T00:00:00</t>
        </is>
      </c>
      <c r="F174" t="inlineStr">
        <is>
          <t>83.65</t>
        </is>
      </c>
      <c r="G174" t="inlineStr">
        <is>
          <t>94.1</t>
        </is>
      </c>
      <c r="H174" t="inlineStr">
        <is>
          <t>285.54000000000002</t>
        </is>
      </c>
      <c r="I174" t="inlineStr">
        <is>
          <t>15</t>
        </is>
      </c>
      <c r="J174" t="inlineStr">
        <is>
          <t>4.4000000000000004</t>
        </is>
      </c>
      <c r="K174" t="inlineStr">
        <is>
          <t>143</t>
        </is>
      </c>
      <c r="L174" t="inlineStr">
        <is>
          <t>70.849999999999994</t>
        </is>
      </c>
      <c r="M174" t="inlineStr">
        <is>
          <t>4.3499999999999996</t>
        </is>
      </c>
      <c r="N174" t="inlineStr">
        <is>
          <t>342</t>
        </is>
      </c>
    </row>
    <row r="175">
      <c r="A175" t="inlineStr">
        <is>
          <t>878</t>
        </is>
      </c>
      <c r="B175" t="inlineStr">
        <is>
          <t>2RS</t>
        </is>
      </c>
      <c r="C175" t="inlineStr">
        <is>
          <t>TRAVELER</t>
        </is>
      </c>
      <c r="D175" t="inlineStr">
        <is>
          <t>2024-09-19T00:00:00</t>
        </is>
      </c>
      <c r="E175" t="inlineStr">
        <is>
          <t>2024-09-27T00:00:00</t>
        </is>
      </c>
      <c r="F175" t="inlineStr">
        <is>
          <t>83.41</t>
        </is>
      </c>
      <c r="G175" t="inlineStr">
        <is>
          <t>89.3</t>
        </is>
      </c>
      <c r="H175" t="inlineStr">
        <is>
          <t>286.35000000000002</t>
        </is>
      </c>
      <c r="I175" t="inlineStr">
        <is>
          <t>10.7</t>
        </is>
      </c>
      <c r="J175" t="inlineStr">
        <is>
          <t>4.41</t>
        </is>
      </c>
      <c r="K175" t="inlineStr">
        <is>
          <t>146</t>
        </is>
      </c>
      <c r="L175" t="inlineStr">
        <is>
          <t>77.19</t>
        </is>
      </c>
      <c r="M175" t="inlineStr">
        <is>
          <t>4.1500000000000004</t>
        </is>
      </c>
      <c r="N175" t="inlineStr">
        <is>
          <t>311</t>
        </is>
      </c>
    </row>
    <row r="176">
      <c r="A176" t="inlineStr">
        <is>
          <t>879</t>
        </is>
      </c>
      <c r="B176" t="inlineStr">
        <is>
          <t>2RS</t>
        </is>
      </c>
      <c r="C176" t="inlineStr">
        <is>
          <t>TRAVELER</t>
        </is>
      </c>
      <c r="D176" t="inlineStr">
        <is>
          <t>2024-09-20T00:00:00</t>
        </is>
      </c>
      <c r="E176" t="inlineStr">
        <is>
          <t>2024-09-28T00:00:00</t>
        </is>
      </c>
      <c r="F176" t="inlineStr">
        <is>
          <t>83.51</t>
        </is>
      </c>
      <c r="G176" t="inlineStr">
        <is>
          <t>93.8</t>
        </is>
      </c>
      <c r="H176" t="inlineStr">
        <is>
          <t>285.27999999999997</t>
        </is>
      </c>
      <c r="I176" t="inlineStr">
        <is>
          <t>15</t>
        </is>
      </c>
      <c r="J176" t="inlineStr">
        <is>
          <t>4.54</t>
        </is>
      </c>
      <c r="K176" t="inlineStr">
        <is>
          <t>137</t>
        </is>
      </c>
      <c r="L176" t="inlineStr">
        <is>
          <t>79.28</t>
        </is>
      </c>
      <c r="M176" t="inlineStr">
        <is>
          <t>4.0999999999999996</t>
        </is>
      </c>
      <c r="N176" t="inlineStr">
        <is>
          <t>287</t>
        </is>
      </c>
    </row>
    <row r="177">
      <c r="A177" t="inlineStr">
        <is>
          <t>880</t>
        </is>
      </c>
      <c r="B177" t="inlineStr">
        <is>
          <t>2RS</t>
        </is>
      </c>
      <c r="C177" t="inlineStr">
        <is>
          <t>TRAVELER</t>
        </is>
      </c>
      <c r="D177" t="inlineStr">
        <is>
          <t>2024-09-23T00:00:00</t>
        </is>
      </c>
      <c r="E177" t="inlineStr">
        <is>
          <t>2024-10-01T00:00:00</t>
        </is>
      </c>
      <c r="F177" t="inlineStr">
        <is>
          <t>83.67</t>
        </is>
      </c>
      <c r="G177" t="inlineStr">
        <is>
          <t>93.8</t>
        </is>
      </c>
      <c r="H177" t="inlineStr">
        <is>
          <t>285.38</t>
        </is>
      </c>
      <c r="I177" t="inlineStr">
        <is>
          <t>14.8</t>
        </is>
      </c>
      <c r="J177" t="inlineStr">
        <is>
          <t>4.49</t>
        </is>
      </c>
      <c r="K177" t="inlineStr">
        <is>
          <t>134</t>
        </is>
      </c>
      <c r="L177" t="inlineStr">
        <is>
          <t>76.400000000000006</t>
        </is>
      </c>
      <c r="M177" t="inlineStr">
        <is>
          <t>4.4000000000000004</t>
        </is>
      </c>
      <c r="N177" t="inlineStr">
        <is>
          <t>316</t>
        </is>
      </c>
    </row>
    <row r="178">
      <c r="A178" t="inlineStr">
        <is>
          <t>881</t>
        </is>
      </c>
      <c r="B178" t="inlineStr">
        <is>
          <t>2RS</t>
        </is>
      </c>
      <c r="C178" t="inlineStr">
        <is>
          <t>TRAVELER</t>
        </is>
      </c>
      <c r="D178" t="inlineStr">
        <is>
          <t>2024-09-25T00:00:00</t>
        </is>
      </c>
      <c r="E178" t="inlineStr">
        <is>
          <t>2024-10-03T00:00:00</t>
        </is>
      </c>
      <c r="F178" t="inlineStr">
        <is>
          <t>83.64</t>
        </is>
      </c>
      <c r="G178" t="inlineStr">
        <is>
          <t>94</t>
        </is>
      </c>
      <c r="H178" t="inlineStr">
        <is>
          <t>285.66000000000003</t>
        </is>
      </c>
      <c r="I178" t="inlineStr">
        <is>
          <t>14.9</t>
        </is>
      </c>
      <c r="J178" t="inlineStr">
        <is>
          <t>4.37</t>
        </is>
      </c>
      <c r="K178" t="inlineStr">
        <is>
          <t>120</t>
        </is>
      </c>
      <c r="L178" t="inlineStr">
        <is>
          <t>77.31</t>
        </is>
      </c>
      <c r="M178" t="inlineStr">
        <is>
          <t>3.93</t>
        </is>
      </c>
      <c r="N178" t="inlineStr">
        <is>
          <t>421</t>
        </is>
      </c>
    </row>
    <row r="179">
      <c r="A179" t="inlineStr">
        <is>
          <t>882</t>
        </is>
      </c>
      <c r="B179" t="inlineStr">
        <is>
          <t>2RS</t>
        </is>
      </c>
      <c r="C179" t="inlineStr">
        <is>
          <t>TRAVELER</t>
        </is>
      </c>
      <c r="D179" t="inlineStr">
        <is>
          <t>2024-09-26T00:00:00</t>
        </is>
      </c>
      <c r="E179" t="inlineStr">
        <is>
          <t>2024-10-04T00:00:00</t>
        </is>
      </c>
      <c r="F179" t="inlineStr">
        <is>
          <t>84.03</t>
        </is>
      </c>
      <c r="G179" t="inlineStr">
        <is>
          <t>93.8</t>
        </is>
      </c>
      <c r="H179" t="inlineStr">
        <is>
          <t>282.89</t>
        </is>
      </c>
      <c r="I179" t="inlineStr">
        <is>
          <t>14.6</t>
        </is>
      </c>
      <c r="J179" t="inlineStr">
        <is>
          <t>4.67</t>
        </is>
      </c>
      <c r="K179" t="inlineStr">
        <is>
          <t>127</t>
        </is>
      </c>
      <c r="L179" t="inlineStr">
        <is>
          <t>75.959999999999994</t>
        </is>
      </c>
      <c r="M179" t="inlineStr">
        <is>
          <t>3.93</t>
        </is>
      </c>
      <c r="N179" t="inlineStr">
        <is>
          <t>399</t>
        </is>
      </c>
    </row>
    <row r="180">
      <c r="A180" t="inlineStr">
        <is>
          <t>883</t>
        </is>
      </c>
      <c r="B180" t="inlineStr">
        <is>
          <t>IBON</t>
        </is>
      </c>
      <c r="C180" t="inlineStr">
        <is>
          <t>IBON</t>
        </is>
      </c>
      <c r="D180" t="inlineStr">
        <is>
          <t>2024-09-30T00:00:00</t>
        </is>
      </c>
      <c r="E180" t="inlineStr">
        <is>
          <t>2024-10-08T00:00:00</t>
        </is>
      </c>
      <c r="F180" t="inlineStr">
        <is>
          <t>83.81</t>
        </is>
      </c>
      <c r="G180" t="inlineStr">
        <is>
          <t>93.6</t>
        </is>
      </c>
      <c r="H180" t="inlineStr">
        <is>
          <t>281.85000000000002</t>
        </is>
      </c>
      <c r="I180" t="inlineStr">
        <is>
          <t>14.9</t>
        </is>
      </c>
      <c r="J180" t="inlineStr">
        <is>
          <t>5.01</t>
        </is>
      </c>
      <c r="K180" t="inlineStr">
        <is>
          <t>129</t>
        </is>
      </c>
      <c r="L180" t="inlineStr">
        <is>
          <t>70.739999999999995</t>
        </is>
      </c>
      <c r="M180" t="inlineStr">
        <is>
          <t>4</t>
        </is>
      </c>
      <c r="N180" t="inlineStr">
        <is>
          <t>467</t>
        </is>
      </c>
    </row>
    <row r="181">
      <c r="A181" t="inlineStr">
        <is>
          <t>884</t>
        </is>
      </c>
      <c r="B181" t="inlineStr">
        <is>
          <t>2RS</t>
        </is>
      </c>
      <c r="C181" t="inlineStr">
        <is>
          <t>TRAVELER</t>
        </is>
      </c>
      <c r="D181" t="inlineStr">
        <is>
          <t>2024-10-02T00:00:00</t>
        </is>
      </c>
      <c r="E181" t="inlineStr">
        <is>
          <t>2024-10-10T00:00:00</t>
        </is>
      </c>
      <c r="F181" t="inlineStr">
        <is>
          <t>84.82</t>
        </is>
      </c>
      <c r="G181" t="inlineStr">
        <is>
          <t>94.5</t>
        </is>
      </c>
      <c r="H181" t="inlineStr">
        <is>
          <t>285.36</t>
        </is>
      </c>
      <c r="I181" t="inlineStr">
        <is>
          <t>14.5</t>
        </is>
      </c>
      <c r="J181" t="inlineStr">
        <is>
          <t>4.7699999999999996</t>
        </is>
      </c>
      <c r="K181" t="inlineStr">
        <is>
          <t>127</t>
        </is>
      </c>
      <c r="L181" t="inlineStr">
        <is>
          <t>68.739999999999995</t>
        </is>
      </c>
      <c r="M181" t="inlineStr">
        <is>
          <t>4.3</t>
        </is>
      </c>
      <c r="N181" t="inlineStr">
        <is>
          <t>520</t>
        </is>
      </c>
    </row>
    <row r="182">
      <c r="A182" t="inlineStr">
        <is>
          <t>885</t>
        </is>
      </c>
      <c r="B182" t="inlineStr">
        <is>
          <t>2RS</t>
        </is>
      </c>
      <c r="C182" t="inlineStr">
        <is>
          <t>FAQ</t>
        </is>
      </c>
      <c r="D182" t="inlineStr">
        <is>
          <t>2024-11-12T00:00:00</t>
        </is>
      </c>
      <c r="E182" t="inlineStr">
        <is>
          <t>2024-11-20T00:00:00</t>
        </is>
      </c>
      <c r="F182" t="inlineStr">
        <is>
          <t>84.21</t>
        </is>
      </c>
      <c r="G182" t="inlineStr">
        <is>
          <t>90.9</t>
        </is>
      </c>
      <c r="H182" t="inlineStr">
        <is>
          <t>289.82</t>
        </is>
      </c>
      <c r="I182" t="inlineStr">
        <is>
          <t>12.9</t>
        </is>
      </c>
      <c r="J182" t="inlineStr">
        <is>
          <t>5.93</t>
        </is>
      </c>
      <c r="K182" t="inlineStr">
        <is>
          <t>126</t>
        </is>
      </c>
      <c r="L182" t="inlineStr">
        <is>
          <t>80.2</t>
        </is>
      </c>
      <c r="M182" t="inlineStr">
        <is>
          <t>3.9</t>
        </is>
      </c>
      <c r="N182" t="inlineStr">
        <is>
          <t>246</t>
        </is>
      </c>
    </row>
    <row r="183">
      <c r="A183" t="inlineStr">
        <is>
          <t>886</t>
        </is>
      </c>
      <c r="B183" t="inlineStr">
        <is>
          <t>2RS</t>
        </is>
      </c>
      <c r="C183" t="inlineStr">
        <is>
          <t>FAQ</t>
        </is>
      </c>
      <c r="D183" t="inlineStr">
        <is>
          <t>2024-11-13T00:00:00</t>
        </is>
      </c>
      <c r="E183" t="inlineStr">
        <is>
          <t>2024-11-21T00:00:00</t>
        </is>
      </c>
      <c r="F183" t="inlineStr">
        <is>
          <t>81.31</t>
        </is>
      </c>
      <c r="G183" t="inlineStr">
        <is>
          <t>89.6</t>
        </is>
      </c>
      <c r="H183" t="inlineStr">
        <is>
          <t>289.47000000000003</t>
        </is>
      </c>
      <c r="I183" t="inlineStr">
        <is>
          <t>13.2</t>
        </is>
      </c>
      <c r="J183" t="inlineStr">
        <is>
          <t>4.3</t>
        </is>
      </c>
      <c r="K183" t="inlineStr">
        <is>
          <t>152</t>
        </is>
      </c>
      <c r="L183" t="inlineStr">
        <is>
          <t>87.92</t>
        </is>
      </c>
      <c r="M183" t="inlineStr">
        <is>
          <t>3.33</t>
        </is>
      </c>
      <c r="N183" t="inlineStr">
        <is>
          <t>272</t>
        </is>
      </c>
    </row>
    <row r="184">
      <c r="A184" t="inlineStr">
        <is>
          <t>887</t>
        </is>
      </c>
      <c r="B184" t="inlineStr">
        <is>
          <t>2RS</t>
        </is>
      </c>
      <c r="C184" t="inlineStr">
        <is>
          <t>FAQ</t>
        </is>
      </c>
      <c r="D184" t="inlineStr">
        <is>
          <t>2024-11-14T00:00:00</t>
        </is>
      </c>
      <c r="E184" t="inlineStr">
        <is>
          <t>2024-11-22T00:00:00</t>
        </is>
      </c>
      <c r="F184" t="inlineStr">
        <is>
          <t>84.06</t>
        </is>
      </c>
      <c r="G184" t="inlineStr">
        <is>
          <t>92.3</t>
        </is>
      </c>
      <c r="H184" t="inlineStr">
        <is>
          <t>285.74</t>
        </is>
      </c>
      <c r="I184" t="inlineStr">
        <is>
          <t>12.8</t>
        </is>
      </c>
      <c r="J184" t="inlineStr">
        <is>
          <t>4.2</t>
        </is>
      </c>
      <c r="K184" t="inlineStr">
        <is>
          <t>156</t>
        </is>
      </c>
      <c r="L184" t="inlineStr">
        <is>
          <t>90.72</t>
        </is>
      </c>
      <c r="M184" t="inlineStr">
        <is>
          <t>3.38</t>
        </is>
      </c>
      <c r="N184" t="inlineStr">
        <is>
          <t>236</t>
        </is>
      </c>
    </row>
    <row r="185">
      <c r="A185" t="inlineStr">
        <is>
          <t>888</t>
        </is>
      </c>
      <c r="B185" t="inlineStr">
        <is>
          <t>2RS</t>
        </is>
      </c>
      <c r="C185" t="inlineStr">
        <is>
          <t>FAQ</t>
        </is>
      </c>
      <c r="D185" t="inlineStr">
        <is>
          <t>2024-11-15T00:00:00</t>
        </is>
      </c>
      <c r="E185" t="inlineStr">
        <is>
          <t>2024-11-23T00:00:00</t>
        </is>
      </c>
      <c r="F185" t="inlineStr">
        <is>
          <t>83.95</t>
        </is>
      </c>
      <c r="G185" t="inlineStr">
        <is>
          <t>91.9</t>
        </is>
      </c>
      <c r="H185" t="inlineStr">
        <is>
          <t>286.19</t>
        </is>
      </c>
      <c r="I185" t="inlineStr">
        <is>
          <t>12.8</t>
        </is>
      </c>
      <c r="J185" t="inlineStr">
        <is>
          <t>4.51</t>
        </is>
      </c>
      <c r="K185" t="inlineStr">
        <is>
          <t>152</t>
        </is>
      </c>
      <c r="L185" t="inlineStr">
        <is>
          <t>88.55</t>
        </is>
      </c>
      <c r="M185" t="inlineStr">
        <is>
          <t>3.34</t>
        </is>
      </c>
      <c r="N185" t="inlineStr">
        <is>
          <t>258</t>
        </is>
      </c>
    </row>
    <row r="186">
      <c r="A186" t="inlineStr">
        <is>
          <t>889</t>
        </is>
      </c>
      <c r="B186" t="inlineStr">
        <is>
          <t>2RS</t>
        </is>
      </c>
      <c r="C186" t="inlineStr">
        <is>
          <t>FAQ</t>
        </is>
      </c>
      <c r="D186" t="inlineStr">
        <is>
          <t>2024-11-17T00:00:00</t>
        </is>
      </c>
      <c r="E186" t="inlineStr">
        <is>
          <t>2024-11-25T00:00:00</t>
        </is>
      </c>
      <c r="F186" t="inlineStr">
        <is>
          <t>84.26</t>
        </is>
      </c>
      <c r="G186" t="inlineStr">
        <is>
          <t>92.7</t>
        </is>
      </c>
      <c r="H186" t="inlineStr">
        <is>
          <t>286.14999999999998</t>
        </is>
      </c>
      <c r="I186" t="inlineStr">
        <is>
          <t>13</t>
        </is>
      </c>
      <c r="J186" t="inlineStr">
        <is>
          <t>4.2699999999999996</t>
        </is>
      </c>
      <c r="K186" t="inlineStr">
        <is>
          <t>133</t>
        </is>
      </c>
      <c r="L186" t="inlineStr">
        <is>
          <t>87.5</t>
        </is>
      </c>
      <c r="M186" t="inlineStr">
        <is>
          <t>3.1</t>
        </is>
      </c>
      <c r="N186" t="inlineStr">
        <is>
          <t>343</t>
        </is>
      </c>
    </row>
    <row r="187">
      <c r="A187" t="inlineStr">
        <is>
          <t>890</t>
        </is>
      </c>
      <c r="B187" t="inlineStr">
        <is>
          <t>2RS</t>
        </is>
      </c>
      <c r="C187" t="inlineStr">
        <is>
          <t>FAQ</t>
        </is>
      </c>
      <c r="D187" t="inlineStr">
        <is>
          <t>2024-11-18T00:00:00</t>
        </is>
      </c>
      <c r="E187" t="inlineStr">
        <is>
          <t>2024-11-26T00:00:00</t>
        </is>
      </c>
      <c r="F187" t="inlineStr">
        <is>
          <t>86.01</t>
        </is>
      </c>
      <c r="G187" t="inlineStr"/>
      <c r="H187" t="inlineStr">
        <is>
          <t>285.62</t>
        </is>
      </c>
      <c r="I187" t="inlineStr"/>
      <c r="J187" t="inlineStr">
        <is>
          <t>4.04</t>
        </is>
      </c>
      <c r="K187" t="inlineStr">
        <is>
          <t>148</t>
        </is>
      </c>
      <c r="L187" t="inlineStr">
        <is>
          <t>88.54</t>
        </is>
      </c>
      <c r="M187" t="inlineStr">
        <is>
          <t>3.4</t>
        </is>
      </c>
      <c r="N187" t="inlineStr">
        <is>
          <t>314</t>
        </is>
      </c>
    </row>
    <row r="188">
      <c r="A188" t="inlineStr">
        <is>
          <t>891</t>
        </is>
      </c>
      <c r="B188" t="inlineStr">
        <is>
          <t>2RS</t>
        </is>
      </c>
      <c r="C188" t="inlineStr">
        <is>
          <t>FAQ</t>
        </is>
      </c>
      <c r="D188" t="inlineStr">
        <is>
          <t>2024-11-19T00:00:00</t>
        </is>
      </c>
      <c r="E188" t="inlineStr">
        <is>
          <t>2024-11-27T00:00:00</t>
        </is>
      </c>
      <c r="F188" t="inlineStr">
        <is>
          <t>85.47</t>
        </is>
      </c>
      <c r="G188" t="inlineStr"/>
      <c r="H188" t="inlineStr">
        <is>
          <t>285.52999999999997</t>
        </is>
      </c>
      <c r="I188" t="inlineStr"/>
      <c r="J188" t="inlineStr">
        <is>
          <t>4.34</t>
        </is>
      </c>
      <c r="K188" t="inlineStr">
        <is>
          <t>137</t>
        </is>
      </c>
      <c r="L188" t="inlineStr">
        <is>
          <t>86.2</t>
        </is>
      </c>
      <c r="M188" t="inlineStr">
        <is>
          <t>3.2</t>
        </is>
      </c>
      <c r="N188" t="inlineStr">
        <is>
          <t>370</t>
        </is>
      </c>
    </row>
    <row r="189">
      <c r="A189" t="inlineStr">
        <is>
          <t>892</t>
        </is>
      </c>
      <c r="B189" t="inlineStr">
        <is>
          <t>2RS</t>
        </is>
      </c>
      <c r="C189" t="inlineStr">
        <is>
          <t>FAQ</t>
        </is>
      </c>
      <c r="D189" t="inlineStr">
        <is>
          <t>2024-11-20T00:00:00</t>
        </is>
      </c>
      <c r="E189" t="inlineStr">
        <is>
          <t>2024-11-28T00:00:00</t>
        </is>
      </c>
      <c r="F189" t="inlineStr">
        <is>
          <t>84.84</t>
        </is>
      </c>
      <c r="G189" t="inlineStr">
        <is>
          <t>93.1</t>
        </is>
      </c>
      <c r="H189" t="inlineStr">
        <is>
          <t>285.61</t>
        </is>
      </c>
      <c r="I189" t="inlineStr">
        <is>
          <t>13.1</t>
        </is>
      </c>
      <c r="J189" t="inlineStr">
        <is>
          <t>4.62</t>
        </is>
      </c>
      <c r="K189" t="inlineStr">
        <is>
          <t>128</t>
        </is>
      </c>
      <c r="L189" t="inlineStr">
        <is>
          <t>85.78</t>
        </is>
      </c>
      <c r="M189" t="inlineStr">
        <is>
          <t>3</t>
        </is>
      </c>
      <c r="N189" t="inlineStr">
        <is>
          <t>341</t>
        </is>
      </c>
    </row>
    <row r="190">
      <c r="A190" t="inlineStr">
        <is>
          <t>893</t>
        </is>
      </c>
      <c r="B190" t="inlineStr">
        <is>
          <t>2RS</t>
        </is>
      </c>
      <c r="C190" t="inlineStr">
        <is>
          <t>FAQ</t>
        </is>
      </c>
      <c r="D190" t="inlineStr">
        <is>
          <t>2024-11-22T00:00:00</t>
        </is>
      </c>
      <c r="E190" t="inlineStr">
        <is>
          <t>2024-11-30T00:00:00</t>
        </is>
      </c>
      <c r="F190" t="inlineStr">
        <is>
          <t>84.7</t>
        </is>
      </c>
      <c r="G190" t="inlineStr">
        <is>
          <t>93</t>
        </is>
      </c>
      <c r="H190" t="inlineStr">
        <is>
          <t>286.14</t>
        </is>
      </c>
      <c r="I190" t="inlineStr">
        <is>
          <t>13</t>
        </is>
      </c>
      <c r="J190" t="inlineStr">
        <is>
          <t>4.4800000000000004</t>
        </is>
      </c>
      <c r="K190" t="inlineStr">
        <is>
          <t>128</t>
        </is>
      </c>
      <c r="L190" t="inlineStr">
        <is>
          <t>84.39</t>
        </is>
      </c>
      <c r="M190" t="inlineStr">
        <is>
          <t>3</t>
        </is>
      </c>
      <c r="N190" t="inlineStr">
        <is>
          <t>286</t>
        </is>
      </c>
    </row>
    <row r="191">
      <c r="A191" t="inlineStr">
        <is>
          <t>894</t>
        </is>
      </c>
      <c r="B191" t="inlineStr">
        <is>
          <t>2RS</t>
        </is>
      </c>
      <c r="C191" t="inlineStr">
        <is>
          <t>FAQ</t>
        </is>
      </c>
      <c r="D191" t="inlineStr">
        <is>
          <t>2024-11-23T00:00:00</t>
        </is>
      </c>
      <c r="E191" t="inlineStr">
        <is>
          <t>2024-12-01T00:00:00</t>
        </is>
      </c>
      <c r="F191" t="inlineStr">
        <is>
          <t>84.99</t>
        </is>
      </c>
      <c r="G191" t="inlineStr">
        <is>
          <t>93.2</t>
        </is>
      </c>
      <c r="H191" t="inlineStr">
        <is>
          <t>286</t>
        </is>
      </c>
      <c r="I191" t="inlineStr">
        <is>
          <t>13.1</t>
        </is>
      </c>
      <c r="J191" t="inlineStr">
        <is>
          <t>4.74</t>
        </is>
      </c>
      <c r="K191" t="inlineStr">
        <is>
          <t>152</t>
        </is>
      </c>
      <c r="L191" t="inlineStr">
        <is>
          <t>86.42</t>
        </is>
      </c>
      <c r="M191" t="inlineStr">
        <is>
          <t>3.3</t>
        </is>
      </c>
      <c r="N191" t="inlineStr">
        <is>
          <t>277</t>
        </is>
      </c>
    </row>
    <row r="192">
      <c r="A192" t="inlineStr">
        <is>
          <t>895</t>
        </is>
      </c>
      <c r="B192" t="inlineStr">
        <is>
          <t>2RS</t>
        </is>
      </c>
      <c r="C192" t="inlineStr">
        <is>
          <t>FAQ</t>
        </is>
      </c>
      <c r="D192" t="inlineStr">
        <is>
          <t>2024-11-24T00:00:00</t>
        </is>
      </c>
      <c r="E192" t="inlineStr">
        <is>
          <t>2024-11-30T00:00:00</t>
        </is>
      </c>
      <c r="F192" t="inlineStr">
        <is>
          <t>84.81</t>
        </is>
      </c>
      <c r="G192" t="inlineStr">
        <is>
          <t>93.1</t>
        </is>
      </c>
      <c r="H192" t="inlineStr">
        <is>
          <t>286.8</t>
        </is>
      </c>
      <c r="I192" t="inlineStr">
        <is>
          <t>12.9</t>
        </is>
      </c>
      <c r="J192" t="inlineStr">
        <is>
          <t>4.4000000000000004</t>
        </is>
      </c>
      <c r="K192" t="inlineStr">
        <is>
          <t>141</t>
        </is>
      </c>
      <c r="L192" t="inlineStr">
        <is>
          <t>88.17</t>
        </is>
      </c>
      <c r="M192" t="inlineStr">
        <is>
          <t>3.2</t>
        </is>
      </c>
      <c r="N192" t="inlineStr">
        <is>
          <t>278</t>
        </is>
      </c>
    </row>
    <row r="193">
      <c r="A193" t="inlineStr">
        <is>
          <t>896</t>
        </is>
      </c>
      <c r="B193" t="inlineStr">
        <is>
          <t>2RS</t>
        </is>
      </c>
      <c r="C193" t="inlineStr">
        <is>
          <t>FAQ</t>
        </is>
      </c>
      <c r="D193" t="inlineStr">
        <is>
          <t>2024-11-25T00:00:00</t>
        </is>
      </c>
      <c r="E193" t="inlineStr">
        <is>
          <t>2024-12-02T00:00:00</t>
        </is>
      </c>
      <c r="F193" t="inlineStr">
        <is>
          <t>85.71</t>
        </is>
      </c>
      <c r="G193" t="inlineStr">
        <is>
          <t>94</t>
        </is>
      </c>
      <c r="H193" t="inlineStr">
        <is>
          <t>288.45999999999998</t>
        </is>
      </c>
      <c r="I193" t="inlineStr">
        <is>
          <t>12.8</t>
        </is>
      </c>
      <c r="J193" t="inlineStr">
        <is>
          <t>4.33</t>
        </is>
      </c>
      <c r="K193" t="inlineStr">
        <is>
          <t>138</t>
        </is>
      </c>
      <c r="L193" t="inlineStr">
        <is>
          <t>87.12</t>
        </is>
      </c>
      <c r="M193" t="inlineStr">
        <is>
          <t>2.8</t>
        </is>
      </c>
      <c r="N193" t="inlineStr">
        <is>
          <t>282</t>
        </is>
      </c>
    </row>
    <row r="194">
      <c r="A194" t="inlineStr">
        <is>
          <t>897</t>
        </is>
      </c>
      <c r="B194" t="inlineStr">
        <is>
          <t>2RS</t>
        </is>
      </c>
      <c r="C194" t="inlineStr">
        <is>
          <t>FAQ</t>
        </is>
      </c>
      <c r="D194" t="inlineStr">
        <is>
          <t>2024-11-26T00:00:00</t>
        </is>
      </c>
      <c r="E194" t="inlineStr">
        <is>
          <t>2024-12-03T00:00:00</t>
        </is>
      </c>
      <c r="F194" t="inlineStr">
        <is>
          <t>83.21</t>
        </is>
      </c>
      <c r="G194" t="inlineStr"/>
      <c r="H194" t="inlineStr">
        <is>
          <t>295.77999999999997</t>
        </is>
      </c>
      <c r="I194" t="inlineStr"/>
      <c r="J194" t="inlineStr">
        <is>
          <t>4.32</t>
        </is>
      </c>
      <c r="K194" t="inlineStr">
        <is>
          <t>132</t>
        </is>
      </c>
      <c r="L194" t="inlineStr">
        <is>
          <t>86.01</t>
        </is>
      </c>
      <c r="M194" t="inlineStr">
        <is>
          <t>4.3</t>
        </is>
      </c>
      <c r="N194" t="inlineStr">
        <is>
          <t>346</t>
        </is>
      </c>
    </row>
    <row r="195">
      <c r="A195" t="inlineStr">
        <is>
          <t>898</t>
        </is>
      </c>
      <c r="B195" t="inlineStr">
        <is>
          <t>2RS</t>
        </is>
      </c>
      <c r="C195" t="inlineStr">
        <is>
          <t>FAQ</t>
        </is>
      </c>
      <c r="D195" t="inlineStr">
        <is>
          <t>2024-11-28T00:00:00</t>
        </is>
      </c>
      <c r="E195" t="inlineStr">
        <is>
          <t>2024-12-04T00:00:00</t>
        </is>
      </c>
      <c r="F195" t="inlineStr">
        <is>
          <t>83.12</t>
        </is>
      </c>
      <c r="G195" t="inlineStr"/>
      <c r="H195" t="inlineStr">
        <is>
          <t>286.33</t>
        </is>
      </c>
      <c r="I195" t="inlineStr">
        <is>
          <t>12.9</t>
        </is>
      </c>
      <c r="J195" t="inlineStr"/>
      <c r="K195" t="inlineStr"/>
      <c r="L195" t="inlineStr"/>
      <c r="M195" t="inlineStr"/>
      <c r="N195" t="inlineStr"/>
    </row>
    <row r="196">
      <c r="A196" t="inlineStr">
        <is>
          <t>899</t>
        </is>
      </c>
      <c r="B196" t="inlineStr">
        <is>
          <t>2RS</t>
        </is>
      </c>
      <c r="C196" t="inlineStr">
        <is>
          <t>FAQ</t>
        </is>
      </c>
      <c r="D196" t="inlineStr">
        <is>
          <t>2024-11-29T00:00:00</t>
        </is>
      </c>
      <c r="E196" t="inlineStr">
        <is>
          <t>2024-12-05T00:00:00</t>
        </is>
      </c>
      <c r="F196" t="inlineStr">
        <is>
          <t>82.32</t>
        </is>
      </c>
      <c r="G196" t="inlineStr"/>
      <c r="H196" t="inlineStr">
        <is>
          <t>286.29000000000002</t>
        </is>
      </c>
      <c r="I196" t="inlineStr">
        <is>
          <t>13.1</t>
        </is>
      </c>
      <c r="J196" t="inlineStr"/>
      <c r="K196" t="inlineStr"/>
      <c r="L196" t="inlineStr"/>
      <c r="M196" t="inlineStr"/>
      <c r="N196" t="inlineStr"/>
    </row>
    <row r="197">
      <c r="A197" t="inlineStr">
        <is>
          <t>900</t>
        </is>
      </c>
      <c r="B197" t="inlineStr">
        <is>
          <t>2RS</t>
        </is>
      </c>
      <c r="C197" t="inlineStr">
        <is>
          <t>FAQ</t>
        </is>
      </c>
      <c r="D197" t="inlineStr">
        <is>
          <t>2024-11-30T00:00:00</t>
        </is>
      </c>
      <c r="E197" t="inlineStr">
        <is>
          <t>2024-12-07T00:00:00</t>
        </is>
      </c>
      <c r="F197" t="inlineStr">
        <is>
          <t>82.71</t>
        </is>
      </c>
      <c r="G197" t="inlineStr"/>
      <c r="H197" t="inlineStr">
        <is>
          <t>286.31</t>
        </is>
      </c>
      <c r="I197" t="inlineStr">
        <is>
          <t>13.2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901</t>
        </is>
      </c>
      <c r="B198" t="inlineStr">
        <is>
          <t>2RS</t>
        </is>
      </c>
      <c r="C198" t="inlineStr">
        <is>
          <t>FAQ</t>
        </is>
      </c>
      <c r="D198" t="inlineStr">
        <is>
          <t>2024-12-01T00:00:00</t>
        </is>
      </c>
      <c r="E198" t="inlineStr">
        <is>
          <t>2024-12-08T00:00:00</t>
        </is>
      </c>
      <c r="F198" t="inlineStr">
        <is>
          <t>83.6</t>
        </is>
      </c>
      <c r="G198" t="inlineStr">
        <is>
          <t>91.6</t>
        </is>
      </c>
      <c r="H198" t="inlineStr">
        <is>
          <t>285.25</t>
        </is>
      </c>
      <c r="I198" t="inlineStr">
        <is>
          <t>12.6</t>
        </is>
      </c>
      <c r="J198" t="inlineStr">
        <is>
          <t>4.24</t>
        </is>
      </c>
      <c r="K198" t="inlineStr">
        <is>
          <t>160</t>
        </is>
      </c>
      <c r="L198" t="inlineStr">
        <is>
          <t>88.79</t>
        </is>
      </c>
      <c r="M198" t="inlineStr">
        <is>
          <t>3.5</t>
        </is>
      </c>
      <c r="N198" t="inlineStr">
        <is>
          <t>362</t>
        </is>
      </c>
    </row>
    <row r="199">
      <c r="A199" t="inlineStr">
        <is>
          <t>902</t>
        </is>
      </c>
      <c r="B199" t="inlineStr">
        <is>
          <t>2RS</t>
        </is>
      </c>
      <c r="C199" t="inlineStr">
        <is>
          <t>FAQ</t>
        </is>
      </c>
      <c r="D199" t="inlineStr">
        <is>
          <t>2024-12-02T00:00:00</t>
        </is>
      </c>
      <c r="E199" t="inlineStr">
        <is>
          <t>2024-12-09T00:00:00</t>
        </is>
      </c>
      <c r="F199" t="inlineStr">
        <is>
          <t>83.86</t>
        </is>
      </c>
      <c r="G199" t="inlineStr">
        <is>
          <t>92</t>
        </is>
      </c>
      <c r="H199" t="inlineStr">
        <is>
          <t>285.5</t>
        </is>
      </c>
      <c r="I199" t="inlineStr">
        <is>
          <t>12.9</t>
        </is>
      </c>
      <c r="J199" t="inlineStr">
        <is>
          <t>4.3899999999999997</t>
        </is>
      </c>
      <c r="K199" t="inlineStr">
        <is>
          <t>134</t>
        </is>
      </c>
      <c r="L199" t="inlineStr">
        <is>
          <t>87.53</t>
        </is>
      </c>
      <c r="M199" t="inlineStr">
        <is>
          <t>2.9</t>
        </is>
      </c>
      <c r="N199" t="inlineStr">
        <is>
          <t>360</t>
        </is>
      </c>
    </row>
    <row r="200">
      <c r="A200" t="inlineStr">
        <is>
          <t>903</t>
        </is>
      </c>
      <c r="B200" t="inlineStr">
        <is>
          <t>2RS</t>
        </is>
      </c>
      <c r="C200" t="inlineStr">
        <is>
          <t>FAQ</t>
        </is>
      </c>
      <c r="D200" t="inlineStr">
        <is>
          <t>2024-12-04T00:00:00</t>
        </is>
      </c>
      <c r="E200" t="inlineStr">
        <is>
          <t>2024-12-12T00:00:00</t>
        </is>
      </c>
      <c r="F200" t="inlineStr">
        <is>
          <t>83.41</t>
        </is>
      </c>
      <c r="G200" t="inlineStr">
        <is>
          <t>91.5</t>
        </is>
      </c>
      <c r="H200" t="inlineStr">
        <is>
          <t>285.41000000000003</t>
        </is>
      </c>
      <c r="I200" t="inlineStr">
        <is>
          <t>12.7</t>
        </is>
      </c>
      <c r="J200" t="inlineStr">
        <is>
          <t>4.26</t>
        </is>
      </c>
      <c r="K200" t="inlineStr">
        <is>
          <t>163</t>
        </is>
      </c>
      <c r="L200" t="inlineStr">
        <is>
          <t>88.24</t>
        </is>
      </c>
      <c r="M200" t="inlineStr">
        <is>
          <t>3.7</t>
        </is>
      </c>
      <c r="N200" t="inlineStr">
        <is>
          <t>320</t>
        </is>
      </c>
    </row>
    <row r="201">
      <c r="A201" t="inlineStr">
        <is>
          <t>904</t>
        </is>
      </c>
      <c r="B201" t="inlineStr">
        <is>
          <t>2RS</t>
        </is>
      </c>
      <c r="C201" t="inlineStr">
        <is>
          <t>FAQ</t>
        </is>
      </c>
      <c r="D201" t="inlineStr">
        <is>
          <t>2024-12-05T00:00:00</t>
        </is>
      </c>
      <c r="E201" t="inlineStr">
        <is>
          <t>2024-12-12T00:00:00</t>
        </is>
      </c>
      <c r="F201" t="inlineStr">
        <is>
          <t>83.97</t>
        </is>
      </c>
      <c r="G201" t="inlineStr"/>
      <c r="H201" t="inlineStr">
        <is>
          <t>286.11</t>
        </is>
      </c>
      <c r="I201" t="inlineStr">
        <is>
          <t>12.9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905</t>
        </is>
      </c>
      <c r="B202" t="inlineStr">
        <is>
          <t>2RS</t>
        </is>
      </c>
      <c r="C202" t="inlineStr">
        <is>
          <t>FAQ</t>
        </is>
      </c>
      <c r="D202" t="inlineStr">
        <is>
          <t>2024-12-06T00:00:00</t>
        </is>
      </c>
      <c r="E202" t="inlineStr">
        <is>
          <t>2024-12-13T00:00:00</t>
        </is>
      </c>
      <c r="F202" t="inlineStr">
        <is>
          <t>84.29</t>
        </is>
      </c>
      <c r="G202" t="inlineStr"/>
      <c r="H202" t="inlineStr">
        <is>
          <t>284.37</t>
        </is>
      </c>
      <c r="I202" t="inlineStr">
        <is>
          <t>13.1</t>
        </is>
      </c>
      <c r="J202" t="inlineStr"/>
      <c r="K202" t="inlineStr"/>
      <c r="L202" t="inlineStr"/>
      <c r="M202" t="inlineStr"/>
      <c r="N202" t="inlineStr"/>
    </row>
    <row r="203">
      <c r="A203" t="inlineStr">
        <is>
          <t>906</t>
        </is>
      </c>
      <c r="B203" t="inlineStr">
        <is>
          <t>2RS</t>
        </is>
      </c>
      <c r="C203" t="inlineStr">
        <is>
          <t>FAQ</t>
        </is>
      </c>
      <c r="D203" t="inlineStr">
        <is>
          <t>2024-12-07T00:00:00</t>
        </is>
      </c>
      <c r="E203" t="inlineStr">
        <is>
          <t>2024-12-14T00:00:00</t>
        </is>
      </c>
      <c r="F203" t="inlineStr">
        <is>
          <t>80.88</t>
        </is>
      </c>
      <c r="G203" t="inlineStr"/>
      <c r="H203" t="inlineStr">
        <is>
          <t>286.56</t>
        </is>
      </c>
      <c r="I203" t="inlineStr">
        <is>
          <t>12.8</t>
        </is>
      </c>
      <c r="J203" t="inlineStr"/>
      <c r="K203" t="inlineStr"/>
      <c r="L203" t="inlineStr"/>
      <c r="M203" t="inlineStr"/>
      <c r="N203" t="inlineStr"/>
    </row>
    <row r="204">
      <c r="A204" t="inlineStr">
        <is>
          <t>907</t>
        </is>
      </c>
      <c r="B204" t="inlineStr">
        <is>
          <t>2RS</t>
        </is>
      </c>
      <c r="C204" t="inlineStr">
        <is>
          <t>FAQ</t>
        </is>
      </c>
      <c r="D204" t="inlineStr">
        <is>
          <t>2024-12-09T00:00:00</t>
        </is>
      </c>
      <c r="E204" t="inlineStr">
        <is>
          <t>2024-12-17T00:00:00</t>
        </is>
      </c>
      <c r="F204" t="inlineStr">
        <is>
          <t>85.82</t>
        </is>
      </c>
      <c r="G204" t="inlineStr"/>
      <c r="H204" t="inlineStr">
        <is>
          <t>286.55</t>
        </is>
      </c>
      <c r="I204" t="inlineStr">
        <is>
          <t>12.8</t>
        </is>
      </c>
      <c r="J204" t="inlineStr"/>
      <c r="K204" t="inlineStr"/>
      <c r="L204" t="inlineStr"/>
      <c r="M204" t="inlineStr"/>
      <c r="N204" t="inlineStr"/>
    </row>
    <row r="205">
      <c r="A205" t="inlineStr">
        <is>
          <t>908</t>
        </is>
      </c>
      <c r="B205" t="inlineStr">
        <is>
          <t>2RS</t>
        </is>
      </c>
      <c r="C205" t="inlineStr">
        <is>
          <t>FAQ</t>
        </is>
      </c>
      <c r="D205" t="inlineStr">
        <is>
          <t>2024-12-10T00:00:00</t>
        </is>
      </c>
      <c r="E205" t="inlineStr">
        <is>
          <t>2024-12-17T00:00:00</t>
        </is>
      </c>
      <c r="F205" t="inlineStr">
        <is>
          <t>83.29</t>
        </is>
      </c>
      <c r="G205" t="inlineStr"/>
      <c r="H205" t="inlineStr">
        <is>
          <t>286.47000000000003</t>
        </is>
      </c>
      <c r="I205" t="inlineStr">
        <is>
          <t>12.7</t>
        </is>
      </c>
      <c r="J205" t="inlineStr"/>
      <c r="K205" t="inlineStr"/>
      <c r="L205" t="inlineStr"/>
      <c r="M205" t="inlineStr"/>
      <c r="N205" t="inlineStr"/>
    </row>
    <row r="206">
      <c r="A206" t="inlineStr">
        <is>
          <t>909</t>
        </is>
      </c>
      <c r="B206" t="inlineStr">
        <is>
          <t>2RS</t>
        </is>
      </c>
      <c r="C206" t="inlineStr">
        <is>
          <t>FAQ</t>
        </is>
      </c>
      <c r="D206" t="inlineStr">
        <is>
          <t>2024-12-11T00:00:00</t>
        </is>
      </c>
      <c r="E206" t="inlineStr">
        <is>
          <t>2024-12-18T00:00:00</t>
        </is>
      </c>
      <c r="F206" t="inlineStr">
        <is>
          <t>83.4</t>
        </is>
      </c>
      <c r="G206" t="inlineStr"/>
      <c r="H206" t="inlineStr">
        <is>
          <t>286.7</t>
        </is>
      </c>
      <c r="I206" t="inlineStr">
        <is>
          <t>12.7</t>
        </is>
      </c>
      <c r="J206" t="inlineStr"/>
      <c r="K206" t="inlineStr"/>
      <c r="L206" t="inlineStr"/>
      <c r="M206" t="inlineStr"/>
      <c r="N206" t="inlineStr"/>
    </row>
    <row r="207">
      <c r="A207" t="inlineStr">
        <is>
          <t>910</t>
        </is>
      </c>
      <c r="B207" t="inlineStr">
        <is>
          <t>2RS</t>
        </is>
      </c>
      <c r="C207" t="inlineStr">
        <is>
          <t>FAQ</t>
        </is>
      </c>
      <c r="D207" t="inlineStr">
        <is>
          <t>2024-12-12T00:00:00</t>
        </is>
      </c>
      <c r="E207" t="inlineStr">
        <is>
          <t>2024-12-19T00:00:00</t>
        </is>
      </c>
      <c r="F207" t="inlineStr">
        <is>
          <t>84.55</t>
        </is>
      </c>
      <c r="G207" t="inlineStr"/>
      <c r="H207" t="inlineStr">
        <is>
          <t>286.69</t>
        </is>
      </c>
      <c r="I207" t="inlineStr">
        <is>
          <t>12.7</t>
        </is>
      </c>
      <c r="J207" t="inlineStr"/>
      <c r="K207" t="inlineStr"/>
      <c r="L207" t="inlineStr"/>
      <c r="M207" t="inlineStr"/>
      <c r="N207" t="inlineStr"/>
    </row>
    <row r="208">
      <c r="A208" t="inlineStr">
        <is>
          <t>911</t>
        </is>
      </c>
      <c r="B208" t="inlineStr">
        <is>
          <t>2RS</t>
        </is>
      </c>
      <c r="C208" t="inlineStr">
        <is>
          <t>FAQ</t>
        </is>
      </c>
      <c r="D208" t="inlineStr">
        <is>
          <t>2024-12-15T00:00:00</t>
        </is>
      </c>
      <c r="E208" t="inlineStr">
        <is>
          <t>2024-12-21T00:00:00</t>
        </is>
      </c>
      <c r="F208" t="inlineStr">
        <is>
          <t>85.48</t>
        </is>
      </c>
      <c r="G208" t="inlineStr"/>
      <c r="H208" t="inlineStr">
        <is>
          <t>287.04000000000002</t>
        </is>
      </c>
      <c r="I208" t="inlineStr">
        <is>
          <t>12.8</t>
        </is>
      </c>
      <c r="J208" t="inlineStr"/>
      <c r="K208" t="inlineStr"/>
      <c r="L208" t="inlineStr"/>
      <c r="M208" t="inlineStr"/>
      <c r="N208" t="inlineStr"/>
    </row>
    <row r="209">
      <c r="A209" t="inlineStr">
        <is>
          <t>912</t>
        </is>
      </c>
      <c r="B209" t="inlineStr">
        <is>
          <t>2RS</t>
        </is>
      </c>
      <c r="C209" t="inlineStr">
        <is>
          <t>FAQ</t>
        </is>
      </c>
      <c r="D209" t="inlineStr">
        <is>
          <t>2024-12-16T00:00:00</t>
        </is>
      </c>
      <c r="E209" t="inlineStr">
        <is>
          <t>2024-12-24T00:00:00</t>
        </is>
      </c>
      <c r="F209" t="inlineStr">
        <is>
          <t>86.16</t>
        </is>
      </c>
      <c r="G209" t="inlineStr"/>
      <c r="H209" t="inlineStr">
        <is>
          <t>286.33999999999997</t>
        </is>
      </c>
      <c r="I209" t="inlineStr">
        <is>
          <t>12.7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913</t>
        </is>
      </c>
      <c r="B210" t="inlineStr">
        <is>
          <t>2RS</t>
        </is>
      </c>
      <c r="C210" t="inlineStr">
        <is>
          <t>FAQ</t>
        </is>
      </c>
      <c r="D210" t="inlineStr">
        <is>
          <t>2024-12-17T00:00:00</t>
        </is>
      </c>
      <c r="E210" t="inlineStr">
        <is>
          <t>2024-12-24T00:00:00</t>
        </is>
      </c>
      <c r="F210" t="inlineStr">
        <is>
          <t>86.39</t>
        </is>
      </c>
      <c r="G210" t="inlineStr"/>
      <c r="H210" t="inlineStr">
        <is>
          <t>286.70999999999998</t>
        </is>
      </c>
      <c r="I210" t="inlineStr">
        <is>
          <t>12.7</t>
        </is>
      </c>
      <c r="J210" t="inlineStr"/>
      <c r="K210" t="inlineStr"/>
      <c r="L210" t="inlineStr"/>
      <c r="M210" t="inlineStr"/>
      <c r="N210" t="inlineStr"/>
    </row>
    <row r="211">
      <c r="A211" t="inlineStr">
        <is>
          <t>914</t>
        </is>
      </c>
      <c r="B211" t="inlineStr">
        <is>
          <t>2RS</t>
        </is>
      </c>
      <c r="C211" t="inlineStr">
        <is>
          <t>FAQ</t>
        </is>
      </c>
      <c r="D211" t="inlineStr">
        <is>
          <t>2024-12-19T00:00:00</t>
        </is>
      </c>
      <c r="E211" t="inlineStr">
        <is>
          <t>2024-12-26T00:00:00</t>
        </is>
      </c>
      <c r="F211" t="inlineStr">
        <is>
          <t>86.06</t>
        </is>
      </c>
      <c r="G211" t="inlineStr"/>
      <c r="H211" t="inlineStr">
        <is>
          <t>286.79000000000002</t>
        </is>
      </c>
      <c r="I211" t="inlineStr">
        <is>
          <t>12.4</t>
        </is>
      </c>
      <c r="J211" t="inlineStr"/>
      <c r="K211" t="inlineStr"/>
      <c r="L211" t="inlineStr"/>
      <c r="M211" t="inlineStr"/>
      <c r="N211" t="inlineStr"/>
    </row>
    <row r="212">
      <c r="A212" t="inlineStr">
        <is>
          <t>915</t>
        </is>
      </c>
      <c r="B212" t="inlineStr">
        <is>
          <t>2RS</t>
        </is>
      </c>
      <c r="C212" t="inlineStr">
        <is>
          <t>FAQ</t>
        </is>
      </c>
      <c r="D212" t="inlineStr">
        <is>
          <t>2024-12-21T00:00:00</t>
        </is>
      </c>
      <c r="E212" t="inlineStr">
        <is>
          <t>2024-12-27T00:00:00</t>
        </is>
      </c>
      <c r="F212" t="inlineStr">
        <is>
          <t>86.1</t>
        </is>
      </c>
      <c r="G212" t="inlineStr"/>
      <c r="H212" t="inlineStr">
        <is>
          <t>286.51</t>
        </is>
      </c>
      <c r="I212" t="inlineStr">
        <is>
          <t>12.6</t>
        </is>
      </c>
      <c r="J212" t="inlineStr"/>
      <c r="K212" t="inlineStr"/>
      <c r="L212" t="inlineStr"/>
      <c r="M212" t="inlineStr"/>
      <c r="N212" t="inlineStr"/>
    </row>
    <row r="213">
      <c r="A213" t="inlineStr">
        <is>
          <t>916</t>
        </is>
      </c>
      <c r="B213" t="inlineStr">
        <is>
          <t>2RS</t>
        </is>
      </c>
      <c r="C213" t="inlineStr">
        <is>
          <t>FAQ</t>
        </is>
      </c>
      <c r="D213" t="inlineStr">
        <is>
          <t>2024-12-22T00:00:00</t>
        </is>
      </c>
      <c r="E213" t="inlineStr">
        <is>
          <t>2024-12-28T00:00:00</t>
        </is>
      </c>
      <c r="F213" t="inlineStr">
        <is>
          <t>84.15</t>
        </is>
      </c>
      <c r="G213" t="inlineStr"/>
      <c r="H213" t="inlineStr">
        <is>
          <t>285.14999999999998</t>
        </is>
      </c>
      <c r="I213" t="inlineStr">
        <is>
          <t>12.8</t>
        </is>
      </c>
      <c r="J213" t="inlineStr"/>
      <c r="K213" t="inlineStr"/>
      <c r="L213" t="inlineStr"/>
      <c r="M213" t="inlineStr"/>
      <c r="N213" t="inlineStr"/>
    </row>
    <row r="214">
      <c r="A214" t="inlineStr">
        <is>
          <t>917</t>
        </is>
      </c>
      <c r="B214" t="inlineStr">
        <is>
          <t>2RS</t>
        </is>
      </c>
      <c r="C214" t="inlineStr">
        <is>
          <t>FAQ</t>
        </is>
      </c>
      <c r="D214" t="inlineStr">
        <is>
          <t>2024-12-23T00:00:00</t>
        </is>
      </c>
      <c r="E214" t="inlineStr">
        <is>
          <t>2024-12-29T00:00:00</t>
        </is>
      </c>
      <c r="F214" t="inlineStr">
        <is>
          <t>83.83</t>
        </is>
      </c>
      <c r="G214" t="inlineStr"/>
      <c r="H214" t="inlineStr">
        <is>
          <t>284.82</t>
        </is>
      </c>
      <c r="I214" t="inlineStr">
        <is>
          <t>12.7</t>
        </is>
      </c>
      <c r="J214" t="inlineStr"/>
      <c r="K214" t="inlineStr"/>
      <c r="L214" t="inlineStr"/>
      <c r="M214" t="inlineStr"/>
      <c r="N214" t="inlineStr"/>
    </row>
    <row r="215">
      <c r="A215" t="inlineStr">
        <is>
          <t>918</t>
        </is>
      </c>
      <c r="B215" t="inlineStr">
        <is>
          <t>2RS</t>
        </is>
      </c>
      <c r="C215" t="inlineStr">
        <is>
          <t>FAQ</t>
        </is>
      </c>
      <c r="D215" t="inlineStr">
        <is>
          <t>2024-12-25T00:00:00</t>
        </is>
      </c>
      <c r="E215" t="inlineStr">
        <is>
          <t>2024-12-31T00:00:00</t>
        </is>
      </c>
      <c r="F215" t="inlineStr">
        <is>
          <t>85.03</t>
        </is>
      </c>
      <c r="G215" t="inlineStr"/>
      <c r="H215" t="inlineStr">
        <is>
          <t>286.61</t>
        </is>
      </c>
      <c r="I215" t="inlineStr">
        <is>
          <t>12.8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919</t>
        </is>
      </c>
      <c r="B216" t="inlineStr">
        <is>
          <t>2RS</t>
        </is>
      </c>
      <c r="C216" t="inlineStr">
        <is>
          <t>FAQ</t>
        </is>
      </c>
      <c r="D216" t="inlineStr">
        <is>
          <t>2024-12-26T00:00:00</t>
        </is>
      </c>
      <c r="E216" t="inlineStr">
        <is>
          <t>2025-01-01T00:00:00</t>
        </is>
      </c>
      <c r="F216" t="inlineStr">
        <is>
          <t>85.28</t>
        </is>
      </c>
      <c r="G216" t="inlineStr"/>
      <c r="H216" t="inlineStr">
        <is>
          <t>286.56</t>
        </is>
      </c>
      <c r="I216" t="inlineStr">
        <is>
          <t>12.8</t>
        </is>
      </c>
      <c r="J216" t="inlineStr"/>
      <c r="K216" t="inlineStr"/>
      <c r="L216" t="inlineStr"/>
      <c r="M216" t="inlineStr"/>
      <c r="N216" t="inlineStr"/>
    </row>
    <row r="217">
      <c r="A217" t="inlineStr">
        <is>
          <t>920</t>
        </is>
      </c>
      <c r="B217" t="inlineStr">
        <is>
          <t>2RS</t>
        </is>
      </c>
      <c r="C217" t="inlineStr">
        <is>
          <t>FAQ</t>
        </is>
      </c>
      <c r="D217" t="inlineStr">
        <is>
          <t>2024-12-27T00:00:00</t>
        </is>
      </c>
      <c r="E217" t="inlineStr">
        <is>
          <t>2025-01-03T00:00:00</t>
        </is>
      </c>
      <c r="F217" t="inlineStr">
        <is>
          <t>85.61</t>
        </is>
      </c>
      <c r="G217" t="inlineStr"/>
      <c r="H217" t="inlineStr">
        <is>
          <t>286.52</t>
        </is>
      </c>
      <c r="I217" t="inlineStr">
        <is>
          <t>12.8</t>
        </is>
      </c>
      <c r="J217" t="inlineStr"/>
      <c r="K217" t="inlineStr"/>
      <c r="L217" t="inlineStr"/>
      <c r="M217" t="inlineStr"/>
      <c r="N217" t="inlineStr"/>
    </row>
    <row r="218">
      <c r="A218" t="inlineStr">
        <is>
          <t>921</t>
        </is>
      </c>
      <c r="B218" t="inlineStr">
        <is>
          <t>2RS</t>
        </is>
      </c>
      <c r="C218" t="inlineStr">
        <is>
          <t>FAQ</t>
        </is>
      </c>
      <c r="D218" t="inlineStr">
        <is>
          <t>2024-12-28T00:00:00</t>
        </is>
      </c>
      <c r="E218" t="inlineStr">
        <is>
          <t>2025-01-04T00:00:00</t>
        </is>
      </c>
      <c r="F218" t="inlineStr">
        <is>
          <t>84.55</t>
        </is>
      </c>
      <c r="G218" t="inlineStr"/>
      <c r="H218" t="inlineStr">
        <is>
          <t>286.52</t>
        </is>
      </c>
      <c r="I218" t="inlineStr">
        <is>
          <t>12.7</t>
        </is>
      </c>
      <c r="J218" t="inlineStr"/>
      <c r="K218" t="inlineStr"/>
      <c r="L218" t="inlineStr"/>
      <c r="M218" t="inlineStr"/>
      <c r="N218" t="inlineStr"/>
    </row>
    <row r="219">
      <c r="A219" t="inlineStr">
        <is>
          <t>922</t>
        </is>
      </c>
      <c r="B219" t="inlineStr">
        <is>
          <t>2RS</t>
        </is>
      </c>
      <c r="C219" t="inlineStr">
        <is>
          <t>FAQ</t>
        </is>
      </c>
      <c r="D219" t="inlineStr">
        <is>
          <t>2024-12-30T00:00:00</t>
        </is>
      </c>
      <c r="E219" t="inlineStr">
        <is>
          <t>2025-01-05T00:00:00</t>
        </is>
      </c>
      <c r="F219" t="inlineStr">
        <is>
          <t>84.72</t>
        </is>
      </c>
      <c r="G219" t="inlineStr"/>
      <c r="H219" t="inlineStr">
        <is>
          <t>284.99</t>
        </is>
      </c>
      <c r="I219" t="inlineStr">
        <is>
          <t>12.7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923</t>
        </is>
      </c>
      <c r="B220" t="inlineStr">
        <is>
          <t>2RS</t>
        </is>
      </c>
      <c r="C220" t="inlineStr">
        <is>
          <t>FAQ</t>
        </is>
      </c>
      <c r="D220" t="inlineStr">
        <is>
          <t>2024-12-31T00:00:00</t>
        </is>
      </c>
      <c r="E220" t="inlineStr">
        <is>
          <t>2025-01-07T00:00:00</t>
        </is>
      </c>
      <c r="F220" t="inlineStr">
        <is>
          <t>84.98</t>
        </is>
      </c>
      <c r="G220" t="inlineStr"/>
      <c r="H220" t="inlineStr">
        <is>
          <t>285.01</t>
        </is>
      </c>
      <c r="I220" t="inlineStr">
        <is>
          <t>12.6</t>
        </is>
      </c>
      <c r="J220" t="inlineStr"/>
      <c r="K220" t="inlineStr"/>
      <c r="L220" t="inlineStr"/>
      <c r="M220" t="inlineStr"/>
      <c r="N220" t="inlineStr"/>
    </row>
    <row r="221">
      <c r="A221" t="inlineStr">
        <is>
          <t>924</t>
        </is>
      </c>
      <c r="B221" t="inlineStr">
        <is>
          <t>2RS</t>
        </is>
      </c>
      <c r="C221" t="inlineStr">
        <is>
          <t>FAQ</t>
        </is>
      </c>
      <c r="D221" t="inlineStr">
        <is>
          <t>2025-01-01T00:00:00</t>
        </is>
      </c>
      <c r="E221" t="inlineStr">
        <is>
          <t>2025-01-08T00:00:00</t>
        </is>
      </c>
      <c r="F221" t="inlineStr">
        <is>
          <t>84.05</t>
        </is>
      </c>
      <c r="G221" t="inlineStr"/>
      <c r="H221" t="inlineStr">
        <is>
          <t>286.52999999999997</t>
        </is>
      </c>
      <c r="I221" t="inlineStr">
        <is>
          <t>12.5</t>
        </is>
      </c>
      <c r="J221" t="inlineStr"/>
      <c r="K221" t="inlineStr"/>
      <c r="L221" t="inlineStr"/>
      <c r="M221" t="inlineStr"/>
      <c r="N221" t="inlineStr"/>
    </row>
    <row r="222">
      <c r="A222" t="inlineStr">
        <is>
          <t>925</t>
        </is>
      </c>
      <c r="B222" t="inlineStr">
        <is>
          <t>2RS</t>
        </is>
      </c>
      <c r="C222" t="inlineStr">
        <is>
          <t>FAQ</t>
        </is>
      </c>
      <c r="D222" t="inlineStr">
        <is>
          <t>2025-01-02T00:00:00</t>
        </is>
      </c>
      <c r="E222" t="inlineStr">
        <is>
          <t>2025-01-09T00:00:00</t>
        </is>
      </c>
      <c r="F222" t="inlineStr">
        <is>
          <t>84.06</t>
        </is>
      </c>
      <c r="G222" t="inlineStr"/>
      <c r="H222" t="inlineStr">
        <is>
          <t>286.29000000000002</t>
        </is>
      </c>
      <c r="I222" t="inlineStr">
        <is>
          <t>12.6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926</t>
        </is>
      </c>
      <c r="B223" t="inlineStr">
        <is>
          <t>2RS</t>
        </is>
      </c>
      <c r="C223" t="inlineStr">
        <is>
          <t>FAQ</t>
        </is>
      </c>
      <c r="D223" t="inlineStr">
        <is>
          <t>2025-01-03T00:00:00</t>
        </is>
      </c>
      <c r="E223" t="inlineStr">
        <is>
          <t>2025-01-10T00:00:00</t>
        </is>
      </c>
      <c r="F223" t="inlineStr">
        <is>
          <t>83.96</t>
        </is>
      </c>
      <c r="G223" t="inlineStr"/>
      <c r="H223" t="inlineStr">
        <is>
          <t>286.3</t>
        </is>
      </c>
      <c r="I223" t="inlineStr">
        <is>
          <t>12.6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927</t>
        </is>
      </c>
      <c r="B224" t="inlineStr">
        <is>
          <t>2RS</t>
        </is>
      </c>
      <c r="C224" t="inlineStr">
        <is>
          <t>FAQ</t>
        </is>
      </c>
      <c r="D224" t="inlineStr">
        <is>
          <t>2025-01-05T00:00:00</t>
        </is>
      </c>
      <c r="E224" t="inlineStr">
        <is>
          <t>2025-01-11T00:00:00</t>
        </is>
      </c>
      <c r="F224" t="inlineStr">
        <is>
          <t>84.39</t>
        </is>
      </c>
      <c r="G224" t="inlineStr"/>
      <c r="H224" t="inlineStr">
        <is>
          <t>286.17</t>
        </is>
      </c>
      <c r="I224" t="inlineStr">
        <is>
          <t>12.4</t>
        </is>
      </c>
      <c r="J224" t="inlineStr"/>
      <c r="K224" t="inlineStr"/>
      <c r="L224" t="inlineStr"/>
      <c r="M224" t="inlineStr"/>
      <c r="N224" t="inlineStr"/>
    </row>
    <row r="225">
      <c r="A225" t="inlineStr">
        <is>
          <t>928</t>
        </is>
      </c>
      <c r="B225" t="inlineStr">
        <is>
          <t>2RS</t>
        </is>
      </c>
      <c r="C225" t="inlineStr">
        <is>
          <t>FAQ</t>
        </is>
      </c>
      <c r="D225" t="inlineStr">
        <is>
          <t>2025-01-06T00:00:00</t>
        </is>
      </c>
      <c r="E225" t="inlineStr">
        <is>
          <t>2025-01-13T00:00:00</t>
        </is>
      </c>
      <c r="F225" t="inlineStr">
        <is>
          <t>85.05</t>
        </is>
      </c>
      <c r="G225" t="inlineStr"/>
      <c r="H225" t="inlineStr">
        <is>
          <t>286.18</t>
        </is>
      </c>
      <c r="I225" t="inlineStr">
        <is>
          <t>12.7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929</t>
        </is>
      </c>
      <c r="B226" t="inlineStr">
        <is>
          <t>2RS</t>
        </is>
      </c>
      <c r="C226" t="inlineStr">
        <is>
          <t>FAQ</t>
        </is>
      </c>
      <c r="D226" t="inlineStr">
        <is>
          <t>2025-01-07T00:00:00</t>
        </is>
      </c>
      <c r="E226" t="inlineStr">
        <is>
          <t>2025-01-14T00:00:00</t>
        </is>
      </c>
      <c r="F226" t="inlineStr">
        <is>
          <t>82.89</t>
        </is>
      </c>
      <c r="G226" t="inlineStr"/>
      <c r="H226" t="inlineStr">
        <is>
          <t>286.18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930</t>
        </is>
      </c>
      <c r="B227" t="inlineStr">
        <is>
          <t>2RS</t>
        </is>
      </c>
      <c r="C227" t="inlineStr">
        <is>
          <t>FAQ</t>
        </is>
      </c>
      <c r="D227" t="inlineStr">
        <is>
          <t>2025-01-08T00:00:00</t>
        </is>
      </c>
      <c r="E227" t="inlineStr">
        <is>
          <t>2025-01-15T00:00:00</t>
        </is>
      </c>
      <c r="F227" t="inlineStr">
        <is>
          <t>84.35</t>
        </is>
      </c>
      <c r="G227" t="inlineStr"/>
      <c r="H227" t="inlineStr">
        <is>
          <t>286.14</t>
        </is>
      </c>
      <c r="I227" t="inlineStr">
        <is>
          <t>12.6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931</t>
        </is>
      </c>
      <c r="B228" t="inlineStr">
        <is>
          <t>2RS</t>
        </is>
      </c>
      <c r="C228" t="inlineStr">
        <is>
          <t>FAQ</t>
        </is>
      </c>
      <c r="D228" t="inlineStr">
        <is>
          <t>2025-01-09T00:00:00</t>
        </is>
      </c>
      <c r="E228" t="inlineStr">
        <is>
          <t>2025-01-16T00:00:00</t>
        </is>
      </c>
      <c r="F228" t="inlineStr">
        <is>
          <t>85.16</t>
        </is>
      </c>
      <c r="G228" t="inlineStr"/>
      <c r="H228" t="inlineStr">
        <is>
          <t>284.68</t>
        </is>
      </c>
      <c r="I228" t="inlineStr">
        <is>
          <t>12.7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932</t>
        </is>
      </c>
      <c r="B229" t="inlineStr">
        <is>
          <t>2RS</t>
        </is>
      </c>
      <c r="C229" t="inlineStr">
        <is>
          <t>FAQ</t>
        </is>
      </c>
      <c r="D229" t="inlineStr">
        <is>
          <t>2025-01-11T00:00:00</t>
        </is>
      </c>
      <c r="E229" t="inlineStr">
        <is>
          <t>2025-01-19T00:00:00</t>
        </is>
      </c>
      <c r="F229" t="inlineStr">
        <is>
          <t>85.18</t>
        </is>
      </c>
      <c r="G229" t="inlineStr"/>
      <c r="H229" t="inlineStr">
        <is>
          <t>286.19</t>
        </is>
      </c>
      <c r="I229" t="inlineStr">
        <is>
          <t>12.7</t>
        </is>
      </c>
      <c r="J229" t="inlineStr"/>
      <c r="K229" t="inlineStr"/>
      <c r="L229" t="inlineStr"/>
      <c r="M229" t="inlineStr"/>
      <c r="N229" t="inlineStr"/>
    </row>
    <row r="230">
      <c r="A230" t="inlineStr">
        <is>
          <t>933</t>
        </is>
      </c>
      <c r="B230" t="inlineStr">
        <is>
          <t>2RS</t>
        </is>
      </c>
      <c r="C230" t="inlineStr">
        <is>
          <t>FAQ</t>
        </is>
      </c>
      <c r="D230" t="inlineStr">
        <is>
          <t>2025-01-12T00:00:00</t>
        </is>
      </c>
      <c r="E230" t="inlineStr">
        <is>
          <t>2025-01-18T00:00:00</t>
        </is>
      </c>
      <c r="F230" t="inlineStr">
        <is>
          <t>85.26</t>
        </is>
      </c>
      <c r="G230" t="inlineStr"/>
      <c r="H230" t="inlineStr">
        <is>
          <t>286.22000000000003</t>
        </is>
      </c>
      <c r="I230" t="inlineStr">
        <is>
          <t>12.6</t>
        </is>
      </c>
      <c r="J230" t="inlineStr"/>
      <c r="K230" t="inlineStr"/>
      <c r="L230" t="inlineStr"/>
      <c r="M230" t="inlineStr"/>
      <c r="N230" t="inlineStr"/>
    </row>
    <row r="231">
      <c r="A231" t="inlineStr">
        <is>
          <t>934</t>
        </is>
      </c>
      <c r="B231" t="inlineStr">
        <is>
          <t>2RS</t>
        </is>
      </c>
      <c r="C231" t="inlineStr">
        <is>
          <t>FAQ</t>
        </is>
      </c>
      <c r="D231" t="inlineStr">
        <is>
          <t>2025-01-13T00:00:00</t>
        </is>
      </c>
      <c r="E231" t="inlineStr">
        <is>
          <t>2025-01-20T00:00:00</t>
        </is>
      </c>
      <c r="F231" t="inlineStr">
        <is>
          <t>84.6</t>
        </is>
      </c>
      <c r="G231" t="inlineStr"/>
      <c r="H231" t="inlineStr">
        <is>
          <t>285.95999999999998</t>
        </is>
      </c>
      <c r="I231" t="inlineStr">
        <is>
          <t>12.4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935</t>
        </is>
      </c>
      <c r="B232" t="inlineStr">
        <is>
          <t>2RS</t>
        </is>
      </c>
      <c r="C232" t="inlineStr">
        <is>
          <t>FAQ</t>
        </is>
      </c>
      <c r="D232" t="inlineStr">
        <is>
          <t>2025-01-14T00:00:00</t>
        </is>
      </c>
      <c r="E232" t="inlineStr">
        <is>
          <t>2025-01-21T00:00:00</t>
        </is>
      </c>
      <c r="F232" t="inlineStr">
        <is>
          <t>84.32</t>
        </is>
      </c>
      <c r="G232" t="inlineStr"/>
      <c r="H232" t="inlineStr">
        <is>
          <t>285.73</t>
        </is>
      </c>
      <c r="I232" t="inlineStr">
        <is>
          <t>12.6</t>
        </is>
      </c>
      <c r="J232" t="inlineStr"/>
      <c r="K232" t="inlineStr"/>
      <c r="L232" t="inlineStr"/>
      <c r="M232" t="inlineStr"/>
      <c r="N232" t="inlineStr"/>
    </row>
    <row r="233">
      <c r="A233" t="inlineStr">
        <is>
          <t>936</t>
        </is>
      </c>
      <c r="B233" t="inlineStr">
        <is>
          <t>2RS</t>
        </is>
      </c>
      <c r="C233" t="inlineStr">
        <is>
          <t>FAQ</t>
        </is>
      </c>
      <c r="D233" t="inlineStr">
        <is>
          <t>2025-01-16T00:00:00</t>
        </is>
      </c>
      <c r="E233" t="inlineStr">
        <is>
          <t>2025-01-22T00:00:00</t>
        </is>
      </c>
      <c r="F233" t="inlineStr">
        <is>
          <t>84.71</t>
        </is>
      </c>
      <c r="G233" t="inlineStr"/>
      <c r="H233" t="inlineStr">
        <is>
          <t>286.27</t>
        </is>
      </c>
      <c r="I233" t="inlineStr">
        <is>
          <t>12.4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937</t>
        </is>
      </c>
      <c r="B234" t="inlineStr">
        <is>
          <t>2RS</t>
        </is>
      </c>
      <c r="C234" t="inlineStr">
        <is>
          <t>FAQ</t>
        </is>
      </c>
      <c r="D234" t="inlineStr">
        <is>
          <t>2025-01-17T00:00:00</t>
        </is>
      </c>
      <c r="E234" t="inlineStr">
        <is>
          <t>2025-01-24T00:00:00</t>
        </is>
      </c>
      <c r="F234" t="inlineStr">
        <is>
          <t>84.63</t>
        </is>
      </c>
      <c r="G234" t="inlineStr"/>
      <c r="H234" t="inlineStr">
        <is>
          <t>285.06</t>
        </is>
      </c>
      <c r="I234" t="inlineStr">
        <is>
          <t>12.6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938</t>
        </is>
      </c>
      <c r="B235" t="inlineStr">
        <is>
          <t>2RS</t>
        </is>
      </c>
      <c r="C235" t="inlineStr">
        <is>
          <t>FAQ</t>
        </is>
      </c>
      <c r="D235" t="inlineStr">
        <is>
          <t>2025-01-18T00:00:00</t>
        </is>
      </c>
      <c r="E235" t="inlineStr">
        <is>
          <t>2025-01-25T00:00:00</t>
        </is>
      </c>
      <c r="F235" t="inlineStr">
        <is>
          <t>84.51</t>
        </is>
      </c>
      <c r="G235" t="inlineStr"/>
      <c r="H235" t="inlineStr">
        <is>
          <t>287.14999999999998</t>
        </is>
      </c>
      <c r="I235" t="inlineStr">
        <is>
          <t>12.6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939</t>
        </is>
      </c>
      <c r="B236" t="inlineStr">
        <is>
          <t>2RS</t>
        </is>
      </c>
      <c r="C236" t="inlineStr">
        <is>
          <t>FAQ</t>
        </is>
      </c>
      <c r="D236" t="inlineStr">
        <is>
          <t>2025-01-19T00:00:00</t>
        </is>
      </c>
      <c r="E236" t="inlineStr">
        <is>
          <t>2025-01-26T00:00:00</t>
        </is>
      </c>
      <c r="F236" t="inlineStr">
        <is>
          <t>84.52</t>
        </is>
      </c>
      <c r="G236" t="inlineStr"/>
      <c r="H236" t="inlineStr">
        <is>
          <t>286.93</t>
        </is>
      </c>
      <c r="I236" t="inlineStr">
        <is>
          <t>12.7</t>
        </is>
      </c>
      <c r="J236" t="inlineStr"/>
      <c r="K236" t="inlineStr"/>
      <c r="L236" t="inlineStr"/>
      <c r="M236" t="inlineStr"/>
      <c r="N236" t="inlineStr"/>
    </row>
    <row r="237">
      <c r="A237" t="inlineStr">
        <is>
          <t>940</t>
        </is>
      </c>
      <c r="B237" t="inlineStr">
        <is>
          <t>2RS</t>
        </is>
      </c>
      <c r="C237" t="inlineStr">
        <is>
          <t>FAQ</t>
        </is>
      </c>
      <c r="D237" t="inlineStr">
        <is>
          <t>2025-01-21T00:00:00</t>
        </is>
      </c>
      <c r="E237" t="inlineStr">
        <is>
          <t>2025-01-27T00:00:00</t>
        </is>
      </c>
      <c r="F237" t="inlineStr">
        <is>
          <t>85.08</t>
        </is>
      </c>
      <c r="G237" t="inlineStr"/>
      <c r="H237" t="inlineStr">
        <is>
          <t>287.04000000000002</t>
        </is>
      </c>
      <c r="I237" t="inlineStr">
        <is>
          <t>12.6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941</t>
        </is>
      </c>
      <c r="B238" t="inlineStr">
        <is>
          <t>2RS</t>
        </is>
      </c>
      <c r="C238" t="inlineStr">
        <is>
          <t>FAQ</t>
        </is>
      </c>
      <c r="D238" t="inlineStr">
        <is>
          <t>2025-01-22T00:00:00</t>
        </is>
      </c>
      <c r="E238" t="inlineStr">
        <is>
          <t>2025-01-28T00:00:00</t>
        </is>
      </c>
      <c r="F238" t="inlineStr">
        <is>
          <t>84.69</t>
        </is>
      </c>
      <c r="G238" t="inlineStr"/>
      <c r="H238" t="inlineStr">
        <is>
          <t>286.95999999999998</t>
        </is>
      </c>
      <c r="I238" t="inlineStr">
        <is>
          <t>12.6</t>
        </is>
      </c>
      <c r="J238" t="inlineStr"/>
      <c r="K238" t="inlineStr"/>
      <c r="L238" t="inlineStr"/>
      <c r="M238" t="inlineStr"/>
      <c r="N238" t="inlineStr"/>
    </row>
    <row r="239">
      <c r="A239" t="inlineStr">
        <is>
          <t>942</t>
        </is>
      </c>
      <c r="B239" t="inlineStr">
        <is>
          <t>2RS</t>
        </is>
      </c>
      <c r="C239" t="inlineStr">
        <is>
          <t>FAQ</t>
        </is>
      </c>
      <c r="D239" t="inlineStr">
        <is>
          <t>2025-01-23T00:00:00</t>
        </is>
      </c>
      <c r="E239" t="inlineStr">
        <is>
          <t>2025-01-29T00:00:00</t>
        </is>
      </c>
      <c r="F239" t="inlineStr">
        <is>
          <t>86.07</t>
        </is>
      </c>
      <c r="G239" t="inlineStr"/>
      <c r="H239" t="inlineStr">
        <is>
          <t>287.04000000000002</t>
        </is>
      </c>
      <c r="I239" t="inlineStr">
        <is>
          <t>12.6</t>
        </is>
      </c>
      <c r="J239" t="inlineStr"/>
      <c r="K239" t="inlineStr"/>
      <c r="L239" t="inlineStr"/>
      <c r="M239" t="inlineStr"/>
      <c r="N239" t="inlineStr"/>
    </row>
    <row r="240">
      <c r="A240" t="inlineStr">
        <is>
          <t>943</t>
        </is>
      </c>
      <c r="B240" t="inlineStr">
        <is>
          <t>2RS</t>
        </is>
      </c>
      <c r="C240" t="inlineStr">
        <is>
          <t>FAQ</t>
        </is>
      </c>
      <c r="D240" t="inlineStr">
        <is>
          <t>2025-01-24T00:00:00</t>
        </is>
      </c>
      <c r="E240" t="inlineStr">
        <is>
          <t>2025-01-31T00:00:00</t>
        </is>
      </c>
      <c r="F240" t="inlineStr">
        <is>
          <t>85.19</t>
        </is>
      </c>
      <c r="G240" t="inlineStr"/>
      <c r="H240" t="inlineStr">
        <is>
          <t>287.06</t>
        </is>
      </c>
      <c r="I240" t="inlineStr">
        <is>
          <t>12.6</t>
        </is>
      </c>
      <c r="J240" t="inlineStr"/>
      <c r="K240" t="inlineStr"/>
      <c r="L240" t="inlineStr"/>
      <c r="M240" t="inlineStr"/>
      <c r="N240" t="inlineStr"/>
    </row>
    <row r="241">
      <c r="A241" t="inlineStr">
        <is>
          <t>944</t>
        </is>
      </c>
      <c r="B241" t="inlineStr">
        <is>
          <t>2RS</t>
        </is>
      </c>
      <c r="C241" t="inlineStr">
        <is>
          <t>FAQ</t>
        </is>
      </c>
      <c r="D241" t="inlineStr">
        <is>
          <t>2025-01-25T00:00:00</t>
        </is>
      </c>
      <c r="E241" t="inlineStr">
        <is>
          <t>2025-02-01T00:00:00</t>
        </is>
      </c>
      <c r="F241" t="inlineStr">
        <is>
          <t>84.85</t>
        </is>
      </c>
      <c r="G241" t="inlineStr"/>
      <c r="H241" t="inlineStr">
        <is>
          <t>287.24</t>
        </is>
      </c>
      <c r="I241" t="inlineStr">
        <is>
          <t>12.4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945</t>
        </is>
      </c>
      <c r="B242" t="inlineStr">
        <is>
          <t>2RS</t>
        </is>
      </c>
      <c r="C242" t="inlineStr">
        <is>
          <t>FAQ</t>
        </is>
      </c>
      <c r="D242" t="inlineStr">
        <is>
          <t>2025-01-27T00:00:00</t>
        </is>
      </c>
      <c r="E242" t="inlineStr">
        <is>
          <t>2025-02-03T00:00:00</t>
        </is>
      </c>
      <c r="F242" t="inlineStr">
        <is>
          <t>83.86</t>
        </is>
      </c>
      <c r="G242" t="inlineStr"/>
      <c r="H242" t="inlineStr">
        <is>
          <t>285.29000000000002</t>
        </is>
      </c>
      <c r="I242" t="inlineStr">
        <is>
          <t>12.5</t>
        </is>
      </c>
      <c r="J242" t="inlineStr"/>
      <c r="K242" t="inlineStr"/>
      <c r="L242" t="inlineStr"/>
      <c r="M242" t="inlineStr"/>
      <c r="N242" t="inlineStr"/>
    </row>
    <row r="243">
      <c r="A243" t="inlineStr">
        <is>
          <t>946</t>
        </is>
      </c>
      <c r="B243" t="inlineStr">
        <is>
          <t>2RS</t>
        </is>
      </c>
      <c r="C243" t="inlineStr">
        <is>
          <t>FAQ</t>
        </is>
      </c>
      <c r="D243" t="inlineStr">
        <is>
          <t>2025-01-29T00:00:00</t>
        </is>
      </c>
      <c r="E243" t="inlineStr">
        <is>
          <t>2025-02-05T00:00:00</t>
        </is>
      </c>
      <c r="F243" t="inlineStr">
        <is>
          <t>84.93</t>
        </is>
      </c>
      <c r="G243" t="inlineStr"/>
      <c r="H243" t="inlineStr">
        <is>
          <t>285.27999999999997</t>
        </is>
      </c>
      <c r="I243" t="inlineStr">
        <is>
          <t>12.6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947</t>
        </is>
      </c>
      <c r="B244" t="inlineStr">
        <is>
          <t>2RS</t>
        </is>
      </c>
      <c r="C244" t="inlineStr">
        <is>
          <t>FAQ</t>
        </is>
      </c>
      <c r="D244" t="inlineStr">
        <is>
          <t>2025-02-01T00:00:00</t>
        </is>
      </c>
      <c r="E244" t="inlineStr">
        <is>
          <t>2025-02-08T00:00:00</t>
        </is>
      </c>
      <c r="F244" t="inlineStr">
        <is>
          <t>85.18</t>
        </is>
      </c>
      <c r="G244" t="inlineStr"/>
      <c r="H244" t="inlineStr">
        <is>
          <t>286.31</t>
        </is>
      </c>
      <c r="I244" t="inlineStr">
        <is>
          <t>12.6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948</t>
        </is>
      </c>
      <c r="B245" t="inlineStr">
        <is>
          <t>2RS</t>
        </is>
      </c>
      <c r="C245" t="inlineStr">
        <is>
          <t>FAQ</t>
        </is>
      </c>
      <c r="D245" t="inlineStr">
        <is>
          <t>2025-02-02T00:00:00</t>
        </is>
      </c>
      <c r="E245" t="inlineStr">
        <is>
          <t>2025-02-10T00:00:00</t>
        </is>
      </c>
      <c r="F245" t="inlineStr">
        <is>
          <t>84.64</t>
        </is>
      </c>
      <c r="G245" t="inlineStr"/>
      <c r="H245" t="inlineStr">
        <is>
          <t>286.35000000000002</t>
        </is>
      </c>
      <c r="I245" t="inlineStr">
        <is>
          <t>12.6</t>
        </is>
      </c>
      <c r="J245" t="inlineStr"/>
      <c r="K245" t="inlineStr"/>
      <c r="L245" t="inlineStr"/>
      <c r="M245" t="inlineStr"/>
      <c r="N245" t="inlineStr"/>
    </row>
    <row r="246">
      <c r="A246" t="inlineStr">
        <is>
          <t>949</t>
        </is>
      </c>
      <c r="B246" t="inlineStr">
        <is>
          <t>2RS</t>
        </is>
      </c>
      <c r="C246" t="inlineStr">
        <is>
          <t>FAQ</t>
        </is>
      </c>
      <c r="D246" t="inlineStr">
        <is>
          <t>2025-02-04T00:00:00</t>
        </is>
      </c>
      <c r="E246" t="inlineStr">
        <is>
          <t>2025-02-12T00:00:00</t>
        </is>
      </c>
      <c r="F246" t="inlineStr">
        <is>
          <t>83.68</t>
        </is>
      </c>
      <c r="G246" t="inlineStr"/>
      <c r="H246" t="inlineStr">
        <is>
          <t>286.69</t>
        </is>
      </c>
      <c r="I246" t="inlineStr">
        <is>
          <t>12.6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950</t>
        </is>
      </c>
      <c r="B247" t="inlineStr">
        <is>
          <t>2RS</t>
        </is>
      </c>
      <c r="C247" t="inlineStr">
        <is>
          <t>FAQ</t>
        </is>
      </c>
      <c r="D247" t="inlineStr">
        <is>
          <t>2025-02-06T00:00:00</t>
        </is>
      </c>
      <c r="E247" t="inlineStr">
        <is>
          <t>2025-02-14T00:00:00</t>
        </is>
      </c>
      <c r="F247" t="inlineStr">
        <is>
          <t>84.31</t>
        </is>
      </c>
      <c r="G247" t="inlineStr"/>
      <c r="H247" t="inlineStr">
        <is>
          <t>286.7</t>
        </is>
      </c>
      <c r="I247" t="inlineStr">
        <is>
          <t>12.6</t>
        </is>
      </c>
      <c r="J247" t="inlineStr"/>
      <c r="K247" t="inlineStr"/>
      <c r="L247" t="inlineStr"/>
      <c r="M247" t="inlineStr"/>
      <c r="N247" t="inlineStr"/>
    </row>
    <row r="248">
      <c r="A248" t="inlineStr">
        <is>
          <t>951</t>
        </is>
      </c>
      <c r="B248" t="inlineStr">
        <is>
          <t>2RS</t>
        </is>
      </c>
      <c r="C248" t="inlineStr">
        <is>
          <t>FAQ</t>
        </is>
      </c>
      <c r="D248" t="inlineStr">
        <is>
          <t>2025-02-07T00:00:00</t>
        </is>
      </c>
      <c r="E248" t="inlineStr">
        <is>
          <t>2025-02-15T00:00:00</t>
        </is>
      </c>
      <c r="F248" t="inlineStr">
        <is>
          <t>83.4</t>
        </is>
      </c>
      <c r="G248" t="inlineStr"/>
      <c r="H248" t="inlineStr">
        <is>
          <t>286.88</t>
        </is>
      </c>
      <c r="I248" t="inlineStr">
        <is>
          <t>12.4</t>
        </is>
      </c>
      <c r="J248" t="inlineStr"/>
      <c r="K248" t="inlineStr"/>
      <c r="L248" t="inlineStr"/>
      <c r="M248" t="inlineStr"/>
      <c r="N248" t="inlineStr"/>
    </row>
    <row r="249">
      <c r="A249" t="inlineStr">
        <is>
          <t>952</t>
        </is>
      </c>
      <c r="B249" t="inlineStr">
        <is>
          <t>2RS</t>
        </is>
      </c>
      <c r="C249" t="inlineStr">
        <is>
          <t>FAQ</t>
        </is>
      </c>
      <c r="D249" t="inlineStr">
        <is>
          <t>2025-02-09T00:00:00</t>
        </is>
      </c>
      <c r="E249" t="inlineStr">
        <is>
          <t>2025-02-17T00:00:00</t>
        </is>
      </c>
      <c r="F249" t="inlineStr">
        <is>
          <t>84.45</t>
        </is>
      </c>
      <c r="G249" t="inlineStr"/>
      <c r="H249" t="inlineStr">
        <is>
          <t>286.27</t>
        </is>
      </c>
      <c r="I249" t="inlineStr">
        <is>
          <t>12.7</t>
        </is>
      </c>
      <c r="J249" t="inlineStr"/>
      <c r="K249" t="inlineStr"/>
      <c r="L249" t="inlineStr"/>
      <c r="M249" t="inlineStr"/>
      <c r="N249" t="inlineStr"/>
    </row>
    <row r="250">
      <c r="A250" t="inlineStr">
        <is>
          <t>953</t>
        </is>
      </c>
      <c r="B250" t="inlineStr">
        <is>
          <t>2RS</t>
        </is>
      </c>
      <c r="C250" t="inlineStr">
        <is>
          <t>FAQ</t>
        </is>
      </c>
      <c r="D250" t="inlineStr">
        <is>
          <t>2025-02-11T00:00:00</t>
        </is>
      </c>
      <c r="E250" t="inlineStr">
        <is>
          <t>2025-02-19T00:00:00</t>
        </is>
      </c>
      <c r="F250" t="inlineStr">
        <is>
          <t>83.75</t>
        </is>
      </c>
      <c r="G250" t="inlineStr"/>
      <c r="H250" t="inlineStr">
        <is>
          <t>285.85000000000002</t>
        </is>
      </c>
      <c r="I250" t="inlineStr">
        <is>
          <t>12.7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954</t>
        </is>
      </c>
      <c r="B251" t="inlineStr">
        <is>
          <t>2RS</t>
        </is>
      </c>
      <c r="C251" t="inlineStr">
        <is>
          <t>FAQ</t>
        </is>
      </c>
      <c r="D251" t="inlineStr">
        <is>
          <t>2025-02-12T00:00:00</t>
        </is>
      </c>
      <c r="E251" t="inlineStr">
        <is>
          <t>2025-02-21T00:00:00</t>
        </is>
      </c>
      <c r="F251" t="inlineStr">
        <is>
          <t>84.3</t>
        </is>
      </c>
      <c r="G251" t="inlineStr"/>
      <c r="H251" t="inlineStr">
        <is>
          <t>286.08999999999997</t>
        </is>
      </c>
      <c r="I251" t="inlineStr">
        <is>
          <t>12.5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955</t>
        </is>
      </c>
      <c r="B252" t="inlineStr">
        <is>
          <t>2RS</t>
        </is>
      </c>
      <c r="C252" t="inlineStr">
        <is>
          <t>FAQ</t>
        </is>
      </c>
      <c r="D252" t="inlineStr">
        <is>
          <t>2025-02-14T00:00:00</t>
        </is>
      </c>
      <c r="E252" t="inlineStr">
        <is>
          <t>2025-02-22T00:00:00</t>
        </is>
      </c>
      <c r="F252" t="inlineStr">
        <is>
          <t>83.87</t>
        </is>
      </c>
      <c r="G252" t="inlineStr"/>
      <c r="H252" t="inlineStr">
        <is>
          <t>286.11</t>
        </is>
      </c>
      <c r="I252" t="inlineStr">
        <is>
          <t>12.5</t>
        </is>
      </c>
      <c r="J252" t="inlineStr"/>
      <c r="K252" t="inlineStr"/>
      <c r="L252" t="inlineStr"/>
      <c r="M252" t="inlineStr"/>
      <c r="N252" t="inlineStr"/>
    </row>
    <row r="253">
      <c r="A253" t="inlineStr">
        <is>
          <t>956</t>
        </is>
      </c>
      <c r="B253" t="inlineStr">
        <is>
          <t>2RS</t>
        </is>
      </c>
      <c r="C253" t="inlineStr">
        <is>
          <t>FAQ</t>
        </is>
      </c>
      <c r="D253" t="inlineStr">
        <is>
          <t>2025-02-16T00:00:00</t>
        </is>
      </c>
      <c r="E253" t="inlineStr">
        <is>
          <t>2025-02-24T00:00:00</t>
        </is>
      </c>
      <c r="F253" t="inlineStr">
        <is>
          <t>84.71</t>
        </is>
      </c>
      <c r="G253" t="inlineStr"/>
      <c r="H253" t="inlineStr">
        <is>
          <t>286.27</t>
        </is>
      </c>
      <c r="I253" t="inlineStr">
        <is>
          <t>12.5</t>
        </is>
      </c>
      <c r="J253" t="inlineStr"/>
      <c r="K253" t="inlineStr"/>
      <c r="L253" t="inlineStr"/>
      <c r="M253" t="inlineStr"/>
      <c r="N253" t="inlineStr"/>
    </row>
    <row r="254">
      <c r="A254" t="inlineStr">
        <is>
          <t>957</t>
        </is>
      </c>
      <c r="B254" t="inlineStr">
        <is>
          <t>2RS</t>
        </is>
      </c>
      <c r="C254" t="inlineStr">
        <is>
          <t>FAQ</t>
        </is>
      </c>
      <c r="D254" t="inlineStr">
        <is>
          <t>2025-02-17T00:00:00</t>
        </is>
      </c>
      <c r="E254" t="inlineStr">
        <is>
          <t>2025-02-25T00:00:00</t>
        </is>
      </c>
      <c r="F254" t="inlineStr">
        <is>
          <t>84.73</t>
        </is>
      </c>
      <c r="G254" t="inlineStr"/>
      <c r="H254" t="inlineStr">
        <is>
          <t>286.08</t>
        </is>
      </c>
      <c r="I254" t="inlineStr">
        <is>
          <t>12.4</t>
        </is>
      </c>
      <c r="J254" t="inlineStr"/>
      <c r="K254" t="inlineStr"/>
      <c r="L254" t="inlineStr"/>
      <c r="M254" t="inlineStr"/>
      <c r="N254" t="inlineStr"/>
    </row>
    <row r="255">
      <c r="A255" t="inlineStr">
        <is>
          <t>958</t>
        </is>
      </c>
      <c r="B255" t="inlineStr">
        <is>
          <t>2RS</t>
        </is>
      </c>
      <c r="C255" t="inlineStr">
        <is>
          <t>FAQ</t>
        </is>
      </c>
      <c r="D255" t="inlineStr">
        <is>
          <t>2025-02-19T00:00:00</t>
        </is>
      </c>
      <c r="E255" t="inlineStr">
        <is>
          <t>2025-02-27T00:00:00</t>
        </is>
      </c>
      <c r="F255" t="inlineStr">
        <is>
          <t>85.24</t>
        </is>
      </c>
      <c r="G255" t="inlineStr"/>
      <c r="H255" t="inlineStr">
        <is>
          <t>286.13</t>
        </is>
      </c>
      <c r="I255" t="inlineStr">
        <is>
          <t>12.5</t>
        </is>
      </c>
      <c r="J255" t="inlineStr"/>
      <c r="K255" t="inlineStr"/>
      <c r="L255" t="inlineStr"/>
      <c r="M255" t="inlineStr"/>
      <c r="N255" t="inlineStr"/>
    </row>
    <row r="256">
      <c r="A256" t="inlineStr">
        <is>
          <t>959</t>
        </is>
      </c>
      <c r="B256" t="inlineStr">
        <is>
          <t>IBON</t>
        </is>
      </c>
      <c r="C256" t="inlineStr">
        <is>
          <t>IBON</t>
        </is>
      </c>
      <c r="D256" t="inlineStr">
        <is>
          <t>2025-02-21T00:00:00</t>
        </is>
      </c>
      <c r="E256" t="inlineStr">
        <is>
          <t>2025-02-28T00:00:00</t>
        </is>
      </c>
      <c r="F256" t="inlineStr">
        <is>
          <t>83.87</t>
        </is>
      </c>
      <c r="G256" t="inlineStr">
        <is>
          <t>92.8</t>
        </is>
      </c>
      <c r="H256" t="inlineStr">
        <is>
          <t>282.32</t>
        </is>
      </c>
      <c r="I256" t="inlineStr">
        <is>
          <t>13.6</t>
        </is>
      </c>
      <c r="J256" t="inlineStr">
        <is>
          <t>4.38</t>
        </is>
      </c>
      <c r="K256" t="inlineStr">
        <is>
          <t>123</t>
        </is>
      </c>
      <c r="L256" t="inlineStr">
        <is>
          <t>63.25</t>
        </is>
      </c>
      <c r="M256" t="inlineStr">
        <is>
          <t>4.49</t>
        </is>
      </c>
      <c r="N256" t="inlineStr">
        <is>
          <t>450</t>
        </is>
      </c>
    </row>
    <row r="257">
      <c r="A257" t="inlineStr">
        <is>
          <t>960</t>
        </is>
      </c>
      <c r="B257" t="inlineStr">
        <is>
          <t>2RS</t>
        </is>
      </c>
      <c r="C257" t="inlineStr">
        <is>
          <t>FAQ</t>
        </is>
      </c>
      <c r="D257" t="inlineStr">
        <is>
          <t>2025-02-23T00:00:00</t>
        </is>
      </c>
      <c r="E257" t="inlineStr">
        <is>
          <t>2025-03-02T00:00:00</t>
        </is>
      </c>
      <c r="F257" t="inlineStr">
        <is>
          <t>85.3</t>
        </is>
      </c>
      <c r="G257" t="inlineStr"/>
      <c r="H257" t="inlineStr">
        <is>
          <t>287.44</t>
        </is>
      </c>
      <c r="I257" t="inlineStr">
        <is>
          <t>12.5</t>
        </is>
      </c>
      <c r="J257" t="inlineStr"/>
      <c r="K257" t="inlineStr"/>
      <c r="L257" t="inlineStr"/>
      <c r="M257" t="inlineStr"/>
      <c r="N257" t="inlineStr"/>
    </row>
    <row r="258">
      <c r="A258" t="inlineStr">
        <is>
          <t>961</t>
        </is>
      </c>
      <c r="B258" t="inlineStr">
        <is>
          <t>2RS</t>
        </is>
      </c>
      <c r="C258" t="inlineStr">
        <is>
          <t>TRAVELER</t>
        </is>
      </c>
      <c r="D258" t="inlineStr">
        <is>
          <t>2025-02-24T00:00:00</t>
        </is>
      </c>
      <c r="E258" t="inlineStr">
        <is>
          <t>2025-03-03T00:00:00</t>
        </is>
      </c>
      <c r="F258" t="inlineStr">
        <is>
          <t>84.35</t>
        </is>
      </c>
      <c r="G258" t="inlineStr">
        <is>
          <t>93.1</t>
        </is>
      </c>
      <c r="H258" t="inlineStr">
        <is>
          <t>286.68</t>
        </is>
      </c>
      <c r="I258" t="inlineStr">
        <is>
          <t>13.2</t>
        </is>
      </c>
      <c r="J258" t="inlineStr">
        <is>
          <t>4.21</t>
        </is>
      </c>
      <c r="K258" t="inlineStr">
        <is>
          <t>105</t>
        </is>
      </c>
      <c r="L258" t="inlineStr">
        <is>
          <t>78.86</t>
        </is>
      </c>
      <c r="M258" t="inlineStr">
        <is>
          <t>3.7</t>
        </is>
      </c>
      <c r="N258" t="inlineStr">
        <is>
          <t>490</t>
        </is>
      </c>
    </row>
    <row r="259">
      <c r="A259" t="inlineStr">
        <is>
          <t>962</t>
        </is>
      </c>
      <c r="B259" t="inlineStr">
        <is>
          <t>2RS</t>
        </is>
      </c>
      <c r="C259" t="inlineStr">
        <is>
          <t>TRAVELER</t>
        </is>
      </c>
      <c r="D259" t="inlineStr">
        <is>
          <t>2025-02-26T00:00:00</t>
        </is>
      </c>
      <c r="E259" t="inlineStr">
        <is>
          <t>2025-03-04T00:00:00</t>
        </is>
      </c>
      <c r="F259" t="inlineStr">
        <is>
          <t>84.89</t>
        </is>
      </c>
      <c r="G259" t="inlineStr">
        <is>
          <t>93.4</t>
        </is>
      </c>
      <c r="H259" t="inlineStr">
        <is>
          <t>286.14</t>
        </is>
      </c>
      <c r="I259" t="inlineStr">
        <is>
          <t>12.8</t>
        </is>
      </c>
      <c r="J259" t="inlineStr">
        <is>
          <t>4.1100000000000003</t>
        </is>
      </c>
      <c r="K259" t="inlineStr">
        <is>
          <t>119</t>
        </is>
      </c>
      <c r="L259" t="inlineStr">
        <is>
          <t>80</t>
        </is>
      </c>
      <c r="M259" t="inlineStr">
        <is>
          <t>3.8</t>
        </is>
      </c>
      <c r="N259" t="inlineStr">
        <is>
          <t>360</t>
        </is>
      </c>
    </row>
    <row r="260">
      <c r="A260" t="inlineStr">
        <is>
          <t>963</t>
        </is>
      </c>
      <c r="B260" t="inlineStr">
        <is>
          <t>2RS</t>
        </is>
      </c>
      <c r="C260" t="inlineStr">
        <is>
          <t>TRAVELER</t>
        </is>
      </c>
      <c r="D260" t="inlineStr">
        <is>
          <t>2025-02-27T00:00:00</t>
        </is>
      </c>
      <c r="E260" t="inlineStr">
        <is>
          <t>2025-03-06T00:00:00</t>
        </is>
      </c>
      <c r="F260" t="inlineStr">
        <is>
          <t>83.9</t>
        </is>
      </c>
      <c r="G260" t="inlineStr">
        <is>
          <t>92.9</t>
        </is>
      </c>
      <c r="H260" t="inlineStr">
        <is>
          <t>285.64</t>
        </is>
      </c>
      <c r="I260" t="inlineStr">
        <is>
          <t>13.1</t>
        </is>
      </c>
      <c r="J260" t="inlineStr">
        <is>
          <t>3.76</t>
        </is>
      </c>
      <c r="K260" t="inlineStr">
        <is>
          <t>120</t>
        </is>
      </c>
      <c r="L260" t="inlineStr">
        <is>
          <t>81.72</t>
        </is>
      </c>
      <c r="M260" t="inlineStr">
        <is>
          <t>4.3600000000000003</t>
        </is>
      </c>
      <c r="N260" t="inlineStr">
        <is>
          <t>270</t>
        </is>
      </c>
    </row>
    <row r="261">
      <c r="A261" t="inlineStr">
        <is>
          <t>964</t>
        </is>
      </c>
      <c r="B261" t="inlineStr">
        <is>
          <t>IBON</t>
        </is>
      </c>
      <c r="C261" t="inlineStr">
        <is>
          <t>IBON</t>
        </is>
      </c>
      <c r="D261" t="inlineStr">
        <is>
          <t>2025-02-28T00:00:00</t>
        </is>
      </c>
      <c r="E261" t="inlineStr">
        <is>
          <t>2025-03-08T00:00:00</t>
        </is>
      </c>
      <c r="F261" t="inlineStr">
        <is>
          <t>83.72</t>
        </is>
      </c>
      <c r="G261" t="inlineStr">
        <is>
          <t>91.7</t>
        </is>
      </c>
      <c r="H261" t="inlineStr">
        <is>
          <t>282.20999999999998</t>
        </is>
      </c>
      <c r="I261" t="inlineStr">
        <is>
          <t>13.2</t>
        </is>
      </c>
      <c r="J261" t="inlineStr">
        <is>
          <t>4.91</t>
        </is>
      </c>
      <c r="K261" t="inlineStr">
        <is>
          <t>122</t>
        </is>
      </c>
      <c r="L261" t="inlineStr">
        <is>
          <t>65.55</t>
        </is>
      </c>
      <c r="M261" t="inlineStr">
        <is>
          <t>4.7</t>
        </is>
      </c>
      <c r="N261" t="inlineStr">
        <is>
          <t>281</t>
        </is>
      </c>
    </row>
    <row r="262">
      <c r="A262" t="inlineStr">
        <is>
          <t>965</t>
        </is>
      </c>
      <c r="B262" t="inlineStr">
        <is>
          <t>2RS</t>
        </is>
      </c>
      <c r="C262" t="inlineStr">
        <is>
          <t>TRAVELER</t>
        </is>
      </c>
      <c r="D262" t="inlineStr">
        <is>
          <t>2025-03-01T00:00:00</t>
        </is>
      </c>
      <c r="E262" t="inlineStr">
        <is>
          <t>2025-03-09T00:00:00</t>
        </is>
      </c>
      <c r="F262" t="inlineStr">
        <is>
          <t>84.39</t>
        </is>
      </c>
      <c r="G262" t="inlineStr">
        <is>
          <t>92.7</t>
        </is>
      </c>
      <c r="H262" t="inlineStr">
        <is>
          <t>287</t>
        </is>
      </c>
      <c r="I262" t="inlineStr">
        <is>
          <t>12.8</t>
        </is>
      </c>
      <c r="J262" t="inlineStr">
        <is>
          <t>4.26</t>
        </is>
      </c>
      <c r="K262" t="inlineStr">
        <is>
          <t>109</t>
        </is>
      </c>
      <c r="L262" t="inlineStr">
        <is>
          <t>83.5</t>
        </is>
      </c>
      <c r="M262" t="inlineStr">
        <is>
          <t>3.8</t>
        </is>
      </c>
      <c r="N262" t="inlineStr">
        <is>
          <t>245</t>
        </is>
      </c>
    </row>
    <row r="263">
      <c r="A263" t="inlineStr">
        <is>
          <t>966</t>
        </is>
      </c>
      <c r="B263" t="inlineStr">
        <is>
          <t>2RS</t>
        </is>
      </c>
      <c r="C263" t="inlineStr">
        <is>
          <t>TRAVELER</t>
        </is>
      </c>
      <c r="D263" t="inlineStr">
        <is>
          <t>2025-03-03T00:00:00</t>
        </is>
      </c>
      <c r="E263" t="inlineStr">
        <is>
          <t>2025-03-11T00:00:00</t>
        </is>
      </c>
      <c r="F263" t="inlineStr">
        <is>
          <t>84.16</t>
        </is>
      </c>
      <c r="G263" t="inlineStr">
        <is>
          <t>92.3</t>
        </is>
      </c>
      <c r="H263" t="inlineStr">
        <is>
          <t>286.98</t>
        </is>
      </c>
      <c r="I263" t="inlineStr">
        <is>
          <t>12.9</t>
        </is>
      </c>
      <c r="J263" t="inlineStr">
        <is>
          <t>4.49</t>
        </is>
      </c>
      <c r="K263" t="inlineStr">
        <is>
          <t>90</t>
        </is>
      </c>
      <c r="L263" t="inlineStr">
        <is>
          <t>82</t>
        </is>
      </c>
      <c r="M263" t="inlineStr">
        <is>
          <t>3.3</t>
        </is>
      </c>
      <c r="N263" t="inlineStr">
        <is>
          <t>255</t>
        </is>
      </c>
    </row>
    <row r="264">
      <c r="A264" t="inlineStr">
        <is>
          <t>967</t>
        </is>
      </c>
      <c r="B264" t="inlineStr">
        <is>
          <t>IBON</t>
        </is>
      </c>
      <c r="C264" t="inlineStr">
        <is>
          <t>IBON</t>
        </is>
      </c>
      <c r="D264" t="inlineStr">
        <is>
          <t>2025-03-04T00:00:00</t>
        </is>
      </c>
      <c r="E264" t="inlineStr">
        <is>
          <t>2025-03-12T00:00:00</t>
        </is>
      </c>
      <c r="F264" t="inlineStr">
        <is>
          <t>83.14</t>
        </is>
      </c>
      <c r="G264" t="inlineStr">
        <is>
          <t>91.5</t>
        </is>
      </c>
      <c r="H264" t="inlineStr">
        <is>
          <t>282.14</t>
        </is>
      </c>
      <c r="I264" t="inlineStr">
        <is>
          <t>13.2</t>
        </is>
      </c>
      <c r="J264" t="inlineStr">
        <is>
          <t>4.4400000000000004</t>
        </is>
      </c>
      <c r="K264" t="inlineStr">
        <is>
          <t>106</t>
        </is>
      </c>
      <c r="L264" t="inlineStr">
        <is>
          <t>58.91</t>
        </is>
      </c>
      <c r="M264" t="inlineStr">
        <is>
          <t>4.2</t>
        </is>
      </c>
      <c r="N264" t="inlineStr">
        <is>
          <t>326</t>
        </is>
      </c>
    </row>
    <row r="265">
      <c r="A265" t="inlineStr">
        <is>
          <t>968</t>
        </is>
      </c>
      <c r="B265" t="inlineStr">
        <is>
          <t>2RS</t>
        </is>
      </c>
      <c r="C265" t="inlineStr">
        <is>
          <t>TRAVELER</t>
        </is>
      </c>
      <c r="D265" t="inlineStr">
        <is>
          <t>2025-03-06T00:00:00</t>
        </is>
      </c>
      <c r="E265" t="inlineStr">
        <is>
          <t>2025-03-14T00:00:00</t>
        </is>
      </c>
      <c r="F265" t="inlineStr">
        <is>
          <t>83.84</t>
        </is>
      </c>
      <c r="G265" t="inlineStr">
        <is>
          <t>92.6</t>
        </is>
      </c>
      <c r="H265" t="inlineStr">
        <is>
          <t>286.44</t>
        </is>
      </c>
      <c r="I265" t="inlineStr">
        <is>
          <t>12.6</t>
        </is>
      </c>
      <c r="J265" t="inlineStr">
        <is>
          <t>3.44</t>
        </is>
      </c>
      <c r="K265" t="inlineStr">
        <is>
          <t>93</t>
        </is>
      </c>
      <c r="L265" t="inlineStr">
        <is>
          <t>84.15</t>
        </is>
      </c>
      <c r="M265" t="inlineStr">
        <is>
          <t>3.5</t>
        </is>
      </c>
      <c r="N265" t="inlineStr">
        <is>
          <t>291</t>
        </is>
      </c>
    </row>
    <row r="266">
      <c r="A266" t="inlineStr">
        <is>
          <t>969</t>
        </is>
      </c>
      <c r="B266" t="inlineStr">
        <is>
          <t>2RS</t>
        </is>
      </c>
      <c r="C266" t="inlineStr">
        <is>
          <t>TRAVELER</t>
        </is>
      </c>
      <c r="D266" t="inlineStr">
        <is>
          <t>2025-03-07T00:00:00</t>
        </is>
      </c>
      <c r="E266" t="inlineStr">
        <is>
          <t>2025-03-15T00:00:00</t>
        </is>
      </c>
      <c r="F266" t="inlineStr">
        <is>
          <t>83.09</t>
        </is>
      </c>
      <c r="G266" t="inlineStr">
        <is>
          <t>92.2</t>
        </is>
      </c>
      <c r="H266" t="inlineStr">
        <is>
          <t>286.63</t>
        </is>
      </c>
      <c r="I266" t="inlineStr">
        <is>
          <t>13.1</t>
        </is>
      </c>
      <c r="J266" t="inlineStr">
        <is>
          <t>3.52</t>
        </is>
      </c>
      <c r="K266" t="inlineStr">
        <is>
          <t>112</t>
        </is>
      </c>
      <c r="L266" t="inlineStr">
        <is>
          <t>87.55</t>
        </is>
      </c>
      <c r="M266" t="inlineStr">
        <is>
          <t>4.0999999999999996</t>
        </is>
      </c>
      <c r="N266" t="inlineStr">
        <is>
          <t>191</t>
        </is>
      </c>
    </row>
    <row r="267">
      <c r="A267" t="inlineStr">
        <is>
          <t>970</t>
        </is>
      </c>
      <c r="B267" t="inlineStr">
        <is>
          <t>2RS</t>
        </is>
      </c>
      <c r="C267" t="inlineStr">
        <is>
          <t>TRAVELER</t>
        </is>
      </c>
      <c r="D267" t="inlineStr">
        <is>
          <t>2025-03-09T00:00:00</t>
        </is>
      </c>
      <c r="E267" t="inlineStr">
        <is>
          <t>2025-03-17T00:00:00</t>
        </is>
      </c>
      <c r="F267" t="inlineStr">
        <is>
          <t>84.54</t>
        </is>
      </c>
      <c r="G267" t="inlineStr">
        <is>
          <t>93.1</t>
        </is>
      </c>
      <c r="H267" t="inlineStr">
        <is>
          <t>285.87</t>
        </is>
      </c>
      <c r="I267" t="inlineStr">
        <is>
          <t>13</t>
        </is>
      </c>
      <c r="J267" t="inlineStr">
        <is>
          <t>4.18</t>
        </is>
      </c>
      <c r="K267" t="inlineStr">
        <is>
          <t>109</t>
        </is>
      </c>
      <c r="L267" t="inlineStr">
        <is>
          <t>87.39</t>
        </is>
      </c>
      <c r="M267" t="inlineStr">
        <is>
          <t>3.62</t>
        </is>
      </c>
      <c r="N267" t="inlineStr">
        <is>
          <t>214</t>
        </is>
      </c>
    </row>
    <row r="268">
      <c r="A268" t="inlineStr">
        <is>
          <t>971</t>
        </is>
      </c>
      <c r="B268" t="inlineStr">
        <is>
          <t>2RS</t>
        </is>
      </c>
      <c r="C268" t="inlineStr">
        <is>
          <t>TRAVELER</t>
        </is>
      </c>
      <c r="D268" t="inlineStr">
        <is>
          <t>2025-03-10T00:00:00</t>
        </is>
      </c>
      <c r="E268" t="inlineStr">
        <is>
          <t>2025-03-18T00:00:00</t>
        </is>
      </c>
      <c r="F268" t="inlineStr">
        <is>
          <t>84.4</t>
        </is>
      </c>
      <c r="G268" t="inlineStr">
        <is>
          <t>92.3</t>
        </is>
      </c>
      <c r="H268" t="inlineStr">
        <is>
          <t>288.54000000000002</t>
        </is>
      </c>
      <c r="I268" t="inlineStr">
        <is>
          <t>13</t>
        </is>
      </c>
      <c r="J268" t="inlineStr">
        <is>
          <t>4.84</t>
        </is>
      </c>
      <c r="K268" t="inlineStr">
        <is>
          <t>102</t>
        </is>
      </c>
      <c r="L268" t="inlineStr">
        <is>
          <t>70.37</t>
        </is>
      </c>
      <c r="M268" t="inlineStr">
        <is>
          <t>3.94</t>
        </is>
      </c>
      <c r="N268" t="inlineStr">
        <is>
          <t>305</t>
        </is>
      </c>
    </row>
    <row r="269">
      <c r="A269" t="inlineStr">
        <is>
          <t>972</t>
        </is>
      </c>
      <c r="B269" t="inlineStr">
        <is>
          <t>2RS</t>
        </is>
      </c>
      <c r="C269" t="inlineStr">
        <is>
          <t>TRAVELER</t>
        </is>
      </c>
      <c r="D269" t="inlineStr">
        <is>
          <t>2025-03-12T00:00:00</t>
        </is>
      </c>
      <c r="E269" t="inlineStr">
        <is>
          <t>2025-03-20T00:00:00</t>
        </is>
      </c>
      <c r="F269" t="inlineStr">
        <is>
          <t>81.94</t>
        </is>
      </c>
      <c r="G269" t="inlineStr">
        <is>
          <t>90.1</t>
        </is>
      </c>
      <c r="H269" t="inlineStr">
        <is>
          <t>286.11</t>
        </is>
      </c>
      <c r="I269" t="inlineStr">
        <is>
          <t>12.6</t>
        </is>
      </c>
      <c r="J269" t="inlineStr">
        <is>
          <t>3.93</t>
        </is>
      </c>
      <c r="K269" t="inlineStr">
        <is>
          <t>108</t>
        </is>
      </c>
      <c r="L269" t="inlineStr">
        <is>
          <t>81.87</t>
        </is>
      </c>
      <c r="M269" t="inlineStr">
        <is>
          <t>3.91</t>
        </is>
      </c>
      <c r="N269" t="inlineStr">
        <is>
          <t>274</t>
        </is>
      </c>
    </row>
    <row r="270">
      <c r="A270" t="inlineStr">
        <is>
          <t>973</t>
        </is>
      </c>
      <c r="B270" t="inlineStr">
        <is>
          <t>2RS</t>
        </is>
      </c>
      <c r="C270" t="inlineStr">
        <is>
          <t>TRAVELER</t>
        </is>
      </c>
      <c r="D270" t="inlineStr">
        <is>
          <t>2025-03-13T00:00:00</t>
        </is>
      </c>
      <c r="E270" t="inlineStr">
        <is>
          <t>2025-03-21T00:00:00</t>
        </is>
      </c>
      <c r="F270" t="inlineStr">
        <is>
          <t>86.13</t>
        </is>
      </c>
      <c r="G270" t="inlineStr">
        <is>
          <t>94.7</t>
        </is>
      </c>
      <c r="H270" t="inlineStr">
        <is>
          <t>286.33</t>
        </is>
      </c>
      <c r="I270" t="inlineStr">
        <is>
          <t>13.1</t>
        </is>
      </c>
      <c r="J270" t="inlineStr">
        <is>
          <t>4.5</t>
        </is>
      </c>
      <c r="K270" t="inlineStr">
        <is>
          <t>107</t>
        </is>
      </c>
      <c r="L270" t="inlineStr">
        <is>
          <t>82.53</t>
        </is>
      </c>
      <c r="M270" t="inlineStr">
        <is>
          <t>3.8</t>
        </is>
      </c>
      <c r="N270" t="inlineStr">
        <is>
          <t>209</t>
        </is>
      </c>
    </row>
    <row r="271">
      <c r="A271" t="inlineStr">
        <is>
          <t>974</t>
        </is>
      </c>
      <c r="B271" t="inlineStr">
        <is>
          <t>2RS</t>
        </is>
      </c>
      <c r="C271" t="inlineStr">
        <is>
          <t>TRAVELER</t>
        </is>
      </c>
      <c r="D271" t="inlineStr">
        <is>
          <t>2025-03-15T00:00:00</t>
        </is>
      </c>
      <c r="E271" t="inlineStr">
        <is>
          <t>2025-03-22T00:00:00</t>
        </is>
      </c>
      <c r="F271" t="inlineStr">
        <is>
          <t>84.22</t>
        </is>
      </c>
      <c r="G271" t="inlineStr">
        <is>
          <t>91.7</t>
        </is>
      </c>
      <c r="H271" t="inlineStr">
        <is>
          <t>286.36</t>
        </is>
      </c>
      <c r="I271" t="inlineStr">
        <is>
          <t>12.3</t>
        </is>
      </c>
      <c r="J271" t="inlineStr">
        <is>
          <t>4.5</t>
        </is>
      </c>
      <c r="K271" t="inlineStr">
        <is>
          <t>115</t>
        </is>
      </c>
      <c r="L271" t="inlineStr">
        <is>
          <t>85.28</t>
        </is>
      </c>
      <c r="M271" t="inlineStr">
        <is>
          <t>4</t>
        </is>
      </c>
      <c r="N271" t="inlineStr">
        <is>
          <t>180</t>
        </is>
      </c>
    </row>
    <row r="272">
      <c r="A272" t="inlineStr">
        <is>
          <t>975</t>
        </is>
      </c>
      <c r="B272" t="inlineStr">
        <is>
          <t>2RS</t>
        </is>
      </c>
      <c r="C272" t="inlineStr">
        <is>
          <t>TRAVELER</t>
        </is>
      </c>
      <c r="D272" t="inlineStr">
        <is>
          <t>2025-03-16T00:00:00</t>
        </is>
      </c>
      <c r="E272" t="inlineStr">
        <is>
          <t>2025-03-24T00:00:00</t>
        </is>
      </c>
      <c r="F272" t="inlineStr">
        <is>
          <t>84.68</t>
        </is>
      </c>
      <c r="G272" t="inlineStr">
        <is>
          <t>93.1</t>
        </is>
      </c>
      <c r="H272" t="inlineStr">
        <is>
          <t>286.51</t>
        </is>
      </c>
      <c r="I272" t="inlineStr">
        <is>
          <t>12.8</t>
        </is>
      </c>
      <c r="J272" t="inlineStr">
        <is>
          <t>4.0999999999999996</t>
        </is>
      </c>
      <c r="K272" t="inlineStr">
        <is>
          <t>107</t>
        </is>
      </c>
      <c r="L272" t="inlineStr">
        <is>
          <t>82.3</t>
        </is>
      </c>
      <c r="M272" t="inlineStr">
        <is>
          <t>4.3</t>
        </is>
      </c>
      <c r="N272" t="inlineStr">
        <is>
          <t>235</t>
        </is>
      </c>
    </row>
    <row r="273">
      <c r="A273" t="inlineStr">
        <is>
          <t>976</t>
        </is>
      </c>
      <c r="B273" t="inlineStr">
        <is>
          <t>2RS</t>
        </is>
      </c>
      <c r="C273" t="inlineStr">
        <is>
          <t>TRAVELER</t>
        </is>
      </c>
      <c r="D273" t="inlineStr">
        <is>
          <t>2025-03-17T00:00:00</t>
        </is>
      </c>
      <c r="E273" t="inlineStr">
        <is>
          <t>2025-03-25T00:00:00</t>
        </is>
      </c>
      <c r="F273" t="inlineStr">
        <is>
          <t>83.92</t>
        </is>
      </c>
      <c r="G273" t="inlineStr">
        <is>
          <t>92</t>
        </is>
      </c>
      <c r="H273" t="inlineStr">
        <is>
          <t>286.45</t>
        </is>
      </c>
      <c r="I273" t="inlineStr">
        <is>
          <t>12.5</t>
        </is>
      </c>
      <c r="J273" t="inlineStr">
        <is>
          <t>4.03</t>
        </is>
      </c>
      <c r="K273" t="inlineStr">
        <is>
          <t>112</t>
        </is>
      </c>
      <c r="L273" t="inlineStr">
        <is>
          <t>87.45</t>
        </is>
      </c>
      <c r="M273" t="inlineStr">
        <is>
          <t>3.45</t>
        </is>
      </c>
      <c r="N273" t="inlineStr">
        <is>
          <t>191</t>
        </is>
      </c>
    </row>
    <row r="274">
      <c r="A274" t="inlineStr">
        <is>
          <t>977</t>
        </is>
      </c>
      <c r="B274" t="inlineStr">
        <is>
          <t>2RS</t>
        </is>
      </c>
      <c r="C274" t="inlineStr">
        <is>
          <t>TRAVELER</t>
        </is>
      </c>
      <c r="D274" t="inlineStr">
        <is>
          <t>2025-03-19T00:00:00</t>
        </is>
      </c>
      <c r="E274" t="inlineStr">
        <is>
          <t>2025-03-27T00:00:00</t>
        </is>
      </c>
      <c r="F274" t="inlineStr">
        <is>
          <t>84.11</t>
        </is>
      </c>
      <c r="G274" t="inlineStr">
        <is>
          <t>92.2</t>
        </is>
      </c>
      <c r="H274" t="inlineStr">
        <is>
          <t>287.02</t>
        </is>
      </c>
      <c r="I274" t="inlineStr">
        <is>
          <t>12.7</t>
        </is>
      </c>
      <c r="J274" t="inlineStr">
        <is>
          <t>4.29</t>
        </is>
      </c>
      <c r="K274" t="inlineStr">
        <is>
          <t>118</t>
        </is>
      </c>
      <c r="L274" t="inlineStr">
        <is>
          <t>79.23</t>
        </is>
      </c>
      <c r="M274" t="inlineStr">
        <is>
          <t>3.8</t>
        </is>
      </c>
      <c r="N274" t="inlineStr">
        <is>
          <t>328</t>
        </is>
      </c>
    </row>
    <row r="275">
      <c r="A275" t="inlineStr">
        <is>
          <t>978</t>
        </is>
      </c>
      <c r="B275" t="inlineStr">
        <is>
          <t>IBON</t>
        </is>
      </c>
      <c r="C275" t="inlineStr">
        <is>
          <t>IBON</t>
        </is>
      </c>
      <c r="D275" t="inlineStr">
        <is>
          <t>2025-03-20T00:00:00</t>
        </is>
      </c>
      <c r="E275" t="inlineStr">
        <is>
          <t>2025-03-28T00:00:00</t>
        </is>
      </c>
      <c r="F275" t="inlineStr">
        <is>
          <t>83.62</t>
        </is>
      </c>
      <c r="G275" t="inlineStr">
        <is>
          <t>92.3</t>
        </is>
      </c>
      <c r="H275" t="inlineStr">
        <is>
          <t>281.25</t>
        </is>
      </c>
      <c r="I275" t="inlineStr">
        <is>
          <t>13.4</t>
        </is>
      </c>
      <c r="J275" t="inlineStr">
        <is>
          <t>4.42</t>
        </is>
      </c>
      <c r="K275" t="inlineStr">
        <is>
          <t>128</t>
        </is>
      </c>
      <c r="L275" t="inlineStr">
        <is>
          <t>59</t>
        </is>
      </c>
      <c r="M275" t="inlineStr">
        <is>
          <t>4.5999999999999996</t>
        </is>
      </c>
      <c r="N275" t="inlineStr">
        <is>
          <t>407</t>
        </is>
      </c>
    </row>
    <row r="276">
      <c r="A276" t="inlineStr">
        <is>
          <t>979</t>
        </is>
      </c>
      <c r="B276" t="inlineStr">
        <is>
          <t>IBON</t>
        </is>
      </c>
      <c r="C276" t="inlineStr">
        <is>
          <t>IBON</t>
        </is>
      </c>
      <c r="D276" t="inlineStr">
        <is>
          <t>2025-03-22T00:00:00</t>
        </is>
      </c>
      <c r="E276" t="inlineStr">
        <is>
          <t>2025-03-29T00:00:00</t>
        </is>
      </c>
      <c r="F276" t="inlineStr">
        <is>
          <t>83.96</t>
        </is>
      </c>
      <c r="G276" t="inlineStr">
        <is>
          <t>92.7</t>
        </is>
      </c>
      <c r="H276" t="inlineStr">
        <is>
          <t>281.31</t>
        </is>
      </c>
      <c r="I276" t="inlineStr">
        <is>
          <t>13.4</t>
        </is>
      </c>
      <c r="J276" t="inlineStr">
        <is>
          <t>4.3899999999999997</t>
        </is>
      </c>
      <c r="K276" t="inlineStr">
        <is>
          <t>130</t>
        </is>
      </c>
      <c r="L276" t="inlineStr">
        <is>
          <t>56.1</t>
        </is>
      </c>
      <c r="M276" t="inlineStr">
        <is>
          <t>4.7</t>
        </is>
      </c>
      <c r="N276" t="inlineStr">
        <is>
          <t>390</t>
        </is>
      </c>
    </row>
    <row r="277">
      <c r="A277" t="inlineStr">
        <is>
          <t>980</t>
        </is>
      </c>
      <c r="B277" t="inlineStr">
        <is>
          <t>IBON</t>
        </is>
      </c>
      <c r="C277" t="inlineStr">
        <is>
          <t>IBON</t>
        </is>
      </c>
      <c r="D277" t="inlineStr">
        <is>
          <t>2025-03-23T00:00:00</t>
        </is>
      </c>
      <c r="E277" t="inlineStr">
        <is>
          <t>2025-03-31T00:00:00</t>
        </is>
      </c>
      <c r="F277" t="inlineStr">
        <is>
          <t>83.05</t>
        </is>
      </c>
      <c r="G277" t="inlineStr">
        <is>
          <t>92.6</t>
        </is>
      </c>
      <c r="H277" t="inlineStr">
        <is>
          <t>281.02</t>
        </is>
      </c>
      <c r="I277" t="inlineStr">
        <is>
          <t>13.4</t>
        </is>
      </c>
      <c r="J277" t="inlineStr">
        <is>
          <t>3.49</t>
        </is>
      </c>
      <c r="K277" t="inlineStr">
        <is>
          <t>132</t>
        </is>
      </c>
      <c r="L277" t="inlineStr">
        <is>
          <t>56.89</t>
        </is>
      </c>
      <c r="M277" t="inlineStr">
        <is>
          <t>4.8</t>
        </is>
      </c>
      <c r="N277" t="inlineStr">
        <is>
          <t>332</t>
        </is>
      </c>
    </row>
    <row r="278">
      <c r="A278" t="inlineStr">
        <is>
          <t>981</t>
        </is>
      </c>
      <c r="B278" t="inlineStr">
        <is>
          <t>2RS</t>
        </is>
      </c>
      <c r="C278" t="inlineStr">
        <is>
          <t>TRAVELER</t>
        </is>
      </c>
      <c r="D278" t="inlineStr">
        <is>
          <t>2025-03-25T00:00:00</t>
        </is>
      </c>
      <c r="E278" t="inlineStr">
        <is>
          <t>2025-04-01T00:00:00</t>
        </is>
      </c>
      <c r="F278" t="inlineStr">
        <is>
          <t>84.01</t>
        </is>
      </c>
      <c r="G278" t="inlineStr">
        <is>
          <t>93.2</t>
        </is>
      </c>
      <c r="H278" t="inlineStr">
        <is>
          <t>285.89</t>
        </is>
      </c>
      <c r="I278" t="inlineStr">
        <is>
          <t>13.5</t>
        </is>
      </c>
      <c r="J278" t="inlineStr">
        <is>
          <t>4.0199999999999996</t>
        </is>
      </c>
      <c r="K278" t="inlineStr">
        <is>
          <t>132</t>
        </is>
      </c>
      <c r="L278" t="inlineStr">
        <is>
          <t>85.19</t>
        </is>
      </c>
      <c r="M278" t="inlineStr">
        <is>
          <t>4.0999999999999996</t>
        </is>
      </c>
      <c r="N278" t="inlineStr">
        <is>
          <t>174</t>
        </is>
      </c>
    </row>
    <row r="279">
      <c r="A279" t="inlineStr">
        <is>
          <t>982</t>
        </is>
      </c>
      <c r="B279" t="inlineStr">
        <is>
          <t>2RS</t>
        </is>
      </c>
      <c r="C279" t="inlineStr">
        <is>
          <t>TRAVELER</t>
        </is>
      </c>
      <c r="D279" t="inlineStr">
        <is>
          <t>2025-03-26T00:00:00</t>
        </is>
      </c>
      <c r="E279" t="inlineStr">
        <is>
          <t>2025-04-02T00:00:00</t>
        </is>
      </c>
      <c r="F279" t="inlineStr">
        <is>
          <t>85.05</t>
        </is>
      </c>
      <c r="G279" t="inlineStr">
        <is>
          <t>93.5</t>
        </is>
      </c>
      <c r="H279" t="inlineStr">
        <is>
          <t>282.07</t>
        </is>
      </c>
      <c r="I279" t="inlineStr">
        <is>
          <t>12.9</t>
        </is>
      </c>
      <c r="J279" t="inlineStr">
        <is>
          <t>4.2</t>
        </is>
      </c>
      <c r="K279" t="inlineStr">
        <is>
          <t>118</t>
        </is>
      </c>
      <c r="L279" t="inlineStr">
        <is>
          <t>82</t>
        </is>
      </c>
      <c r="M279" t="inlineStr">
        <is>
          <t>3.8</t>
        </is>
      </c>
      <c r="N279" t="inlineStr">
        <is>
          <t>232</t>
        </is>
      </c>
    </row>
    <row r="280">
      <c r="A280" t="inlineStr">
        <is>
          <t>983</t>
        </is>
      </c>
      <c r="B280" t="inlineStr">
        <is>
          <t>2RS</t>
        </is>
      </c>
      <c r="C280" t="inlineStr">
        <is>
          <t>TRAVELER</t>
        </is>
      </c>
      <c r="D280" t="inlineStr">
        <is>
          <t>2025-03-28T00:00:00</t>
        </is>
      </c>
      <c r="E280" t="inlineStr">
        <is>
          <t>2025-04-04T00:00:00</t>
        </is>
      </c>
      <c r="F280" t="inlineStr">
        <is>
          <t>84.74</t>
        </is>
      </c>
      <c r="G280" t="inlineStr">
        <is>
          <t>93.1</t>
        </is>
      </c>
      <c r="H280" t="inlineStr">
        <is>
          <t>285.82</t>
        </is>
      </c>
      <c r="I280" t="inlineStr">
        <is>
          <t>12.8</t>
        </is>
      </c>
      <c r="J280" t="inlineStr">
        <is>
          <t>4.1900000000000004</t>
        </is>
      </c>
      <c r="K280" t="inlineStr">
        <is>
          <t>115</t>
        </is>
      </c>
      <c r="L280" t="inlineStr">
        <is>
          <t>82.01</t>
        </is>
      </c>
      <c r="M280" t="inlineStr">
        <is>
          <t>3.7</t>
        </is>
      </c>
      <c r="N280" t="inlineStr">
        <is>
          <t>302</t>
        </is>
      </c>
    </row>
    <row r="281">
      <c r="A281" t="inlineStr">
        <is>
          <t>984</t>
        </is>
      </c>
      <c r="B281" t="inlineStr">
        <is>
          <t>2RS</t>
        </is>
      </c>
      <c r="C281" t="inlineStr">
        <is>
          <t>TRAVELER</t>
        </is>
      </c>
      <c r="D281" t="inlineStr">
        <is>
          <t>2025-03-29T00:00:00</t>
        </is>
      </c>
      <c r="E281" t="inlineStr">
        <is>
          <t>2025-04-05T00:00:00</t>
        </is>
      </c>
      <c r="F281" t="inlineStr">
        <is>
          <t>85.6</t>
        </is>
      </c>
      <c r="G281" t="inlineStr">
        <is>
          <t>94.1</t>
        </is>
      </c>
      <c r="H281" t="inlineStr">
        <is>
          <t>286.48</t>
        </is>
      </c>
      <c r="I281" t="inlineStr">
        <is>
          <t>12.8</t>
        </is>
      </c>
      <c r="J281" t="inlineStr">
        <is>
          <t>4.18</t>
        </is>
      </c>
      <c r="K281" t="inlineStr">
        <is>
          <t>116</t>
        </is>
      </c>
      <c r="L281" t="inlineStr">
        <is>
          <t>80.44</t>
        </is>
      </c>
      <c r="M281" t="inlineStr">
        <is>
          <t>3.7</t>
        </is>
      </c>
      <c r="N281" t="inlineStr">
        <is>
          <t>383</t>
        </is>
      </c>
    </row>
    <row r="282">
      <c r="A282" t="inlineStr">
        <is>
          <t>985</t>
        </is>
      </c>
      <c r="B282" t="inlineStr">
        <is>
          <t>2RS</t>
        </is>
      </c>
      <c r="C282" t="inlineStr">
        <is>
          <t>TRAVELER</t>
        </is>
      </c>
      <c r="D282" t="inlineStr">
        <is>
          <t>2025-03-30T00:00:00</t>
        </is>
      </c>
      <c r="E282" t="inlineStr">
        <is>
          <t>2025-04-06T00:00:00</t>
        </is>
      </c>
      <c r="F282" t="inlineStr">
        <is>
          <t>84.39</t>
        </is>
      </c>
      <c r="G282" t="inlineStr">
        <is>
          <t>93</t>
        </is>
      </c>
      <c r="H282" t="inlineStr">
        <is>
          <t>286.01</t>
        </is>
      </c>
      <c r="I282" t="inlineStr">
        <is>
          <t>12.8</t>
        </is>
      </c>
      <c r="J282" t="inlineStr">
        <is>
          <t>3.94</t>
        </is>
      </c>
      <c r="K282" t="inlineStr">
        <is>
          <t>119</t>
        </is>
      </c>
      <c r="L282" t="inlineStr">
        <is>
          <t>83.27</t>
        </is>
      </c>
      <c r="M282" t="inlineStr">
        <is>
          <t>3.7</t>
        </is>
      </c>
      <c r="N282" t="inlineStr">
        <is>
          <t>296</t>
        </is>
      </c>
    </row>
    <row r="283">
      <c r="A283" t="inlineStr">
        <is>
          <t>986</t>
        </is>
      </c>
      <c r="B283" t="inlineStr">
        <is>
          <t>2RS</t>
        </is>
      </c>
      <c r="C283" t="inlineStr">
        <is>
          <t>TRAVELER</t>
        </is>
      </c>
      <c r="D283" t="inlineStr">
        <is>
          <t>2025-03-31T00:00:00</t>
        </is>
      </c>
      <c r="E283" t="inlineStr">
        <is>
          <t>2025-04-08T00:00:00</t>
        </is>
      </c>
      <c r="F283" t="inlineStr">
        <is>
          <t>84.45</t>
        </is>
      </c>
      <c r="G283" t="inlineStr">
        <is>
          <t>93.2</t>
        </is>
      </c>
      <c r="H283" t="inlineStr">
        <is>
          <t>287.19</t>
        </is>
      </c>
      <c r="I283" t="inlineStr">
        <is>
          <t>13.2</t>
        </is>
      </c>
      <c r="J283" t="inlineStr">
        <is>
          <t>4.17</t>
        </is>
      </c>
      <c r="K283" t="inlineStr">
        <is>
          <t>110</t>
        </is>
      </c>
      <c r="L283" t="inlineStr">
        <is>
          <t>82.74</t>
        </is>
      </c>
      <c r="M283" t="inlineStr">
        <is>
          <t>4.0999999999999996</t>
        </is>
      </c>
      <c r="N283" t="inlineStr">
        <is>
          <t>358</t>
        </is>
      </c>
    </row>
    <row r="284">
      <c r="A284" t="inlineStr">
        <is>
          <t>987</t>
        </is>
      </c>
      <c r="B284" t="inlineStr">
        <is>
          <t>2RS</t>
        </is>
      </c>
      <c r="C284" t="inlineStr">
        <is>
          <t>TRAVELER</t>
        </is>
      </c>
      <c r="D284" t="inlineStr">
        <is>
          <t>2025-04-02T00:00:00</t>
        </is>
      </c>
      <c r="E284" t="inlineStr">
        <is>
          <t>2025-04-09T00:00:00</t>
        </is>
      </c>
      <c r="F284" t="inlineStr">
        <is>
          <t>83.68</t>
        </is>
      </c>
      <c r="G284" t="inlineStr">
        <is>
          <t>92.3</t>
        </is>
      </c>
      <c r="H284" t="inlineStr">
        <is>
          <t>288.66000000000003</t>
        </is>
      </c>
      <c r="I284" t="inlineStr">
        <is>
          <t>13</t>
        </is>
      </c>
      <c r="J284" t="inlineStr">
        <is>
          <t>3.99</t>
        </is>
      </c>
      <c r="K284" t="inlineStr">
        <is>
          <t>130</t>
        </is>
      </c>
      <c r="L284" t="inlineStr">
        <is>
          <t>88.78</t>
        </is>
      </c>
      <c r="M284" t="inlineStr">
        <is>
          <t>3.6</t>
        </is>
      </c>
      <c r="N284" t="inlineStr">
        <is>
          <t>227</t>
        </is>
      </c>
    </row>
    <row r="285">
      <c r="A285" t="inlineStr">
        <is>
          <t>988</t>
        </is>
      </c>
      <c r="B285" t="inlineStr">
        <is>
          <t>2RS</t>
        </is>
      </c>
      <c r="C285" t="inlineStr">
        <is>
          <t>TRAVELER</t>
        </is>
      </c>
      <c r="D285" t="inlineStr">
        <is>
          <t>2025-04-03T00:00:00</t>
        </is>
      </c>
      <c r="E285" t="inlineStr">
        <is>
          <t>2025-04-11T00:00:00</t>
        </is>
      </c>
      <c r="F285" t="inlineStr">
        <is>
          <t>84.5</t>
        </is>
      </c>
      <c r="G285" t="inlineStr">
        <is>
          <t>93.1</t>
        </is>
      </c>
      <c r="H285" t="inlineStr">
        <is>
          <t>288.81</t>
        </is>
      </c>
      <c r="I285" t="inlineStr">
        <is>
          <t>12.6</t>
        </is>
      </c>
      <c r="J285" t="inlineStr">
        <is>
          <t>3.68</t>
        </is>
      </c>
      <c r="K285" t="inlineStr">
        <is>
          <t>126</t>
        </is>
      </c>
      <c r="L285" t="inlineStr">
        <is>
          <t>85.28</t>
        </is>
      </c>
      <c r="M285" t="inlineStr">
        <is>
          <t>4</t>
        </is>
      </c>
      <c r="N285" t="inlineStr">
        <is>
          <t>300</t>
        </is>
      </c>
    </row>
    <row r="286">
      <c r="A286" t="inlineStr">
        <is>
          <t>989</t>
        </is>
      </c>
      <c r="B286" t="inlineStr">
        <is>
          <t>2RS</t>
        </is>
      </c>
      <c r="C286" t="inlineStr">
        <is>
          <t>TRAVELER</t>
        </is>
      </c>
      <c r="D286" t="inlineStr">
        <is>
          <t>2025-04-04T00:00:00</t>
        </is>
      </c>
      <c r="E286" t="inlineStr">
        <is>
          <t>2025-04-12T00:00:00</t>
        </is>
      </c>
      <c r="F286" t="inlineStr">
        <is>
          <t>84.16</t>
        </is>
      </c>
      <c r="G286" t="inlineStr">
        <is>
          <t>92.6</t>
        </is>
      </c>
      <c r="H286" t="inlineStr">
        <is>
          <t>286.29000000000002</t>
        </is>
      </c>
      <c r="I286" t="inlineStr">
        <is>
          <t>12.8</t>
        </is>
      </c>
      <c r="J286" t="inlineStr">
        <is>
          <t>4.04</t>
        </is>
      </c>
      <c r="K286" t="inlineStr">
        <is>
          <t>114</t>
        </is>
      </c>
      <c r="L286" t="inlineStr">
        <is>
          <t>83.9</t>
        </is>
      </c>
      <c r="M286" t="inlineStr">
        <is>
          <t>3.6</t>
        </is>
      </c>
      <c r="N286" t="inlineStr">
        <is>
          <t>326</t>
        </is>
      </c>
    </row>
    <row r="287">
      <c r="A287" t="inlineStr">
        <is>
          <t>990</t>
        </is>
      </c>
      <c r="B287" t="inlineStr">
        <is>
          <t>2RS</t>
        </is>
      </c>
      <c r="C287" t="inlineStr">
        <is>
          <t>TRAVELER</t>
        </is>
      </c>
      <c r="D287" t="inlineStr">
        <is>
          <t>2025-04-06T00:00:00</t>
        </is>
      </c>
      <c r="E287" t="inlineStr">
        <is>
          <t>2025-04-13T00:00:00</t>
        </is>
      </c>
      <c r="F287" t="inlineStr">
        <is>
          <t>82.89</t>
        </is>
      </c>
      <c r="G287" t="inlineStr">
        <is>
          <t>91</t>
        </is>
      </c>
      <c r="H287" t="inlineStr">
        <is>
          <t>286.45</t>
        </is>
      </c>
      <c r="I287" t="inlineStr">
        <is>
          <t>13</t>
        </is>
      </c>
      <c r="J287" t="inlineStr">
        <is>
          <t>4.46</t>
        </is>
      </c>
      <c r="K287" t="inlineStr">
        <is>
          <t>112</t>
        </is>
      </c>
      <c r="L287" t="inlineStr">
        <is>
          <t>80.44</t>
        </is>
      </c>
      <c r="M287" t="inlineStr">
        <is>
          <t>3.54</t>
        </is>
      </c>
      <c r="N287" t="inlineStr">
        <is>
          <t>302</t>
        </is>
      </c>
    </row>
    <row r="288">
      <c r="A288" t="inlineStr">
        <is>
          <t>991</t>
        </is>
      </c>
      <c r="B288" t="inlineStr">
        <is>
          <t>2RS</t>
        </is>
      </c>
      <c r="C288" t="inlineStr">
        <is>
          <t>TRAVELER</t>
        </is>
      </c>
      <c r="D288" t="inlineStr">
        <is>
          <t>2025-04-07T00:00:00</t>
        </is>
      </c>
      <c r="E288" t="inlineStr">
        <is>
          <t>2025-04-15T00:00:00</t>
        </is>
      </c>
      <c r="F288" t="inlineStr">
        <is>
          <t>86.47</t>
        </is>
      </c>
      <c r="G288" t="inlineStr">
        <is>
          <t>94.6</t>
        </is>
      </c>
      <c r="H288" t="inlineStr">
        <is>
          <t>287.02999999999997</t>
        </is>
      </c>
      <c r="I288" t="inlineStr">
        <is>
          <t>12.4</t>
        </is>
      </c>
      <c r="J288" t="inlineStr">
        <is>
          <t>4.16</t>
        </is>
      </c>
      <c r="K288" t="inlineStr">
        <is>
          <t>129</t>
        </is>
      </c>
      <c r="L288" t="inlineStr">
        <is>
          <t>85.73</t>
        </is>
      </c>
      <c r="M288" t="inlineStr">
        <is>
          <t>3.3</t>
        </is>
      </c>
      <c r="N288" t="inlineStr">
        <is>
          <t>263</t>
        </is>
      </c>
    </row>
    <row r="289">
      <c r="A289" t="inlineStr">
        <is>
          <t>992</t>
        </is>
      </c>
      <c r="B289" t="inlineStr">
        <is>
          <t>IBON</t>
        </is>
      </c>
      <c r="C289" t="inlineStr">
        <is>
          <t>IBON</t>
        </is>
      </c>
      <c r="D289" t="inlineStr">
        <is>
          <t>2025-04-09T00:00:00</t>
        </is>
      </c>
      <c r="E289" t="inlineStr">
        <is>
          <t>2025-04-17T00:00:00</t>
        </is>
      </c>
      <c r="F289" t="inlineStr">
        <is>
          <t>83.77</t>
        </is>
      </c>
      <c r="G289" t="inlineStr">
        <is>
          <t>92.7</t>
        </is>
      </c>
      <c r="H289" t="inlineStr">
        <is>
          <t>282.60000000000002</t>
        </is>
      </c>
      <c r="I289" t="inlineStr">
        <is>
          <t>13.5</t>
        </is>
      </c>
      <c r="J289" t="inlineStr">
        <is>
          <t>4.3</t>
        </is>
      </c>
      <c r="K289" t="inlineStr">
        <is>
          <t>128</t>
        </is>
      </c>
      <c r="L289" t="inlineStr">
        <is>
          <t>61.7</t>
        </is>
      </c>
      <c r="M289" t="inlineStr">
        <is>
          <t>4.7</t>
        </is>
      </c>
      <c r="N289" t="inlineStr">
        <is>
          <t>363</t>
        </is>
      </c>
    </row>
    <row r="290">
      <c r="A290" t="inlineStr">
        <is>
          <t>993</t>
        </is>
      </c>
      <c r="B290" t="inlineStr">
        <is>
          <t>IBON</t>
        </is>
      </c>
      <c r="C290" t="inlineStr">
        <is>
          <t>IBON</t>
        </is>
      </c>
      <c r="D290" t="inlineStr">
        <is>
          <t>2025-04-10T00:00:00</t>
        </is>
      </c>
      <c r="E290" t="inlineStr">
        <is>
          <t>2025-04-18T00:00:00</t>
        </is>
      </c>
      <c r="F290" t="inlineStr">
        <is>
          <t>83.05</t>
        </is>
      </c>
      <c r="G290" t="inlineStr">
        <is>
          <t>91.9</t>
        </is>
      </c>
      <c r="H290" t="inlineStr">
        <is>
          <t>282.58999999999997</t>
        </is>
      </c>
      <c r="I290" t="inlineStr">
        <is>
          <t>13.5</t>
        </is>
      </c>
      <c r="J290" t="inlineStr">
        <is>
          <t>4.25</t>
        </is>
      </c>
      <c r="K290" t="inlineStr">
        <is>
          <t>114</t>
        </is>
      </c>
      <c r="L290" t="inlineStr">
        <is>
          <t>60.2</t>
        </is>
      </c>
      <c r="M290" t="inlineStr">
        <is>
          <t>3.7</t>
        </is>
      </c>
      <c r="N290" t="inlineStr">
        <is>
          <t>392</t>
        </is>
      </c>
    </row>
    <row r="291">
      <c r="A291" t="inlineStr">
        <is>
          <t>994</t>
        </is>
      </c>
      <c r="B291" t="inlineStr">
        <is>
          <t>IBON</t>
        </is>
      </c>
      <c r="C291" t="inlineStr">
        <is>
          <t>IBON</t>
        </is>
      </c>
      <c r="D291" t="inlineStr">
        <is>
          <t>2025-04-11T00:00:00</t>
        </is>
      </c>
      <c r="E291" t="inlineStr">
        <is>
          <t>2025-04-20T00:00:00</t>
        </is>
      </c>
      <c r="F291" t="inlineStr">
        <is>
          <t>83.86</t>
        </is>
      </c>
      <c r="G291" t="inlineStr">
        <is>
          <t>92</t>
        </is>
      </c>
      <c r="H291" t="inlineStr">
        <is>
          <t>283.08</t>
        </is>
      </c>
      <c r="I291" t="inlineStr">
        <is>
          <t>13.1</t>
        </is>
      </c>
      <c r="J291" t="inlineStr">
        <is>
          <t>4.6399999999999997</t>
        </is>
      </c>
      <c r="K291" t="inlineStr">
        <is>
          <t>110</t>
        </is>
      </c>
      <c r="L291" t="inlineStr">
        <is>
          <t>59.16</t>
        </is>
      </c>
      <c r="M291" t="inlineStr">
        <is>
          <t>3.53</t>
        </is>
      </c>
      <c r="N291" t="inlineStr">
        <is>
          <t>458</t>
        </is>
      </c>
    </row>
    <row r="292">
      <c r="A292" t="inlineStr">
        <is>
          <t>995</t>
        </is>
      </c>
      <c r="B292" t="inlineStr">
        <is>
          <t>2RS</t>
        </is>
      </c>
      <c r="C292" t="inlineStr">
        <is>
          <t>TRAVELER</t>
        </is>
      </c>
      <c r="D292" t="inlineStr">
        <is>
          <t>2025-04-13T00:00:00</t>
        </is>
      </c>
      <c r="E292" t="inlineStr">
        <is>
          <t>2025-04-21T00:00:00</t>
        </is>
      </c>
      <c r="F292" t="inlineStr">
        <is>
          <t>84.2</t>
        </is>
      </c>
      <c r="G292" t="inlineStr">
        <is>
          <t>92.7</t>
        </is>
      </c>
      <c r="H292" t="inlineStr">
        <is>
          <t>286.61</t>
        </is>
      </c>
      <c r="I292" t="inlineStr">
        <is>
          <t>12.9</t>
        </is>
      </c>
      <c r="J292" t="inlineStr">
        <is>
          <t>4.1399999999999997</t>
        </is>
      </c>
      <c r="K292" t="inlineStr">
        <is>
          <t>111</t>
        </is>
      </c>
      <c r="L292" t="inlineStr">
        <is>
          <t>85</t>
        </is>
      </c>
      <c r="M292" t="inlineStr">
        <is>
          <t>3.5</t>
        </is>
      </c>
      <c r="N292" t="inlineStr">
        <is>
          <t>305</t>
        </is>
      </c>
    </row>
    <row r="293">
      <c r="A293" t="inlineStr">
        <is>
          <t>996</t>
        </is>
      </c>
      <c r="B293" t="inlineStr">
        <is>
          <t>2RS</t>
        </is>
      </c>
      <c r="C293" t="inlineStr">
        <is>
          <t>TRAVELER</t>
        </is>
      </c>
      <c r="D293" t="inlineStr">
        <is>
          <t>2025-04-14T00:00:00</t>
        </is>
      </c>
      <c r="E293" t="inlineStr">
        <is>
          <t>2025-04-22T00:00:00</t>
        </is>
      </c>
      <c r="F293" t="inlineStr">
        <is>
          <t>83.94</t>
        </is>
      </c>
      <c r="G293" t="inlineStr">
        <is>
          <t>92</t>
        </is>
      </c>
      <c r="H293" t="inlineStr">
        <is>
          <t>286.75</t>
        </is>
      </c>
      <c r="I293" t="inlineStr">
        <is>
          <t>12.3</t>
        </is>
      </c>
      <c r="J293" t="inlineStr">
        <is>
          <t>3.92</t>
        </is>
      </c>
      <c r="K293" t="inlineStr">
        <is>
          <t>121</t>
        </is>
      </c>
      <c r="L293" t="inlineStr">
        <is>
          <t>84.8</t>
        </is>
      </c>
      <c r="M293" t="inlineStr">
        <is>
          <t>3.9</t>
        </is>
      </c>
      <c r="N293" t="inlineStr">
        <is>
          <t>273</t>
        </is>
      </c>
    </row>
    <row r="294">
      <c r="A294" t="inlineStr">
        <is>
          <t>997</t>
        </is>
      </c>
      <c r="B294" t="inlineStr">
        <is>
          <t>2RS</t>
        </is>
      </c>
      <c r="C294" t="inlineStr">
        <is>
          <t>FAQ</t>
        </is>
      </c>
      <c r="D294" t="inlineStr">
        <is>
          <t>2025-04-16T00:00:00</t>
        </is>
      </c>
      <c r="E294" t="inlineStr">
        <is>
          <t>2025-04-23T00:00:00</t>
        </is>
      </c>
      <c r="F294" t="inlineStr">
        <is>
          <t>84.36</t>
        </is>
      </c>
      <c r="G294" t="inlineStr">
        <is>
          <t>92.6</t>
        </is>
      </c>
      <c r="H294" t="inlineStr">
        <is>
          <t>286.06</t>
        </is>
      </c>
      <c r="I294" t="inlineStr">
        <is>
          <t>12.9</t>
        </is>
      </c>
      <c r="J294" t="inlineStr">
        <is>
          <t>4.42</t>
        </is>
      </c>
      <c r="K294" t="inlineStr">
        <is>
          <t>135</t>
        </is>
      </c>
      <c r="L294" t="inlineStr">
        <is>
          <t>85.2</t>
        </is>
      </c>
      <c r="M294" t="inlineStr">
        <is>
          <t>3.1</t>
        </is>
      </c>
      <c r="N294" t="inlineStr">
        <is>
          <t>412</t>
        </is>
      </c>
    </row>
    <row r="295">
      <c r="A295" t="inlineStr">
        <is>
          <t>998</t>
        </is>
      </c>
      <c r="B295" t="inlineStr">
        <is>
          <t>2RS</t>
        </is>
      </c>
      <c r="C295" t="inlineStr">
        <is>
          <t>FAQ</t>
        </is>
      </c>
      <c r="D295" t="inlineStr">
        <is>
          <t>2025-04-16T00:00:00</t>
        </is>
      </c>
      <c r="E295" t="inlineStr">
        <is>
          <t>2025-04-25T00:00:00</t>
        </is>
      </c>
      <c r="F295" t="inlineStr">
        <is>
          <t>85.05</t>
        </is>
      </c>
      <c r="G295" t="inlineStr"/>
      <c r="H295" t="inlineStr">
        <is>
          <t>286.25</t>
        </is>
      </c>
      <c r="I295" t="inlineStr"/>
      <c r="J295" t="inlineStr">
        <is>
          <t>4.0199999999999996</t>
        </is>
      </c>
      <c r="K295" t="inlineStr">
        <is>
          <t>140</t>
        </is>
      </c>
      <c r="L295" t="inlineStr">
        <is>
          <t>86.07</t>
        </is>
      </c>
      <c r="M295" t="inlineStr">
        <is>
          <t>2.9</t>
        </is>
      </c>
      <c r="N295" t="inlineStr">
        <is>
          <t>375</t>
        </is>
      </c>
    </row>
    <row r="296">
      <c r="A296" t="inlineStr">
        <is>
          <t>999</t>
        </is>
      </c>
      <c r="B296" t="inlineStr">
        <is>
          <t>2RS</t>
        </is>
      </c>
      <c r="C296" t="inlineStr">
        <is>
          <t>FAQ</t>
        </is>
      </c>
      <c r="D296" t="inlineStr">
        <is>
          <t>2025-04-19T00:00:00</t>
        </is>
      </c>
      <c r="E296" t="inlineStr">
        <is>
          <t>2025-04-26T00:00:00</t>
        </is>
      </c>
      <c r="F296" t="inlineStr">
        <is>
          <t>85.25</t>
        </is>
      </c>
      <c r="G296" t="inlineStr"/>
      <c r="H296" t="inlineStr">
        <is>
          <t>287.27</t>
        </is>
      </c>
      <c r="I296" t="inlineStr">
        <is>
          <t>12.9</t>
        </is>
      </c>
      <c r="J296" t="inlineStr"/>
      <c r="K296" t="inlineStr"/>
      <c r="L296" t="inlineStr"/>
      <c r="M296" t="inlineStr"/>
      <c r="N296" t="inlineStr"/>
    </row>
    <row r="297">
      <c r="A297" t="inlineStr">
        <is>
          <t>1000</t>
        </is>
      </c>
      <c r="B297" t="inlineStr">
        <is>
          <t>2RS</t>
        </is>
      </c>
      <c r="C297" t="inlineStr">
        <is>
          <t>TRAVELER</t>
        </is>
      </c>
      <c r="D297" t="inlineStr">
        <is>
          <t>2025-04-20T00:00:00</t>
        </is>
      </c>
      <c r="E297" t="inlineStr">
        <is>
          <t>2025-04-27T00:00:00</t>
        </is>
      </c>
      <c r="F297" t="inlineStr">
        <is>
          <t>84.14</t>
        </is>
      </c>
      <c r="G297" t="inlineStr">
        <is>
          <t>92.6</t>
        </is>
      </c>
      <c r="H297" t="inlineStr">
        <is>
          <t>286.76</t>
        </is>
      </c>
      <c r="I297" t="inlineStr">
        <is>
          <t>12.8</t>
        </is>
      </c>
      <c r="J297" t="inlineStr">
        <is>
          <t>4.03</t>
        </is>
      </c>
      <c r="K297" t="inlineStr">
        <is>
          <t>118</t>
        </is>
      </c>
      <c r="L297" t="inlineStr">
        <is>
          <t>83.42</t>
        </is>
      </c>
      <c r="M297" t="inlineStr">
        <is>
          <t>3.3</t>
        </is>
      </c>
      <c r="N297" t="inlineStr">
        <is>
          <t>279</t>
        </is>
      </c>
    </row>
    <row r="298">
      <c r="A298" t="inlineStr">
        <is>
          <t>1001</t>
        </is>
      </c>
      <c r="B298" t="inlineStr">
        <is>
          <t>2RS</t>
        </is>
      </c>
      <c r="C298" t="inlineStr">
        <is>
          <t>TRAVELER</t>
        </is>
      </c>
      <c r="D298" t="inlineStr">
        <is>
          <t>2025-04-21T00:00:00</t>
        </is>
      </c>
      <c r="E298" t="inlineStr">
        <is>
          <t>2025-04-29T00:00:00</t>
        </is>
      </c>
      <c r="F298" t="inlineStr">
        <is>
          <t>85.06</t>
        </is>
      </c>
      <c r="G298" t="inlineStr"/>
      <c r="H298" t="inlineStr">
        <is>
          <t>282.49</t>
        </is>
      </c>
      <c r="I298" t="inlineStr">
        <is>
          <t>12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1002</t>
        </is>
      </c>
      <c r="B299" t="inlineStr">
        <is>
          <t>2RS</t>
        </is>
      </c>
      <c r="C299" t="inlineStr">
        <is>
          <t>TRAVELER</t>
        </is>
      </c>
      <c r="D299" t="inlineStr">
        <is>
          <t>2025-04-22T00:00:00</t>
        </is>
      </c>
      <c r="E299" t="inlineStr">
        <is>
          <t>2025-04-30T00:00:00</t>
        </is>
      </c>
      <c r="F299" t="inlineStr">
        <is>
          <t>84.5</t>
        </is>
      </c>
      <c r="G299" t="inlineStr">
        <is>
          <t>92.8</t>
        </is>
      </c>
      <c r="H299" t="inlineStr">
        <is>
          <t>286.73</t>
        </is>
      </c>
      <c r="I299" t="inlineStr">
        <is>
          <t>12.9</t>
        </is>
      </c>
      <c r="J299" t="inlineStr">
        <is>
          <t>4.3899999999999997</t>
        </is>
      </c>
      <c r="K299" t="inlineStr">
        <is>
          <t>110</t>
        </is>
      </c>
      <c r="L299" t="inlineStr">
        <is>
          <t>83.86</t>
        </is>
      </c>
      <c r="M299" t="inlineStr">
        <is>
          <t>3.4</t>
        </is>
      </c>
      <c r="N299" t="inlineStr">
        <is>
          <t>320</t>
        </is>
      </c>
    </row>
    <row r="300">
      <c r="A300" t="inlineStr">
        <is>
          <t>1003</t>
        </is>
      </c>
      <c r="B300" t="inlineStr">
        <is>
          <t>IBON</t>
        </is>
      </c>
      <c r="C300" t="inlineStr">
        <is>
          <t>IBON</t>
        </is>
      </c>
      <c r="D300" t="inlineStr">
        <is>
          <t>2025-04-24T00:00:00</t>
        </is>
      </c>
      <c r="E300" t="inlineStr">
        <is>
          <t>2025-05-01T00:00:00</t>
        </is>
      </c>
      <c r="F300" t="inlineStr">
        <is>
          <t>86.38</t>
        </is>
      </c>
      <c r="G300" t="inlineStr">
        <is>
          <t>94.3</t>
        </is>
      </c>
      <c r="H300" t="inlineStr">
        <is>
          <t>282.68</t>
        </is>
      </c>
      <c r="I300" t="inlineStr">
        <is>
          <t>12.4</t>
        </is>
      </c>
      <c r="J300" t="inlineStr">
        <is>
          <t>4.41</t>
        </is>
      </c>
      <c r="K300" t="inlineStr">
        <is>
          <t>104</t>
        </is>
      </c>
      <c r="L300" t="inlineStr">
        <is>
          <t>32.93</t>
        </is>
      </c>
      <c r="M300" t="inlineStr">
        <is>
          <t>3.6</t>
        </is>
      </c>
      <c r="N300" t="inlineStr">
        <is>
          <t>887</t>
        </is>
      </c>
    </row>
    <row r="301">
      <c r="A301" t="inlineStr">
        <is>
          <t>1004</t>
        </is>
      </c>
      <c r="B301" t="inlineStr">
        <is>
          <t>2RS</t>
        </is>
      </c>
      <c r="C301" t="inlineStr">
        <is>
          <t>TRAVELER</t>
        </is>
      </c>
      <c r="D301" t="inlineStr">
        <is>
          <t>2025-04-25T00:00:00</t>
        </is>
      </c>
      <c r="E301" t="inlineStr">
        <is>
          <t>2025-05-03T00:00:00</t>
        </is>
      </c>
      <c r="F301" t="inlineStr">
        <is>
          <t>84.68</t>
        </is>
      </c>
      <c r="G301" t="inlineStr"/>
      <c r="H301" t="inlineStr">
        <is>
          <t>286.8</t>
        </is>
      </c>
      <c r="I301" t="inlineStr"/>
      <c r="J301" t="inlineStr">
        <is>
          <t>4.03</t>
        </is>
      </c>
      <c r="K301" t="inlineStr">
        <is>
          <t>102</t>
        </is>
      </c>
      <c r="L301" t="inlineStr">
        <is>
          <t>80.7</t>
        </is>
      </c>
      <c r="M301" t="inlineStr">
        <is>
          <t>3.7</t>
        </is>
      </c>
      <c r="N301" t="inlineStr">
        <is>
          <t>339</t>
        </is>
      </c>
    </row>
    <row r="302">
      <c r="A302" t="inlineStr">
        <is>
          <t>1005</t>
        </is>
      </c>
      <c r="B302" t="inlineStr">
        <is>
          <t>2RS</t>
        </is>
      </c>
      <c r="C302" t="inlineStr">
        <is>
          <t>TRAVELER</t>
        </is>
      </c>
      <c r="D302" t="inlineStr">
        <is>
          <t>2025-04-26T00:00:00</t>
        </is>
      </c>
      <c r="E302" t="inlineStr">
        <is>
          <t>2025-05-04T00:00:00</t>
        </is>
      </c>
      <c r="F302" t="inlineStr">
        <is>
          <t>84.02</t>
        </is>
      </c>
      <c r="G302" t="inlineStr">
        <is>
          <t>92.5</t>
        </is>
      </c>
      <c r="H302" t="inlineStr">
        <is>
          <t>286.8</t>
        </is>
      </c>
      <c r="I302" t="inlineStr">
        <is>
          <t>12.9</t>
        </is>
      </c>
      <c r="J302" t="inlineStr">
        <is>
          <t>4.0999999999999996</t>
        </is>
      </c>
      <c r="K302" t="inlineStr">
        <is>
          <t>108</t>
        </is>
      </c>
      <c r="L302" t="inlineStr">
        <is>
          <t>82.17</t>
        </is>
      </c>
      <c r="M302" t="inlineStr">
        <is>
          <t>3.5</t>
        </is>
      </c>
      <c r="N302" t="inlineStr">
        <is>
          <t>258</t>
        </is>
      </c>
    </row>
    <row r="303">
      <c r="A303" t="inlineStr">
        <is>
          <t>1006</t>
        </is>
      </c>
      <c r="B303" t="inlineStr">
        <is>
          <t>2RS</t>
        </is>
      </c>
      <c r="C303" t="inlineStr">
        <is>
          <t>TRAVELER</t>
        </is>
      </c>
      <c r="D303" t="inlineStr">
        <is>
          <t>2025-04-29T00:00:00</t>
        </is>
      </c>
      <c r="E303" t="inlineStr">
        <is>
          <t>2025-05-07T00:00:00</t>
        </is>
      </c>
      <c r="F303" t="inlineStr">
        <is>
          <t>84.19</t>
        </is>
      </c>
      <c r="G303" t="inlineStr">
        <is>
          <t>92.4</t>
        </is>
      </c>
      <c r="H303" t="inlineStr">
        <is>
          <t>286.79000000000002</t>
        </is>
      </c>
      <c r="I303" t="inlineStr">
        <is>
          <t>12.7</t>
        </is>
      </c>
      <c r="J303" t="inlineStr">
        <is>
          <t>4.1900000000000004</t>
        </is>
      </c>
      <c r="K303" t="inlineStr">
        <is>
          <t>115</t>
        </is>
      </c>
      <c r="L303" t="inlineStr">
        <is>
          <t>83.17</t>
        </is>
      </c>
      <c r="M303" t="inlineStr">
        <is>
          <t>3.5</t>
        </is>
      </c>
      <c r="N303" t="inlineStr">
        <is>
          <t>270</t>
        </is>
      </c>
    </row>
    <row r="304">
      <c r="A304" t="inlineStr">
        <is>
          <t>1007</t>
        </is>
      </c>
      <c r="B304" t="inlineStr">
        <is>
          <t>2RS</t>
        </is>
      </c>
      <c r="C304" t="inlineStr">
        <is>
          <t>TRAVELER</t>
        </is>
      </c>
      <c r="D304" t="inlineStr">
        <is>
          <t>2025-04-30T00:00:00</t>
        </is>
      </c>
      <c r="E304" t="inlineStr">
        <is>
          <t>2025-05-08T00:00:00</t>
        </is>
      </c>
      <c r="F304" t="inlineStr">
        <is>
          <t>84.24</t>
        </is>
      </c>
      <c r="G304" t="inlineStr">
        <is>
          <t>92</t>
        </is>
      </c>
      <c r="H304" t="inlineStr">
        <is>
          <t>286.79000000000002</t>
        </is>
      </c>
      <c r="I304" t="inlineStr">
        <is>
          <t>12.4</t>
        </is>
      </c>
      <c r="J304" t="inlineStr">
        <is>
          <t>4.33</t>
        </is>
      </c>
      <c r="K304" t="inlineStr">
        <is>
          <t>110</t>
        </is>
      </c>
      <c r="L304" t="inlineStr">
        <is>
          <t>82.38</t>
        </is>
      </c>
      <c r="M304" t="inlineStr">
        <is>
          <t>3.4</t>
        </is>
      </c>
      <c r="N304" t="inlineStr">
        <is>
          <t>276</t>
        </is>
      </c>
    </row>
    <row r="305">
      <c r="A305" t="inlineStr">
        <is>
          <t>1008</t>
        </is>
      </c>
      <c r="B305" t="inlineStr">
        <is>
          <t>2RS</t>
        </is>
      </c>
      <c r="C305" t="inlineStr">
        <is>
          <t>TRAVELER</t>
        </is>
      </c>
      <c r="D305" t="inlineStr">
        <is>
          <t>2025-05-02T00:00:00</t>
        </is>
      </c>
      <c r="E305" t="inlineStr">
        <is>
          <t>2025-05-10T00:00:00</t>
        </is>
      </c>
      <c r="F305" t="inlineStr">
        <is>
          <t>83.82</t>
        </is>
      </c>
      <c r="G305" t="inlineStr">
        <is>
          <t>92</t>
        </is>
      </c>
      <c r="H305" t="inlineStr">
        <is>
          <t>286.39</t>
        </is>
      </c>
      <c r="I305" t="inlineStr">
        <is>
          <t>12.5</t>
        </is>
      </c>
      <c r="J305" t="inlineStr">
        <is>
          <t>3.91</t>
        </is>
      </c>
      <c r="K305" t="inlineStr">
        <is>
          <t>111</t>
        </is>
      </c>
      <c r="L305" t="inlineStr">
        <is>
          <t>85.47</t>
        </is>
      </c>
      <c r="M305" t="inlineStr">
        <is>
          <t>3.6</t>
        </is>
      </c>
      <c r="N305" t="inlineStr">
        <is>
          <t>215</t>
        </is>
      </c>
    </row>
    <row r="306">
      <c r="A306" t="inlineStr">
        <is>
          <t>1009</t>
        </is>
      </c>
      <c r="B306" t="inlineStr">
        <is>
          <t>2RS</t>
        </is>
      </c>
      <c r="C306" t="inlineStr">
        <is>
          <t>TRAVELER</t>
        </is>
      </c>
      <c r="D306" t="inlineStr">
        <is>
          <t>2025-05-04T00:00:00</t>
        </is>
      </c>
      <c r="E306" t="inlineStr">
        <is>
          <t>2025-05-11T00:00:00</t>
        </is>
      </c>
      <c r="F306" t="inlineStr">
        <is>
          <t>84.14</t>
        </is>
      </c>
      <c r="G306" t="inlineStr">
        <is>
          <t>92.5</t>
        </is>
      </c>
      <c r="H306" t="inlineStr">
        <is>
          <t>286.93</t>
        </is>
      </c>
      <c r="I306" t="inlineStr">
        <is>
          <t>12.6</t>
        </is>
      </c>
      <c r="J306" t="inlineStr">
        <is>
          <t>3.9</t>
        </is>
      </c>
      <c r="K306" t="inlineStr">
        <is>
          <t>121</t>
        </is>
      </c>
      <c r="L306" t="inlineStr">
        <is>
          <t>79.95</t>
        </is>
      </c>
      <c r="M306" t="inlineStr">
        <is>
          <t>3.3</t>
        </is>
      </c>
      <c r="N306" t="inlineStr">
        <is>
          <t>376</t>
        </is>
      </c>
    </row>
    <row r="307">
      <c r="A307" t="inlineStr">
        <is>
          <t>1010</t>
        </is>
      </c>
      <c r="B307" t="inlineStr">
        <is>
          <t>2RS</t>
        </is>
      </c>
      <c r="C307" t="inlineStr">
        <is>
          <t>TRAVELER</t>
        </is>
      </c>
      <c r="D307" t="inlineStr">
        <is>
          <t>2025-05-05T00:00:00</t>
        </is>
      </c>
      <c r="E307" t="inlineStr">
        <is>
          <t>2025-05-13T00:00:00</t>
        </is>
      </c>
      <c r="F307" t="inlineStr">
        <is>
          <t>83.37</t>
        </is>
      </c>
      <c r="G307" t="inlineStr">
        <is>
          <t>91.5</t>
        </is>
      </c>
      <c r="H307" t="inlineStr">
        <is>
          <t>286.88</t>
        </is>
      </c>
      <c r="I307" t="inlineStr">
        <is>
          <t>12.6</t>
        </is>
      </c>
      <c r="J307" t="inlineStr">
        <is>
          <t>4.0599999999999996</t>
        </is>
      </c>
      <c r="K307" t="inlineStr">
        <is>
          <t>109</t>
        </is>
      </c>
      <c r="L307" t="inlineStr">
        <is>
          <t>82.57</t>
        </is>
      </c>
      <c r="M307" t="inlineStr">
        <is>
          <t>3.3</t>
        </is>
      </c>
      <c r="N307" t="inlineStr">
        <is>
          <t>282</t>
        </is>
      </c>
    </row>
    <row r="308">
      <c r="A308" t="inlineStr">
        <is>
          <t>1011</t>
        </is>
      </c>
      <c r="B308" t="inlineStr">
        <is>
          <t>2RS</t>
        </is>
      </c>
      <c r="C308" t="inlineStr">
        <is>
          <t>TRAVELER</t>
        </is>
      </c>
      <c r="D308" t="inlineStr">
        <is>
          <t>2025-05-07T00:00:00</t>
        </is>
      </c>
      <c r="E308" t="inlineStr">
        <is>
          <t>2025-05-14T00:00:00</t>
        </is>
      </c>
      <c r="F308" t="inlineStr">
        <is>
          <t>84.15</t>
        </is>
      </c>
      <c r="G308" t="inlineStr">
        <is>
          <t>92.9</t>
        </is>
      </c>
      <c r="H308" t="inlineStr">
        <is>
          <t>286.67</t>
        </is>
      </c>
      <c r="I308" t="inlineStr">
        <is>
          <t>13.1</t>
        </is>
      </c>
      <c r="J308" t="inlineStr">
        <is>
          <t>4.0599999999999996</t>
        </is>
      </c>
      <c r="K308" t="inlineStr">
        <is>
          <t>110</t>
        </is>
      </c>
      <c r="L308" t="inlineStr">
        <is>
          <t>81.400000000000006</t>
        </is>
      </c>
      <c r="M308" t="inlineStr">
        <is>
          <t>3.43</t>
        </is>
      </c>
      <c r="N308" t="inlineStr">
        <is>
          <t>335</t>
        </is>
      </c>
    </row>
    <row r="309">
      <c r="A309" t="inlineStr">
        <is>
          <t>1012</t>
        </is>
      </c>
      <c r="B309" t="inlineStr">
        <is>
          <t>2RS</t>
        </is>
      </c>
      <c r="C309" t="inlineStr">
        <is>
          <t>TRAVELER</t>
        </is>
      </c>
      <c r="D309" t="inlineStr">
        <is>
          <t>2025-05-09T00:00:00</t>
        </is>
      </c>
      <c r="E309" t="inlineStr">
        <is>
          <t>2025-05-16T00:00:00</t>
        </is>
      </c>
      <c r="F309" t="inlineStr">
        <is>
          <t>84.4</t>
        </is>
      </c>
      <c r="G309" t="inlineStr">
        <is>
          <t>92.9</t>
        </is>
      </c>
      <c r="H309" t="inlineStr">
        <is>
          <t>287.45999999999998</t>
        </is>
      </c>
      <c r="I309" t="inlineStr">
        <is>
          <t>12.9</t>
        </is>
      </c>
      <c r="J309" t="inlineStr">
        <is>
          <t>4.1100000000000003</t>
        </is>
      </c>
      <c r="K309" t="inlineStr">
        <is>
          <t>119</t>
        </is>
      </c>
      <c r="L309" t="inlineStr">
        <is>
          <t>81.12</t>
        </is>
      </c>
      <c r="M309" t="inlineStr">
        <is>
          <t>3.26</t>
        </is>
      </c>
      <c r="N309" t="inlineStr">
        <is>
          <t>390</t>
        </is>
      </c>
    </row>
    <row r="310">
      <c r="A310" t="inlineStr">
        <is>
          <t>1013</t>
        </is>
      </c>
      <c r="B310" t="inlineStr">
        <is>
          <t>2RS</t>
        </is>
      </c>
      <c r="C310" t="inlineStr">
        <is>
          <t>TRAVELER</t>
        </is>
      </c>
      <c r="D310" t="inlineStr">
        <is>
          <t>2025-05-10T00:00:00</t>
        </is>
      </c>
      <c r="E310" t="inlineStr">
        <is>
          <t>2025-05-18T00:00:00</t>
        </is>
      </c>
      <c r="F310" t="inlineStr">
        <is>
          <t>83.7</t>
        </is>
      </c>
      <c r="G310" t="inlineStr">
        <is>
          <t>92.5</t>
        </is>
      </c>
      <c r="H310" t="inlineStr">
        <is>
          <t>288.36</t>
        </is>
      </c>
      <c r="I310" t="inlineStr">
        <is>
          <t>13.2</t>
        </is>
      </c>
      <c r="J310" t="inlineStr">
        <is>
          <t>4.0599999999999996</t>
        </is>
      </c>
      <c r="K310" t="inlineStr">
        <is>
          <t>125</t>
        </is>
      </c>
      <c r="L310" t="inlineStr">
        <is>
          <t>83.31</t>
        </is>
      </c>
      <c r="M310" t="inlineStr">
        <is>
          <t>3.75</t>
        </is>
      </c>
      <c r="N310" t="inlineStr">
        <is>
          <t>255</t>
        </is>
      </c>
    </row>
    <row r="311">
      <c r="A311" t="inlineStr">
        <is>
          <t>1014</t>
        </is>
      </c>
      <c r="B311" t="inlineStr">
        <is>
          <t>IBON</t>
        </is>
      </c>
      <c r="C311" t="inlineStr">
        <is>
          <t>IBON</t>
        </is>
      </c>
      <c r="D311" t="inlineStr">
        <is>
          <t>2025-05-12T00:00:00</t>
        </is>
      </c>
      <c r="E311" t="inlineStr">
        <is>
          <t>2025-05-19T00:00:00</t>
        </is>
      </c>
      <c r="F311" t="inlineStr">
        <is>
          <t>83.6</t>
        </is>
      </c>
      <c r="G311" t="inlineStr">
        <is>
          <t>91.8</t>
        </is>
      </c>
      <c r="H311" t="inlineStr">
        <is>
          <t>282.94</t>
        </is>
      </c>
      <c r="I311" t="inlineStr">
        <is>
          <t>12.9</t>
        </is>
      </c>
      <c r="J311" t="inlineStr">
        <is>
          <t>4.3099999999999996</t>
        </is>
      </c>
      <c r="K311" t="inlineStr">
        <is>
          <t>113.57</t>
        </is>
      </c>
      <c r="L311" t="inlineStr">
        <is>
          <t>58.83</t>
        </is>
      </c>
      <c r="M311" t="inlineStr">
        <is>
          <t>3.43</t>
        </is>
      </c>
      <c r="N311" t="inlineStr">
        <is>
          <t>359</t>
        </is>
      </c>
    </row>
    <row r="312">
      <c r="A312" t="inlineStr">
        <is>
          <t>1015</t>
        </is>
      </c>
      <c r="B312" t="inlineStr">
        <is>
          <t>IBON</t>
        </is>
      </c>
      <c r="C312" t="inlineStr">
        <is>
          <t>IBON</t>
        </is>
      </c>
      <c r="D312" t="inlineStr">
        <is>
          <t>2025-05-13T00:00:00</t>
        </is>
      </c>
      <c r="E312" t="inlineStr">
        <is>
          <t>2025-05-21T00:00:00</t>
        </is>
      </c>
      <c r="F312" t="inlineStr">
        <is>
          <t>84.22</t>
        </is>
      </c>
      <c r="G312" t="inlineStr">
        <is>
          <t>92.6</t>
        </is>
      </c>
      <c r="H312" t="inlineStr">
        <is>
          <t>282.91000000000003</t>
        </is>
      </c>
      <c r="I312" t="inlineStr">
        <is>
          <t>13</t>
        </is>
      </c>
      <c r="J312" t="inlineStr">
        <is>
          <t>4.3</t>
        </is>
      </c>
      <c r="K312" t="inlineStr">
        <is>
          <t>113</t>
        </is>
      </c>
      <c r="L312" t="inlineStr">
        <is>
          <t>59.6</t>
        </is>
      </c>
      <c r="M312" t="inlineStr">
        <is>
          <t>3.4</t>
        </is>
      </c>
      <c r="N312" t="inlineStr">
        <is>
          <t>383</t>
        </is>
      </c>
    </row>
    <row r="313">
      <c r="A313" t="inlineStr">
        <is>
          <t>1016</t>
        </is>
      </c>
      <c r="B313" t="inlineStr">
        <is>
          <t>IBON</t>
        </is>
      </c>
      <c r="C313" t="inlineStr">
        <is>
          <t>IBON</t>
        </is>
      </c>
      <c r="D313" t="inlineStr">
        <is>
          <t>2025-05-15T00:00:00</t>
        </is>
      </c>
      <c r="E313" t="inlineStr">
        <is>
          <t>2025-05-22T00:00:00</t>
        </is>
      </c>
      <c r="F313" t="inlineStr">
        <is>
          <t>85.39</t>
        </is>
      </c>
      <c r="G313" t="inlineStr">
        <is>
          <t>93.8</t>
        </is>
      </c>
      <c r="H313" t="inlineStr">
        <is>
          <t>282.86</t>
        </is>
      </c>
      <c r="I313" t="inlineStr">
        <is>
          <t>13.1</t>
        </is>
      </c>
      <c r="J313" t="inlineStr">
        <is>
          <t>4.54</t>
        </is>
      </c>
      <c r="K313" t="inlineStr">
        <is>
          <t>118</t>
        </is>
      </c>
      <c r="L313" t="inlineStr">
        <is>
          <t>50.8</t>
        </is>
      </c>
      <c r="M313" t="inlineStr">
        <is>
          <t>3.4</t>
        </is>
      </c>
      <c r="N313" t="inlineStr">
        <is>
          <t>680</t>
        </is>
      </c>
    </row>
    <row r="314">
      <c r="A314" t="inlineStr">
        <is>
          <t>1017</t>
        </is>
      </c>
      <c r="B314" t="inlineStr">
        <is>
          <t>2RS</t>
        </is>
      </c>
      <c r="C314" t="inlineStr">
        <is>
          <t>TRAVELER</t>
        </is>
      </c>
      <c r="D314" t="inlineStr">
        <is>
          <t>2025-05-16T00:00:00</t>
        </is>
      </c>
      <c r="E314" t="inlineStr">
        <is>
          <t>2025-05-23T00:00:00</t>
        </is>
      </c>
      <c r="F314" t="inlineStr">
        <is>
          <t>83.71</t>
        </is>
      </c>
      <c r="G314" t="inlineStr">
        <is>
          <t>92.4</t>
        </is>
      </c>
      <c r="H314" t="inlineStr">
        <is>
          <t>288.16000000000003</t>
        </is>
      </c>
      <c r="I314" t="inlineStr">
        <is>
          <t>13.2</t>
        </is>
      </c>
      <c r="J314" t="inlineStr">
        <is>
          <t>4.1399999999999997</t>
        </is>
      </c>
      <c r="K314" t="inlineStr">
        <is>
          <t>140</t>
        </is>
      </c>
      <c r="L314" t="inlineStr">
        <is>
          <t>89.57</t>
        </is>
      </c>
      <c r="M314" t="inlineStr">
        <is>
          <t>3.68</t>
        </is>
      </c>
      <c r="N314" t="inlineStr">
        <is>
          <t>176</t>
        </is>
      </c>
    </row>
    <row r="315">
      <c r="A315" t="inlineStr">
        <is>
          <t>1018</t>
        </is>
      </c>
      <c r="B315" t="inlineStr">
        <is>
          <t>2RS</t>
        </is>
      </c>
      <c r="C315" t="inlineStr">
        <is>
          <t>TRAVELER</t>
        </is>
      </c>
      <c r="D315" t="inlineStr">
        <is>
          <t>2025-05-17T00:00:00</t>
        </is>
      </c>
      <c r="E315" t="inlineStr">
        <is>
          <t>2025-05-24T00:00:00</t>
        </is>
      </c>
      <c r="F315" t="inlineStr">
        <is>
          <t>85.26</t>
        </is>
      </c>
      <c r="G315" t="inlineStr"/>
      <c r="H315" t="inlineStr">
        <is>
          <t>288.01</t>
        </is>
      </c>
      <c r="I315" t="inlineStr">
        <is>
          <t>12.3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1019</t>
        </is>
      </c>
      <c r="B316" t="inlineStr">
        <is>
          <t>2RS</t>
        </is>
      </c>
      <c r="C316" t="inlineStr">
        <is>
          <t>TRAVELER</t>
        </is>
      </c>
      <c r="D316" t="inlineStr">
        <is>
          <t>2025-05-18T00:00:00</t>
        </is>
      </c>
      <c r="E316" t="inlineStr">
        <is>
          <t>2025-05-25T00:00:00</t>
        </is>
      </c>
      <c r="F316" t="inlineStr">
        <is>
          <t>84.64</t>
        </is>
      </c>
      <c r="G316" t="inlineStr"/>
      <c r="H316" t="inlineStr">
        <is>
          <t>269.83999999999997</t>
        </is>
      </c>
      <c r="I316" t="inlineStr">
        <is>
          <t>12.3</t>
        </is>
      </c>
      <c r="J316" t="inlineStr"/>
      <c r="K316" t="inlineStr"/>
      <c r="L316" t="inlineStr"/>
      <c r="M316" t="inlineStr"/>
      <c r="N316" t="inlineStr"/>
    </row>
    <row r="317">
      <c r="A317" t="inlineStr">
        <is>
          <t>1020</t>
        </is>
      </c>
      <c r="B317" t="inlineStr">
        <is>
          <t>2RS</t>
        </is>
      </c>
      <c r="C317" t="inlineStr">
        <is>
          <t>TRAVELER</t>
        </is>
      </c>
      <c r="D317" t="inlineStr">
        <is>
          <t>2025-05-20T00:00:00</t>
        </is>
      </c>
      <c r="E317" t="inlineStr">
        <is>
          <t>2025-05-26T00:00:00</t>
        </is>
      </c>
      <c r="F317" t="inlineStr">
        <is>
          <t>84.69</t>
        </is>
      </c>
      <c r="G317" t="inlineStr">
        <is>
          <t>93</t>
        </is>
      </c>
      <c r="H317" t="inlineStr">
        <is>
          <t>286.89999999999998</t>
        </is>
      </c>
      <c r="I317" t="inlineStr">
        <is>
          <t>12.9</t>
        </is>
      </c>
      <c r="J317" t="inlineStr">
        <is>
          <t>4.3499999999999996</t>
        </is>
      </c>
      <c r="K317" t="inlineStr">
        <is>
          <t>132</t>
        </is>
      </c>
      <c r="L317" t="inlineStr">
        <is>
          <t>85.15</t>
        </is>
      </c>
      <c r="M317" t="inlineStr">
        <is>
          <t>3.6</t>
        </is>
      </c>
      <c r="N317" t="inlineStr">
        <is>
          <t>240</t>
        </is>
      </c>
    </row>
    <row r="318">
      <c r="A318" t="inlineStr">
        <is>
          <t>1021</t>
        </is>
      </c>
      <c r="B318" t="inlineStr">
        <is>
          <t>2RS</t>
        </is>
      </c>
      <c r="C318" t="inlineStr">
        <is>
          <t>TRAVELER</t>
        </is>
      </c>
      <c r="D318" t="inlineStr">
        <is>
          <t>2025-05-21T00:00:00</t>
        </is>
      </c>
      <c r="E318" t="inlineStr">
        <is>
          <t>2025-05-28T00:00:00</t>
        </is>
      </c>
      <c r="F318" t="inlineStr">
        <is>
          <t>83.98</t>
        </is>
      </c>
      <c r="G318" t="inlineStr">
        <is>
          <t>92.6</t>
        </is>
      </c>
      <c r="H318" t="inlineStr">
        <is>
          <t>286.87</t>
        </is>
      </c>
      <c r="I318" t="inlineStr">
        <is>
          <t>13.1</t>
        </is>
      </c>
      <c r="J318" t="inlineStr">
        <is>
          <t>4.2</t>
        </is>
      </c>
      <c r="K318" t="inlineStr">
        <is>
          <t>131</t>
        </is>
      </c>
      <c r="L318" t="inlineStr">
        <is>
          <t>84.56</t>
        </is>
      </c>
      <c r="M318" t="inlineStr">
        <is>
          <t>3.52</t>
        </is>
      </c>
      <c r="N318" t="inlineStr">
        <is>
          <t>213</t>
        </is>
      </c>
    </row>
    <row r="319">
      <c r="A319" t="inlineStr">
        <is>
          <t>1022</t>
        </is>
      </c>
      <c r="B319" t="inlineStr">
        <is>
          <t>2RS</t>
        </is>
      </c>
      <c r="C319" t="inlineStr">
        <is>
          <t>TRAVELER</t>
        </is>
      </c>
      <c r="D319" t="inlineStr">
        <is>
          <t>2025-05-22T00:00:00</t>
        </is>
      </c>
      <c r="E319" t="inlineStr">
        <is>
          <t>2025-05-29T00:00:00</t>
        </is>
      </c>
      <c r="F319" t="inlineStr">
        <is>
          <t>83.53</t>
        </is>
      </c>
      <c r="G319" t="inlineStr">
        <is>
          <t>92</t>
        </is>
      </c>
      <c r="H319" t="inlineStr">
        <is>
          <t>287.11</t>
        </is>
      </c>
      <c r="I319" t="inlineStr">
        <is>
          <t>13.2</t>
        </is>
      </c>
      <c r="J319" t="inlineStr">
        <is>
          <t>4.37</t>
        </is>
      </c>
      <c r="K319" t="inlineStr">
        <is>
          <t>122</t>
        </is>
      </c>
      <c r="L319" t="inlineStr">
        <is>
          <t>86.76</t>
        </is>
      </c>
      <c r="M319" t="inlineStr">
        <is>
          <t>3.37</t>
        </is>
      </c>
      <c r="N319" t="inlineStr">
        <is>
          <t>199</t>
        </is>
      </c>
    </row>
    <row r="320">
      <c r="A320" t="inlineStr">
        <is>
          <t>1023</t>
        </is>
      </c>
      <c r="B320" t="inlineStr">
        <is>
          <t>2RS</t>
        </is>
      </c>
      <c r="C320" t="inlineStr">
        <is>
          <t>TRAVELER</t>
        </is>
      </c>
      <c r="D320" t="inlineStr">
        <is>
          <t>2025-05-23T00:00:00</t>
        </is>
      </c>
      <c r="E320" t="inlineStr">
        <is>
          <t>2025-05-30T00:00:00</t>
        </is>
      </c>
      <c r="F320" t="inlineStr">
        <is>
          <t>84.06</t>
        </is>
      </c>
      <c r="G320" t="inlineStr">
        <is>
          <t>92.5</t>
        </is>
      </c>
      <c r="H320" t="inlineStr">
        <is>
          <t>287.07</t>
        </is>
      </c>
      <c r="I320" t="inlineStr">
        <is>
          <t>13.1</t>
        </is>
      </c>
      <c r="J320" t="inlineStr">
        <is>
          <t>4.41</t>
        </is>
      </c>
      <c r="K320" t="inlineStr">
        <is>
          <t>116</t>
        </is>
      </c>
      <c r="L320" t="inlineStr">
        <is>
          <t>84.5</t>
        </is>
      </c>
      <c r="M320" t="inlineStr">
        <is>
          <t>3.6</t>
        </is>
      </c>
      <c r="N320" t="inlineStr">
        <is>
          <t>205</t>
        </is>
      </c>
    </row>
    <row r="321">
      <c r="A321" t="inlineStr">
        <is>
          <t>1024</t>
        </is>
      </c>
      <c r="B321" t="inlineStr">
        <is>
          <t>2RS</t>
        </is>
      </c>
      <c r="C321" t="inlineStr">
        <is>
          <t>TRAVELER</t>
        </is>
      </c>
      <c r="D321" t="inlineStr">
        <is>
          <t>2025-05-25T00:00:00</t>
        </is>
      </c>
      <c r="E321" t="inlineStr">
        <is>
          <t>2025-05-31T00:00:00</t>
        </is>
      </c>
      <c r="F321" t="inlineStr">
        <is>
          <t>83.6</t>
        </is>
      </c>
      <c r="G321" t="inlineStr">
        <is>
          <t>91.5</t>
        </is>
      </c>
      <c r="H321" t="inlineStr">
        <is>
          <t>286.91000000000003</t>
        </is>
      </c>
      <c r="I321" t="inlineStr">
        <is>
          <t>12.9</t>
        </is>
      </c>
      <c r="J321" t="inlineStr">
        <is>
          <t>4.67</t>
        </is>
      </c>
      <c r="K321" t="inlineStr">
        <is>
          <t>125</t>
        </is>
      </c>
      <c r="L321" t="inlineStr">
        <is>
          <t>86.5</t>
        </is>
      </c>
      <c r="M321" t="inlineStr">
        <is>
          <t>3.7</t>
        </is>
      </c>
      <c r="N321" t="inlineStr">
        <is>
          <t>173</t>
        </is>
      </c>
    </row>
    <row r="322">
      <c r="A322" t="inlineStr">
        <is>
          <t>1025</t>
        </is>
      </c>
      <c r="B322" t="inlineStr">
        <is>
          <t>2RS</t>
        </is>
      </c>
      <c r="C322" t="inlineStr">
        <is>
          <t>TRAVELER</t>
        </is>
      </c>
      <c r="D322" t="inlineStr">
        <is>
          <t>2025-05-26T00:00:00</t>
        </is>
      </c>
      <c r="E322" t="inlineStr">
        <is>
          <t>2025-06-02T00:00:00</t>
        </is>
      </c>
      <c r="F322" t="inlineStr">
        <is>
          <t>83.35</t>
        </is>
      </c>
      <c r="G322" t="inlineStr">
        <is>
          <t>92.3</t>
        </is>
      </c>
      <c r="H322" t="inlineStr">
        <is>
          <t>286.77</t>
        </is>
      </c>
      <c r="I322" t="inlineStr">
        <is>
          <t>13.4</t>
        </is>
      </c>
      <c r="J322" t="inlineStr">
        <is>
          <t>4.07</t>
        </is>
      </c>
      <c r="K322" t="inlineStr">
        <is>
          <t>120</t>
        </is>
      </c>
      <c r="L322" t="inlineStr">
        <is>
          <t>82.9</t>
        </is>
      </c>
      <c r="M322" t="inlineStr">
        <is>
          <t>3.7</t>
        </is>
      </c>
      <c r="N322" t="inlineStr">
        <is>
          <t>241</t>
        </is>
      </c>
    </row>
    <row r="323">
      <c r="A323" t="inlineStr">
        <is>
          <t>1026</t>
        </is>
      </c>
      <c r="B323" t="inlineStr">
        <is>
          <t>IBON</t>
        </is>
      </c>
      <c r="C323" t="inlineStr">
        <is>
          <t>IBON</t>
        </is>
      </c>
      <c r="D323" t="inlineStr">
        <is>
          <t>2025-05-27T00:00:00</t>
        </is>
      </c>
      <c r="E323" t="inlineStr">
        <is>
          <t>2025-06-03T00:00:00</t>
        </is>
      </c>
      <c r="F323" t="inlineStr">
        <is>
          <t>82.07</t>
        </is>
      </c>
      <c r="G323" t="inlineStr">
        <is>
          <t>90.6</t>
        </is>
      </c>
      <c r="H323" t="inlineStr">
        <is>
          <t>282.75</t>
        </is>
      </c>
      <c r="I323" t="inlineStr">
        <is>
          <t>12.9</t>
        </is>
      </c>
      <c r="J323" t="inlineStr">
        <is>
          <t>3.88</t>
        </is>
      </c>
      <c r="K323" t="inlineStr">
        <is>
          <t>177</t>
        </is>
      </c>
      <c r="L323" t="inlineStr">
        <is>
          <t>70.12</t>
        </is>
      </c>
      <c r="M323" t="inlineStr">
        <is>
          <t>5.3</t>
        </is>
      </c>
      <c r="N323" t="inlineStr">
        <is>
          <t>202</t>
        </is>
      </c>
    </row>
    <row r="324">
      <c r="A324" t="inlineStr">
        <is>
          <t>1027</t>
        </is>
      </c>
      <c r="B324" t="inlineStr">
        <is>
          <t>IBON</t>
        </is>
      </c>
      <c r="C324" t="inlineStr">
        <is>
          <t>IBON</t>
        </is>
      </c>
      <c r="D324" t="inlineStr">
        <is>
          <t>2025-05-28T00:00:00</t>
        </is>
      </c>
      <c r="E324" t="inlineStr">
        <is>
          <t>2025-06-05T00:00:00</t>
        </is>
      </c>
      <c r="F324" t="inlineStr">
        <is>
          <t>83.14</t>
        </is>
      </c>
      <c r="G324" t="inlineStr">
        <is>
          <t>91.5</t>
        </is>
      </c>
      <c r="H324" t="inlineStr">
        <is>
          <t>282.83999999999997</t>
        </is>
      </c>
      <c r="I324" t="inlineStr">
        <is>
          <t>13</t>
        </is>
      </c>
      <c r="J324" t="inlineStr">
        <is>
          <t>4.2</t>
        </is>
      </c>
      <c r="K324" t="inlineStr">
        <is>
          <t>136</t>
        </is>
      </c>
      <c r="L324" t="inlineStr">
        <is>
          <t>61.2</t>
        </is>
      </c>
      <c r="M324" t="inlineStr">
        <is>
          <t>4.2</t>
        </is>
      </c>
      <c r="N324" t="inlineStr">
        <is>
          <t>329</t>
        </is>
      </c>
    </row>
    <row r="325">
      <c r="A325" t="inlineStr">
        <is>
          <t>1028</t>
        </is>
      </c>
      <c r="B325" t="inlineStr">
        <is>
          <t>IBON</t>
        </is>
      </c>
      <c r="C325" t="inlineStr">
        <is>
          <t>IBON</t>
        </is>
      </c>
      <c r="D325" t="inlineStr">
        <is>
          <t>2025-05-30T00:00:00</t>
        </is>
      </c>
      <c r="E325" t="inlineStr">
        <is>
          <t>2025-06-06T00:00:00</t>
        </is>
      </c>
      <c r="F325" t="inlineStr">
        <is>
          <t>84.18</t>
        </is>
      </c>
      <c r="G325" t="inlineStr">
        <is>
          <t>92.9</t>
        </is>
      </c>
      <c r="H325" t="inlineStr">
        <is>
          <t>282.76</t>
        </is>
      </c>
      <c r="I325" t="inlineStr">
        <is>
          <t>12.9</t>
        </is>
      </c>
      <c r="J325" t="inlineStr">
        <is>
          <t>3.92</t>
        </is>
      </c>
      <c r="K325" t="inlineStr">
        <is>
          <t>140</t>
        </is>
      </c>
      <c r="L325" t="inlineStr">
        <is>
          <t>60.4</t>
        </is>
      </c>
      <c r="M325" t="inlineStr">
        <is>
          <t>4.2</t>
        </is>
      </c>
      <c r="N325" t="inlineStr">
        <is>
          <t>335</t>
        </is>
      </c>
    </row>
    <row r="326">
      <c r="A326" t="inlineStr">
        <is>
          <t>1029</t>
        </is>
      </c>
      <c r="B326" t="inlineStr">
        <is>
          <t>2RS</t>
        </is>
      </c>
      <c r="C326" t="inlineStr">
        <is>
          <t>FAQ</t>
        </is>
      </c>
      <c r="D326" t="inlineStr">
        <is>
          <t>2025-05-31T00:00:00</t>
        </is>
      </c>
      <c r="E326" t="inlineStr">
        <is>
          <t>2025-06-07T00:00:00</t>
        </is>
      </c>
      <c r="F326" t="inlineStr">
        <is>
          <t>84.88</t>
        </is>
      </c>
      <c r="G326" t="inlineStr"/>
      <c r="H326" t="inlineStr">
        <is>
          <t>287.38</t>
        </is>
      </c>
      <c r="I326" t="inlineStr">
        <is>
          <t>12.5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1030</t>
        </is>
      </c>
      <c r="B327" t="inlineStr">
        <is>
          <t>2RS</t>
        </is>
      </c>
      <c r="C327" t="inlineStr">
        <is>
          <t>FAQ</t>
        </is>
      </c>
      <c r="D327" t="inlineStr">
        <is>
          <t>2025-06-01T00:00:00</t>
        </is>
      </c>
      <c r="E327" t="inlineStr">
        <is>
          <t>2025-06-09T00:00:00</t>
        </is>
      </c>
      <c r="F327" t="inlineStr">
        <is>
          <t>84.21</t>
        </is>
      </c>
      <c r="G327" t="inlineStr"/>
      <c r="H327" t="inlineStr">
        <is>
          <t>287.38</t>
        </is>
      </c>
      <c r="I327" t="inlineStr">
        <is>
          <t>12.1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1031</t>
        </is>
      </c>
      <c r="B328" t="inlineStr">
        <is>
          <t>2RS</t>
        </is>
      </c>
      <c r="C328" t="inlineStr">
        <is>
          <t>FAQ</t>
        </is>
      </c>
      <c r="D328" t="inlineStr">
        <is>
          <t>2025-06-02T00:00:00</t>
        </is>
      </c>
      <c r="E328" t="inlineStr">
        <is>
          <t>2025-06-10T00:00:00</t>
        </is>
      </c>
      <c r="F328" t="inlineStr">
        <is>
          <t>85.02</t>
        </is>
      </c>
      <c r="G328" t="inlineStr"/>
      <c r="H328" t="inlineStr">
        <is>
          <t>287.33</t>
        </is>
      </c>
      <c r="I328" t="inlineStr">
        <is>
          <t>12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1032</t>
        </is>
      </c>
      <c r="B329" t="inlineStr">
        <is>
          <t>2RS</t>
        </is>
      </c>
      <c r="C329" t="inlineStr">
        <is>
          <t>TRAVELER</t>
        </is>
      </c>
      <c r="D329" t="inlineStr">
        <is>
          <t>2025-06-03T00:00:00</t>
        </is>
      </c>
      <c r="E329" t="inlineStr">
        <is>
          <t>2025-06-12T00:00:00</t>
        </is>
      </c>
      <c r="F329" t="inlineStr">
        <is>
          <t>83.94</t>
        </is>
      </c>
      <c r="G329" t="inlineStr">
        <is>
          <t>92.7</t>
        </is>
      </c>
      <c r="H329" t="inlineStr">
        <is>
          <t>287.08999999999997</t>
        </is>
      </c>
      <c r="I329" t="inlineStr">
        <is>
          <t>13</t>
        </is>
      </c>
      <c r="J329" t="inlineStr">
        <is>
          <t>3.93</t>
        </is>
      </c>
      <c r="K329" t="inlineStr">
        <is>
          <t>118</t>
        </is>
      </c>
      <c r="L329" t="inlineStr">
        <is>
          <t>85.7</t>
        </is>
      </c>
      <c r="M329" t="inlineStr">
        <is>
          <t>3.54</t>
        </is>
      </c>
      <c r="N329" t="inlineStr">
        <is>
          <t>197</t>
        </is>
      </c>
    </row>
    <row r="330">
      <c r="A330" t="inlineStr">
        <is>
          <t>1033</t>
        </is>
      </c>
      <c r="B330" t="inlineStr">
        <is>
          <t>2RS</t>
        </is>
      </c>
      <c r="C330" t="inlineStr">
        <is>
          <t>TRAVELER</t>
        </is>
      </c>
      <c r="D330" t="inlineStr">
        <is>
          <t>2025-06-05T00:00:00</t>
        </is>
      </c>
      <c r="E330" t="inlineStr">
        <is>
          <t>2025-06-13T00:00:00</t>
        </is>
      </c>
      <c r="F330" t="inlineStr">
        <is>
          <t>84.08</t>
        </is>
      </c>
      <c r="G330" t="inlineStr">
        <is>
          <t>92.7</t>
        </is>
      </c>
      <c r="H330" t="inlineStr">
        <is>
          <t>286.83999999999997</t>
        </is>
      </c>
      <c r="I330" t="inlineStr">
        <is>
          <t>13.2</t>
        </is>
      </c>
      <c r="J330" t="inlineStr">
        <is>
          <t>4.2699999999999996</t>
        </is>
      </c>
      <c r="K330" t="inlineStr">
        <is>
          <t>108</t>
        </is>
      </c>
      <c r="L330" t="inlineStr">
        <is>
          <t>84.7</t>
        </is>
      </c>
      <c r="M330" t="inlineStr">
        <is>
          <t>3.4</t>
        </is>
      </c>
      <c r="N330" t="inlineStr">
        <is>
          <t>217</t>
        </is>
      </c>
    </row>
    <row r="331">
      <c r="A331" t="inlineStr">
        <is>
          <t>1034</t>
        </is>
      </c>
      <c r="B331" t="inlineStr">
        <is>
          <t>2RS</t>
        </is>
      </c>
      <c r="C331" t="inlineStr">
        <is>
          <t>TRAVELER</t>
        </is>
      </c>
      <c r="D331" t="inlineStr">
        <is>
          <t>2025-06-06T00:00:00</t>
        </is>
      </c>
      <c r="E331" t="inlineStr">
        <is>
          <t>2025-06-14T00:00:00</t>
        </is>
      </c>
      <c r="F331" t="inlineStr">
        <is>
          <t>84.35</t>
        </is>
      </c>
      <c r="G331" t="inlineStr">
        <is>
          <t>92.1</t>
        </is>
      </c>
      <c r="H331" t="inlineStr">
        <is>
          <t>286.85000000000002</t>
        </is>
      </c>
      <c r="I331" t="inlineStr">
        <is>
          <t>12.7</t>
        </is>
      </c>
      <c r="J331" t="inlineStr">
        <is>
          <t>4.66</t>
        </is>
      </c>
      <c r="K331" t="inlineStr">
        <is>
          <t>124</t>
        </is>
      </c>
      <c r="L331" t="inlineStr">
        <is>
          <t>85.21</t>
        </is>
      </c>
      <c r="M331" t="inlineStr">
        <is>
          <t>3.7</t>
        </is>
      </c>
      <c r="N331" t="inlineStr">
        <is>
          <t>187</t>
        </is>
      </c>
    </row>
    <row r="332">
      <c r="A332" t="inlineStr">
        <is>
          <t>1035</t>
        </is>
      </c>
      <c r="B332" t="inlineStr">
        <is>
          <t>2RS</t>
        </is>
      </c>
      <c r="C332" t="inlineStr">
        <is>
          <t>TRAVELER</t>
        </is>
      </c>
      <c r="D332" t="inlineStr">
        <is>
          <t>2025-06-08T00:00:00</t>
        </is>
      </c>
      <c r="E332" t="inlineStr">
        <is>
          <t>2025-06-16T00:00:00</t>
        </is>
      </c>
      <c r="F332" t="inlineStr">
        <is>
          <t>83.71</t>
        </is>
      </c>
      <c r="G332" t="inlineStr">
        <is>
          <t>92.3</t>
        </is>
      </c>
      <c r="H332" t="inlineStr">
        <is>
          <t>286.83999999999997</t>
        </is>
      </c>
      <c r="I332" t="inlineStr">
        <is>
          <t>13</t>
        </is>
      </c>
      <c r="J332" t="inlineStr">
        <is>
          <t>4.0199999999999996</t>
        </is>
      </c>
      <c r="K332" t="inlineStr">
        <is>
          <t>120</t>
        </is>
      </c>
      <c r="L332" t="inlineStr">
        <is>
          <t>86.8</t>
        </is>
      </c>
      <c r="M332" t="inlineStr">
        <is>
          <t>3.5</t>
        </is>
      </c>
      <c r="N332" t="inlineStr">
        <is>
          <t>162</t>
        </is>
      </c>
    </row>
    <row r="333">
      <c r="A333" t="inlineStr">
        <is>
          <t>1036</t>
        </is>
      </c>
      <c r="B333" t="inlineStr">
        <is>
          <t>2RS</t>
        </is>
      </c>
      <c r="C333" t="inlineStr">
        <is>
          <t>TRAVELER</t>
        </is>
      </c>
      <c r="D333" t="inlineStr">
        <is>
          <t>2025-06-09T00:00:00</t>
        </is>
      </c>
      <c r="E333" t="inlineStr">
        <is>
          <t>2025-06-17T00:00:00</t>
        </is>
      </c>
      <c r="F333" t="inlineStr">
        <is>
          <t>83.62</t>
        </is>
      </c>
      <c r="G333" t="inlineStr">
        <is>
          <t>92.1</t>
        </is>
      </c>
      <c r="H333" t="inlineStr">
        <is>
          <t>287.14999999999998</t>
        </is>
      </c>
      <c r="I333" t="inlineStr">
        <is>
          <t>13.2</t>
        </is>
      </c>
      <c r="J333" t="inlineStr">
        <is>
          <t>4.37</t>
        </is>
      </c>
      <c r="K333" t="inlineStr">
        <is>
          <t>122</t>
        </is>
      </c>
      <c r="L333" t="inlineStr">
        <is>
          <t>85.8</t>
        </is>
      </c>
      <c r="M333" t="inlineStr">
        <is>
          <t>3.8</t>
        </is>
      </c>
      <c r="N333" t="inlineStr">
        <is>
          <t>157</t>
        </is>
      </c>
    </row>
    <row r="334">
      <c r="A334" t="inlineStr">
        <is>
          <t>1037</t>
        </is>
      </c>
      <c r="B334" t="inlineStr">
        <is>
          <t>2RS</t>
        </is>
      </c>
      <c r="C334" t="inlineStr">
        <is>
          <t>TRAVELER</t>
        </is>
      </c>
      <c r="D334" t="inlineStr">
        <is>
          <t>2025-06-11T00:00:00</t>
        </is>
      </c>
      <c r="E334" t="inlineStr">
        <is>
          <t>2025-06-18T00:00:00</t>
        </is>
      </c>
      <c r="F334" t="inlineStr">
        <is>
          <t>83.64</t>
        </is>
      </c>
      <c r="G334" t="inlineStr">
        <is>
          <t>92</t>
        </is>
      </c>
      <c r="H334" t="inlineStr">
        <is>
          <t>287.13</t>
        </is>
      </c>
      <c r="I334" t="inlineStr">
        <is>
          <t>13</t>
        </is>
      </c>
      <c r="J334" t="inlineStr">
        <is>
          <t>4.33</t>
        </is>
      </c>
      <c r="K334" t="inlineStr">
        <is>
          <t>126</t>
        </is>
      </c>
      <c r="L334" t="inlineStr">
        <is>
          <t>86.9</t>
        </is>
      </c>
      <c r="M334" t="inlineStr">
        <is>
          <t>3.7</t>
        </is>
      </c>
      <c r="N334" t="inlineStr">
        <is>
          <t>176</t>
        </is>
      </c>
    </row>
    <row r="335">
      <c r="A335" t="inlineStr">
        <is>
          <t>1038</t>
        </is>
      </c>
      <c r="B335" t="inlineStr">
        <is>
          <t>IBON</t>
        </is>
      </c>
      <c r="C335" t="inlineStr">
        <is>
          <t>IBON</t>
        </is>
      </c>
      <c r="D335" t="inlineStr">
        <is>
          <t>2025-06-12T00:00:00</t>
        </is>
      </c>
      <c r="E335" t="inlineStr">
        <is>
          <t>2025-06-19T00:00:00</t>
        </is>
      </c>
      <c r="F335" t="inlineStr">
        <is>
          <t>84.22</t>
        </is>
      </c>
      <c r="G335" t="inlineStr">
        <is>
          <t>92.3</t>
        </is>
      </c>
      <c r="H335" t="inlineStr">
        <is>
          <t>283.17</t>
        </is>
      </c>
      <c r="I335" t="inlineStr">
        <is>
          <t>12.9</t>
        </is>
      </c>
      <c r="J335" t="inlineStr">
        <is>
          <t>4.54</t>
        </is>
      </c>
      <c r="K335" t="inlineStr">
        <is>
          <t>144</t>
        </is>
      </c>
      <c r="L335" t="inlineStr">
        <is>
          <t>63.6</t>
        </is>
      </c>
      <c r="M335" t="inlineStr">
        <is>
          <t>4.2300000000000004</t>
        </is>
      </c>
      <c r="N335" t="inlineStr">
        <is>
          <t>275</t>
        </is>
      </c>
    </row>
    <row r="336">
      <c r="A336" t="inlineStr">
        <is>
          <t>1039</t>
        </is>
      </c>
      <c r="B336" t="inlineStr">
        <is>
          <t>IBON</t>
        </is>
      </c>
      <c r="C336" t="inlineStr">
        <is>
          <t>IBON</t>
        </is>
      </c>
      <c r="D336" t="inlineStr">
        <is>
          <t>2025-06-13T00:00:00</t>
        </is>
      </c>
      <c r="E336" t="inlineStr">
        <is>
          <t>2025-06-20T00:00:00</t>
        </is>
      </c>
      <c r="F336" t="inlineStr">
        <is>
          <t>83.91</t>
        </is>
      </c>
      <c r="G336" t="inlineStr">
        <is>
          <t>92</t>
        </is>
      </c>
      <c r="H336" t="inlineStr">
        <is>
          <t>282.66000000000003</t>
        </is>
      </c>
      <c r="I336" t="inlineStr">
        <is>
          <t>13</t>
        </is>
      </c>
      <c r="J336" t="inlineStr">
        <is>
          <t>4.57</t>
        </is>
      </c>
      <c r="K336" t="inlineStr">
        <is>
          <t>146</t>
        </is>
      </c>
      <c r="L336" t="inlineStr">
        <is>
          <t>63.2</t>
        </is>
      </c>
      <c r="M336" t="inlineStr">
        <is>
          <t>4.2</t>
        </is>
      </c>
      <c r="N336" t="inlineStr">
        <is>
          <t>242</t>
        </is>
      </c>
    </row>
    <row r="337">
      <c r="A337" t="inlineStr">
        <is>
          <t>1040</t>
        </is>
      </c>
      <c r="B337" t="inlineStr">
        <is>
          <t>IBON</t>
        </is>
      </c>
      <c r="C337" t="inlineStr">
        <is>
          <t>IBON</t>
        </is>
      </c>
      <c r="D337" t="inlineStr">
        <is>
          <t>2025-06-15T00:00:00</t>
        </is>
      </c>
      <c r="E337" t="inlineStr">
        <is>
          <t>2025-06-21T00:00:00</t>
        </is>
      </c>
      <c r="F337" t="inlineStr">
        <is>
          <t>83.61</t>
        </is>
      </c>
      <c r="G337" t="inlineStr"/>
      <c r="H337" t="inlineStr">
        <is>
          <t>283.86</t>
        </is>
      </c>
      <c r="I337" t="inlineStr">
        <is>
          <t>12.6</t>
        </is>
      </c>
      <c r="J337" t="inlineStr"/>
      <c r="K337" t="inlineStr"/>
      <c r="L337" t="inlineStr"/>
      <c r="M337" t="inlineStr"/>
      <c r="N337" t="inlineStr"/>
    </row>
    <row r="338">
      <c r="A338" t="inlineStr">
        <is>
          <t>1041</t>
        </is>
      </c>
      <c r="B338" t="inlineStr">
        <is>
          <t>IBON</t>
        </is>
      </c>
      <c r="C338" t="inlineStr">
        <is>
          <t>IBON</t>
        </is>
      </c>
      <c r="D338" t="inlineStr">
        <is>
          <t>2025-06-16T00:00:00</t>
        </is>
      </c>
      <c r="E338" t="inlineStr">
        <is>
          <t>2025-06-29T00:00:00</t>
        </is>
      </c>
      <c r="F338" t="inlineStr">
        <is>
          <t>84.68</t>
        </is>
      </c>
      <c r="G338" t="inlineStr"/>
      <c r="H338" t="inlineStr">
        <is>
          <t>282.14999999999998</t>
        </is>
      </c>
      <c r="I338" t="inlineStr">
        <is>
          <t>12.6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1042</t>
        </is>
      </c>
      <c r="B339" t="inlineStr">
        <is>
          <t>IBON</t>
        </is>
      </c>
      <c r="C339" t="inlineStr">
        <is>
          <t>IBON</t>
        </is>
      </c>
      <c r="D339" t="inlineStr">
        <is>
          <t>2025-06-17T00:00:00</t>
        </is>
      </c>
      <c r="E339" t="inlineStr">
        <is>
          <t>2025-06-24T00:00:00</t>
        </is>
      </c>
      <c r="F339" t="inlineStr">
        <is>
          <t>84.54</t>
        </is>
      </c>
      <c r="G339" t="inlineStr"/>
      <c r="H339" t="inlineStr">
        <is>
          <t>282.66000000000003</t>
        </is>
      </c>
      <c r="I339" t="inlineStr">
        <is>
          <t>12.6</t>
        </is>
      </c>
      <c r="J339" t="inlineStr"/>
      <c r="K339" t="inlineStr"/>
      <c r="L339" t="inlineStr"/>
      <c r="M339" t="inlineStr"/>
      <c r="N339" t="inlineStr"/>
    </row>
    <row r="340">
      <c r="A340" t="inlineStr">
        <is>
          <t>1043</t>
        </is>
      </c>
      <c r="B340" t="inlineStr">
        <is>
          <t>IBON</t>
        </is>
      </c>
      <c r="C340" t="inlineStr">
        <is>
          <t>IBON</t>
        </is>
      </c>
      <c r="D340" t="inlineStr">
        <is>
          <t>2025-06-18T00:00:00</t>
        </is>
      </c>
      <c r="E340" t="inlineStr">
        <is>
          <t>2025-06-25T00:00:00</t>
        </is>
      </c>
      <c r="F340" t="inlineStr">
        <is>
          <t>84.59</t>
        </is>
      </c>
      <c r="G340" t="inlineStr">
        <is>
          <t>92.7</t>
        </is>
      </c>
      <c r="H340" t="inlineStr">
        <is>
          <t>283.36</t>
        </is>
      </c>
      <c r="I340" t="inlineStr">
        <is>
          <t>12.9</t>
        </is>
      </c>
      <c r="J340" t="inlineStr">
        <is>
          <t>4.59</t>
        </is>
      </c>
      <c r="K340" t="inlineStr">
        <is>
          <t>142</t>
        </is>
      </c>
      <c r="L340" t="inlineStr">
        <is>
          <t>60.58</t>
        </is>
      </c>
      <c r="M340" t="inlineStr">
        <is>
          <t>4.16</t>
        </is>
      </c>
      <c r="N340" t="inlineStr">
        <is>
          <t>272</t>
        </is>
      </c>
    </row>
    <row r="341">
      <c r="A341" t="inlineStr">
        <is>
          <t>1044</t>
        </is>
      </c>
      <c r="B341" t="inlineStr">
        <is>
          <t>2RS</t>
        </is>
      </c>
      <c r="C341" t="inlineStr">
        <is>
          <t>TRAVELER</t>
        </is>
      </c>
      <c r="D341" t="inlineStr">
        <is>
          <t>2025-06-19T00:00:00</t>
        </is>
      </c>
      <c r="E341" t="inlineStr">
        <is>
          <t>2025-06-27T00:00:00</t>
        </is>
      </c>
      <c r="F341" t="inlineStr">
        <is>
          <t>84.57</t>
        </is>
      </c>
      <c r="G341" t="inlineStr">
        <is>
          <t>92.9</t>
        </is>
      </c>
      <c r="H341" t="inlineStr">
        <is>
          <t>286.51</t>
        </is>
      </c>
      <c r="I341" t="inlineStr">
        <is>
          <t>12.8</t>
        </is>
      </c>
      <c r="J341" t="inlineStr">
        <is>
          <t>4.1900000000000004</t>
        </is>
      </c>
      <c r="K341" t="inlineStr">
        <is>
          <t>125</t>
        </is>
      </c>
      <c r="L341" t="inlineStr">
        <is>
          <t>84.39</t>
        </is>
      </c>
      <c r="M341" t="inlineStr">
        <is>
          <t>3.6</t>
        </is>
      </c>
      <c r="N341" t="inlineStr">
        <is>
          <t>204</t>
        </is>
      </c>
    </row>
    <row r="342">
      <c r="A342" t="inlineStr">
        <is>
          <t>1045</t>
        </is>
      </c>
      <c r="B342" t="inlineStr">
        <is>
          <t>2RS</t>
        </is>
      </c>
      <c r="C342" t="inlineStr">
        <is>
          <t>TRAVELER</t>
        </is>
      </c>
      <c r="D342" t="inlineStr">
        <is>
          <t>2025-06-21T00:00:00</t>
        </is>
      </c>
      <c r="E342" t="inlineStr">
        <is>
          <t>2025-06-28T00:00:00</t>
        </is>
      </c>
      <c r="F342" t="inlineStr">
        <is>
          <t>84.14</t>
        </is>
      </c>
      <c r="G342" t="inlineStr">
        <is>
          <t>92.2</t>
        </is>
      </c>
      <c r="H342" t="inlineStr">
        <is>
          <t>286.92</t>
        </is>
      </c>
      <c r="I342" t="inlineStr">
        <is>
          <t>12.9</t>
        </is>
      </c>
      <c r="J342" t="inlineStr">
        <is>
          <t>4.5199999999999996</t>
        </is>
      </c>
      <c r="K342" t="inlineStr">
        <is>
          <t>125</t>
        </is>
      </c>
      <c r="L342" t="inlineStr">
        <is>
          <t>83.1</t>
        </is>
      </c>
      <c r="M342" t="inlineStr">
        <is>
          <t>3.4</t>
        </is>
      </c>
      <c r="N342" t="inlineStr">
        <is>
          <t>222</t>
        </is>
      </c>
    </row>
    <row r="343">
      <c r="A343" t="inlineStr">
        <is>
          <t>1046</t>
        </is>
      </c>
      <c r="B343" t="inlineStr">
        <is>
          <t>2RS</t>
        </is>
      </c>
      <c r="C343" t="inlineStr">
        <is>
          <t>FAQ</t>
        </is>
      </c>
      <c r="D343" t="inlineStr">
        <is>
          <t>2025-06-22T00:00:00</t>
        </is>
      </c>
      <c r="E343" t="inlineStr">
        <is>
          <t>2025-06-29T00:00:00</t>
        </is>
      </c>
      <c r="F343" t="inlineStr">
        <is>
          <t>82.91</t>
        </is>
      </c>
      <c r="G343" t="inlineStr"/>
      <c r="H343" t="inlineStr">
        <is>
          <t>271.72000000000003</t>
        </is>
      </c>
      <c r="I343" t="inlineStr">
        <is>
          <t>11.7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1047</t>
        </is>
      </c>
      <c r="B344" t="inlineStr">
        <is>
          <t>2RS</t>
        </is>
      </c>
      <c r="C344" t="inlineStr">
        <is>
          <t>FAQ</t>
        </is>
      </c>
      <c r="D344" t="inlineStr">
        <is>
          <t>2025-06-23T00:00:00</t>
        </is>
      </c>
      <c r="E344" t="inlineStr">
        <is>
          <t>2025-06-30T00:00:00</t>
        </is>
      </c>
      <c r="F344" t="inlineStr">
        <is>
          <t>85.26</t>
        </is>
      </c>
      <c r="G344" t="inlineStr"/>
      <c r="H344" t="inlineStr">
        <is>
          <t>270.77</t>
        </is>
      </c>
      <c r="I344" t="inlineStr">
        <is>
          <t>12.3</t>
        </is>
      </c>
      <c r="J344" t="inlineStr"/>
      <c r="K344" t="inlineStr"/>
      <c r="L344" t="inlineStr"/>
      <c r="M344" t="inlineStr"/>
      <c r="N344" t="inlineStr"/>
    </row>
    <row r="345">
      <c r="A345" t="inlineStr">
        <is>
          <t>1048</t>
        </is>
      </c>
      <c r="B345" t="inlineStr">
        <is>
          <t>2RS</t>
        </is>
      </c>
      <c r="C345" t="inlineStr">
        <is>
          <t>FAQ</t>
        </is>
      </c>
      <c r="D345" t="inlineStr">
        <is>
          <t>2025-06-25T00:00:00</t>
        </is>
      </c>
      <c r="E345" t="inlineStr">
        <is>
          <t>2025-07-01T00:00:00</t>
        </is>
      </c>
      <c r="F345" t="inlineStr">
        <is>
          <t>85.62</t>
        </is>
      </c>
      <c r="G345" t="inlineStr"/>
      <c r="H345" t="inlineStr">
        <is>
          <t>270.07</t>
        </is>
      </c>
      <c r="I345" t="inlineStr">
        <is>
          <t>12.4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1049</t>
        </is>
      </c>
      <c r="B346" t="inlineStr">
        <is>
          <t>2RS</t>
        </is>
      </c>
      <c r="C346" t="inlineStr">
        <is>
          <t>TRAVELER</t>
        </is>
      </c>
      <c r="D346" t="inlineStr">
        <is>
          <t>2025-06-26T00:00:00</t>
        </is>
      </c>
      <c r="E346" t="inlineStr">
        <is>
          <t>2025-07-02T00:00:00</t>
        </is>
      </c>
      <c r="F346" t="inlineStr">
        <is>
          <t>84.41</t>
        </is>
      </c>
      <c r="G346" t="inlineStr">
        <is>
          <t>92.8</t>
        </is>
      </c>
      <c r="H346" t="inlineStr">
        <is>
          <t>287</t>
        </is>
      </c>
      <c r="I346" t="inlineStr">
        <is>
          <t>12.9</t>
        </is>
      </c>
      <c r="J346" t="inlineStr">
        <is>
          <t>4.24</t>
        </is>
      </c>
      <c r="K346" t="inlineStr">
        <is>
          <t>119</t>
        </is>
      </c>
      <c r="L346" t="inlineStr">
        <is>
          <t>84.59</t>
        </is>
      </c>
      <c r="M346" t="inlineStr">
        <is>
          <t>3.5</t>
        </is>
      </c>
      <c r="N346" t="inlineStr">
        <is>
          <t>257</t>
        </is>
      </c>
    </row>
    <row r="347">
      <c r="A347" t="inlineStr">
        <is>
          <t>1050</t>
        </is>
      </c>
      <c r="B347" t="inlineStr">
        <is>
          <t>2RS</t>
        </is>
      </c>
      <c r="C347" t="inlineStr">
        <is>
          <t>TRAVELER</t>
        </is>
      </c>
      <c r="D347" t="inlineStr">
        <is>
          <t>2025-06-27T00:00:00</t>
        </is>
      </c>
      <c r="E347" t="inlineStr">
        <is>
          <t>2025-07-04T00:00:00</t>
        </is>
      </c>
      <c r="F347" t="inlineStr">
        <is>
          <t>84.03</t>
        </is>
      </c>
      <c r="G347" t="inlineStr">
        <is>
          <t>92.2</t>
        </is>
      </c>
      <c r="H347" t="inlineStr">
        <is>
          <t>287</t>
        </is>
      </c>
      <c r="I347" t="inlineStr">
        <is>
          <t>12.8</t>
        </is>
      </c>
      <c r="J347" t="inlineStr">
        <is>
          <t>4.3600000000000003</t>
        </is>
      </c>
      <c r="K347" t="inlineStr">
        <is>
          <t>150</t>
        </is>
      </c>
      <c r="L347" t="inlineStr">
        <is>
          <t>84.3</t>
        </is>
      </c>
      <c r="M347" t="inlineStr">
        <is>
          <t>3.8</t>
        </is>
      </c>
      <c r="N347" t="inlineStr">
        <is>
          <t>197</t>
        </is>
      </c>
    </row>
    <row r="348">
      <c r="A348" t="inlineStr">
        <is>
          <t>1051</t>
        </is>
      </c>
      <c r="B348" t="inlineStr">
        <is>
          <t>2RS</t>
        </is>
      </c>
      <c r="C348" t="inlineStr">
        <is>
          <t>TRAVELER</t>
        </is>
      </c>
      <c r="D348" t="inlineStr">
        <is>
          <t>2025-06-28T00:00:00</t>
        </is>
      </c>
      <c r="E348" t="inlineStr">
        <is>
          <t>2025-07-05T00:00:00</t>
        </is>
      </c>
      <c r="F348" t="inlineStr">
        <is>
          <t>84.12</t>
        </is>
      </c>
      <c r="G348" t="inlineStr">
        <is>
          <t>92.2</t>
        </is>
      </c>
      <c r="H348" t="inlineStr">
        <is>
          <t>287.07</t>
        </is>
      </c>
      <c r="I348" t="inlineStr">
        <is>
          <t>12.8</t>
        </is>
      </c>
      <c r="J348" t="inlineStr">
        <is>
          <t>4.4000000000000004</t>
        </is>
      </c>
      <c r="K348" t="inlineStr">
        <is>
          <t>146</t>
        </is>
      </c>
      <c r="L348" t="inlineStr">
        <is>
          <t>83.55</t>
        </is>
      </c>
      <c r="M348" t="inlineStr">
        <is>
          <t>3.9</t>
        </is>
      </c>
      <c r="N348" t="inlineStr">
        <is>
          <t>213</t>
        </is>
      </c>
    </row>
    <row r="349">
      <c r="A349" t="inlineStr">
        <is>
          <t>1052</t>
        </is>
      </c>
      <c r="B349" t="inlineStr">
        <is>
          <t>IBON</t>
        </is>
      </c>
      <c r="C349" t="inlineStr">
        <is>
          <t>IBON</t>
        </is>
      </c>
      <c r="D349" t="inlineStr">
        <is>
          <t>2025-06-29T00:00:00</t>
        </is>
      </c>
      <c r="E349" t="inlineStr">
        <is>
          <t>2025-07-06T00:00:00</t>
        </is>
      </c>
      <c r="F349" t="inlineStr">
        <is>
          <t>84.74</t>
        </is>
      </c>
      <c r="G349" t="inlineStr">
        <is>
          <t>92.7</t>
        </is>
      </c>
      <c r="H349" t="inlineStr">
        <is>
          <t>283.02999999999997</t>
        </is>
      </c>
      <c r="I349" t="inlineStr">
        <is>
          <t>13</t>
        </is>
      </c>
      <c r="J349" t="inlineStr">
        <is>
          <t>4.79</t>
        </is>
      </c>
      <c r="K349" t="inlineStr">
        <is>
          <t>134</t>
        </is>
      </c>
      <c r="L349" t="inlineStr">
        <is>
          <t>54.11</t>
        </is>
      </c>
      <c r="M349" t="inlineStr">
        <is>
          <t>3.7</t>
        </is>
      </c>
      <c r="N349" t="inlineStr">
        <is>
          <t>466</t>
        </is>
      </c>
    </row>
    <row r="350">
      <c r="A350" t="inlineStr">
        <is>
          <t>1053</t>
        </is>
      </c>
      <c r="B350" t="inlineStr">
        <is>
          <t>2RS</t>
        </is>
      </c>
      <c r="C350" t="inlineStr">
        <is>
          <t>TRAVELER</t>
        </is>
      </c>
      <c r="D350" t="inlineStr">
        <is>
          <t>2025-06-30T00:00:00</t>
        </is>
      </c>
      <c r="E350" t="inlineStr">
        <is>
          <t>2025-07-07T00:00:00</t>
        </is>
      </c>
      <c r="F350" t="inlineStr">
        <is>
          <t>85.05</t>
        </is>
      </c>
      <c r="G350" t="inlineStr">
        <is>
          <t>93.4</t>
        </is>
      </c>
      <c r="H350" t="inlineStr">
        <is>
          <t>215</t>
        </is>
      </c>
      <c r="I350" t="inlineStr">
        <is>
          <t>12.9</t>
        </is>
      </c>
      <c r="J350" t="inlineStr">
        <is>
          <t>4.38</t>
        </is>
      </c>
      <c r="K350" t="inlineStr">
        <is>
          <t>143</t>
        </is>
      </c>
      <c r="L350" t="inlineStr">
        <is>
          <t>80.989999999999995</t>
        </is>
      </c>
      <c r="M350" t="inlineStr">
        <is>
          <t>3.4</t>
        </is>
      </c>
      <c r="N350" t="inlineStr">
        <is>
          <t>262</t>
        </is>
      </c>
    </row>
    <row r="351">
      <c r="A351" t="inlineStr">
        <is>
          <t>1054</t>
        </is>
      </c>
      <c r="B351" t="inlineStr">
        <is>
          <t>2RS</t>
        </is>
      </c>
      <c r="C351" t="inlineStr">
        <is>
          <t>TRAVELER</t>
        </is>
      </c>
      <c r="D351" t="inlineStr">
        <is>
          <t>2025-07-02T00:00:00</t>
        </is>
      </c>
      <c r="E351" t="inlineStr">
        <is>
          <t>2025-07-09T00:00:00</t>
        </is>
      </c>
      <c r="F351" t="inlineStr">
        <is>
          <t>83.49</t>
        </is>
      </c>
      <c r="G351" t="inlineStr">
        <is>
          <t>91.5</t>
        </is>
      </c>
      <c r="H351" t="inlineStr">
        <is>
          <t>286.52</t>
        </is>
      </c>
      <c r="I351" t="inlineStr">
        <is>
          <t>12.9</t>
        </is>
      </c>
      <c r="J351" t="inlineStr">
        <is>
          <t>4.54</t>
        </is>
      </c>
      <c r="K351" t="inlineStr">
        <is>
          <t>130</t>
        </is>
      </c>
      <c r="L351" t="inlineStr">
        <is>
          <t>80.66</t>
        </is>
      </c>
      <c r="M351" t="inlineStr">
        <is>
          <t>3.68</t>
        </is>
      </c>
      <c r="N351" t="inlineStr">
        <is>
          <t>251</t>
        </is>
      </c>
    </row>
    <row r="352">
      <c r="A352" t="inlineStr">
        <is>
          <t>1055</t>
        </is>
      </c>
      <c r="B352" t="inlineStr">
        <is>
          <t>2RS</t>
        </is>
      </c>
      <c r="C352" t="inlineStr">
        <is>
          <t>FAQ</t>
        </is>
      </c>
      <c r="D352" t="inlineStr">
        <is>
          <t>2025-07-03T00:00:00</t>
        </is>
      </c>
      <c r="E352" t="inlineStr">
        <is>
          <t>2025-07-10T00:00:00</t>
        </is>
      </c>
      <c r="F352" t="inlineStr">
        <is>
          <t>84.31</t>
        </is>
      </c>
      <c r="G352" t="inlineStr"/>
      <c r="H352" t="inlineStr">
        <is>
          <t>298.17</t>
        </is>
      </c>
      <c r="I352" t="inlineStr">
        <is>
          <t>12.8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1056</t>
        </is>
      </c>
      <c r="B353" t="inlineStr">
        <is>
          <t>2RS</t>
        </is>
      </c>
      <c r="C353" t="inlineStr">
        <is>
          <t>FAQ</t>
        </is>
      </c>
      <c r="D353" t="inlineStr">
        <is>
          <t>2025-07-04T00:00:00</t>
        </is>
      </c>
      <c r="E353" t="inlineStr">
        <is>
          <t>2025-07-12T00:00:00</t>
        </is>
      </c>
      <c r="F353" t="inlineStr">
        <is>
          <t>84.78</t>
        </is>
      </c>
      <c r="G353" t="inlineStr"/>
      <c r="H353" t="inlineStr">
        <is>
          <t>270.97000000000003</t>
        </is>
      </c>
      <c r="I353" t="inlineStr">
        <is>
          <t>12.6</t>
        </is>
      </c>
      <c r="J353" t="inlineStr"/>
      <c r="K353" t="inlineStr"/>
      <c r="L353" t="inlineStr"/>
      <c r="M353" t="inlineStr"/>
      <c r="N353" t="inlineStr"/>
    </row>
    <row r="354">
      <c r="A354" t="inlineStr">
        <is>
          <t>1057</t>
        </is>
      </c>
      <c r="B354" t="inlineStr">
        <is>
          <t>2RS</t>
        </is>
      </c>
      <c r="C354" t="inlineStr">
        <is>
          <t>FAQ</t>
        </is>
      </c>
      <c r="D354" t="inlineStr">
        <is>
          <t>2025-07-05T00:00:00</t>
        </is>
      </c>
      <c r="E354" t="inlineStr">
        <is>
          <t>2025-07-13T00:00:00</t>
        </is>
      </c>
      <c r="F354" t="inlineStr">
        <is>
          <t>83.22</t>
        </is>
      </c>
      <c r="G354" t="inlineStr"/>
      <c r="H354" t="inlineStr">
        <is>
          <t>165.2</t>
        </is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1058</t>
        </is>
      </c>
      <c r="B355" t="inlineStr">
        <is>
          <t>2RS</t>
        </is>
      </c>
      <c r="C355" t="inlineStr">
        <is>
          <t>TRAVELER</t>
        </is>
      </c>
      <c r="D355" t="inlineStr">
        <is>
          <t>2025-07-06T00:00:00</t>
        </is>
      </c>
      <c r="E355" t="inlineStr">
        <is>
          <t>2025-07-14T00:00:00</t>
        </is>
      </c>
      <c r="F355" t="inlineStr">
        <is>
          <t>83.19</t>
        </is>
      </c>
      <c r="G355" t="inlineStr">
        <is>
          <t>91.9</t>
        </is>
      </c>
      <c r="H355" t="inlineStr">
        <is>
          <t>286.69</t>
        </is>
      </c>
      <c r="I355" t="inlineStr">
        <is>
          <t>13.5</t>
        </is>
      </c>
      <c r="J355" t="inlineStr">
        <is>
          <t>4.41</t>
        </is>
      </c>
      <c r="K355" t="inlineStr">
        <is>
          <t>135</t>
        </is>
      </c>
      <c r="L355" t="inlineStr">
        <is>
          <t>86.19</t>
        </is>
      </c>
      <c r="M355" t="inlineStr">
        <is>
          <t>3.7</t>
        </is>
      </c>
      <c r="N355" t="inlineStr">
        <is>
          <t>178</t>
        </is>
      </c>
    </row>
    <row r="356">
      <c r="A356" t="inlineStr">
        <is>
          <t>1059</t>
        </is>
      </c>
      <c r="B356" t="inlineStr">
        <is>
          <t>IBON</t>
        </is>
      </c>
      <c r="C356" t="inlineStr">
        <is>
          <t>IBON</t>
        </is>
      </c>
      <c r="D356" t="inlineStr">
        <is>
          <t>2025-07-08T00:00:00</t>
        </is>
      </c>
      <c r="E356" t="inlineStr">
        <is>
          <t>2025-07-16T00:00:00</t>
        </is>
      </c>
      <c r="F356" t="inlineStr">
        <is>
          <t>83.56</t>
        </is>
      </c>
      <c r="G356" t="inlineStr">
        <is>
          <t>92.4</t>
        </is>
      </c>
      <c r="H356" t="inlineStr">
        <is>
          <t>282.92</t>
        </is>
      </c>
      <c r="I356" t="inlineStr">
        <is>
          <t>13.2</t>
        </is>
      </c>
      <c r="J356" t="inlineStr">
        <is>
          <t>4.05</t>
        </is>
      </c>
      <c r="K356" t="inlineStr">
        <is>
          <t>145</t>
        </is>
      </c>
      <c r="L356" t="inlineStr">
        <is>
          <t>64.040000000000006</t>
        </is>
      </c>
      <c r="M356" t="inlineStr">
        <is>
          <t>4</t>
        </is>
      </c>
      <c r="N356" t="inlineStr">
        <is>
          <t>293</t>
        </is>
      </c>
    </row>
    <row r="357">
      <c r="A357" t="inlineStr">
        <is>
          <t>1060</t>
        </is>
      </c>
      <c r="B357" t="inlineStr">
        <is>
          <t>2RS</t>
        </is>
      </c>
      <c r="C357" t="inlineStr">
        <is>
          <t>TRAVELER</t>
        </is>
      </c>
      <c r="D357" t="inlineStr">
        <is>
          <t>2025-07-09T00:00:00</t>
        </is>
      </c>
      <c r="E357" t="inlineStr">
        <is>
          <t>2025-07-17T00:00:00</t>
        </is>
      </c>
      <c r="F357" t="inlineStr">
        <is>
          <t>84.37</t>
        </is>
      </c>
      <c r="G357" t="inlineStr">
        <is>
          <t>92.4</t>
        </is>
      </c>
      <c r="H357" t="inlineStr">
        <is>
          <t>286.14999999999998</t>
        </is>
      </c>
      <c r="I357" t="inlineStr">
        <is>
          <t>12.9</t>
        </is>
      </c>
      <c r="J357" t="inlineStr">
        <is>
          <t>4.58</t>
        </is>
      </c>
      <c r="K357" t="inlineStr">
        <is>
          <t>139</t>
        </is>
      </c>
      <c r="L357" t="inlineStr">
        <is>
          <t>84.25</t>
        </is>
      </c>
      <c r="M357" t="inlineStr">
        <is>
          <t>3.69</t>
        </is>
      </c>
      <c r="N357" t="inlineStr">
        <is>
          <t>185</t>
        </is>
      </c>
    </row>
    <row r="358">
      <c r="A358" t="inlineStr">
        <is>
          <t>1061</t>
        </is>
      </c>
      <c r="B358" t="inlineStr">
        <is>
          <t>2RS</t>
        </is>
      </c>
      <c r="C358" t="inlineStr">
        <is>
          <t>TRAVELER</t>
        </is>
      </c>
      <c r="D358" t="inlineStr">
        <is>
          <t>2025-07-11T00:00:00</t>
        </is>
      </c>
      <c r="E358" t="inlineStr">
        <is>
          <t>2025-07-18T00:00:00</t>
        </is>
      </c>
      <c r="F358" t="inlineStr">
        <is>
          <t>84.7</t>
        </is>
      </c>
      <c r="G358" t="inlineStr">
        <is>
          <t>93</t>
        </is>
      </c>
      <c r="H358" t="inlineStr">
        <is>
          <t>286.94</t>
        </is>
      </c>
      <c r="I358" t="inlineStr">
        <is>
          <t>13.1</t>
        </is>
      </c>
      <c r="J358" t="inlineStr">
        <is>
          <t>4.6100000000000003</t>
        </is>
      </c>
      <c r="K358" t="inlineStr">
        <is>
          <t>131</t>
        </is>
      </c>
      <c r="L358" t="inlineStr">
        <is>
          <t>82</t>
        </is>
      </c>
      <c r="M358" t="inlineStr">
        <is>
          <t>3.7</t>
        </is>
      </c>
      <c r="N358" t="inlineStr">
        <is>
          <t>263</t>
        </is>
      </c>
    </row>
    <row r="359">
      <c r="A359" t="inlineStr">
        <is>
          <t>1062</t>
        </is>
      </c>
      <c r="B359" t="inlineStr">
        <is>
          <t>IBON</t>
        </is>
      </c>
      <c r="C359" t="inlineStr">
        <is>
          <t>IBON</t>
        </is>
      </c>
      <c r="D359" t="inlineStr">
        <is>
          <t>2025-07-13T00:00:00</t>
        </is>
      </c>
      <c r="E359" t="inlineStr">
        <is>
          <t>2025-07-19T00:00:00</t>
        </is>
      </c>
      <c r="F359" t="inlineStr">
        <is>
          <t>83.15</t>
        </is>
      </c>
      <c r="G359" t="inlineStr">
        <is>
          <t>91.3</t>
        </is>
      </c>
      <c r="H359" t="inlineStr">
        <is>
          <t>283.43</t>
        </is>
      </c>
      <c r="I359" t="inlineStr">
        <is>
          <t>13.2</t>
        </is>
      </c>
      <c r="J359" t="inlineStr">
        <is>
          <t>4.6399999999999997</t>
        </is>
      </c>
      <c r="K359" t="inlineStr">
        <is>
          <t>151</t>
        </is>
      </c>
      <c r="L359" t="inlineStr">
        <is>
          <t>61.05</t>
        </is>
      </c>
      <c r="M359" t="inlineStr">
        <is>
          <t>4.0999999999999996</t>
        </is>
      </c>
      <c r="N359" t="inlineStr">
        <is>
          <t>403</t>
        </is>
      </c>
    </row>
    <row r="360">
      <c r="A360" t="inlineStr">
        <is>
          <t>1063</t>
        </is>
      </c>
      <c r="B360" t="inlineStr">
        <is>
          <t>IBON</t>
        </is>
      </c>
      <c r="C360" t="inlineStr">
        <is>
          <t>IBON</t>
        </is>
      </c>
      <c r="D360" t="inlineStr">
        <is>
          <t>2025-07-14T00:00:00</t>
        </is>
      </c>
      <c r="E360" t="inlineStr">
        <is>
          <t>2025-07-21T00:00:00</t>
        </is>
      </c>
      <c r="F360" t="inlineStr">
        <is>
          <t>84.18</t>
        </is>
      </c>
      <c r="G360" t="inlineStr">
        <is>
          <t>92.5</t>
        </is>
      </c>
      <c r="H360" t="inlineStr">
        <is>
          <t>282.82</t>
        </is>
      </c>
      <c r="I360" t="inlineStr">
        <is>
          <t>13.4</t>
        </is>
      </c>
      <c r="J360" t="inlineStr">
        <is>
          <t>4.8</t>
        </is>
      </c>
      <c r="K360" t="inlineStr">
        <is>
          <t>138</t>
        </is>
      </c>
      <c r="L360" t="inlineStr">
        <is>
          <t>58.2</t>
        </is>
      </c>
      <c r="M360" t="inlineStr">
        <is>
          <t>3.6</t>
        </is>
      </c>
      <c r="N360" t="inlineStr">
        <is>
          <t>375</t>
        </is>
      </c>
    </row>
    <row r="361">
      <c r="A361" t="inlineStr">
        <is>
          <t>1064</t>
        </is>
      </c>
      <c r="B361" t="inlineStr">
        <is>
          <t>2RS</t>
        </is>
      </c>
      <c r="C361" t="inlineStr">
        <is>
          <t>TRAVELER</t>
        </is>
      </c>
      <c r="D361" t="inlineStr">
        <is>
          <t>2025-07-15T00:00:00</t>
        </is>
      </c>
      <c r="E361" t="inlineStr">
        <is>
          <t>2025-07-25T00:00:00</t>
        </is>
      </c>
      <c r="F361" t="inlineStr">
        <is>
          <t>83.48</t>
        </is>
      </c>
      <c r="G361" t="inlineStr">
        <is>
          <t>92.2</t>
        </is>
      </c>
      <c r="H361" t="inlineStr">
        <is>
          <t>287.99</t>
        </is>
      </c>
      <c r="I361" t="inlineStr">
        <is>
          <t>13.3</t>
        </is>
      </c>
      <c r="J361" t="inlineStr">
        <is>
          <t>4.29</t>
        </is>
      </c>
      <c r="K361" t="inlineStr">
        <is>
          <t>124</t>
        </is>
      </c>
      <c r="L361" t="inlineStr">
        <is>
          <t>85.1</t>
        </is>
      </c>
      <c r="M361" t="inlineStr">
        <is>
          <t>4.0999999999999996</t>
        </is>
      </c>
      <c r="N361" t="inlineStr">
        <is>
          <t>185</t>
        </is>
      </c>
    </row>
    <row r="362">
      <c r="A362" t="inlineStr">
        <is>
          <t>1065</t>
        </is>
      </c>
      <c r="B362" t="inlineStr">
        <is>
          <t>2RS</t>
        </is>
      </c>
      <c r="C362" t="inlineStr">
        <is>
          <t>TRAVELER</t>
        </is>
      </c>
      <c r="D362" t="inlineStr">
        <is>
          <t>2025-07-16T00:00:00</t>
        </is>
      </c>
      <c r="E362" t="inlineStr">
        <is>
          <t>2025-07-26T00:00:00</t>
        </is>
      </c>
      <c r="F362" t="inlineStr">
        <is>
          <t>83.07</t>
        </is>
      </c>
      <c r="G362" t="inlineStr">
        <is>
          <t>91.6</t>
        </is>
      </c>
      <c r="H362" t="inlineStr">
        <is>
          <t>287.8</t>
        </is>
      </c>
      <c r="I362" t="inlineStr">
        <is>
          <t>13.7</t>
        </is>
      </c>
      <c r="J362" t="inlineStr">
        <is>
          <t>4.8600000000000003</t>
        </is>
      </c>
      <c r="K362" t="inlineStr">
        <is>
          <t>127</t>
        </is>
      </c>
      <c r="L362" t="inlineStr">
        <is>
          <t>82.8</t>
        </is>
      </c>
      <c r="M362" t="inlineStr">
        <is>
          <t>4.0999999999999996</t>
        </is>
      </c>
      <c r="N362" t="inlineStr">
        <is>
          <t>175</t>
        </is>
      </c>
    </row>
    <row r="363">
      <c r="A363" t="inlineStr">
        <is>
          <t>1066</t>
        </is>
      </c>
      <c r="B363" t="inlineStr">
        <is>
          <t>2RS</t>
        </is>
      </c>
      <c r="C363" t="inlineStr">
        <is>
          <t>TRAVELER</t>
        </is>
      </c>
      <c r="D363" t="inlineStr">
        <is>
          <t>2025-07-17T00:00:00</t>
        </is>
      </c>
      <c r="E363" t="inlineStr">
        <is>
          <t>2025-07-27T00:00:00</t>
        </is>
      </c>
      <c r="F363" t="inlineStr">
        <is>
          <t>83.23</t>
        </is>
      </c>
      <c r="G363" t="inlineStr">
        <is>
          <t>92.4</t>
        </is>
      </c>
      <c r="H363" t="inlineStr">
        <is>
          <t>287.79000000000002</t>
        </is>
      </c>
      <c r="I363" t="inlineStr">
        <is>
          <t>13.7</t>
        </is>
      </c>
      <c r="J363" t="inlineStr">
        <is>
          <t>4.1900000000000004</t>
        </is>
      </c>
      <c r="K363" t="inlineStr">
        <is>
          <t>126</t>
        </is>
      </c>
      <c r="L363" t="inlineStr">
        <is>
          <t>85.99</t>
        </is>
      </c>
      <c r="M363" t="inlineStr">
        <is>
          <t>4</t>
        </is>
      </c>
      <c r="N363" t="inlineStr">
        <is>
          <t>178</t>
        </is>
      </c>
    </row>
    <row r="364">
      <c r="A364" t="inlineStr">
        <is>
          <t>1067</t>
        </is>
      </c>
      <c r="B364" t="inlineStr">
        <is>
          <t>2RS</t>
        </is>
      </c>
      <c r="C364" t="inlineStr">
        <is>
          <t>TRAVELER</t>
        </is>
      </c>
      <c r="D364" t="inlineStr">
        <is>
          <t>2025-07-23T00:00:00</t>
        </is>
      </c>
      <c r="E364" t="inlineStr">
        <is>
          <t>2025-07-30T00:00:00</t>
        </is>
      </c>
      <c r="F364" t="inlineStr">
        <is>
          <t>84.24</t>
        </is>
      </c>
      <c r="G364" t="inlineStr">
        <is>
          <t>93.5</t>
        </is>
      </c>
      <c r="H364" t="inlineStr">
        <is>
          <t>287.43</t>
        </is>
      </c>
      <c r="I364" t="inlineStr">
        <is>
          <t>13.6</t>
        </is>
      </c>
      <c r="J364" t="inlineStr">
        <is>
          <t>4.13</t>
        </is>
      </c>
      <c r="K364" t="inlineStr">
        <is>
          <t>132</t>
        </is>
      </c>
      <c r="L364" t="inlineStr">
        <is>
          <t>82.6</t>
        </is>
      </c>
      <c r="M364" t="inlineStr">
        <is>
          <t>3.7</t>
        </is>
      </c>
      <c r="N364" t="inlineStr">
        <is>
          <t>250</t>
        </is>
      </c>
    </row>
    <row r="365">
      <c r="A365" t="inlineStr">
        <is>
          <t>1068</t>
        </is>
      </c>
      <c r="B365" t="inlineStr">
        <is>
          <t>2RS</t>
        </is>
      </c>
      <c r="C365" t="inlineStr">
        <is>
          <t>TRAVELER</t>
        </is>
      </c>
      <c r="D365" t="inlineStr">
        <is>
          <t>2025-07-24T00:00:00</t>
        </is>
      </c>
      <c r="E365" t="inlineStr">
        <is>
          <t>2025-07-31T00:00:00</t>
        </is>
      </c>
      <c r="F365" t="inlineStr">
        <is>
          <t>84.12</t>
        </is>
      </c>
      <c r="G365" t="inlineStr">
        <is>
          <t>93.4</t>
        </is>
      </c>
      <c r="H365" t="inlineStr">
        <is>
          <t>287.91000000000003</t>
        </is>
      </c>
      <c r="I365" t="inlineStr">
        <is>
          <t>13.6</t>
        </is>
      </c>
      <c r="J365" t="inlineStr">
        <is>
          <t>4.0999999999999996</t>
        </is>
      </c>
      <c r="K365" t="inlineStr">
        <is>
          <t>151</t>
        </is>
      </c>
      <c r="L365" t="inlineStr">
        <is>
          <t>85.93</t>
        </is>
      </c>
      <c r="M365" t="inlineStr">
        <is>
          <t>4</t>
        </is>
      </c>
      <c r="N365" t="inlineStr">
        <is>
          <t>210</t>
        </is>
      </c>
    </row>
    <row r="366">
      <c r="A366" t="inlineStr">
        <is>
          <t>1069</t>
        </is>
      </c>
      <c r="B366" t="inlineStr">
        <is>
          <t>2RS</t>
        </is>
      </c>
      <c r="C366" t="inlineStr">
        <is>
          <t>TRAVELER</t>
        </is>
      </c>
      <c r="D366" t="inlineStr">
        <is>
          <t>2025-07-25T00:00:00</t>
        </is>
      </c>
      <c r="E366" t="inlineStr">
        <is>
          <t>2025-08-01T00:00:00</t>
        </is>
      </c>
      <c r="F366" t="inlineStr">
        <is>
          <t>84.88</t>
        </is>
      </c>
      <c r="G366" t="inlineStr">
        <is>
          <t>93.5</t>
        </is>
      </c>
      <c r="H366" t="inlineStr">
        <is>
          <t>286.82</t>
        </is>
      </c>
      <c r="I366" t="inlineStr">
        <is>
          <t>13.1</t>
        </is>
      </c>
      <c r="J366" t="inlineStr">
        <is>
          <t>4.26</t>
        </is>
      </c>
      <c r="K366" t="inlineStr">
        <is>
          <t>137</t>
        </is>
      </c>
      <c r="L366" t="inlineStr">
        <is>
          <t>84.9</t>
        </is>
      </c>
      <c r="M366" t="inlineStr">
        <is>
          <t>3.8</t>
        </is>
      </c>
      <c r="N366" t="inlineStr">
        <is>
          <t>237</t>
        </is>
      </c>
    </row>
    <row r="367">
      <c r="A367" t="inlineStr">
        <is>
          <t>1070</t>
        </is>
      </c>
      <c r="B367" t="inlineStr">
        <is>
          <t>2RS</t>
        </is>
      </c>
      <c r="C367" t="inlineStr">
        <is>
          <t>TRAVELER</t>
        </is>
      </c>
      <c r="D367" t="inlineStr">
        <is>
          <t>2025-07-26T00:00:00</t>
        </is>
      </c>
      <c r="E367" t="inlineStr">
        <is>
          <t>2025-08-02T00:00:00</t>
        </is>
      </c>
      <c r="F367" t="inlineStr">
        <is>
          <t>84.93</t>
        </is>
      </c>
      <c r="G367" t="inlineStr">
        <is>
          <t>93.6</t>
        </is>
      </c>
      <c r="H367" t="inlineStr">
        <is>
          <t>288.12</t>
        </is>
      </c>
      <c r="I367" t="inlineStr">
        <is>
          <t>13.6</t>
        </is>
      </c>
      <c r="J367" t="inlineStr">
        <is>
          <t>4.83</t>
        </is>
      </c>
      <c r="K367" t="inlineStr">
        <is>
          <t>137</t>
        </is>
      </c>
      <c r="L367" t="inlineStr">
        <is>
          <t>81.3</t>
        </is>
      </c>
      <c r="M367" t="inlineStr">
        <is>
          <t>3.8</t>
        </is>
      </c>
      <c r="N367" t="inlineStr">
        <is>
          <t>242</t>
        </is>
      </c>
    </row>
    <row r="368">
      <c r="A368" t="inlineStr">
        <is>
          <t>1071</t>
        </is>
      </c>
      <c r="B368" t="inlineStr">
        <is>
          <t>IBON</t>
        </is>
      </c>
      <c r="C368" t="inlineStr">
        <is>
          <t>IBON</t>
        </is>
      </c>
      <c r="D368" t="inlineStr">
        <is>
          <t>2025-07-28T00:00:00</t>
        </is>
      </c>
      <c r="E368" t="inlineStr">
        <is>
          <t>2025-08-04T00:00:00</t>
        </is>
      </c>
      <c r="F368" t="inlineStr">
        <is>
          <t>85.25</t>
        </is>
      </c>
      <c r="G368" t="inlineStr">
        <is>
          <t>93.9</t>
        </is>
      </c>
      <c r="H368" t="inlineStr">
        <is>
          <t>282.77999999999997</t>
        </is>
      </c>
      <c r="I368" t="inlineStr">
        <is>
          <t>13.2</t>
        </is>
      </c>
      <c r="J368" t="inlineStr">
        <is>
          <t>4.41</t>
        </is>
      </c>
      <c r="K368" t="inlineStr">
        <is>
          <t>126</t>
        </is>
      </c>
      <c r="L368" t="inlineStr">
        <is>
          <t>62.71</t>
        </is>
      </c>
      <c r="M368" t="inlineStr">
        <is>
          <t>3.8</t>
        </is>
      </c>
      <c r="N368" t="inlineStr">
        <is>
          <t>416</t>
        </is>
      </c>
    </row>
    <row r="369">
      <c r="A369" t="inlineStr">
        <is>
          <t>1072</t>
        </is>
      </c>
      <c r="B369" t="inlineStr">
        <is>
          <t>IBON</t>
        </is>
      </c>
      <c r="C369" t="inlineStr">
        <is>
          <t>IBON</t>
        </is>
      </c>
      <c r="D369" t="inlineStr">
        <is>
          <t>2025-07-29T00:00:00</t>
        </is>
      </c>
      <c r="E369" t="inlineStr">
        <is>
          <t>2025-08-05T00:00:00</t>
        </is>
      </c>
      <c r="F369" t="inlineStr">
        <is>
          <t>85.8</t>
        </is>
      </c>
      <c r="G369" t="inlineStr">
        <is>
          <t>94.7</t>
        </is>
      </c>
      <c r="H369" t="inlineStr">
        <is>
          <t>282.82</t>
        </is>
      </c>
      <c r="I369" t="inlineStr">
        <is>
          <t>13.3</t>
        </is>
      </c>
      <c r="J369" t="inlineStr">
        <is>
          <t>4.32</t>
        </is>
      </c>
      <c r="K369" t="inlineStr">
        <is>
          <t>167</t>
        </is>
      </c>
      <c r="L369" t="inlineStr">
        <is>
          <t>62.28</t>
        </is>
      </c>
      <c r="M369" t="inlineStr">
        <is>
          <t>4.9000000000000004</t>
        </is>
      </c>
      <c r="N369" t="inlineStr">
        <is>
          <t>307</t>
        </is>
      </c>
    </row>
    <row r="370">
      <c r="A370" t="inlineStr">
        <is>
          <t>1073</t>
        </is>
      </c>
      <c r="B370" t="inlineStr">
        <is>
          <t>IBON</t>
        </is>
      </c>
      <c r="C370" t="inlineStr">
        <is>
          <t>IBON</t>
        </is>
      </c>
      <c r="D370" t="inlineStr">
        <is>
          <t>2025-07-30T00:00:00</t>
        </is>
      </c>
      <c r="E370" t="inlineStr">
        <is>
          <t>2025-08-06T00:00:00</t>
        </is>
      </c>
      <c r="F370" t="inlineStr">
        <is>
          <t>84.81</t>
        </is>
      </c>
      <c r="G370" t="inlineStr">
        <is>
          <t>93.6</t>
        </is>
      </c>
      <c r="H370" t="inlineStr">
        <is>
          <t>282.72000000000003</t>
        </is>
      </c>
      <c r="I370" t="inlineStr">
        <is>
          <t>13.2</t>
        </is>
      </c>
      <c r="J370" t="inlineStr">
        <is>
          <t>4.1500000000000004</t>
        </is>
      </c>
      <c r="K370" t="inlineStr">
        <is>
          <t>149</t>
        </is>
      </c>
      <c r="L370" t="inlineStr">
        <is>
          <t>61.7</t>
        </is>
      </c>
      <c r="M370" t="inlineStr">
        <is>
          <t>4.88</t>
        </is>
      </c>
      <c r="N370" t="inlineStr">
        <is>
          <t>295</t>
        </is>
      </c>
    </row>
    <row r="371">
      <c r="A371" t="inlineStr">
        <is>
          <t>1074</t>
        </is>
      </c>
      <c r="B371" t="inlineStr">
        <is>
          <t>2RS</t>
        </is>
      </c>
      <c r="C371" t="inlineStr">
        <is>
          <t>TRAVELER</t>
        </is>
      </c>
      <c r="D371" t="inlineStr">
        <is>
          <t>2025-07-31T00:00:00</t>
        </is>
      </c>
      <c r="E371" t="inlineStr">
        <is>
          <t>2025-08-07T00:00:00</t>
        </is>
      </c>
      <c r="F371" t="inlineStr">
        <is>
          <t>84.24</t>
        </is>
      </c>
      <c r="G371" t="inlineStr">
        <is>
          <t>92.6</t>
        </is>
      </c>
      <c r="H371" t="inlineStr">
        <is>
          <t>287.8</t>
        </is>
      </c>
      <c r="I371" t="inlineStr">
        <is>
          <t>13.3</t>
        </is>
      </c>
      <c r="J371" t="inlineStr">
        <is>
          <t>4.7300000000000004</t>
        </is>
      </c>
      <c r="K371" t="inlineStr">
        <is>
          <t>134</t>
        </is>
      </c>
      <c r="L371" t="inlineStr">
        <is>
          <t>82.35</t>
        </is>
      </c>
      <c r="M371" t="inlineStr">
        <is>
          <t>3.5</t>
        </is>
      </c>
      <c r="N371" t="inlineStr">
        <is>
          <t>220</t>
        </is>
      </c>
    </row>
    <row r="372">
      <c r="A372" t="inlineStr">
        <is>
          <t>1075</t>
        </is>
      </c>
      <c r="B372" t="inlineStr">
        <is>
          <t>2RS</t>
        </is>
      </c>
      <c r="C372" t="inlineStr">
        <is>
          <t>TRAVELER</t>
        </is>
      </c>
      <c r="D372" t="inlineStr">
        <is>
          <t>2025-08-02T00:00:00</t>
        </is>
      </c>
      <c r="E372" t="inlineStr">
        <is>
          <t>2025-08-08T00:00:00</t>
        </is>
      </c>
      <c r="F372" t="inlineStr">
        <is>
          <t>83.95</t>
        </is>
      </c>
      <c r="G372" t="inlineStr">
        <is>
          <t>92.8</t>
        </is>
      </c>
      <c r="H372" t="inlineStr">
        <is>
          <t>287.54000000000002</t>
        </is>
      </c>
      <c r="I372" t="inlineStr">
        <is>
          <t>13.4</t>
        </is>
      </c>
      <c r="J372" t="inlineStr">
        <is>
          <t>4.2300000000000004</t>
        </is>
      </c>
      <c r="K372" t="inlineStr">
        <is>
          <t>134</t>
        </is>
      </c>
      <c r="L372" t="inlineStr">
        <is>
          <t>83.26</t>
        </is>
      </c>
      <c r="M372" t="inlineStr">
        <is>
          <t>3.6</t>
        </is>
      </c>
      <c r="N372" t="inlineStr">
        <is>
          <t>146</t>
        </is>
      </c>
    </row>
    <row r="373">
      <c r="A373" t="inlineStr">
        <is>
          <t>1076</t>
        </is>
      </c>
      <c r="B373" t="inlineStr">
        <is>
          <t>2RS</t>
        </is>
      </c>
      <c r="C373" t="inlineStr">
        <is>
          <t>TRAVELER</t>
        </is>
      </c>
      <c r="D373" t="inlineStr">
        <is>
          <t>2025-08-03T00:00:00</t>
        </is>
      </c>
      <c r="E373" t="inlineStr">
        <is>
          <t>2025-08-10T00:00:00</t>
        </is>
      </c>
      <c r="F373" t="inlineStr">
        <is>
          <t>83.92</t>
        </is>
      </c>
      <c r="G373" t="inlineStr">
        <is>
          <t>92.9</t>
        </is>
      </c>
      <c r="H373" t="inlineStr">
        <is>
          <t>287.45999999999998</t>
        </is>
      </c>
      <c r="I373" t="inlineStr">
        <is>
          <t>13.4</t>
        </is>
      </c>
      <c r="J373" t="inlineStr">
        <is>
          <t>4.17</t>
        </is>
      </c>
      <c r="K373" t="inlineStr">
        <is>
          <t>130</t>
        </is>
      </c>
      <c r="L373" t="inlineStr">
        <is>
          <t>81.81</t>
        </is>
      </c>
      <c r="M373" t="inlineStr">
        <is>
          <t>3.6</t>
        </is>
      </c>
      <c r="N373" t="inlineStr">
        <is>
          <t>278</t>
        </is>
      </c>
    </row>
    <row r="374">
      <c r="A374" t="inlineStr">
        <is>
          <t>1077</t>
        </is>
      </c>
      <c r="B374" t="inlineStr">
        <is>
          <t>2RS</t>
        </is>
      </c>
      <c r="C374" t="inlineStr">
        <is>
          <t>TRAVELER</t>
        </is>
      </c>
      <c r="D374" t="inlineStr">
        <is>
          <t>2025-08-04T00:00:00</t>
        </is>
      </c>
      <c r="E374" t="inlineStr">
        <is>
          <t>2025-08-11T00:00:00</t>
        </is>
      </c>
      <c r="F374" t="inlineStr">
        <is>
          <t>83.75</t>
        </is>
      </c>
      <c r="G374" t="inlineStr">
        <is>
          <t>92.7</t>
        </is>
      </c>
      <c r="H374" t="inlineStr">
        <is>
          <t>287.73</t>
        </is>
      </c>
      <c r="I374" t="inlineStr">
        <is>
          <t>13.4</t>
        </is>
      </c>
      <c r="J374" t="inlineStr">
        <is>
          <t>4.0999999999999996</t>
        </is>
      </c>
      <c r="K374" t="inlineStr">
        <is>
          <t>130</t>
        </is>
      </c>
      <c r="L374" t="inlineStr">
        <is>
          <t>83.39</t>
        </is>
      </c>
      <c r="M374" t="inlineStr">
        <is>
          <t>3.8</t>
        </is>
      </c>
      <c r="N374" t="inlineStr">
        <is>
          <t>249</t>
        </is>
      </c>
    </row>
    <row r="375">
      <c r="A375" t="inlineStr">
        <is>
          <t>1078</t>
        </is>
      </c>
      <c r="B375" t="inlineStr">
        <is>
          <t>2RS</t>
        </is>
      </c>
      <c r="C375" t="inlineStr">
        <is>
          <t>TRAVELER</t>
        </is>
      </c>
      <c r="D375" t="inlineStr">
        <is>
          <t>2025-08-05T00:00:00</t>
        </is>
      </c>
      <c r="E375" t="inlineStr">
        <is>
          <t>2025-08-12T00:00:00</t>
        </is>
      </c>
      <c r="F375" t="inlineStr">
        <is>
          <t>83.76</t>
        </is>
      </c>
      <c r="G375" t="inlineStr">
        <is>
          <t>92.4</t>
        </is>
      </c>
      <c r="H375" t="inlineStr">
        <is>
          <t>287.62</t>
        </is>
      </c>
      <c r="I375" t="inlineStr">
        <is>
          <t>13.3</t>
        </is>
      </c>
      <c r="J375" t="inlineStr">
        <is>
          <t>4.32</t>
        </is>
      </c>
      <c r="K375" t="inlineStr">
        <is>
          <t>143</t>
        </is>
      </c>
      <c r="L375" t="inlineStr">
        <is>
          <t>84.63</t>
        </is>
      </c>
      <c r="M375" t="inlineStr">
        <is>
          <t>4.0999999999999996</t>
        </is>
      </c>
      <c r="N375" t="inlineStr">
        <is>
          <t>196</t>
        </is>
      </c>
    </row>
    <row r="376">
      <c r="A376" t="inlineStr">
        <is>
          <t>1079</t>
        </is>
      </c>
      <c r="B376" t="inlineStr">
        <is>
          <t>2RS</t>
        </is>
      </c>
      <c r="C376" t="inlineStr">
        <is>
          <t>TRAVELER</t>
        </is>
      </c>
      <c r="D376" t="inlineStr">
        <is>
          <t>2025-08-06T00:00:00</t>
        </is>
      </c>
      <c r="E376" t="inlineStr">
        <is>
          <t>2025-08-13T00:00:00</t>
        </is>
      </c>
      <c r="F376" t="inlineStr">
        <is>
          <t>84.61</t>
        </is>
      </c>
      <c r="G376" t="inlineStr">
        <is>
          <t>93</t>
        </is>
      </c>
      <c r="H376" t="inlineStr">
        <is>
          <t>286.35000000000002</t>
        </is>
      </c>
      <c r="I376" t="inlineStr">
        <is>
          <t>13</t>
        </is>
      </c>
      <c r="J376" t="inlineStr">
        <is>
          <t>4.3499999999999996</t>
        </is>
      </c>
      <c r="K376" t="inlineStr">
        <is>
          <t>147</t>
        </is>
      </c>
      <c r="L376" t="inlineStr">
        <is>
          <t>83.17</t>
        </is>
      </c>
      <c r="M376" t="inlineStr">
        <is>
          <t>4</t>
        </is>
      </c>
      <c r="N376" t="inlineStr">
        <is>
          <t>203</t>
        </is>
      </c>
    </row>
    <row r="377">
      <c r="A377" t="inlineStr">
        <is>
          <t>1080</t>
        </is>
      </c>
      <c r="B377" t="inlineStr">
        <is>
          <t>IBON</t>
        </is>
      </c>
      <c r="C377" t="inlineStr">
        <is>
          <t>IBON</t>
        </is>
      </c>
      <c r="D377" t="inlineStr">
        <is>
          <t>2025-08-08T00:00:00</t>
        </is>
      </c>
      <c r="E377" t="inlineStr">
        <is>
          <t>2025-08-15T00:00:00</t>
        </is>
      </c>
      <c r="F377" t="inlineStr">
        <is>
          <t>84.65</t>
        </is>
      </c>
      <c r="G377" t="inlineStr">
        <is>
          <t>92.7</t>
        </is>
      </c>
      <c r="H377" t="inlineStr">
        <is>
          <t>283.20999999999998</t>
        </is>
      </c>
      <c r="I377" t="inlineStr">
        <is>
          <t>12.9</t>
        </is>
      </c>
      <c r="J377" t="inlineStr">
        <is>
          <t>4.6500000000000004</t>
        </is>
      </c>
      <c r="K377" t="inlineStr">
        <is>
          <t>145</t>
        </is>
      </c>
      <c r="L377" t="inlineStr">
        <is>
          <t>59.71</t>
        </is>
      </c>
      <c r="M377" t="inlineStr">
        <is>
          <t>4.0999999999999996</t>
        </is>
      </c>
      <c r="N377" t="inlineStr">
        <is>
          <t>312</t>
        </is>
      </c>
    </row>
    <row r="378">
      <c r="A378" t="inlineStr">
        <is>
          <t>1081</t>
        </is>
      </c>
      <c r="B378" t="inlineStr">
        <is>
          <t>IBON</t>
        </is>
      </c>
      <c r="C378" t="inlineStr">
        <is>
          <t>IBON</t>
        </is>
      </c>
      <c r="D378" t="inlineStr">
        <is>
          <t>2025-08-09T00:00:00</t>
        </is>
      </c>
      <c r="E378" t="inlineStr">
        <is>
          <t>2025-08-16T00:00:00</t>
        </is>
      </c>
      <c r="F378" t="inlineStr">
        <is>
          <t>84.53</t>
        </is>
      </c>
      <c r="G378" t="inlineStr">
        <is>
          <t>92.8</t>
        </is>
      </c>
      <c r="H378" t="inlineStr">
        <is>
          <t>283.2</t>
        </is>
      </c>
      <c r="I378" t="inlineStr">
        <is>
          <t>13.3</t>
        </is>
      </c>
      <c r="J378" t="inlineStr">
        <is>
          <t>4.84</t>
        </is>
      </c>
      <c r="K378" t="inlineStr">
        <is>
          <t>141</t>
        </is>
      </c>
      <c r="L378" t="inlineStr">
        <is>
          <t>54.41</t>
        </is>
      </c>
      <c r="M378" t="inlineStr">
        <is>
          <t>3.9</t>
        </is>
      </c>
      <c r="N378" t="inlineStr">
        <is>
          <t>427</t>
        </is>
      </c>
    </row>
    <row r="379">
      <c r="A379" t="inlineStr">
        <is>
          <t>1082</t>
        </is>
      </c>
      <c r="B379" t="inlineStr">
        <is>
          <t>IBON</t>
        </is>
      </c>
      <c r="C379" t="inlineStr">
        <is>
          <t>IBON</t>
        </is>
      </c>
      <c r="D379" t="inlineStr">
        <is>
          <t>2025-08-10T00:00:00</t>
        </is>
      </c>
      <c r="E379" t="inlineStr">
        <is>
          <t>2025-08-17T00:00:00</t>
        </is>
      </c>
      <c r="F379" t="inlineStr">
        <is>
          <t>84.47</t>
        </is>
      </c>
      <c r="G379" t="inlineStr">
        <is>
          <t>92.9</t>
        </is>
      </c>
      <c r="H379" t="inlineStr">
        <is>
          <t>282.8</t>
        </is>
      </c>
      <c r="I379" t="inlineStr">
        <is>
          <t>13.3</t>
        </is>
      </c>
      <c r="J379" t="inlineStr">
        <is>
          <t>4.63</t>
        </is>
      </c>
      <c r="K379" t="inlineStr">
        <is>
          <t>146</t>
        </is>
      </c>
      <c r="L379" t="inlineStr">
        <is>
          <t>54.94</t>
        </is>
      </c>
      <c r="M379" t="inlineStr">
        <is>
          <t>4.0999999999999996</t>
        </is>
      </c>
      <c r="N379" t="inlineStr">
        <is>
          <t>350</t>
        </is>
      </c>
    </row>
    <row r="380">
      <c r="A380" t="inlineStr">
        <is>
          <t>1083</t>
        </is>
      </c>
      <c r="B380" t="inlineStr">
        <is>
          <t>2RS</t>
        </is>
      </c>
      <c r="C380" t="inlineStr">
        <is>
          <t>TRAVELER</t>
        </is>
      </c>
      <c r="D380" t="inlineStr">
        <is>
          <t>2025-08-12T00:00:00</t>
        </is>
      </c>
      <c r="E380" t="inlineStr">
        <is>
          <t>2025-08-18T00:00:00</t>
        </is>
      </c>
      <c r="F380" t="inlineStr">
        <is>
          <t>84.89</t>
        </is>
      </c>
      <c r="G380" t="inlineStr">
        <is>
          <t>93.1</t>
        </is>
      </c>
      <c r="H380" t="inlineStr">
        <is>
          <t>286.77</t>
        </is>
      </c>
      <c r="I380" t="inlineStr">
        <is>
          <t>13</t>
        </is>
      </c>
      <c r="J380" t="inlineStr">
        <is>
          <t>4.5599999999999996</t>
        </is>
      </c>
      <c r="K380" t="inlineStr">
        <is>
          <t>139</t>
        </is>
      </c>
      <c r="L380" t="inlineStr">
        <is>
          <t>82.3</t>
        </is>
      </c>
      <c r="M380" t="inlineStr">
        <is>
          <t>4.3</t>
        </is>
      </c>
      <c r="N380" t="inlineStr">
        <is>
          <t>230</t>
        </is>
      </c>
    </row>
    <row r="381">
      <c r="A381" t="inlineStr">
        <is>
          <t>1084</t>
        </is>
      </c>
      <c r="B381" t="inlineStr">
        <is>
          <t>2RS</t>
        </is>
      </c>
      <c r="C381" t="inlineStr">
        <is>
          <t>TRAVELER</t>
        </is>
      </c>
      <c r="D381" t="inlineStr">
        <is>
          <t>2025-08-13T00:00:00</t>
        </is>
      </c>
      <c r="E381" t="inlineStr">
        <is>
          <t>2025-08-20T00:00:00</t>
        </is>
      </c>
      <c r="F381" t="inlineStr">
        <is>
          <t>84.61</t>
        </is>
      </c>
      <c r="G381" t="inlineStr">
        <is>
          <t>92.8</t>
        </is>
      </c>
      <c r="H381" t="inlineStr">
        <is>
          <t>286.60000000000002</t>
        </is>
      </c>
      <c r="I381" t="inlineStr">
        <is>
          <t>13</t>
        </is>
      </c>
      <c r="J381" t="inlineStr">
        <is>
          <t>4.57</t>
        </is>
      </c>
      <c r="K381" t="inlineStr">
        <is>
          <t>136</t>
        </is>
      </c>
      <c r="L381" t="inlineStr">
        <is>
          <t>82.66</t>
        </is>
      </c>
      <c r="M381" t="inlineStr">
        <is>
          <t>3.73</t>
        </is>
      </c>
      <c r="N381" t="inlineStr">
        <is>
          <t>253</t>
        </is>
      </c>
    </row>
    <row r="382">
      <c r="A382" t="inlineStr">
        <is>
          <t>1085</t>
        </is>
      </c>
      <c r="B382" t="inlineStr">
        <is>
          <t>2RS</t>
        </is>
      </c>
      <c r="C382" t="inlineStr">
        <is>
          <t>TRAVELER</t>
        </is>
      </c>
      <c r="D382" t="inlineStr">
        <is>
          <t>2025-08-14T00:00:00</t>
        </is>
      </c>
      <c r="E382" t="inlineStr">
        <is>
          <t>2025-08-21T00:00:00</t>
        </is>
      </c>
      <c r="F382" t="inlineStr">
        <is>
          <t>84.43</t>
        </is>
      </c>
      <c r="G382" t="inlineStr">
        <is>
          <t>92.3</t>
        </is>
      </c>
      <c r="H382" t="inlineStr">
        <is>
          <t>286.94</t>
        </is>
      </c>
      <c r="I382" t="inlineStr">
        <is>
          <t>12.6</t>
        </is>
      </c>
      <c r="J382" t="inlineStr">
        <is>
          <t>4.43</t>
        </is>
      </c>
      <c r="K382" t="inlineStr">
        <is>
          <t>150</t>
        </is>
      </c>
      <c r="L382" t="inlineStr">
        <is>
          <t>83.73</t>
        </is>
      </c>
      <c r="M382" t="inlineStr">
        <is>
          <t>3.6</t>
        </is>
      </c>
      <c r="N382" t="inlineStr">
        <is>
          <t>207</t>
        </is>
      </c>
    </row>
    <row r="383">
      <c r="A383" t="inlineStr">
        <is>
          <t>1086</t>
        </is>
      </c>
      <c r="B383" t="inlineStr">
        <is>
          <t>2RS</t>
        </is>
      </c>
      <c r="C383" t="inlineStr">
        <is>
          <t>TRAVELER</t>
        </is>
      </c>
      <c r="D383" t="inlineStr">
        <is>
          <t>2025-08-15T00:00:00</t>
        </is>
      </c>
      <c r="E383" t="inlineStr">
        <is>
          <t>2025-08-22T00:00:00</t>
        </is>
      </c>
      <c r="F383" t="inlineStr">
        <is>
          <t>84.76</t>
        </is>
      </c>
      <c r="G383" t="inlineStr">
        <is>
          <t>92.4</t>
        </is>
      </c>
      <c r="H383" t="inlineStr">
        <is>
          <t>286.97000000000003</t>
        </is>
      </c>
      <c r="I383" t="inlineStr">
        <is>
          <t>12.4</t>
        </is>
      </c>
      <c r="J383" t="inlineStr">
        <is>
          <t>4.5</t>
        </is>
      </c>
      <c r="K383" t="inlineStr">
        <is>
          <t>143</t>
        </is>
      </c>
      <c r="L383" t="inlineStr">
        <is>
          <t>81.31</t>
        </is>
      </c>
      <c r="M383" t="inlineStr">
        <is>
          <t>3.88</t>
        </is>
      </c>
      <c r="N383" t="inlineStr">
        <is>
          <t>251</t>
        </is>
      </c>
    </row>
    <row r="384">
      <c r="A384" t="inlineStr">
        <is>
          <t>1087</t>
        </is>
      </c>
      <c r="B384" t="inlineStr">
        <is>
          <t>IBON</t>
        </is>
      </c>
      <c r="C384" t="inlineStr">
        <is>
          <t>IBON</t>
        </is>
      </c>
      <c r="D384" t="inlineStr">
        <is>
          <t>2025-08-16T00:00:00</t>
        </is>
      </c>
      <c r="E384" t="inlineStr">
        <is>
          <t>2025-08-23T00:00:00</t>
        </is>
      </c>
      <c r="F384" t="inlineStr">
        <is>
          <t>84.42</t>
        </is>
      </c>
      <c r="G384" t="inlineStr">
        <is>
          <t>92.5</t>
        </is>
      </c>
      <c r="H384" t="inlineStr">
        <is>
          <t>282.56</t>
        </is>
      </c>
      <c r="I384" t="inlineStr">
        <is>
          <t>13.3</t>
        </is>
      </c>
      <c r="J384" t="inlineStr">
        <is>
          <t>5.03</t>
        </is>
      </c>
      <c r="K384" t="inlineStr">
        <is>
          <t>149</t>
        </is>
      </c>
      <c r="L384" t="inlineStr">
        <is>
          <t>52.7</t>
        </is>
      </c>
      <c r="M384" t="inlineStr">
        <is>
          <t>3.67</t>
        </is>
      </c>
      <c r="N384" t="inlineStr">
        <is>
          <t>339</t>
        </is>
      </c>
    </row>
    <row r="385">
      <c r="A385" t="inlineStr">
        <is>
          <t>1088</t>
        </is>
      </c>
      <c r="B385" t="inlineStr">
        <is>
          <t>IBON</t>
        </is>
      </c>
      <c r="C385" t="inlineStr">
        <is>
          <t>IBON</t>
        </is>
      </c>
      <c r="D385" t="inlineStr">
        <is>
          <t>2025-08-17T00:00:00</t>
        </is>
      </c>
      <c r="E385" t="inlineStr">
        <is>
          <t>2025-08-25T00:00:00</t>
        </is>
      </c>
      <c r="F385" t="inlineStr">
        <is>
          <t>84.44</t>
        </is>
      </c>
      <c r="G385" t="inlineStr">
        <is>
          <t>92.9</t>
        </is>
      </c>
      <c r="H385" t="inlineStr">
        <is>
          <t>282.63</t>
        </is>
      </c>
      <c r="I385" t="inlineStr">
        <is>
          <t>13.3</t>
        </is>
      </c>
      <c r="J385" t="inlineStr">
        <is>
          <t>4.63</t>
        </is>
      </c>
      <c r="K385" t="inlineStr">
        <is>
          <t>150</t>
        </is>
      </c>
      <c r="L385" t="inlineStr">
        <is>
          <t>54.52</t>
        </is>
      </c>
      <c r="M385" t="inlineStr">
        <is>
          <t>4.51</t>
        </is>
      </c>
      <c r="N385" t="inlineStr">
        <is>
          <t>325</t>
        </is>
      </c>
    </row>
    <row r="386">
      <c r="A386" t="inlineStr">
        <is>
          <t>1089</t>
        </is>
      </c>
      <c r="B386" t="inlineStr">
        <is>
          <t>2RS</t>
        </is>
      </c>
      <c r="C386" t="inlineStr">
        <is>
          <t>TRAVELER</t>
        </is>
      </c>
      <c r="D386" t="inlineStr">
        <is>
          <t>2025-08-19T00:00:00</t>
        </is>
      </c>
      <c r="E386" t="inlineStr">
        <is>
          <t>2025-08-26T00:00:00</t>
        </is>
      </c>
      <c r="F386" t="inlineStr">
        <is>
          <t>83.84</t>
        </is>
      </c>
      <c r="G386" t="inlineStr">
        <is>
          <t>92.7</t>
        </is>
      </c>
      <c r="H386" t="inlineStr">
        <is>
          <t>286.76</t>
        </is>
      </c>
      <c r="I386" t="inlineStr">
        <is>
          <t>13.5</t>
        </is>
      </c>
      <c r="J386" t="inlineStr">
        <is>
          <t>4.34</t>
        </is>
      </c>
      <c r="K386" t="inlineStr">
        <is>
          <t>136</t>
        </is>
      </c>
      <c r="L386" t="inlineStr">
        <is>
          <t>82.03</t>
        </is>
      </c>
      <c r="M386" t="inlineStr">
        <is>
          <t>3.59</t>
        </is>
      </c>
      <c r="N386" t="inlineStr">
        <is>
          <t>237</t>
        </is>
      </c>
    </row>
    <row r="387">
      <c r="A387" t="inlineStr">
        <is>
          <t>1090</t>
        </is>
      </c>
      <c r="B387" t="inlineStr">
        <is>
          <t>2RS</t>
        </is>
      </c>
      <c r="C387" t="inlineStr">
        <is>
          <t>TRAVELER</t>
        </is>
      </c>
      <c r="D387" t="inlineStr">
        <is>
          <t>2025-08-20T00:00:00</t>
        </is>
      </c>
      <c r="E387" t="inlineStr">
        <is>
          <t>2025-08-27T00:00:00</t>
        </is>
      </c>
      <c r="F387" t="inlineStr">
        <is>
          <t>83.61</t>
        </is>
      </c>
      <c r="G387" t="inlineStr">
        <is>
          <t>92.6</t>
        </is>
      </c>
      <c r="H387" t="inlineStr">
        <is>
          <t>286.88</t>
        </is>
      </c>
      <c r="I387" t="inlineStr">
        <is>
          <t>13.8</t>
        </is>
      </c>
      <c r="J387" t="inlineStr">
        <is>
          <t>4.51</t>
        </is>
      </c>
      <c r="K387" t="inlineStr">
        <is>
          <t>138</t>
        </is>
      </c>
      <c r="L387" t="inlineStr">
        <is>
          <t>84.3</t>
        </is>
      </c>
      <c r="M387" t="inlineStr">
        <is>
          <t>3.8</t>
        </is>
      </c>
      <c r="N387" t="inlineStr">
        <is>
          <t>186</t>
        </is>
      </c>
    </row>
    <row r="388">
      <c r="A388" t="inlineStr">
        <is>
          <t>1091</t>
        </is>
      </c>
      <c r="B388" t="inlineStr">
        <is>
          <t>2RS</t>
        </is>
      </c>
      <c r="C388" t="inlineStr">
        <is>
          <t>TRAVELER</t>
        </is>
      </c>
      <c r="D388" t="inlineStr">
        <is>
          <t>2025-08-21T00:00:00</t>
        </is>
      </c>
      <c r="E388" t="inlineStr">
        <is>
          <t>2025-08-29T00:00:00</t>
        </is>
      </c>
      <c r="F388" t="inlineStr">
        <is>
          <t>83.81</t>
        </is>
      </c>
      <c r="G388" t="inlineStr">
        <is>
          <t>92.8</t>
        </is>
      </c>
      <c r="H388" t="inlineStr">
        <is>
          <t>286.69</t>
        </is>
      </c>
      <c r="I388" t="inlineStr">
        <is>
          <t>13.7</t>
        </is>
      </c>
      <c r="J388" t="inlineStr">
        <is>
          <t>4.42</t>
        </is>
      </c>
      <c r="K388" t="inlineStr">
        <is>
          <t>140</t>
        </is>
      </c>
      <c r="L388" t="inlineStr">
        <is>
          <t>82.07</t>
        </is>
      </c>
      <c r="M388" t="inlineStr">
        <is>
          <t>3.8</t>
        </is>
      </c>
      <c r="N388" t="inlineStr">
        <is>
          <t>239</t>
        </is>
      </c>
    </row>
    <row r="389">
      <c r="A389" t="inlineStr">
        <is>
          <t>1092</t>
        </is>
      </c>
      <c r="B389" t="inlineStr">
        <is>
          <t>2RS</t>
        </is>
      </c>
      <c r="C389" t="inlineStr">
        <is>
          <t>TRAVELER</t>
        </is>
      </c>
      <c r="D389" t="inlineStr">
        <is>
          <t>2025-08-24T00:00:00</t>
        </is>
      </c>
      <c r="E389" t="inlineStr">
        <is>
          <t>2025-08-30T00:00:00</t>
        </is>
      </c>
      <c r="F389" t="inlineStr">
        <is>
          <t>83.99</t>
        </is>
      </c>
      <c r="G389" t="inlineStr">
        <is>
          <t>93</t>
        </is>
      </c>
      <c r="H389" t="inlineStr">
        <is>
          <t>286.75</t>
        </is>
      </c>
      <c r="I389" t="inlineStr">
        <is>
          <t>13.9</t>
        </is>
      </c>
      <c r="J389" t="inlineStr">
        <is>
          <t>4.6500000000000004</t>
        </is>
      </c>
      <c r="K389" t="inlineStr">
        <is>
          <t>139.80000000000001</t>
        </is>
      </c>
      <c r="L389" t="inlineStr">
        <is>
          <t>83.55</t>
        </is>
      </c>
      <c r="M389" t="inlineStr">
        <is>
          <t>3.74</t>
        </is>
      </c>
      <c r="N389" t="inlineStr">
        <is>
          <t>242</t>
        </is>
      </c>
    </row>
    <row r="390">
      <c r="A390" t="inlineStr">
        <is>
          <t>1093</t>
        </is>
      </c>
      <c r="B390" t="inlineStr">
        <is>
          <t>IBON</t>
        </is>
      </c>
      <c r="C390" t="inlineStr">
        <is>
          <t>IBON</t>
        </is>
      </c>
      <c r="D390" t="inlineStr">
        <is>
          <t>2025-08-25T00:00:00</t>
        </is>
      </c>
      <c r="E390" t="inlineStr">
        <is>
          <t>2025-08-31T00:00:00</t>
        </is>
      </c>
      <c r="F390" t="inlineStr">
        <is>
          <t>84.19</t>
        </is>
      </c>
      <c r="G390" t="inlineStr">
        <is>
          <t>91.7</t>
        </is>
      </c>
      <c r="H390" t="inlineStr">
        <is>
          <t>282.86</t>
        </is>
      </c>
      <c r="I390" t="inlineStr">
        <is>
          <t>13.2</t>
        </is>
      </c>
      <c r="J390" t="inlineStr">
        <is>
          <t>5.47</t>
        </is>
      </c>
      <c r="K390" t="inlineStr">
        <is>
          <t>161</t>
        </is>
      </c>
      <c r="L390" t="inlineStr">
        <is>
          <t>52.27</t>
        </is>
      </c>
      <c r="M390" t="inlineStr">
        <is>
          <t>4.5</t>
        </is>
      </c>
      <c r="N390" t="inlineStr">
        <is>
          <t>339</t>
        </is>
      </c>
    </row>
    <row r="391">
      <c r="A391" t="inlineStr">
        <is>
          <t>1094</t>
        </is>
      </c>
      <c r="B391" t="inlineStr">
        <is>
          <t>IBON</t>
        </is>
      </c>
      <c r="C391" t="inlineStr">
        <is>
          <t>IBON</t>
        </is>
      </c>
      <c r="D391" t="inlineStr">
        <is>
          <t>2025-08-26T00:00:00</t>
        </is>
      </c>
      <c r="E391" t="inlineStr">
        <is>
          <t>2025-09-02T00:00:00</t>
        </is>
      </c>
      <c r="F391" t="inlineStr">
        <is>
          <t>85.04</t>
        </is>
      </c>
      <c r="G391" t="inlineStr">
        <is>
          <t>93</t>
        </is>
      </c>
      <c r="H391" t="inlineStr">
        <is>
          <t>289.2</t>
        </is>
      </c>
      <c r="I391" t="inlineStr">
        <is>
          <t>13.1</t>
        </is>
      </c>
      <c r="J391" t="inlineStr">
        <is>
          <t>4.99</t>
        </is>
      </c>
      <c r="K391" t="inlineStr">
        <is>
          <t>142</t>
        </is>
      </c>
      <c r="L391" t="inlineStr">
        <is>
          <t>53.82</t>
        </is>
      </c>
      <c r="M391" t="inlineStr">
        <is>
          <t>4.0999999999999996</t>
        </is>
      </c>
      <c r="N391" t="inlineStr">
        <is>
          <t>360</t>
        </is>
      </c>
    </row>
    <row r="392">
      <c r="A392" t="inlineStr">
        <is>
          <t>1095</t>
        </is>
      </c>
      <c r="B392" t="inlineStr">
        <is>
          <t>IBON</t>
        </is>
      </c>
      <c r="C392" t="inlineStr">
        <is>
          <t>IBON</t>
        </is>
      </c>
      <c r="D392" t="inlineStr">
        <is>
          <t>2025-08-28T00:00:00</t>
        </is>
      </c>
      <c r="E392" t="inlineStr">
        <is>
          <t>2025-09-04T00:00:00</t>
        </is>
      </c>
      <c r="F392" t="inlineStr">
        <is>
          <t>83.84</t>
        </is>
      </c>
      <c r="G392" t="inlineStr">
        <is>
          <t>92.1</t>
        </is>
      </c>
      <c r="H392" t="inlineStr">
        <is>
          <t>281.47000000000003</t>
        </is>
      </c>
      <c r="I392" t="inlineStr">
        <is>
          <t>13.2</t>
        </is>
      </c>
      <c r="J392" t="inlineStr">
        <is>
          <t>4.6900000000000004</t>
        </is>
      </c>
      <c r="K392" t="inlineStr">
        <is>
          <t>155</t>
        </is>
      </c>
      <c r="L392" t="inlineStr">
        <is>
          <t>59.12</t>
        </is>
      </c>
      <c r="M392" t="inlineStr">
        <is>
          <t>4.4000000000000004</t>
        </is>
      </c>
      <c r="N392" t="inlineStr">
        <is>
          <t>261</t>
        </is>
      </c>
    </row>
    <row r="393">
      <c r="A393" t="inlineStr">
        <is>
          <t>1096</t>
        </is>
      </c>
      <c r="B393" t="inlineStr">
        <is>
          <t>IBON</t>
        </is>
      </c>
      <c r="C393" t="inlineStr">
        <is>
          <t>IBON</t>
        </is>
      </c>
      <c r="D393" t="inlineStr">
        <is>
          <t>2025-08-29T00:00:00</t>
        </is>
      </c>
      <c r="E393" t="inlineStr">
        <is>
          <t>2025-09-05T00:00:00</t>
        </is>
      </c>
      <c r="F393" t="inlineStr">
        <is>
          <t>83.95</t>
        </is>
      </c>
      <c r="G393" t="inlineStr">
        <is>
          <t>92.4</t>
        </is>
      </c>
      <c r="H393" t="inlineStr">
        <is>
          <t>282.82</t>
        </is>
      </c>
      <c r="I393" t="inlineStr">
        <is>
          <t>13.4</t>
        </is>
      </c>
      <c r="J393" t="inlineStr">
        <is>
          <t>4.7300000000000004</t>
        </is>
      </c>
      <c r="K393" t="inlineStr">
        <is>
          <t>159</t>
        </is>
      </c>
      <c r="L393" t="inlineStr">
        <is>
          <t>59.38</t>
        </is>
      </c>
      <c r="M393" t="inlineStr">
        <is>
          <t>5.3</t>
        </is>
      </c>
      <c r="N393" t="inlineStr">
        <is>
          <t>272</t>
        </is>
      </c>
    </row>
    <row r="394">
      <c r="A394" t="inlineStr">
        <is>
          <t>1097</t>
        </is>
      </c>
      <c r="B394" t="inlineStr">
        <is>
          <t>2RS</t>
        </is>
      </c>
      <c r="C394" t="inlineStr">
        <is>
          <t>TRAVELER</t>
        </is>
      </c>
      <c r="D394" t="inlineStr">
        <is>
          <t>2025-08-31T00:00:00</t>
        </is>
      </c>
      <c r="E394" t="inlineStr">
        <is>
          <t>2025-09-07T00:00:00</t>
        </is>
      </c>
      <c r="F394" t="inlineStr">
        <is>
          <t>83.65</t>
        </is>
      </c>
      <c r="G394" t="inlineStr">
        <is>
          <t>92.5</t>
        </is>
      </c>
      <c r="H394" t="inlineStr">
        <is>
          <t>286.47000000000003</t>
        </is>
      </c>
      <c r="I394" t="inlineStr">
        <is>
          <t>13.7</t>
        </is>
      </c>
      <c r="J394" t="inlineStr">
        <is>
          <t>4.62</t>
        </is>
      </c>
      <c r="K394" t="inlineStr">
        <is>
          <t>144</t>
        </is>
      </c>
      <c r="L394" t="inlineStr">
        <is>
          <t>84.2</t>
        </is>
      </c>
      <c r="M394" t="inlineStr">
        <is>
          <t>4.0999999999999996</t>
        </is>
      </c>
      <c r="N394" t="inlineStr">
        <is>
          <t>200</t>
        </is>
      </c>
    </row>
    <row r="395">
      <c r="A395" t="inlineStr">
        <is>
          <t>1098</t>
        </is>
      </c>
      <c r="B395" t="inlineStr">
        <is>
          <t>2RS</t>
        </is>
      </c>
      <c r="C395" t="inlineStr">
        <is>
          <t>TRAVELER</t>
        </is>
      </c>
      <c r="D395" t="inlineStr">
        <is>
          <t>2025-09-01T00:00:00</t>
        </is>
      </c>
      <c r="E395" t="inlineStr">
        <is>
          <t>2025-09-08T00:00:00</t>
        </is>
      </c>
      <c r="F395" t="inlineStr">
        <is>
          <t>83.79</t>
        </is>
      </c>
      <c r="G395" t="inlineStr">
        <is>
          <t>93.1</t>
        </is>
      </c>
      <c r="H395" t="inlineStr">
        <is>
          <t>286.58999999999997</t>
        </is>
      </c>
      <c r="I395" t="inlineStr">
        <is>
          <t>14</t>
        </is>
      </c>
      <c r="J395" t="inlineStr">
        <is>
          <t>4.4800000000000004</t>
        </is>
      </c>
      <c r="K395" t="inlineStr">
        <is>
          <t>125</t>
        </is>
      </c>
      <c r="L395" t="inlineStr">
        <is>
          <t>81.33</t>
        </is>
      </c>
      <c r="M395" t="inlineStr">
        <is>
          <t>4.2</t>
        </is>
      </c>
      <c r="N395" t="inlineStr">
        <is>
          <t>299</t>
        </is>
      </c>
    </row>
    <row r="396">
      <c r="A396" t="inlineStr">
        <is>
          <t>1099</t>
        </is>
      </c>
      <c r="B396" t="inlineStr">
        <is>
          <t>2RS</t>
        </is>
      </c>
      <c r="C396" t="inlineStr">
        <is>
          <t>TRAVELER</t>
        </is>
      </c>
      <c r="D396" t="inlineStr">
        <is>
          <t>2025-09-03T00:00:00</t>
        </is>
      </c>
      <c r="E396" t="inlineStr">
        <is>
          <t>2025-09-10T00:00:00</t>
        </is>
      </c>
      <c r="F396" t="inlineStr">
        <is>
          <t>83.69</t>
        </is>
      </c>
      <c r="G396" t="inlineStr">
        <is>
          <t>93</t>
        </is>
      </c>
      <c r="H396" t="inlineStr">
        <is>
          <t>286.75</t>
        </is>
      </c>
      <c r="I396" t="inlineStr">
        <is>
          <t>14.1</t>
        </is>
      </c>
      <c r="J396" t="inlineStr">
        <is>
          <t>4.57</t>
        </is>
      </c>
      <c r="K396" t="inlineStr">
        <is>
          <t>142</t>
        </is>
      </c>
      <c r="L396" t="inlineStr">
        <is>
          <t>82.44</t>
        </is>
      </c>
      <c r="M396" t="inlineStr">
        <is>
          <t>3.92</t>
        </is>
      </c>
      <c r="N396" t="inlineStr">
        <is>
          <t>261</t>
        </is>
      </c>
    </row>
    <row r="397">
      <c r="A397" t="inlineStr">
        <is>
          <t>1100</t>
        </is>
      </c>
      <c r="B397" t="inlineStr">
        <is>
          <t>2RS</t>
        </is>
      </c>
      <c r="C397" t="inlineStr">
        <is>
          <t>TRAVELER</t>
        </is>
      </c>
      <c r="D397" t="inlineStr">
        <is>
          <t>2025-09-04T00:00:00</t>
        </is>
      </c>
      <c r="E397" t="inlineStr">
        <is>
          <t>2025-09-11T00:00:00</t>
        </is>
      </c>
      <c r="F397" t="inlineStr">
        <is>
          <t>83.72</t>
        </is>
      </c>
      <c r="G397" t="inlineStr">
        <is>
          <t>92.5</t>
        </is>
      </c>
      <c r="H397" t="inlineStr">
        <is>
          <t>286.43</t>
        </is>
      </c>
      <c r="I397" t="inlineStr">
        <is>
          <t>13.6</t>
        </is>
      </c>
      <c r="J397" t="inlineStr">
        <is>
          <t>4.57</t>
        </is>
      </c>
      <c r="K397" t="inlineStr">
        <is>
          <t>145</t>
        </is>
      </c>
      <c r="L397" t="inlineStr">
        <is>
          <t>81.489999999999995</t>
        </is>
      </c>
      <c r="M397" t="inlineStr">
        <is>
          <t>3.85</t>
        </is>
      </c>
      <c r="N397" t="inlineStr">
        <is>
          <t>250</t>
        </is>
      </c>
    </row>
    <row r="398">
      <c r="A398" t="inlineStr">
        <is>
          <t>1101</t>
        </is>
      </c>
      <c r="B398" t="inlineStr">
        <is>
          <t>2RS</t>
        </is>
      </c>
      <c r="C398" t="inlineStr">
        <is>
          <t>TRAVELER</t>
        </is>
      </c>
      <c r="D398" t="inlineStr">
        <is>
          <t>2025-09-05T00:00:00</t>
        </is>
      </c>
      <c r="E398" t="inlineStr">
        <is>
          <t>2025-09-12T00:00:00</t>
        </is>
      </c>
      <c r="F398" t="inlineStr">
        <is>
          <t>84.45</t>
        </is>
      </c>
      <c r="G398" t="inlineStr">
        <is>
          <t>93.1</t>
        </is>
      </c>
      <c r="H398" t="inlineStr">
        <is>
          <t>286.91000000000003</t>
        </is>
      </c>
      <c r="I398" t="inlineStr">
        <is>
          <t>13.4</t>
        </is>
      </c>
      <c r="J398" t="inlineStr">
        <is>
          <t>4.54</t>
        </is>
      </c>
      <c r="K398" t="inlineStr">
        <is>
          <t>157</t>
        </is>
      </c>
      <c r="L398" t="inlineStr">
        <is>
          <t>84.72</t>
        </is>
      </c>
      <c r="M398" t="inlineStr">
        <is>
          <t>3.8</t>
        </is>
      </c>
      <c r="N398" t="inlineStr">
        <is>
          <t>185</t>
        </is>
      </c>
    </row>
    <row r="399">
      <c r="A399" t="inlineStr">
        <is>
          <t>1102</t>
        </is>
      </c>
      <c r="B399" t="inlineStr">
        <is>
          <t>2RS</t>
        </is>
      </c>
      <c r="C399" t="inlineStr">
        <is>
          <t>TRAVELER</t>
        </is>
      </c>
      <c r="D399" t="inlineStr">
        <is>
          <t>2025-09-06T00:00:00</t>
        </is>
      </c>
      <c r="E399" t="inlineStr">
        <is>
          <t>2025-09-13T00:00:00</t>
        </is>
      </c>
      <c r="F399" t="inlineStr">
        <is>
          <t>84.14</t>
        </is>
      </c>
      <c r="G399" t="inlineStr">
        <is>
          <t>92.9</t>
        </is>
      </c>
      <c r="H399" t="inlineStr">
        <is>
          <t>286.52</t>
        </is>
      </c>
      <c r="I399" t="inlineStr">
        <is>
          <t>13.6</t>
        </is>
      </c>
      <c r="J399" t="inlineStr">
        <is>
          <t>4.6100000000000003</t>
        </is>
      </c>
      <c r="K399" t="inlineStr">
        <is>
          <t>141</t>
        </is>
      </c>
      <c r="L399" t="inlineStr">
        <is>
          <t>84.33</t>
        </is>
      </c>
      <c r="M399" t="inlineStr">
        <is>
          <t>3.7</t>
        </is>
      </c>
      <c r="N399" t="inlineStr">
        <is>
          <t>213</t>
        </is>
      </c>
    </row>
    <row r="400">
      <c r="A400" t="inlineStr">
        <is>
          <t>1103</t>
        </is>
      </c>
      <c r="B400" t="inlineStr">
        <is>
          <t>2RS</t>
        </is>
      </c>
      <c r="C400" t="inlineStr">
        <is>
          <t>TRAVELER</t>
        </is>
      </c>
      <c r="D400" t="inlineStr">
        <is>
          <t>2025-09-08T00:00:00</t>
        </is>
      </c>
      <c r="E400" t="inlineStr">
        <is>
          <t>2025-09-14T00:00:00</t>
        </is>
      </c>
      <c r="F400" t="inlineStr">
        <is>
          <t>84.22</t>
        </is>
      </c>
      <c r="G400" t="inlineStr"/>
      <c r="H400" t="inlineStr">
        <is>
          <t>286.88</t>
        </is>
      </c>
      <c r="I400" t="inlineStr">
        <is>
          <t>13.2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1104</t>
        </is>
      </c>
      <c r="B401" t="inlineStr">
        <is>
          <t>2RS</t>
        </is>
      </c>
      <c r="C401" t="inlineStr">
        <is>
          <t>TRAVELER</t>
        </is>
      </c>
      <c r="D401" t="inlineStr">
        <is>
          <t>2025-09-09T00:00:00</t>
        </is>
      </c>
      <c r="E401" t="inlineStr">
        <is>
          <t>2025-09-15T00:00:00</t>
        </is>
      </c>
      <c r="F401" t="inlineStr">
        <is>
          <t>84.48</t>
        </is>
      </c>
      <c r="G401" t="inlineStr"/>
      <c r="H401" t="inlineStr">
        <is>
          <t>286.95</t>
        </is>
      </c>
      <c r="I401" t="inlineStr">
        <is>
          <t>12.9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1105</t>
        </is>
      </c>
      <c r="B402" t="inlineStr">
        <is>
          <t>2RS</t>
        </is>
      </c>
      <c r="C402" t="inlineStr">
        <is>
          <t>TRAVELER</t>
        </is>
      </c>
      <c r="D402" t="inlineStr">
        <is>
          <t>2025-09-10T00:00:00</t>
        </is>
      </c>
      <c r="E402" t="inlineStr">
        <is>
          <t>2025-09-17T00:00:00</t>
        </is>
      </c>
      <c r="F402" t="inlineStr">
        <is>
          <t>84.47</t>
        </is>
      </c>
      <c r="G402" t="inlineStr"/>
      <c r="H402" t="inlineStr">
        <is>
          <t>286.94</t>
        </is>
      </c>
      <c r="I402" t="inlineStr">
        <is>
          <t>12.7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1106</t>
        </is>
      </c>
      <c r="B403" t="inlineStr">
        <is>
          <t>2RS</t>
        </is>
      </c>
      <c r="C403" t="inlineStr">
        <is>
          <t>TRAVELER</t>
        </is>
      </c>
      <c r="D403" t="inlineStr">
        <is>
          <t>2025-09-11T00:00:00</t>
        </is>
      </c>
      <c r="E403" t="inlineStr">
        <is>
          <t>2025-09-18T00:00:00</t>
        </is>
      </c>
      <c r="F403" t="inlineStr">
        <is>
          <t>84.01</t>
        </is>
      </c>
      <c r="G403" t="inlineStr">
        <is>
          <t>93.2</t>
        </is>
      </c>
      <c r="H403" t="inlineStr">
        <is>
          <t>286.7</t>
        </is>
      </c>
      <c r="I403" t="inlineStr">
        <is>
          <t>13.9</t>
        </is>
      </c>
      <c r="J403" t="inlineStr">
        <is>
          <t>4.45</t>
        </is>
      </c>
      <c r="K403" t="inlineStr">
        <is>
          <t>143</t>
        </is>
      </c>
      <c r="L403" t="inlineStr">
        <is>
          <t>80</t>
        </is>
      </c>
      <c r="M403" t="inlineStr">
        <is>
          <t>3.9</t>
        </is>
      </c>
      <c r="N403" t="inlineStr">
        <is>
          <t>251</t>
        </is>
      </c>
    </row>
    <row r="404">
      <c r="A404" t="inlineStr">
        <is>
          <t>1107</t>
        </is>
      </c>
      <c r="B404" t="inlineStr">
        <is>
          <t>2RS</t>
        </is>
      </c>
      <c r="C404" t="inlineStr">
        <is>
          <t>TRAVELER</t>
        </is>
      </c>
      <c r="D404" t="inlineStr">
        <is>
          <t>2025-09-12T00:00:00</t>
        </is>
      </c>
      <c r="E404" t="inlineStr">
        <is>
          <t>2025-09-19T00:00:00</t>
        </is>
      </c>
      <c r="F404" t="inlineStr">
        <is>
          <t>84.19</t>
        </is>
      </c>
      <c r="G404" t="inlineStr">
        <is>
          <t>93.4</t>
        </is>
      </c>
      <c r="H404" t="inlineStr">
        <is>
          <t>286.72000000000003</t>
        </is>
      </c>
      <c r="I404" t="inlineStr">
        <is>
          <t>13.8</t>
        </is>
      </c>
      <c r="J404" t="inlineStr">
        <is>
          <t>4.41</t>
        </is>
      </c>
      <c r="K404" t="inlineStr">
        <is>
          <t>128</t>
        </is>
      </c>
      <c r="L404" t="inlineStr">
        <is>
          <t>78.569999999999993</t>
        </is>
      </c>
      <c r="M404" t="inlineStr">
        <is>
          <t>3.5</t>
        </is>
      </c>
      <c r="N404" t="inlineStr">
        <is>
          <t>330</t>
        </is>
      </c>
    </row>
    <row r="405">
      <c r="A405" t="inlineStr">
        <is>
          <t>1108</t>
        </is>
      </c>
      <c r="B405" t="inlineStr">
        <is>
          <t>2RS</t>
        </is>
      </c>
      <c r="C405" t="inlineStr">
        <is>
          <t>TRAVELER</t>
        </is>
      </c>
      <c r="D405" t="inlineStr">
        <is>
          <t>2025-09-14T00:00:00</t>
        </is>
      </c>
      <c r="E405" t="inlineStr">
        <is>
          <t>2025-09-20T00:00:00</t>
        </is>
      </c>
      <c r="F405" t="inlineStr">
        <is>
          <t>82.04</t>
        </is>
      </c>
      <c r="G405" t="inlineStr">
        <is>
          <t>91</t>
        </is>
      </c>
      <c r="H405" t="inlineStr">
        <is>
          <t>288.26</t>
        </is>
      </c>
      <c r="I405" t="inlineStr">
        <is>
          <t>13.5</t>
        </is>
      </c>
      <c r="J405" t="inlineStr">
        <is>
          <t>4.07</t>
        </is>
      </c>
      <c r="K405" t="inlineStr">
        <is>
          <t>142</t>
        </is>
      </c>
      <c r="L405" t="inlineStr">
        <is>
          <t>87.6</t>
        </is>
      </c>
      <c r="M405" t="inlineStr">
        <is>
          <t>4.3</t>
        </is>
      </c>
      <c r="N405" t="inlineStr">
        <is>
          <t>179</t>
        </is>
      </c>
    </row>
    <row r="406">
      <c r="A406" t="inlineStr">
        <is>
          <t>1109</t>
        </is>
      </c>
      <c r="B406" t="inlineStr">
        <is>
          <t>2RS</t>
        </is>
      </c>
      <c r="C406" t="inlineStr">
        <is>
          <t>TRAVELER</t>
        </is>
      </c>
      <c r="D406" t="inlineStr">
        <is>
          <t>2025-09-15T00:00:00</t>
        </is>
      </c>
      <c r="E406" t="inlineStr">
        <is>
          <t>2025-09-21T00:00:00</t>
        </is>
      </c>
      <c r="F406" t="inlineStr">
        <is>
          <t>84.25</t>
        </is>
      </c>
      <c r="G406" t="inlineStr">
        <is>
          <t>93</t>
        </is>
      </c>
      <c r="H406" t="inlineStr">
        <is>
          <t>286.74</t>
        </is>
      </c>
      <c r="I406" t="inlineStr">
        <is>
          <t>13.4</t>
        </is>
      </c>
      <c r="J406" t="inlineStr">
        <is>
          <t>4.3899999999999997</t>
        </is>
      </c>
      <c r="K406" t="inlineStr">
        <is>
          <t>141</t>
        </is>
      </c>
      <c r="L406" t="inlineStr">
        <is>
          <t>82.07</t>
        </is>
      </c>
      <c r="M406" t="inlineStr">
        <is>
          <t>3.99</t>
        </is>
      </c>
      <c r="N406" t="inlineStr">
        <is>
          <t>229</t>
        </is>
      </c>
    </row>
    <row r="407">
      <c r="A407" t="inlineStr">
        <is>
          <t>1110</t>
        </is>
      </c>
      <c r="B407" t="inlineStr">
        <is>
          <t>IBON</t>
        </is>
      </c>
      <c r="C407" t="inlineStr">
        <is>
          <t>IBON</t>
        </is>
      </c>
      <c r="D407" t="inlineStr">
        <is>
          <t>2025-09-16T00:00:00</t>
        </is>
      </c>
      <c r="E407" t="inlineStr">
        <is>
          <t>2025-09-23T00:00:00</t>
        </is>
      </c>
      <c r="F407" t="inlineStr">
        <is>
          <t>83.62</t>
        </is>
      </c>
      <c r="G407" t="inlineStr">
        <is>
          <t>93.3</t>
        </is>
      </c>
      <c r="H407" t="inlineStr">
        <is>
          <t>282.99</t>
        </is>
      </c>
      <c r="I407" t="inlineStr">
        <is>
          <t>14.5</t>
        </is>
      </c>
      <c r="J407" t="inlineStr">
        <is>
          <t>4.6399999999999997</t>
        </is>
      </c>
      <c r="K407" t="inlineStr">
        <is>
          <t>145</t>
        </is>
      </c>
      <c r="L407" t="inlineStr">
        <is>
          <t>59.9</t>
        </is>
      </c>
      <c r="M407" t="inlineStr">
        <is>
          <t>4</t>
        </is>
      </c>
      <c r="N407" t="inlineStr">
        <is>
          <t>312</t>
        </is>
      </c>
    </row>
    <row r="408">
      <c r="A408" t="inlineStr">
        <is>
          <t>1111</t>
        </is>
      </c>
      <c r="B408" t="inlineStr">
        <is>
          <t>IBON</t>
        </is>
      </c>
      <c r="C408" t="inlineStr">
        <is>
          <t>IBON</t>
        </is>
      </c>
      <c r="D408" t="inlineStr">
        <is>
          <t>2025-09-17T00:00:00</t>
        </is>
      </c>
      <c r="E408" t="inlineStr">
        <is>
          <t>2025-09-24T00:00:00</t>
        </is>
      </c>
      <c r="F408" t="inlineStr">
        <is>
          <t>83.86</t>
        </is>
      </c>
      <c r="G408" t="inlineStr">
        <is>
          <t>93.6</t>
        </is>
      </c>
      <c r="H408" t="inlineStr">
        <is>
          <t>283.02999999999997</t>
        </is>
      </c>
      <c r="I408" t="inlineStr">
        <is>
          <t>14.6</t>
        </is>
      </c>
      <c r="J408" t="inlineStr">
        <is>
          <t>4.72</t>
        </is>
      </c>
      <c r="K408" t="inlineStr">
        <is>
          <t>147</t>
        </is>
      </c>
      <c r="L408" t="inlineStr">
        <is>
          <t>58.8</t>
        </is>
      </c>
      <c r="M408" t="inlineStr">
        <is>
          <t>4.2</t>
        </is>
      </c>
      <c r="N408" t="inlineStr">
        <is>
          <t>402</t>
        </is>
      </c>
    </row>
    <row r="409">
      <c r="A409" t="inlineStr">
        <is>
          <t>1112</t>
        </is>
      </c>
      <c r="B409" t="inlineStr">
        <is>
          <t>IBON</t>
        </is>
      </c>
      <c r="C409" t="inlineStr">
        <is>
          <t>IBON</t>
        </is>
      </c>
      <c r="D409" t="inlineStr">
        <is>
          <t>2025-09-18T00:00:00</t>
        </is>
      </c>
      <c r="E409" t="inlineStr">
        <is>
          <t>2025-09-26T00:00:00</t>
        </is>
      </c>
      <c r="F409" t="inlineStr">
        <is>
          <t>83.08</t>
        </is>
      </c>
      <c r="G409" t="inlineStr">
        <is>
          <t>92.6</t>
        </is>
      </c>
      <c r="H409" t="inlineStr">
        <is>
          <t>283.14999999999998</t>
        </is>
      </c>
      <c r="I409" t="inlineStr">
        <is>
          <t>14.5</t>
        </is>
      </c>
      <c r="J409" t="inlineStr">
        <is>
          <t>4.74</t>
        </is>
      </c>
      <c r="K409" t="inlineStr">
        <is>
          <t>150</t>
        </is>
      </c>
      <c r="L409" t="inlineStr">
        <is>
          <t>59.8</t>
        </is>
      </c>
      <c r="M409" t="inlineStr">
        <is>
          <t>4.5999999999999996</t>
        </is>
      </c>
      <c r="N409" t="inlineStr">
        <is>
          <t>321</t>
        </is>
      </c>
    </row>
    <row r="410">
      <c r="A410" t="inlineStr">
        <is>
          <t>1113</t>
        </is>
      </c>
      <c r="B410" t="inlineStr">
        <is>
          <t>2RS</t>
        </is>
      </c>
      <c r="C410" t="inlineStr">
        <is>
          <t>TRAVELER</t>
        </is>
      </c>
      <c r="D410" t="inlineStr">
        <is>
          <t>2025-09-19T00:00:00</t>
        </is>
      </c>
      <c r="E410" t="inlineStr">
        <is>
          <t>2025-09-27T00:00:00</t>
        </is>
      </c>
      <c r="F410" t="inlineStr">
        <is>
          <t>82.69</t>
        </is>
      </c>
      <c r="G410" t="inlineStr">
        <is>
          <t>91.7</t>
        </is>
      </c>
      <c r="H410" t="inlineStr">
        <is>
          <t>292.87</t>
        </is>
      </c>
      <c r="I410" t="inlineStr">
        <is>
          <t>13.7</t>
        </is>
      </c>
      <c r="J410" t="inlineStr">
        <is>
          <t>4.3</t>
        </is>
      </c>
      <c r="K410" t="inlineStr">
        <is>
          <t>129</t>
        </is>
      </c>
      <c r="L410" t="inlineStr">
        <is>
          <t>89.7</t>
        </is>
      </c>
      <c r="M410" t="inlineStr">
        <is>
          <t>3.8</t>
        </is>
      </c>
      <c r="N410" t="inlineStr">
        <is>
          <t>150</t>
        </is>
      </c>
    </row>
    <row r="411">
      <c r="A411" t="inlineStr">
        <is>
          <t>1114</t>
        </is>
      </c>
      <c r="B411" t="inlineStr">
        <is>
          <t>2RS</t>
        </is>
      </c>
      <c r="C411" t="inlineStr">
        <is>
          <t>TRAVELER</t>
        </is>
      </c>
      <c r="D411" t="inlineStr">
        <is>
          <t>2025-09-21T00:00:00</t>
        </is>
      </c>
      <c r="E411" t="inlineStr">
        <is>
          <t>2025-09-28T00:00:00</t>
        </is>
      </c>
      <c r="F411" t="inlineStr">
        <is>
          <t>83</t>
        </is>
      </c>
      <c r="G411" t="inlineStr">
        <is>
          <t>92.5</t>
        </is>
      </c>
      <c r="H411" t="inlineStr">
        <is>
          <t>286.93</t>
        </is>
      </c>
      <c r="I411" t="inlineStr">
        <is>
          <t>14.3</t>
        </is>
      </c>
      <c r="J411" t="inlineStr">
        <is>
          <t>4.46</t>
        </is>
      </c>
      <c r="K411" t="inlineStr">
        <is>
          <t>122</t>
        </is>
      </c>
      <c r="L411" t="inlineStr">
        <is>
          <t>81.13</t>
        </is>
      </c>
      <c r="M411" t="inlineStr">
        <is>
          <t>3.8</t>
        </is>
      </c>
      <c r="N411" t="inlineStr">
        <is>
          <t>296</t>
        </is>
      </c>
    </row>
    <row r="412">
      <c r="A412" t="inlineStr">
        <is>
          <t>1115</t>
        </is>
      </c>
      <c r="B412" t="inlineStr">
        <is>
          <t>2RS</t>
        </is>
      </c>
      <c r="C412" t="inlineStr">
        <is>
          <t>TRAVELER</t>
        </is>
      </c>
      <c r="D412" t="inlineStr">
        <is>
          <t>2025-09-22T00:00:00</t>
        </is>
      </c>
      <c r="E412" t="inlineStr">
        <is>
          <t>2025-09-29T00:00:00</t>
        </is>
      </c>
      <c r="F412" t="inlineStr">
        <is>
          <t>83.46</t>
        </is>
      </c>
      <c r="G412" t="inlineStr">
        <is>
          <t>92.4</t>
        </is>
      </c>
      <c r="H412" t="inlineStr">
        <is>
          <t>286.77999999999997</t>
        </is>
      </c>
      <c r="I412" t="inlineStr">
        <is>
          <t>13.5</t>
        </is>
      </c>
      <c r="J412" t="inlineStr">
        <is>
          <t>4.25</t>
        </is>
      </c>
      <c r="K412" t="inlineStr">
        <is>
          <t>123</t>
        </is>
      </c>
      <c r="L412" t="inlineStr">
        <is>
          <t>81.010000000000005</t>
        </is>
      </c>
      <c r="M412" t="inlineStr">
        <is>
          <t>3.7</t>
        </is>
      </c>
      <c r="N412" t="inlineStr">
        <is>
          <t>318</t>
        </is>
      </c>
    </row>
    <row r="413">
      <c r="A413" t="inlineStr">
        <is>
          <t>1116</t>
        </is>
      </c>
      <c r="B413" t="inlineStr">
        <is>
          <t>2RS</t>
        </is>
      </c>
      <c r="C413" t="inlineStr">
        <is>
          <t>TRAVELER</t>
        </is>
      </c>
      <c r="D413" t="inlineStr">
        <is>
          <t>2025-09-23T00:00:00</t>
        </is>
      </c>
      <c r="E413" t="inlineStr">
        <is>
          <t>2025-09-30T00:00:00</t>
        </is>
      </c>
      <c r="F413" t="inlineStr">
        <is>
          <t>83.69</t>
        </is>
      </c>
      <c r="G413" t="inlineStr">
        <is>
          <t>93.3</t>
        </is>
      </c>
      <c r="H413" t="inlineStr">
        <is>
          <t>286.49</t>
        </is>
      </c>
      <c r="I413" t="inlineStr">
        <is>
          <t>14.2</t>
        </is>
      </c>
      <c r="J413" t="inlineStr">
        <is>
          <t>4.37</t>
        </is>
      </c>
      <c r="K413" t="inlineStr">
        <is>
          <t>138</t>
        </is>
      </c>
      <c r="L413" t="inlineStr">
        <is>
          <t>83.81</t>
        </is>
      </c>
      <c r="M413" t="inlineStr">
        <is>
          <t>4.5</t>
        </is>
      </c>
      <c r="N413" t="inlineStr">
        <is>
          <t>217</t>
        </is>
      </c>
    </row>
    <row r="414">
      <c r="A414" t="inlineStr">
        <is>
          <t>1117</t>
        </is>
      </c>
      <c r="B414" t="inlineStr">
        <is>
          <t>2RS</t>
        </is>
      </c>
      <c r="C414" t="inlineStr">
        <is>
          <t>TRAVELER</t>
        </is>
      </c>
      <c r="D414" t="inlineStr">
        <is>
          <t>2025-09-25T00:00:00</t>
        </is>
      </c>
      <c r="E414" t="inlineStr">
        <is>
          <t>2025-10-02T00:00:00</t>
        </is>
      </c>
      <c r="F414" t="inlineStr">
        <is>
          <t>84.04</t>
        </is>
      </c>
      <c r="G414" t="inlineStr">
        <is>
          <t>93.5</t>
        </is>
      </c>
      <c r="H414" t="inlineStr">
        <is>
          <t>286.26</t>
        </is>
      </c>
      <c r="I414" t="inlineStr">
        <is>
          <t>14.1</t>
        </is>
      </c>
      <c r="J414" t="inlineStr">
        <is>
          <t>4.46</t>
        </is>
      </c>
      <c r="K414" t="inlineStr">
        <is>
          <t>141</t>
        </is>
      </c>
      <c r="L414" t="inlineStr">
        <is>
          <t>80.25</t>
        </is>
      </c>
      <c r="M414" t="inlineStr">
        <is>
          <t>3.6</t>
        </is>
      </c>
      <c r="N414" t="inlineStr">
        <is>
          <t>238</t>
        </is>
      </c>
    </row>
    <row r="415">
      <c r="A415" t="inlineStr">
        <is>
          <t>1118</t>
        </is>
      </c>
      <c r="B415" t="inlineStr">
        <is>
          <t>2RS</t>
        </is>
      </c>
      <c r="C415" t="inlineStr">
        <is>
          <t>TRAVELER</t>
        </is>
      </c>
      <c r="D415" t="inlineStr">
        <is>
          <t>2025-09-26T00:00:00</t>
        </is>
      </c>
      <c r="E415" t="inlineStr">
        <is>
          <t>2025-10-03T00:00:00</t>
        </is>
      </c>
      <c r="F415" t="inlineStr">
        <is>
          <t>83.3</t>
        </is>
      </c>
      <c r="G415" t="inlineStr">
        <is>
          <t>93.1</t>
        </is>
      </c>
      <c r="H415" t="inlineStr">
        <is>
          <t>291.06</t>
        </is>
      </c>
      <c r="I415" t="inlineStr">
        <is>
          <t>14.1</t>
        </is>
      </c>
      <c r="J415" t="inlineStr">
        <is>
          <t>4.01</t>
        </is>
      </c>
      <c r="K415" t="inlineStr">
        <is>
          <t>140</t>
        </is>
      </c>
      <c r="L415" t="inlineStr">
        <is>
          <t>91.37</t>
        </is>
      </c>
      <c r="M415" t="inlineStr">
        <is>
          <t>4.17</t>
        </is>
      </c>
      <c r="N415" t="inlineStr">
        <is>
          <t>145</t>
        </is>
      </c>
    </row>
    <row r="416">
      <c r="A416" t="inlineStr">
        <is>
          <t>1119</t>
        </is>
      </c>
      <c r="B416" t="inlineStr">
        <is>
          <t>2RS</t>
        </is>
      </c>
      <c r="C416" t="inlineStr">
        <is>
          <t>TRAVELER</t>
        </is>
      </c>
      <c r="D416" t="inlineStr">
        <is>
          <t>2025-09-27T00:00:00</t>
        </is>
      </c>
      <c r="E416" t="inlineStr">
        <is>
          <t>2025-10-04T00:00:00</t>
        </is>
      </c>
      <c r="F416" t="inlineStr">
        <is>
          <t>83.55</t>
        </is>
      </c>
      <c r="G416" t="inlineStr">
        <is>
          <t>91.7</t>
        </is>
      </c>
      <c r="H416" t="inlineStr">
        <is>
          <t>286.38</t>
        </is>
      </c>
      <c r="I416" t="inlineStr">
        <is>
          <t>12.9</t>
        </is>
      </c>
      <c r="J416" t="inlineStr">
        <is>
          <t>4.37</t>
        </is>
      </c>
      <c r="K416" t="inlineStr">
        <is>
          <t>145.80000000000001</t>
        </is>
      </c>
      <c r="L416" t="inlineStr">
        <is>
          <t>84.11</t>
        </is>
      </c>
      <c r="M416" t="inlineStr">
        <is>
          <t>3.77</t>
        </is>
      </c>
      <c r="N416" t="inlineStr">
        <is>
          <t>224</t>
        </is>
      </c>
    </row>
    <row r="417">
      <c r="A417" t="inlineStr">
        <is>
          <t>1120</t>
        </is>
      </c>
      <c r="B417" t="inlineStr">
        <is>
          <t>2RS</t>
        </is>
      </c>
      <c r="C417" t="inlineStr">
        <is>
          <t>TRAVELER</t>
        </is>
      </c>
      <c r="D417" t="inlineStr">
        <is>
          <t>2025-09-29T00:00:00</t>
        </is>
      </c>
      <c r="E417" t="inlineStr">
        <is>
          <t>2025-10-05T00:00:00</t>
        </is>
      </c>
      <c r="F417" t="inlineStr">
        <is>
          <t>83.94</t>
        </is>
      </c>
      <c r="G417" t="inlineStr">
        <is>
          <t>94.8</t>
        </is>
      </c>
      <c r="H417" t="inlineStr">
        <is>
          <t>286.64</t>
        </is>
      </c>
      <c r="I417" t="inlineStr">
        <is>
          <t>15.1</t>
        </is>
      </c>
      <c r="J417" t="inlineStr">
        <is>
          <t>4.1500000000000004</t>
        </is>
      </c>
      <c r="K417" t="inlineStr">
        <is>
          <t>157</t>
        </is>
      </c>
      <c r="L417" t="inlineStr">
        <is>
          <t>84.41</t>
        </is>
      </c>
      <c r="M417" t="inlineStr">
        <is>
          <t>4.16</t>
        </is>
      </c>
      <c r="N417" t="inlineStr">
        <is>
          <t>236</t>
        </is>
      </c>
    </row>
    <row r="418">
      <c r="A418" t="inlineStr">
        <is>
          <t>1121</t>
        </is>
      </c>
      <c r="B418" t="inlineStr">
        <is>
          <t>IBON</t>
        </is>
      </c>
      <c r="C418" t="inlineStr">
        <is>
          <t>IBON</t>
        </is>
      </c>
      <c r="D418" t="inlineStr">
        <is>
          <t>2025-09-30T00:00:00</t>
        </is>
      </c>
      <c r="E418" t="inlineStr">
        <is>
          <t>2025-10-06T00:00:00</t>
        </is>
      </c>
      <c r="F418" t="inlineStr">
        <is>
          <t>83.4</t>
        </is>
      </c>
      <c r="G418" t="inlineStr">
        <is>
          <t>93.9</t>
        </is>
      </c>
      <c r="H418" t="inlineStr">
        <is>
          <t>283.12</t>
        </is>
      </c>
      <c r="I418" t="inlineStr">
        <is>
          <t>15.1</t>
        </is>
      </c>
      <c r="J418" t="inlineStr">
        <is>
          <t>4.37</t>
        </is>
      </c>
      <c r="K418" t="inlineStr">
        <is>
          <t>138</t>
        </is>
      </c>
      <c r="L418" t="inlineStr">
        <is>
          <t>54.87</t>
        </is>
      </c>
      <c r="M418" t="inlineStr">
        <is>
          <t>3.8</t>
        </is>
      </c>
      <c r="N418" t="inlineStr">
        <is>
          <t>587</t>
        </is>
      </c>
    </row>
    <row r="419">
      <c r="A419" t="inlineStr">
        <is>
          <t>1122</t>
        </is>
      </c>
      <c r="B419" t="inlineStr">
        <is>
          <t>IBON</t>
        </is>
      </c>
      <c r="C419" t="inlineStr">
        <is>
          <t>IBON</t>
        </is>
      </c>
      <c r="D419" t="inlineStr">
        <is>
          <t>2025-10-01T00:00:00</t>
        </is>
      </c>
      <c r="E419" t="inlineStr">
        <is>
          <t>2025-10-07T00:00:00</t>
        </is>
      </c>
      <c r="F419" t="inlineStr">
        <is>
          <t>83.72</t>
        </is>
      </c>
      <c r="G419" t="inlineStr">
        <is>
          <t>93.5</t>
        </is>
      </c>
      <c r="H419" t="inlineStr">
        <is>
          <t>281.58</t>
        </is>
      </c>
      <c r="I419" t="inlineStr">
        <is>
          <t>14.5</t>
        </is>
      </c>
      <c r="J419" t="inlineStr">
        <is>
          <t>4.49</t>
        </is>
      </c>
      <c r="K419" t="inlineStr">
        <is>
          <t>133</t>
        </is>
      </c>
      <c r="L419" t="inlineStr">
        <is>
          <t>52.22</t>
        </is>
      </c>
      <c r="M419" t="inlineStr">
        <is>
          <t>3.6</t>
        </is>
      </c>
      <c r="N419" t="inlineStr">
        <is>
          <t>620</t>
        </is>
      </c>
    </row>
    <row r="420">
      <c r="A420" t="inlineStr">
        <is>
          <t>1123</t>
        </is>
      </c>
      <c r="B420" t="inlineStr">
        <is>
          <t>IBON</t>
        </is>
      </c>
      <c r="C420" t="inlineStr">
        <is>
          <t>IBON</t>
        </is>
      </c>
      <c r="D420" t="inlineStr">
        <is>
          <t>2025-10-02T00:00:00</t>
        </is>
      </c>
      <c r="E420" t="inlineStr">
        <is>
          <t>2025-10-09T00:00:00</t>
        </is>
      </c>
      <c r="F420" t="inlineStr">
        <is>
          <t>83.71</t>
        </is>
      </c>
      <c r="G420" t="inlineStr">
        <is>
          <t>93.3</t>
        </is>
      </c>
      <c r="H420" t="inlineStr">
        <is>
          <t>282.54000000000002</t>
        </is>
      </c>
      <c r="I420" t="inlineStr">
        <is>
          <t>14.4</t>
        </is>
      </c>
      <c r="J420" t="inlineStr">
        <is>
          <t>4.55</t>
        </is>
      </c>
      <c r="K420" t="inlineStr">
        <is>
          <t>146</t>
        </is>
      </c>
      <c r="L420" t="inlineStr">
        <is>
          <t>55.93</t>
        </is>
      </c>
      <c r="M420" t="inlineStr">
        <is>
          <t>4</t>
        </is>
      </c>
      <c r="N420" t="inlineStr">
        <is>
          <t>517</t>
        </is>
      </c>
    </row>
    <row r="421">
      <c r="A421" t="inlineStr">
        <is>
          <t>1124</t>
        </is>
      </c>
      <c r="B421" t="inlineStr">
        <is>
          <t>IBON</t>
        </is>
      </c>
      <c r="C421" t="inlineStr">
        <is>
          <t>IBON</t>
        </is>
      </c>
      <c r="D421" t="inlineStr">
        <is>
          <t>2025-10-03T00:00:00</t>
        </is>
      </c>
      <c r="E421" t="inlineStr">
        <is>
          <t>2025-10-10T00:00:00</t>
        </is>
      </c>
      <c r="F421" t="inlineStr">
        <is>
          <t>84.08</t>
        </is>
      </c>
      <c r="G421" t="inlineStr">
        <is>
          <t>93.8</t>
        </is>
      </c>
      <c r="H421" t="inlineStr">
        <is>
          <t>285.39</t>
        </is>
      </c>
      <c r="I421" t="inlineStr">
        <is>
          <t>14.4</t>
        </is>
      </c>
      <c r="J421" t="inlineStr">
        <is>
          <t>4.5199999999999996</t>
        </is>
      </c>
      <c r="K421" t="inlineStr">
        <is>
          <t>152</t>
        </is>
      </c>
      <c r="L421" t="inlineStr">
        <is>
          <t>55.61</t>
        </is>
      </c>
      <c r="M421" t="inlineStr">
        <is>
          <t>4.2</t>
        </is>
      </c>
      <c r="N421" t="inlineStr">
        <is>
          <t>518</t>
        </is>
      </c>
    </row>
    <row r="422">
      <c r="A422" t="inlineStr">
        <is>
          <t>1125</t>
        </is>
      </c>
      <c r="B422" t="inlineStr">
        <is>
          <t>2RS</t>
        </is>
      </c>
      <c r="C422" t="inlineStr">
        <is>
          <t>TRAVELER</t>
        </is>
      </c>
      <c r="D422" t="inlineStr">
        <is>
          <t>2025-10-04T00:00:00</t>
        </is>
      </c>
      <c r="E422" t="inlineStr">
        <is>
          <t>2025-10-11T00:00:00</t>
        </is>
      </c>
      <c r="F422" t="inlineStr">
        <is>
          <t>83.41</t>
        </is>
      </c>
      <c r="G422" t="inlineStr">
        <is>
          <t>93.1</t>
        </is>
      </c>
      <c r="H422" t="inlineStr">
        <is>
          <t>286.7</t>
        </is>
      </c>
      <c r="I422" t="inlineStr">
        <is>
          <t>14</t>
        </is>
      </c>
      <c r="J422" t="inlineStr">
        <is>
          <t>3.98</t>
        </is>
      </c>
      <c r="K422" t="inlineStr">
        <is>
          <t>145</t>
        </is>
      </c>
      <c r="L422" t="inlineStr">
        <is>
          <t>84.85</t>
        </is>
      </c>
      <c r="M422" t="inlineStr">
        <is>
          <t>4.2</t>
        </is>
      </c>
      <c r="N422" t="inlineStr">
        <is>
          <t>242</t>
        </is>
      </c>
    </row>
    <row r="423">
      <c r="A423" t="inlineStr">
        <is>
          <t>1126</t>
        </is>
      </c>
      <c r="B423" t="inlineStr">
        <is>
          <t>2RS</t>
        </is>
      </c>
      <c r="C423" t="inlineStr">
        <is>
          <t>TRAVELER</t>
        </is>
      </c>
      <c r="D423" t="inlineStr">
        <is>
          <t>2025-10-05T00:00:00</t>
        </is>
      </c>
      <c r="E423" t="inlineStr">
        <is>
          <t>2025-10-12T00:00:00</t>
        </is>
      </c>
      <c r="F423" t="inlineStr">
        <is>
          <t>85.11</t>
        </is>
      </c>
      <c r="G423" t="inlineStr">
        <is>
          <t>92.8</t>
        </is>
      </c>
      <c r="H423" t="inlineStr">
        <is>
          <t>286.32</t>
        </is>
      </c>
      <c r="I423" t="inlineStr">
        <is>
          <t>12.1</t>
        </is>
      </c>
      <c r="J423" t="inlineStr">
        <is>
          <t>4.16</t>
        </is>
      </c>
      <c r="K423" t="inlineStr">
        <is>
          <t>158</t>
        </is>
      </c>
      <c r="L423" t="inlineStr">
        <is>
          <t>81.7</t>
        </is>
      </c>
      <c r="M423" t="inlineStr">
        <is>
          <t>4.3</t>
        </is>
      </c>
      <c r="N423" t="inlineStr">
        <is>
          <t>285</t>
        </is>
      </c>
    </row>
    <row r="424">
      <c r="A424" t="inlineStr">
        <is>
          <t>1127</t>
        </is>
      </c>
      <c r="B424" t="inlineStr">
        <is>
          <t>2RS</t>
        </is>
      </c>
      <c r="C424" t="inlineStr">
        <is>
          <t>TRAVELER</t>
        </is>
      </c>
      <c r="D424" t="inlineStr">
        <is>
          <t>2025-10-07T00:00:00</t>
        </is>
      </c>
      <c r="E424" t="inlineStr">
        <is>
          <t>2025-10-14T00:00:00</t>
        </is>
      </c>
      <c r="F424" t="inlineStr">
        <is>
          <t>85.45</t>
        </is>
      </c>
      <c r="G424" t="inlineStr">
        <is>
          <t>92.6</t>
        </is>
      </c>
      <c r="H424" t="inlineStr">
        <is>
          <t>286.33999999999997</t>
        </is>
      </c>
      <c r="I424" t="inlineStr">
        <is>
          <t>12</t>
        </is>
      </c>
      <c r="J424" t="inlineStr">
        <is>
          <t>4.59</t>
        </is>
      </c>
      <c r="K424" t="inlineStr">
        <is>
          <t>153</t>
        </is>
      </c>
      <c r="L424" t="inlineStr">
        <is>
          <t>81.349999999999994</t>
        </is>
      </c>
      <c r="M424" t="inlineStr">
        <is>
          <t>4.2</t>
        </is>
      </c>
      <c r="N424" t="inlineStr">
        <is>
          <t>247</t>
        </is>
      </c>
    </row>
    <row r="425">
      <c r="A425" t="inlineStr">
        <is>
          <t>1128</t>
        </is>
      </c>
      <c r="B425" t="inlineStr">
        <is>
          <t>2RS</t>
        </is>
      </c>
      <c r="C425" t="inlineStr">
        <is>
          <t>TRAVELER</t>
        </is>
      </c>
      <c r="D425" t="inlineStr">
        <is>
          <t>2025-10-09T00:00:00</t>
        </is>
      </c>
      <c r="E425" t="inlineStr">
        <is>
          <t>2025-10-16T00:00:00</t>
        </is>
      </c>
      <c r="F425" t="inlineStr">
        <is>
          <t>84.73</t>
        </is>
      </c>
      <c r="G425" t="inlineStr">
        <is>
          <t>93.1</t>
        </is>
      </c>
      <c r="H425" t="inlineStr">
        <is>
          <t>287.31</t>
        </is>
      </c>
      <c r="I425" t="inlineStr">
        <is>
          <t>12.7</t>
        </is>
      </c>
      <c r="J425" t="inlineStr">
        <is>
          <t>4.05</t>
        </is>
      </c>
      <c r="K425" t="inlineStr">
        <is>
          <t>153</t>
        </is>
      </c>
      <c r="L425" t="inlineStr">
        <is>
          <t>83.03</t>
        </is>
      </c>
      <c r="M425" t="inlineStr">
        <is>
          <t>4</t>
        </is>
      </c>
      <c r="N425" t="inlineStr">
        <is>
          <t>263</t>
        </is>
      </c>
    </row>
    <row r="426">
      <c r="A426" t="inlineStr">
        <is>
          <t>1129</t>
        </is>
      </c>
      <c r="B426" t="inlineStr">
        <is>
          <t>2RS</t>
        </is>
      </c>
      <c r="C426" t="inlineStr">
        <is>
          <t>TRAVELER</t>
        </is>
      </c>
      <c r="D426" t="inlineStr">
        <is>
          <t>2025-10-10T00:00:00</t>
        </is>
      </c>
      <c r="E426" t="inlineStr">
        <is>
          <t>2025-10-18T00:00:00</t>
        </is>
      </c>
      <c r="F426" t="inlineStr">
        <is>
          <t>85.04</t>
        </is>
      </c>
      <c r="G426" t="inlineStr">
        <is>
          <t>93</t>
        </is>
      </c>
      <c r="H426" t="inlineStr">
        <is>
          <t>286.62</t>
        </is>
      </c>
      <c r="I426" t="inlineStr">
        <is>
          <t>12.7</t>
        </is>
      </c>
      <c r="J426" t="inlineStr">
        <is>
          <t>4.4800000000000004</t>
        </is>
      </c>
      <c r="K426" t="inlineStr">
        <is>
          <t>135</t>
        </is>
      </c>
      <c r="L426" t="inlineStr">
        <is>
          <t>82.81</t>
        </is>
      </c>
      <c r="M426" t="inlineStr">
        <is>
          <t>3.5</t>
        </is>
      </c>
      <c r="N426" t="inlineStr">
        <is>
          <t>283</t>
        </is>
      </c>
    </row>
    <row r="427">
      <c r="A427" t="inlineStr">
        <is>
          <t>1130</t>
        </is>
      </c>
      <c r="B427" t="inlineStr">
        <is>
          <t>2RS</t>
        </is>
      </c>
      <c r="C427" t="inlineStr">
        <is>
          <t>TRAVELER</t>
        </is>
      </c>
      <c r="D427" t="inlineStr">
        <is>
          <t>2025-10-11T00:00:00</t>
        </is>
      </c>
      <c r="E427" t="inlineStr">
        <is>
          <t>2025-10-19T00:00:00</t>
        </is>
      </c>
      <c r="F427" t="inlineStr">
        <is>
          <t>84.97</t>
        </is>
      </c>
      <c r="G427" t="inlineStr">
        <is>
          <t>93.2</t>
        </is>
      </c>
      <c r="H427" t="inlineStr">
        <is>
          <t>286.27</t>
        </is>
      </c>
      <c r="I427" t="inlineStr">
        <is>
          <t>12.6</t>
        </is>
      </c>
      <c r="J427" t="inlineStr">
        <is>
          <t>4.1500000000000004</t>
        </is>
      </c>
      <c r="K427" t="inlineStr">
        <is>
          <t>140</t>
        </is>
      </c>
      <c r="L427" t="inlineStr">
        <is>
          <t>81.55</t>
        </is>
      </c>
      <c r="M427" t="inlineStr">
        <is>
          <t>3.9</t>
        </is>
      </c>
      <c r="N427" t="inlineStr">
        <is>
          <t>323</t>
        </is>
      </c>
    </row>
    <row r="428">
      <c r="A428" t="inlineStr">
        <is>
          <t>1131</t>
        </is>
      </c>
      <c r="B428" t="inlineStr">
        <is>
          <t>2RS</t>
        </is>
      </c>
      <c r="C428" t="inlineStr">
        <is>
          <t>TRAVELER</t>
        </is>
      </c>
      <c r="D428" t="inlineStr">
        <is>
          <t>2025-10-13T00:00:00</t>
        </is>
      </c>
      <c r="E428" t="inlineStr">
        <is>
          <t>2025-10-19T00:00:00</t>
        </is>
      </c>
      <c r="F428" t="inlineStr">
        <is>
          <t>85.89</t>
        </is>
      </c>
      <c r="G428" t="inlineStr">
        <is>
          <t>93.4</t>
        </is>
      </c>
      <c r="H428" t="inlineStr">
        <is>
          <t>286.58</t>
        </is>
      </c>
      <c r="I428" t="inlineStr">
        <is>
          <t>11.7</t>
        </is>
      </c>
      <c r="J428" t="inlineStr">
        <is>
          <t>4</t>
        </is>
      </c>
      <c r="K428" t="inlineStr">
        <is>
          <t>154</t>
        </is>
      </c>
      <c r="L428" t="inlineStr">
        <is>
          <t>85.72</t>
        </is>
      </c>
      <c r="M428" t="inlineStr">
        <is>
          <t>4.0999999999999996</t>
        </is>
      </c>
      <c r="N428" t="inlineStr">
        <is>
          <t>312</t>
        </is>
      </c>
    </row>
    <row r="429">
      <c r="A429" t="inlineStr">
        <is>
          <t>1132</t>
        </is>
      </c>
      <c r="B429" t="inlineStr">
        <is>
          <t>2RS</t>
        </is>
      </c>
      <c r="C429" t="inlineStr">
        <is>
          <t>TRAVELER</t>
        </is>
      </c>
      <c r="D429" t="inlineStr">
        <is>
          <t>2025-10-14T00:00:00</t>
        </is>
      </c>
      <c r="E429" t="inlineStr">
        <is>
          <t>2025-10-20T00:00:00</t>
        </is>
      </c>
      <c r="F429" t="inlineStr">
        <is>
          <t>83.59</t>
        </is>
      </c>
      <c r="G429" t="inlineStr">
        <is>
          <t>92.3</t>
        </is>
      </c>
      <c r="H429" t="inlineStr">
        <is>
          <t>287.10000000000002</t>
        </is>
      </c>
      <c r="I429" t="inlineStr">
        <is>
          <t>12.9</t>
        </is>
      </c>
      <c r="J429" t="inlineStr">
        <is>
          <t>3.87</t>
        </is>
      </c>
      <c r="K429" t="inlineStr">
        <is>
          <t>134</t>
        </is>
      </c>
      <c r="L429" t="inlineStr">
        <is>
          <t>89.1</t>
        </is>
      </c>
      <c r="M429" t="inlineStr">
        <is>
          <t>3.8</t>
        </is>
      </c>
      <c r="N429" t="inlineStr">
        <is>
          <t>242</t>
        </is>
      </c>
    </row>
    <row r="430">
      <c r="A430" t="inlineStr">
        <is>
          <t>1133</t>
        </is>
      </c>
      <c r="B430" t="inlineStr">
        <is>
          <t>2RS</t>
        </is>
      </c>
      <c r="C430" t="inlineStr">
        <is>
          <t>TRAVELER</t>
        </is>
      </c>
      <c r="D430" t="inlineStr">
        <is>
          <t>2025-10-15T00:00:00</t>
        </is>
      </c>
      <c r="E430" t="inlineStr">
        <is>
          <t>2025-10-21T00:00:00</t>
        </is>
      </c>
      <c r="F430" t="inlineStr">
        <is>
          <t>85.5</t>
        </is>
      </c>
      <c r="G430" t="inlineStr">
        <is>
          <t>92.9</t>
        </is>
      </c>
      <c r="H430" t="inlineStr">
        <is>
          <t>288.49</t>
        </is>
      </c>
      <c r="I430" t="inlineStr">
        <is>
          <t>12</t>
        </is>
      </c>
      <c r="J430" t="inlineStr">
        <is>
          <t>4.41</t>
        </is>
      </c>
      <c r="K430" t="inlineStr">
        <is>
          <t>153</t>
        </is>
      </c>
      <c r="L430" t="inlineStr">
        <is>
          <t>85.03</t>
        </is>
      </c>
      <c r="M430" t="inlineStr">
        <is>
          <t>4</t>
        </is>
      </c>
      <c r="N430" t="inlineStr">
        <is>
          <t>230</t>
        </is>
      </c>
    </row>
    <row r="431">
      <c r="A431" t="inlineStr">
        <is>
          <t>1134</t>
        </is>
      </c>
      <c r="B431" t="inlineStr">
        <is>
          <t>2RS</t>
        </is>
      </c>
      <c r="C431" t="inlineStr">
        <is>
          <t>TRAVELER</t>
        </is>
      </c>
      <c r="D431" t="inlineStr">
        <is>
          <t>2025-10-16T00:00:00</t>
        </is>
      </c>
      <c r="E431" t="inlineStr">
        <is>
          <t>2025-10-23T00:00:00</t>
        </is>
      </c>
      <c r="F431" t="inlineStr">
        <is>
          <t>84.75</t>
        </is>
      </c>
      <c r="G431" t="inlineStr">
        <is>
          <t>92.5</t>
        </is>
      </c>
      <c r="H431" t="inlineStr">
        <is>
          <t>286.70999999999998</t>
        </is>
      </c>
      <c r="I431" t="inlineStr">
        <is>
          <t>12.2</t>
        </is>
      </c>
      <c r="J431" t="inlineStr">
        <is>
          <t>4.22</t>
        </is>
      </c>
      <c r="K431" t="inlineStr">
        <is>
          <t>156</t>
        </is>
      </c>
      <c r="L431" t="inlineStr">
        <is>
          <t>87.51</t>
        </is>
      </c>
      <c r="M431" t="inlineStr">
        <is>
          <t>4</t>
        </is>
      </c>
      <c r="N431" t="inlineStr">
        <is>
          <t>224</t>
        </is>
      </c>
    </row>
    <row r="432">
      <c r="A432" t="inlineStr">
        <is>
          <t>1135</t>
        </is>
      </c>
      <c r="B432" t="inlineStr">
        <is>
          <t>2RS</t>
        </is>
      </c>
      <c r="C432" t="inlineStr">
        <is>
          <t>TRAVELER</t>
        </is>
      </c>
      <c r="D432" t="inlineStr">
        <is>
          <t>2025-10-17T00:00:00</t>
        </is>
      </c>
      <c r="E432" t="inlineStr">
        <is>
          <t>2025-10-24T00:00:00</t>
        </is>
      </c>
      <c r="F432" t="inlineStr">
        <is>
          <t>85.18</t>
        </is>
      </c>
      <c r="G432" t="inlineStr">
        <is>
          <t>93.4</t>
        </is>
      </c>
      <c r="H432" t="inlineStr">
        <is>
          <t>286.02999999999997</t>
        </is>
      </c>
      <c r="I432" t="inlineStr">
        <is>
          <t>12.5</t>
        </is>
      </c>
      <c r="J432" t="inlineStr">
        <is>
          <t>4.0599999999999996</t>
        </is>
      </c>
      <c r="K432" t="inlineStr">
        <is>
          <t>150</t>
        </is>
      </c>
      <c r="L432" t="inlineStr">
        <is>
          <t>87.32</t>
        </is>
      </c>
      <c r="M432" t="inlineStr">
        <is>
          <t>3.9</t>
        </is>
      </c>
      <c r="N432" t="inlineStr">
        <is>
          <t>233</t>
        </is>
      </c>
    </row>
    <row r="433">
      <c r="A433" t="inlineStr">
        <is>
          <t>1136</t>
        </is>
      </c>
      <c r="B433" t="inlineStr">
        <is>
          <t>2RS</t>
        </is>
      </c>
      <c r="C433" t="inlineStr">
        <is>
          <t>TRAVELER</t>
        </is>
      </c>
      <c r="D433" t="inlineStr">
        <is>
          <t>2025-10-18T00:00:00</t>
        </is>
      </c>
      <c r="E433" t="inlineStr">
        <is>
          <t>2025-10-25T00:00:00</t>
        </is>
      </c>
      <c r="F433" t="inlineStr">
        <is>
          <t>84.59</t>
        </is>
      </c>
      <c r="G433" t="inlineStr">
        <is>
          <t>93.4</t>
        </is>
      </c>
      <c r="H433" t="inlineStr">
        <is>
          <t>286.32</t>
        </is>
      </c>
      <c r="I433" t="inlineStr">
        <is>
          <t>13.1</t>
        </is>
      </c>
      <c r="J433" t="inlineStr">
        <is>
          <t>4.08</t>
        </is>
      </c>
      <c r="K433" t="inlineStr">
        <is>
          <t>150</t>
        </is>
      </c>
      <c r="L433" t="inlineStr">
        <is>
          <t>86.23</t>
        </is>
      </c>
      <c r="M433" t="inlineStr">
        <is>
          <t>4</t>
        </is>
      </c>
      <c r="N433" t="inlineStr">
        <is>
          <t>285</t>
        </is>
      </c>
    </row>
    <row r="434">
      <c r="A434" t="inlineStr">
        <is>
          <t>1137</t>
        </is>
      </c>
      <c r="B434" t="inlineStr">
        <is>
          <t>2RS</t>
        </is>
      </c>
      <c r="C434" t="inlineStr">
        <is>
          <t>TRAVELER</t>
        </is>
      </c>
      <c r="D434" t="inlineStr">
        <is>
          <t>2025-10-19T00:00:00</t>
        </is>
      </c>
      <c r="E434" t="inlineStr">
        <is>
          <t>2025-10-26T00:00:00</t>
        </is>
      </c>
      <c r="F434" t="inlineStr">
        <is>
          <t>85.89</t>
        </is>
      </c>
      <c r="G434" t="inlineStr">
        <is>
          <t>93.1</t>
        </is>
      </c>
      <c r="H434" t="inlineStr">
        <is>
          <t>286.22000000000003</t>
        </is>
      </c>
      <c r="I434" t="inlineStr">
        <is>
          <t>11.6</t>
        </is>
      </c>
      <c r="J434" t="inlineStr">
        <is>
          <t>4.1500000000000004</t>
        </is>
      </c>
      <c r="K434" t="inlineStr">
        <is>
          <t>161</t>
        </is>
      </c>
      <c r="L434" t="inlineStr">
        <is>
          <t>86.4</t>
        </is>
      </c>
      <c r="M434" t="inlineStr">
        <is>
          <t>4.0999999999999996</t>
        </is>
      </c>
      <c r="N434" t="inlineStr">
        <is>
          <t>287</t>
        </is>
      </c>
    </row>
    <row r="435">
      <c r="A435" t="inlineStr">
        <is>
          <t>1138</t>
        </is>
      </c>
      <c r="B435" t="inlineStr">
        <is>
          <t>IBON</t>
        </is>
      </c>
      <c r="C435" t="inlineStr">
        <is>
          <t>IBON</t>
        </is>
      </c>
      <c r="D435" t="inlineStr">
        <is>
          <t>2025-10-21T00:00:00</t>
        </is>
      </c>
      <c r="E435" t="inlineStr">
        <is>
          <t>2025-10-27T00:00:00</t>
        </is>
      </c>
      <c r="F435" t="inlineStr">
        <is>
          <t>85.51</t>
        </is>
      </c>
      <c r="G435" t="inlineStr">
        <is>
          <t>93.7</t>
        </is>
      </c>
      <c r="H435" t="inlineStr">
        <is>
          <t>282.57</t>
        </is>
      </c>
      <c r="I435" t="inlineStr">
        <is>
          <t>12.8</t>
        </is>
      </c>
      <c r="J435" t="inlineStr">
        <is>
          <t>4.42</t>
        </is>
      </c>
      <c r="K435" t="inlineStr">
        <is>
          <t>151</t>
        </is>
      </c>
      <c r="L435" t="inlineStr">
        <is>
          <t>57.9</t>
        </is>
      </c>
      <c r="M435" t="inlineStr">
        <is>
          <t>4.3</t>
        </is>
      </c>
      <c r="N435" t="inlineStr">
        <is>
          <t>590</t>
        </is>
      </c>
    </row>
    <row r="436">
      <c r="A436" t="inlineStr">
        <is>
          <t>1139</t>
        </is>
      </c>
      <c r="B436" t="inlineStr">
        <is>
          <t>IBON</t>
        </is>
      </c>
      <c r="C436" t="inlineStr">
        <is>
          <t>IBON</t>
        </is>
      </c>
      <c r="D436" t="inlineStr">
        <is>
          <t>2025-10-22T00:00:00</t>
        </is>
      </c>
      <c r="E436" t="inlineStr">
        <is>
          <t>2025-10-29T00:00:00</t>
        </is>
      </c>
      <c r="F436" t="inlineStr">
        <is>
          <t>84.51</t>
        </is>
      </c>
      <c r="G436" t="inlineStr">
        <is>
          <t>93.2</t>
        </is>
      </c>
      <c r="H436" t="inlineStr">
        <is>
          <t>282.43</t>
        </is>
      </c>
      <c r="I436" t="inlineStr">
        <is>
          <t>13.5</t>
        </is>
      </c>
      <c r="J436" t="inlineStr">
        <is>
          <t>4.62</t>
        </is>
      </c>
      <c r="K436" t="inlineStr">
        <is>
          <t>151</t>
        </is>
      </c>
      <c r="L436" t="inlineStr">
        <is>
          <t>66.45</t>
        </is>
      </c>
      <c r="M436" t="inlineStr">
        <is>
          <t>4.4000000000000004</t>
        </is>
      </c>
      <c r="N436" t="inlineStr">
        <is>
          <t>407</t>
        </is>
      </c>
    </row>
    <row r="437">
      <c r="A437" t="inlineStr">
        <is>
          <t>1140</t>
        </is>
      </c>
      <c r="B437" t="inlineStr">
        <is>
          <t>IBON</t>
        </is>
      </c>
      <c r="C437" t="inlineStr">
        <is>
          <t>IBON</t>
        </is>
      </c>
      <c r="D437" t="inlineStr">
        <is>
          <t>2025-10-23T00:00:00</t>
        </is>
      </c>
      <c r="E437" t="inlineStr">
        <is>
          <t>2025-10-30T00:00:00</t>
        </is>
      </c>
      <c r="F437" t="inlineStr">
        <is>
          <t>84.78</t>
        </is>
      </c>
      <c r="G437" t="inlineStr">
        <is>
          <t>93.8</t>
        </is>
      </c>
      <c r="H437" t="inlineStr">
        <is>
          <t>283</t>
        </is>
      </c>
      <c r="I437" t="inlineStr">
        <is>
          <t>13.7</t>
        </is>
      </c>
      <c r="J437" t="inlineStr">
        <is>
          <t>4.47</t>
        </is>
      </c>
      <c r="K437" t="inlineStr">
        <is>
          <t>136</t>
        </is>
      </c>
      <c r="L437" t="inlineStr">
        <is>
          <t>54.72</t>
        </is>
      </c>
      <c r="M437" t="inlineStr">
        <is>
          <t>3.6</t>
        </is>
      </c>
      <c r="N437" t="inlineStr">
        <is>
          <t>630</t>
        </is>
      </c>
    </row>
    <row r="438">
      <c r="A438" t="inlineStr">
        <is>
          <t>1141</t>
        </is>
      </c>
      <c r="B438" t="inlineStr">
        <is>
          <t>2RS</t>
        </is>
      </c>
      <c r="C438" t="inlineStr">
        <is>
          <t>TRAVELER</t>
        </is>
      </c>
      <c r="D438" t="inlineStr">
        <is>
          <t>2025-10-24T00:00:00</t>
        </is>
      </c>
      <c r="E438" t="inlineStr">
        <is>
          <t>2025-10-31T00:00:00</t>
        </is>
      </c>
      <c r="F438" t="inlineStr">
        <is>
          <t>83.57</t>
        </is>
      </c>
      <c r="G438" t="inlineStr">
        <is>
          <t>92.1</t>
        </is>
      </c>
      <c r="H438" t="inlineStr">
        <is>
          <t>289.01</t>
        </is>
      </c>
      <c r="I438" t="inlineStr">
        <is>
          <t>13</t>
        </is>
      </c>
      <c r="J438" t="inlineStr">
        <is>
          <t>4.09</t>
        </is>
      </c>
      <c r="K438" t="inlineStr">
        <is>
          <t>154</t>
        </is>
      </c>
      <c r="L438" t="inlineStr">
        <is>
          <t>85.97</t>
        </is>
      </c>
      <c r="M438" t="inlineStr">
        <is>
          <t>3.9</t>
        </is>
      </c>
      <c r="N438" t="inlineStr">
        <is>
          <t>254</t>
        </is>
      </c>
    </row>
    <row r="439">
      <c r="A439" t="inlineStr">
        <is>
          <t>1142</t>
        </is>
      </c>
      <c r="B439" t="inlineStr">
        <is>
          <t>2RS</t>
        </is>
      </c>
      <c r="C439" t="inlineStr">
        <is>
          <t>TRAVELER</t>
        </is>
      </c>
      <c r="D439" t="inlineStr">
        <is>
          <t>2025-10-25T00:00:00</t>
        </is>
      </c>
      <c r="E439" t="inlineStr">
        <is>
          <t>2025-11-01T00:00:00</t>
        </is>
      </c>
      <c r="F439" t="inlineStr">
        <is>
          <t>84.82</t>
        </is>
      </c>
      <c r="G439" t="inlineStr">
        <is>
          <t>93.3</t>
        </is>
      </c>
      <c r="H439" t="inlineStr">
        <is>
          <t>285.45999999999998</t>
        </is>
      </c>
      <c r="I439" t="inlineStr">
        <is>
          <t>12.9</t>
        </is>
      </c>
      <c r="J439" t="inlineStr">
        <is>
          <t>4.17</t>
        </is>
      </c>
      <c r="K439" t="inlineStr">
        <is>
          <t>143</t>
        </is>
      </c>
      <c r="L439" t="inlineStr">
        <is>
          <t>84.86</t>
        </is>
      </c>
      <c r="M439" t="inlineStr">
        <is>
          <t>3.8</t>
        </is>
      </c>
      <c r="N439" t="inlineStr">
        <is>
          <t>326</t>
        </is>
      </c>
    </row>
    <row r="440">
      <c r="A440" t="inlineStr">
        <is>
          <t>1143</t>
        </is>
      </c>
      <c r="B440" t="inlineStr">
        <is>
          <t>2RS</t>
        </is>
      </c>
      <c r="C440" t="inlineStr">
        <is>
          <t>TRAVELER</t>
        </is>
      </c>
      <c r="D440" t="inlineStr">
        <is>
          <t>2025-10-26T00:00:00</t>
        </is>
      </c>
      <c r="E440" t="inlineStr">
        <is>
          <t>2025-11-02T00:00:00</t>
        </is>
      </c>
      <c r="F440" t="inlineStr">
        <is>
          <t>83.67</t>
        </is>
      </c>
      <c r="G440" t="inlineStr">
        <is>
          <t>92.6</t>
        </is>
      </c>
      <c r="H440" t="inlineStr">
        <is>
          <t>284.91000000000003</t>
        </is>
      </c>
      <c r="I440" t="inlineStr">
        <is>
          <t>13.4</t>
        </is>
      </c>
      <c r="J440" t="inlineStr">
        <is>
          <t>4.18</t>
        </is>
      </c>
      <c r="K440" t="inlineStr">
        <is>
          <t>148</t>
        </is>
      </c>
      <c r="L440" t="inlineStr">
        <is>
          <t>87.25</t>
        </is>
      </c>
      <c r="M440" t="inlineStr">
        <is>
          <t>4.2</t>
        </is>
      </c>
      <c r="N440" t="inlineStr">
        <is>
          <t>202</t>
        </is>
      </c>
    </row>
    <row r="441">
      <c r="A441" t="inlineStr">
        <is>
          <t>1144</t>
        </is>
      </c>
      <c r="B441" t="inlineStr">
        <is>
          <t>2RS</t>
        </is>
      </c>
      <c r="C441" t="inlineStr">
        <is>
          <t>TRAVELER</t>
        </is>
      </c>
      <c r="D441" t="inlineStr">
        <is>
          <t>2025-10-28T00:00:00</t>
        </is>
      </c>
      <c r="E441" t="inlineStr">
        <is>
          <t>2025-11-03T00:00:00</t>
        </is>
      </c>
      <c r="F441" t="inlineStr">
        <is>
          <t>84.53</t>
        </is>
      </c>
      <c r="G441" t="inlineStr">
        <is>
          <t>93.4</t>
        </is>
      </c>
      <c r="H441" t="inlineStr">
        <is>
          <t>285.69</t>
        </is>
      </c>
      <c r="I441" t="inlineStr">
        <is>
          <t>13.6</t>
        </is>
      </c>
      <c r="J441" t="inlineStr">
        <is>
          <t>4.57</t>
        </is>
      </c>
      <c r="K441" t="inlineStr">
        <is>
          <t>140</t>
        </is>
      </c>
      <c r="L441" t="inlineStr">
        <is>
          <t>84.4</t>
        </is>
      </c>
      <c r="M441" t="inlineStr">
        <is>
          <t>4</t>
        </is>
      </c>
      <c r="N441" t="inlineStr">
        <is>
          <t>260</t>
        </is>
      </c>
    </row>
    <row r="442">
      <c r="A442" t="inlineStr">
        <is>
          <t>1145</t>
        </is>
      </c>
      <c r="B442" t="inlineStr">
        <is>
          <t>IBON</t>
        </is>
      </c>
      <c r="C442" t="inlineStr">
        <is>
          <t>IBON</t>
        </is>
      </c>
      <c r="D442" t="inlineStr">
        <is>
          <t>2025-10-29T00:00:00</t>
        </is>
      </c>
      <c r="E442" t="inlineStr">
        <is>
          <t>2025-11-04T00:00:00</t>
        </is>
      </c>
      <c r="F442" t="inlineStr">
        <is>
          <t>85.91</t>
        </is>
      </c>
      <c r="G442" t="inlineStr">
        <is>
          <t>93.6</t>
        </is>
      </c>
      <c r="H442" t="inlineStr">
        <is>
          <t>282.83</t>
        </is>
      </c>
      <c r="I442" t="inlineStr">
        <is>
          <t>12.2</t>
        </is>
      </c>
      <c r="J442" t="inlineStr">
        <is>
          <t>4.34</t>
        </is>
      </c>
      <c r="K442" t="inlineStr">
        <is>
          <t>159.4</t>
        </is>
      </c>
      <c r="L442" t="inlineStr">
        <is>
          <t>59.85</t>
        </is>
      </c>
      <c r="M442" t="inlineStr">
        <is>
          <t>4.2</t>
        </is>
      </c>
      <c r="N442" t="inlineStr">
        <is>
          <t>528</t>
        </is>
      </c>
    </row>
    <row r="443">
      <c r="A443" t="inlineStr">
        <is>
          <t>1146</t>
        </is>
      </c>
      <c r="B443" t="inlineStr">
        <is>
          <t>IBON</t>
        </is>
      </c>
      <c r="C443" t="inlineStr">
        <is>
          <t>IBON</t>
        </is>
      </c>
      <c r="D443" t="inlineStr">
        <is>
          <t>2025-10-30T00:00:00</t>
        </is>
      </c>
      <c r="E443" t="inlineStr">
        <is>
          <t>2025-11-06T00:00:00</t>
        </is>
      </c>
      <c r="F443" t="inlineStr">
        <is>
          <t>85.96</t>
        </is>
      </c>
      <c r="G443" t="inlineStr">
        <is>
          <t>93.5</t>
        </is>
      </c>
      <c r="H443" t="inlineStr">
        <is>
          <t>282.23</t>
        </is>
      </c>
      <c r="I443" t="inlineStr">
        <is>
          <t>12</t>
        </is>
      </c>
      <c r="J443" t="inlineStr">
        <is>
          <t>4.29</t>
        </is>
      </c>
      <c r="K443" t="inlineStr">
        <is>
          <t>154</t>
        </is>
      </c>
      <c r="L443" t="inlineStr">
        <is>
          <t>60.64</t>
        </is>
      </c>
      <c r="M443" t="inlineStr">
        <is>
          <t>4.07</t>
        </is>
      </c>
      <c r="N443" t="inlineStr">
        <is>
          <t>522</t>
        </is>
      </c>
    </row>
    <row r="444">
      <c r="A444" t="inlineStr">
        <is>
          <t>1147</t>
        </is>
      </c>
      <c r="B444" t="inlineStr">
        <is>
          <t>IBON</t>
        </is>
      </c>
      <c r="C444" t="inlineStr">
        <is>
          <t>IBON</t>
        </is>
      </c>
      <c r="D444" t="inlineStr">
        <is>
          <t>2025-10-31T00:00:00</t>
        </is>
      </c>
      <c r="E444" t="inlineStr">
        <is>
          <t>2025-11-07T00:00:00</t>
        </is>
      </c>
      <c r="F444" t="inlineStr">
        <is>
          <t>84.98</t>
        </is>
      </c>
      <c r="G444" t="inlineStr">
        <is>
          <t>93.6</t>
        </is>
      </c>
      <c r="H444" t="inlineStr">
        <is>
          <t>283.08999999999997</t>
        </is>
      </c>
      <c r="I444" t="inlineStr">
        <is>
          <t>13.3</t>
        </is>
      </c>
      <c r="J444" t="inlineStr">
        <is>
          <t>4.49</t>
        </is>
      </c>
      <c r="K444" t="inlineStr">
        <is>
          <t>157.30000000000001</t>
        </is>
      </c>
      <c r="L444" t="inlineStr">
        <is>
          <t>60.02</t>
        </is>
      </c>
      <c r="M444" t="inlineStr">
        <is>
          <t>4.09</t>
        </is>
      </c>
      <c r="N444" t="inlineStr">
        <is>
          <t>532</t>
        </is>
      </c>
    </row>
    <row r="445">
      <c r="A445" t="inlineStr">
        <is>
          <t>1148</t>
        </is>
      </c>
      <c r="B445" t="inlineStr">
        <is>
          <t>2RS</t>
        </is>
      </c>
      <c r="C445" t="inlineStr">
        <is>
          <t>TRAVELER</t>
        </is>
      </c>
      <c r="D445" t="inlineStr">
        <is>
          <t>2025-11-01T00:00:00</t>
        </is>
      </c>
      <c r="E445" t="inlineStr">
        <is>
          <t>2025-11-08T00:00:00</t>
        </is>
      </c>
      <c r="F445" t="inlineStr">
        <is>
          <t>83.96</t>
        </is>
      </c>
      <c r="G445" t="inlineStr">
        <is>
          <t>91.8</t>
        </is>
      </c>
      <c r="H445" t="inlineStr">
        <is>
          <t>285.42</t>
        </is>
      </c>
      <c r="I445" t="inlineStr">
        <is>
          <t>12.3</t>
        </is>
      </c>
      <c r="J445" t="inlineStr">
        <is>
          <t>4.07</t>
        </is>
      </c>
      <c r="K445" t="inlineStr">
        <is>
          <t>151</t>
        </is>
      </c>
      <c r="L445" t="inlineStr">
        <is>
          <t>87.54</t>
        </is>
      </c>
      <c r="M445" t="inlineStr">
        <is>
          <t>4.76</t>
        </is>
      </c>
      <c r="N445" t="inlineStr">
        <is>
          <t>226</t>
        </is>
      </c>
    </row>
    <row r="446">
      <c r="A446" t="inlineStr">
        <is>
          <t>1149</t>
        </is>
      </c>
      <c r="B446" t="inlineStr">
        <is>
          <t>2RS</t>
        </is>
      </c>
      <c r="C446" t="inlineStr">
        <is>
          <t>TRAVELER</t>
        </is>
      </c>
      <c r="D446" t="inlineStr">
        <is>
          <t>2025-11-03T00:00:00</t>
        </is>
      </c>
      <c r="E446" t="inlineStr">
        <is>
          <t>2025-11-09T00:00:00</t>
        </is>
      </c>
      <c r="F446" t="inlineStr">
        <is>
          <t>84.34</t>
        </is>
      </c>
      <c r="G446" t="inlineStr">
        <is>
          <t>93.3</t>
        </is>
      </c>
      <c r="H446" t="inlineStr">
        <is>
          <t>286.61</t>
        </is>
      </c>
      <c r="I446" t="inlineStr">
        <is>
          <t>13.3</t>
        </is>
      </c>
      <c r="J446" t="inlineStr">
        <is>
          <t>4.12</t>
        </is>
      </c>
      <c r="K446" t="inlineStr">
        <is>
          <t>170</t>
        </is>
      </c>
      <c r="L446" t="inlineStr">
        <is>
          <t>88.85</t>
        </is>
      </c>
      <c r="M446" t="inlineStr">
        <is>
          <t>4.91</t>
        </is>
      </c>
      <c r="N446" t="inlineStr">
        <is>
          <t>215</t>
        </is>
      </c>
    </row>
    <row r="447">
      <c r="A447" t="inlineStr">
        <is>
          <t>1150</t>
        </is>
      </c>
      <c r="B447" t="inlineStr">
        <is>
          <t>2RS</t>
        </is>
      </c>
      <c r="C447" t="inlineStr">
        <is>
          <t>TRAVELER</t>
        </is>
      </c>
      <c r="D447" t="inlineStr">
        <is>
          <t>2025-11-04T00:00:00</t>
        </is>
      </c>
      <c r="E447" t="inlineStr">
        <is>
          <t>2025-11-10T00:00:00</t>
        </is>
      </c>
      <c r="F447" t="inlineStr">
        <is>
          <t>85.99</t>
        </is>
      </c>
      <c r="G447" t="inlineStr">
        <is>
          <t>93.9</t>
        </is>
      </c>
      <c r="H447" t="inlineStr">
        <is>
          <t>286.39999999999998</t>
        </is>
      </c>
      <c r="I447" t="inlineStr">
        <is>
          <t>12.3</t>
        </is>
      </c>
      <c r="J447" t="inlineStr">
        <is>
          <t>4.2</t>
        </is>
      </c>
      <c r="K447" t="inlineStr">
        <is>
          <t>144</t>
        </is>
      </c>
      <c r="L447" t="inlineStr">
        <is>
          <t>86.9</t>
        </is>
      </c>
      <c r="M447" t="inlineStr">
        <is>
          <t>3.8</t>
        </is>
      </c>
      <c r="N447" t="inlineStr">
        <is>
          <t>310</t>
        </is>
      </c>
    </row>
    <row r="448">
      <c r="A448" t="inlineStr">
        <is>
          <t>1151</t>
        </is>
      </c>
      <c r="B448" t="inlineStr">
        <is>
          <t>2RS</t>
        </is>
      </c>
      <c r="C448" t="inlineStr">
        <is>
          <t>TRAVELER</t>
        </is>
      </c>
      <c r="D448" t="inlineStr">
        <is>
          <t>2025-11-05T00:00:00</t>
        </is>
      </c>
      <c r="E448" t="inlineStr">
        <is>
          <t>2025-11-11T00:00:00</t>
        </is>
      </c>
      <c r="F448" t="inlineStr">
        <is>
          <t>85.68</t>
        </is>
      </c>
      <c r="G448" t="inlineStr">
        <is>
          <t>93</t>
        </is>
      </c>
      <c r="H448" t="inlineStr">
        <is>
          <t>286.95</t>
        </is>
      </c>
      <c r="I448" t="inlineStr">
        <is>
          <t>11.7</t>
        </is>
      </c>
      <c r="J448" t="inlineStr">
        <is>
          <t>4.13</t>
        </is>
      </c>
      <c r="K448" t="inlineStr">
        <is>
          <t>159</t>
        </is>
      </c>
      <c r="L448" t="inlineStr">
        <is>
          <t>87.1</t>
        </is>
      </c>
      <c r="M448" t="inlineStr">
        <is>
          <t>4.3</t>
        </is>
      </c>
      <c r="N448" t="inlineStr">
        <is>
          <t>233</t>
        </is>
      </c>
    </row>
    <row r="449">
      <c r="A449" t="inlineStr">
        <is>
          <t>1152</t>
        </is>
      </c>
      <c r="B449" t="inlineStr">
        <is>
          <t>2RS</t>
        </is>
      </c>
      <c r="C449" t="inlineStr">
        <is>
          <t>TRAVELER</t>
        </is>
      </c>
      <c r="D449" t="inlineStr">
        <is>
          <t>2025-11-06T00:00:00</t>
        </is>
      </c>
      <c r="E449" t="inlineStr">
        <is>
          <t>2025-11-13T00:00:00</t>
        </is>
      </c>
      <c r="F449" t="inlineStr">
        <is>
          <t>85.17</t>
        </is>
      </c>
      <c r="G449" t="inlineStr">
        <is>
          <t>93.5</t>
        </is>
      </c>
      <c r="H449" t="inlineStr">
        <is>
          <t>286.72000000000003</t>
        </is>
      </c>
      <c r="I449" t="inlineStr">
        <is>
          <t>12.9</t>
        </is>
      </c>
      <c r="J449" t="inlineStr">
        <is>
          <t>4.42</t>
        </is>
      </c>
      <c r="K449" t="inlineStr">
        <is>
          <t>138</t>
        </is>
      </c>
      <c r="L449" t="inlineStr">
        <is>
          <t>84.8</t>
        </is>
      </c>
      <c r="M449" t="inlineStr">
        <is>
          <t>3.7</t>
        </is>
      </c>
      <c r="N449" t="inlineStr">
        <is>
          <t>314</t>
        </is>
      </c>
    </row>
    <row r="450">
      <c r="A450" t="inlineStr">
        <is>
          <t>1153</t>
        </is>
      </c>
      <c r="B450" t="inlineStr">
        <is>
          <t>2RS</t>
        </is>
      </c>
      <c r="C450" t="inlineStr">
        <is>
          <t>TRAVELER</t>
        </is>
      </c>
      <c r="D450" t="inlineStr">
        <is>
          <t>2025-11-07T00:00:00</t>
        </is>
      </c>
      <c r="E450" t="inlineStr">
        <is>
          <t>2025-11-14T00:00:00</t>
        </is>
      </c>
      <c r="F450" t="inlineStr">
        <is>
          <t>84.37</t>
        </is>
      </c>
      <c r="G450" t="inlineStr">
        <is>
          <t>93.1</t>
        </is>
      </c>
      <c r="H450" t="inlineStr">
        <is>
          <t>287.58999999999997</t>
        </is>
      </c>
      <c r="I450" t="inlineStr">
        <is>
          <t>13.1</t>
        </is>
      </c>
      <c r="J450" t="inlineStr">
        <is>
          <t>4.12</t>
        </is>
      </c>
      <c r="K450" t="inlineStr">
        <is>
          <t>137</t>
        </is>
      </c>
      <c r="L450" t="inlineStr">
        <is>
          <t>83.8</t>
        </is>
      </c>
      <c r="M450" t="inlineStr">
        <is>
          <t>3.7</t>
        </is>
      </c>
      <c r="N450" t="inlineStr">
        <is>
          <t>301</t>
        </is>
      </c>
    </row>
    <row r="451">
      <c r="A451" t="inlineStr">
        <is>
          <t>1154</t>
        </is>
      </c>
      <c r="B451" t="inlineStr">
        <is>
          <t>2RS</t>
        </is>
      </c>
      <c r="C451" t="inlineStr">
        <is>
          <t>TRAVELER</t>
        </is>
      </c>
      <c r="D451" t="inlineStr">
        <is>
          <t>2025-11-08T00:00:00</t>
        </is>
      </c>
      <c r="E451" t="inlineStr">
        <is>
          <t>2025-11-15T00:00:00</t>
        </is>
      </c>
      <c r="F451" t="inlineStr">
        <is>
          <t>84.21</t>
        </is>
      </c>
      <c r="G451" t="inlineStr">
        <is>
          <t>92.9</t>
        </is>
      </c>
      <c r="H451" t="inlineStr">
        <is>
          <t>286.99</t>
        </is>
      </c>
      <c r="I451" t="inlineStr">
        <is>
          <t>13.2</t>
        </is>
      </c>
      <c r="J451" t="inlineStr">
        <is>
          <t>4.1900000000000004</t>
        </is>
      </c>
      <c r="K451" t="inlineStr">
        <is>
          <t>133</t>
        </is>
      </c>
      <c r="L451" t="inlineStr">
        <is>
          <t>84.78</t>
        </is>
      </c>
      <c r="M451" t="inlineStr">
        <is>
          <t>3.9</t>
        </is>
      </c>
      <c r="N451" t="inlineStr">
        <is>
          <t>282</t>
        </is>
      </c>
    </row>
    <row r="452">
      <c r="A452" t="inlineStr">
        <is>
          <t>1155</t>
        </is>
      </c>
      <c r="B452" t="inlineStr">
        <is>
          <t>2RS</t>
        </is>
      </c>
      <c r="C452" t="inlineStr">
        <is>
          <t>TRAVELER</t>
        </is>
      </c>
      <c r="D452" t="inlineStr">
        <is>
          <t>2025-11-10T00:00:00</t>
        </is>
      </c>
      <c r="E452" t="inlineStr">
        <is>
          <t>2025-11-17T00:00:00</t>
        </is>
      </c>
      <c r="F452" t="inlineStr">
        <is>
          <t>84.44</t>
        </is>
      </c>
      <c r="G452" t="inlineStr">
        <is>
          <t>92.4</t>
        </is>
      </c>
      <c r="H452" t="inlineStr">
        <is>
          <t>286.75</t>
        </is>
      </c>
      <c r="I452" t="inlineStr">
        <is>
          <t>12.3</t>
        </is>
      </c>
      <c r="J452" t="inlineStr">
        <is>
          <t>4.08</t>
        </is>
      </c>
      <c r="K452" t="inlineStr">
        <is>
          <t>160</t>
        </is>
      </c>
      <c r="L452" t="inlineStr">
        <is>
          <t>88.75</t>
        </is>
      </c>
      <c r="M452" t="inlineStr">
        <is>
          <t>4.2</t>
        </is>
      </c>
      <c r="N452" t="inlineStr">
        <is>
          <t>213</t>
        </is>
      </c>
    </row>
    <row r="453">
      <c r="A453" t="inlineStr">
        <is>
          <t>1156</t>
        </is>
      </c>
      <c r="B453" t="inlineStr">
        <is>
          <t>2RS</t>
        </is>
      </c>
      <c r="C453" t="inlineStr">
        <is>
          <t>TRAVELER</t>
        </is>
      </c>
      <c r="D453" t="inlineStr">
        <is>
          <t>2025-11-11T00:00:00</t>
        </is>
      </c>
      <c r="E453" t="inlineStr">
        <is>
          <t>2025-11-19T00:00:00</t>
        </is>
      </c>
      <c r="F453" t="inlineStr">
        <is>
          <t>83.01</t>
        </is>
      </c>
      <c r="G453" t="inlineStr">
        <is>
          <t>91.4</t>
        </is>
      </c>
      <c r="H453" t="inlineStr">
        <is>
          <t>286.68</t>
        </is>
      </c>
      <c r="I453" t="inlineStr">
        <is>
          <t>13.2</t>
        </is>
      </c>
      <c r="J453" t="inlineStr">
        <is>
          <t>4.42</t>
        </is>
      </c>
      <c r="K453" t="inlineStr">
        <is>
          <t>150</t>
        </is>
      </c>
      <c r="L453" t="inlineStr">
        <is>
          <t>84.03</t>
        </is>
      </c>
      <c r="M453" t="inlineStr">
        <is>
          <t>4.08</t>
        </is>
      </c>
      <c r="N453" t="inlineStr">
        <is>
          <t>249</t>
        </is>
      </c>
    </row>
    <row r="454">
      <c r="A454" t="inlineStr">
        <is>
          <t>1157</t>
        </is>
      </c>
      <c r="B454" t="inlineStr">
        <is>
          <t>2RS</t>
        </is>
      </c>
      <c r="C454" t="inlineStr">
        <is>
          <t>TRAVELER</t>
        </is>
      </c>
      <c r="D454" t="inlineStr">
        <is>
          <t>2025-11-12T00:00:00</t>
        </is>
      </c>
      <c r="E454" t="inlineStr">
        <is>
          <t>2025-11-19T00:00:00</t>
        </is>
      </c>
      <c r="F454" t="inlineStr">
        <is>
          <t>84.99</t>
        </is>
      </c>
      <c r="G454" t="inlineStr">
        <is>
          <t>92.9</t>
        </is>
      </c>
      <c r="H454" t="inlineStr">
        <is>
          <t>286.79000000000002</t>
        </is>
      </c>
      <c r="I454" t="inlineStr">
        <is>
          <t>12.5</t>
        </is>
      </c>
      <c r="J454" t="inlineStr">
        <is>
          <t>4.3499999999999996</t>
        </is>
      </c>
      <c r="K454" t="inlineStr">
        <is>
          <t>139</t>
        </is>
      </c>
      <c r="L454" t="inlineStr">
        <is>
          <t>84.6</t>
        </is>
      </c>
      <c r="M454" t="inlineStr">
        <is>
          <t>3.83</t>
        </is>
      </c>
      <c r="N454" t="inlineStr">
        <is>
          <t>227</t>
        </is>
      </c>
    </row>
    <row r="455">
      <c r="A455" t="inlineStr">
        <is>
          <t>1158</t>
        </is>
      </c>
      <c r="B455" t="inlineStr">
        <is>
          <t>2RS</t>
        </is>
      </c>
      <c r="C455" t="inlineStr">
        <is>
          <t>TRAVELER</t>
        </is>
      </c>
      <c r="D455" t="inlineStr">
        <is>
          <t>2025-11-13T00:00:00</t>
        </is>
      </c>
      <c r="E455" t="inlineStr">
        <is>
          <t>2025-11-20T00:00:00</t>
        </is>
      </c>
      <c r="F455" t="inlineStr">
        <is>
          <t>85.05</t>
        </is>
      </c>
      <c r="G455" t="inlineStr">
        <is>
          <t>93</t>
        </is>
      </c>
      <c r="H455" t="inlineStr">
        <is>
          <t>286.60000000000002</t>
        </is>
      </c>
      <c r="I455" t="inlineStr">
        <is>
          <t>12.5</t>
        </is>
      </c>
      <c r="J455" t="inlineStr">
        <is>
          <t>4.2699999999999996</t>
        </is>
      </c>
      <c r="K455" t="inlineStr">
        <is>
          <t>136</t>
        </is>
      </c>
      <c r="L455" t="inlineStr">
        <is>
          <t>86</t>
        </is>
      </c>
      <c r="M455" t="inlineStr">
        <is>
          <t>3.6</t>
        </is>
      </c>
      <c r="N455" t="inlineStr">
        <is>
          <t>251</t>
        </is>
      </c>
    </row>
    <row r="456">
      <c r="A456" t="inlineStr">
        <is>
          <t>1159</t>
        </is>
      </c>
      <c r="B456" t="inlineStr">
        <is>
          <t>2RS</t>
        </is>
      </c>
      <c r="C456" t="inlineStr">
        <is>
          <t>TRAVELER</t>
        </is>
      </c>
      <c r="D456" t="inlineStr">
        <is>
          <t>2025-11-14T00:00:00</t>
        </is>
      </c>
      <c r="E456" t="inlineStr">
        <is>
          <t>2025-11-21T00:00:00</t>
        </is>
      </c>
      <c r="F456" t="inlineStr">
        <is>
          <t>84.77</t>
        </is>
      </c>
      <c r="G456" t="inlineStr">
        <is>
          <t>93.4</t>
        </is>
      </c>
      <c r="H456" t="inlineStr">
        <is>
          <t>287.70999999999998</t>
        </is>
      </c>
      <c r="I456" t="inlineStr">
        <is>
          <t>13.2</t>
        </is>
      </c>
      <c r="J456" t="inlineStr">
        <is>
          <t>4.34</t>
        </is>
      </c>
      <c r="K456" t="inlineStr">
        <is>
          <t>131</t>
        </is>
      </c>
      <c r="L456" t="inlineStr">
        <is>
          <t>83.4</t>
        </is>
      </c>
      <c r="M456" t="inlineStr">
        <is>
          <t>3.8</t>
        </is>
      </c>
      <c r="N456" t="inlineStr">
        <is>
          <t>307</t>
        </is>
      </c>
    </row>
    <row r="457">
      <c r="A457" t="inlineStr">
        <is>
          <t>1160</t>
        </is>
      </c>
      <c r="B457" t="inlineStr">
        <is>
          <t>2RS</t>
        </is>
      </c>
      <c r="C457" t="inlineStr">
        <is>
          <t>TRAVELER</t>
        </is>
      </c>
      <c r="D457" t="inlineStr">
        <is>
          <t>2025-11-15T00:00:00</t>
        </is>
      </c>
      <c r="E457" t="inlineStr">
        <is>
          <t>2025-11-22T00:00:00</t>
        </is>
      </c>
      <c r="F457" t="inlineStr">
        <is>
          <t>85.67</t>
        </is>
      </c>
      <c r="G457" t="inlineStr">
        <is>
          <t>94</t>
        </is>
      </c>
      <c r="H457" t="inlineStr">
        <is>
          <t>285.86</t>
        </is>
      </c>
      <c r="I457" t="inlineStr">
        <is>
          <t>12.8</t>
        </is>
      </c>
      <c r="J457" t="inlineStr">
        <is>
          <t>4.34</t>
        </is>
      </c>
      <c r="K457" t="inlineStr">
        <is>
          <t>143</t>
        </is>
      </c>
      <c r="L457" t="inlineStr">
        <is>
          <t>88.04</t>
        </is>
      </c>
      <c r="M457" t="inlineStr">
        <is>
          <t>3.6</t>
        </is>
      </c>
      <c r="N457" t="inlineStr">
        <is>
          <t>235</t>
        </is>
      </c>
    </row>
    <row r="458">
      <c r="A458" t="inlineStr">
        <is>
          <t>1161</t>
        </is>
      </c>
      <c r="B458" t="inlineStr">
        <is>
          <t>2RS</t>
        </is>
      </c>
      <c r="C458" t="inlineStr">
        <is>
          <t>TRAVELER</t>
        </is>
      </c>
      <c r="D458" t="inlineStr">
        <is>
          <t>2025-11-17T00:00:00</t>
        </is>
      </c>
      <c r="E458" t="inlineStr">
        <is>
          <t>2025-11-23T00:00:00</t>
        </is>
      </c>
      <c r="F458" t="inlineStr">
        <is>
          <t>84.6</t>
        </is>
      </c>
      <c r="G458" t="inlineStr">
        <is>
          <t>92.9</t>
        </is>
      </c>
      <c r="H458" t="inlineStr">
        <is>
          <t>286.92</t>
        </is>
      </c>
      <c r="I458" t="inlineStr">
        <is>
          <t>12.6</t>
        </is>
      </c>
      <c r="J458" t="inlineStr">
        <is>
          <t>4.0199999999999996</t>
        </is>
      </c>
      <c r="K458" t="inlineStr">
        <is>
          <t>146</t>
        </is>
      </c>
      <c r="L458" t="inlineStr">
        <is>
          <t>87.93</t>
        </is>
      </c>
      <c r="M458" t="inlineStr">
        <is>
          <t>3.7</t>
        </is>
      </c>
      <c r="N458" t="inlineStr">
        <is>
          <t>240</t>
        </is>
      </c>
    </row>
    <row r="459">
      <c r="A459" t="inlineStr">
        <is>
          <t>1162</t>
        </is>
      </c>
      <c r="B459" t="inlineStr">
        <is>
          <t>2RS</t>
        </is>
      </c>
      <c r="C459" t="inlineStr">
        <is>
          <t>TRAVELER</t>
        </is>
      </c>
      <c r="D459" t="inlineStr">
        <is>
          <t>2025-11-18T00:00:00</t>
        </is>
      </c>
      <c r="E459" t="inlineStr">
        <is>
          <t>2025-11-24T00:00:00</t>
        </is>
      </c>
      <c r="F459" t="inlineStr">
        <is>
          <t>84.31</t>
        </is>
      </c>
      <c r="G459" t="inlineStr">
        <is>
          <t>91.1</t>
        </is>
      </c>
      <c r="H459" t="inlineStr">
        <is>
          <t>286.49</t>
        </is>
      </c>
      <c r="I459" t="inlineStr">
        <is>
          <t>11.3</t>
        </is>
      </c>
      <c r="J459" t="inlineStr">
        <is>
          <t>4.1399999999999997</t>
        </is>
      </c>
      <c r="K459" t="inlineStr">
        <is>
          <t>156</t>
        </is>
      </c>
      <c r="L459" t="inlineStr">
        <is>
          <t>87.24</t>
        </is>
      </c>
      <c r="M459" t="inlineStr">
        <is>
          <t>4.3499999999999996</t>
        </is>
      </c>
      <c r="N459" t="inlineStr">
        <is>
          <t>259</t>
        </is>
      </c>
    </row>
    <row r="460">
      <c r="A460" t="inlineStr">
        <is>
          <t>1163</t>
        </is>
      </c>
      <c r="B460" t="inlineStr">
        <is>
          <t>2RS</t>
        </is>
      </c>
      <c r="C460" t="inlineStr">
        <is>
          <t>TRAVELER</t>
        </is>
      </c>
      <c r="D460" t="inlineStr">
        <is>
          <t>2025-11-19T00:00:00</t>
        </is>
      </c>
      <c r="E460" t="inlineStr">
        <is>
          <t>2025-11-27T00:00:00</t>
        </is>
      </c>
      <c r="F460" t="inlineStr">
        <is>
          <t>84.65</t>
        </is>
      </c>
      <c r="G460" t="inlineStr">
        <is>
          <t>89.9</t>
        </is>
      </c>
      <c r="H460" t="inlineStr">
        <is>
          <t>287.08</t>
        </is>
      </c>
      <c r="I460" t="inlineStr">
        <is>
          <t>10.199999999999999</t>
        </is>
      </c>
      <c r="J460" t="inlineStr">
        <is>
          <t>4.63</t>
        </is>
      </c>
      <c r="K460" t="inlineStr">
        <is>
          <t>128</t>
        </is>
      </c>
      <c r="L460" t="inlineStr">
        <is>
          <t>68.95</t>
        </is>
      </c>
      <c r="M460" t="inlineStr">
        <is>
          <t>3</t>
        </is>
      </c>
      <c r="N460" t="inlineStr">
        <is>
          <t>680</t>
        </is>
      </c>
    </row>
    <row r="461">
      <c r="A461" t="inlineStr">
        <is>
          <t>1164</t>
        </is>
      </c>
      <c r="B461" t="inlineStr">
        <is>
          <t>2RS</t>
        </is>
      </c>
      <c r="C461" t="inlineStr">
        <is>
          <t>TRAVELER</t>
        </is>
      </c>
      <c r="D461" t="inlineStr">
        <is>
          <t>2025-11-22T00:00:00</t>
        </is>
      </c>
      <c r="E461" t="inlineStr">
        <is>
          <t>2025-11-28T00:00:00</t>
        </is>
      </c>
      <c r="F461" t="inlineStr">
        <is>
          <t>85.81</t>
        </is>
      </c>
      <c r="G461" t="inlineStr">
        <is>
          <t>92.9</t>
        </is>
      </c>
      <c r="H461" t="inlineStr">
        <is>
          <t>286.75</t>
        </is>
      </c>
      <c r="I461" t="inlineStr">
        <is>
          <t>11.7</t>
        </is>
      </c>
      <c r="J461" t="inlineStr">
        <is>
          <t>4.4000000000000004</t>
        </is>
      </c>
      <c r="K461" t="inlineStr">
        <is>
          <t>151</t>
        </is>
      </c>
      <c r="L461" t="inlineStr">
        <is>
          <t>85.73</t>
        </is>
      </c>
      <c r="M461" t="inlineStr">
        <is>
          <t>4.3</t>
        </is>
      </c>
      <c r="N461" t="inlineStr">
        <is>
          <t>268</t>
        </is>
      </c>
    </row>
    <row r="462">
      <c r="A462" t="inlineStr">
        <is>
          <t>1165</t>
        </is>
      </c>
      <c r="B462" t="inlineStr">
        <is>
          <t>2RS</t>
        </is>
      </c>
      <c r="C462" t="inlineStr">
        <is>
          <t>TRAVELER</t>
        </is>
      </c>
      <c r="D462" t="inlineStr">
        <is>
          <t>2025-11-23T00:00:00</t>
        </is>
      </c>
      <c r="E462" t="inlineStr">
        <is>
          <t>2025-11-29T00:00:00</t>
        </is>
      </c>
      <c r="F462" t="inlineStr">
        <is>
          <t>84.72</t>
        </is>
      </c>
      <c r="G462" t="inlineStr">
        <is>
          <t>92.7</t>
        </is>
      </c>
      <c r="H462" t="inlineStr">
        <is>
          <t>286.05</t>
        </is>
      </c>
      <c r="I462" t="inlineStr">
        <is>
          <t>12.7</t>
        </is>
      </c>
      <c r="J462" t="inlineStr">
        <is>
          <t>4.43</t>
        </is>
      </c>
      <c r="K462" t="inlineStr">
        <is>
          <t>131</t>
        </is>
      </c>
      <c r="L462" t="inlineStr">
        <is>
          <t>85.44</t>
        </is>
      </c>
      <c r="M462" t="inlineStr">
        <is>
          <t>3.55</t>
        </is>
      </c>
      <c r="N462" t="inlineStr">
        <is>
          <t>232</t>
        </is>
      </c>
    </row>
    <row r="463">
      <c r="A463" t="inlineStr">
        <is>
          <t>1166</t>
        </is>
      </c>
      <c r="B463" t="inlineStr">
        <is>
          <t>2RS</t>
        </is>
      </c>
      <c r="C463" t="inlineStr">
        <is>
          <t>TRAVELER</t>
        </is>
      </c>
      <c r="D463" t="inlineStr">
        <is>
          <t>2025-11-24T00:00:00</t>
        </is>
      </c>
      <c r="E463" t="inlineStr">
        <is>
          <t>2025-12-02T00:00:00</t>
        </is>
      </c>
      <c r="F463" t="inlineStr">
        <is>
          <t>84.8</t>
        </is>
      </c>
      <c r="G463" t="inlineStr">
        <is>
          <t>93.2</t>
        </is>
      </c>
      <c r="H463" t="inlineStr">
        <is>
          <t>286.36</t>
        </is>
      </c>
      <c r="I463" t="inlineStr">
        <is>
          <t>12.8</t>
        </is>
      </c>
      <c r="J463" t="inlineStr">
        <is>
          <t>4.1500000000000004</t>
        </is>
      </c>
      <c r="K463" t="inlineStr">
        <is>
          <t>138</t>
        </is>
      </c>
      <c r="L463" t="inlineStr">
        <is>
          <t>85.65</t>
        </is>
      </c>
      <c r="M463" t="inlineStr">
        <is>
          <t>3.74</t>
        </is>
      </c>
      <c r="N463" t="inlineStr">
        <is>
          <t>263</t>
        </is>
      </c>
    </row>
    <row r="464">
      <c r="A464" t="inlineStr">
        <is>
          <t>1167</t>
        </is>
      </c>
      <c r="B464" t="inlineStr">
        <is>
          <t>2RS</t>
        </is>
      </c>
      <c r="C464" t="inlineStr">
        <is>
          <t>TRAVELER</t>
        </is>
      </c>
      <c r="D464" t="inlineStr">
        <is>
          <t>2025-11-25T00:00:00</t>
        </is>
      </c>
      <c r="E464" t="inlineStr">
        <is>
          <t>2025-12-02T00:00:00</t>
        </is>
      </c>
      <c r="F464" t="inlineStr">
        <is>
          <t>85.16</t>
        </is>
      </c>
      <c r="G464" t="inlineStr">
        <is>
          <t>93</t>
        </is>
      </c>
      <c r="H464" t="inlineStr">
        <is>
          <t>286.39999999999998</t>
        </is>
      </c>
      <c r="I464" t="inlineStr">
        <is>
          <t>12.5</t>
        </is>
      </c>
      <c r="J464" t="inlineStr">
        <is>
          <t>4.43</t>
        </is>
      </c>
      <c r="K464" t="inlineStr">
        <is>
          <t>139</t>
        </is>
      </c>
      <c r="L464" t="inlineStr">
        <is>
          <t>84.07</t>
        </is>
      </c>
      <c r="M464" t="inlineStr">
        <is>
          <t>3.59</t>
        </is>
      </c>
      <c r="N464" t="inlineStr">
        <is>
          <t>333</t>
        </is>
      </c>
    </row>
    <row r="465">
      <c r="A465" t="inlineStr">
        <is>
          <t>1168</t>
        </is>
      </c>
      <c r="B465" t="inlineStr">
        <is>
          <t>2RS</t>
        </is>
      </c>
      <c r="C465" t="inlineStr">
        <is>
          <t>TRAVELER</t>
        </is>
      </c>
      <c r="D465" t="inlineStr">
        <is>
          <t>2025-11-26T00:00:00</t>
        </is>
      </c>
      <c r="E465" t="inlineStr">
        <is>
          <t>2025-12-03T00:00:00</t>
        </is>
      </c>
      <c r="F465" t="inlineStr">
        <is>
          <t>84.61</t>
        </is>
      </c>
      <c r="G465" t="inlineStr">
        <is>
          <t>93</t>
        </is>
      </c>
      <c r="H465" t="inlineStr">
        <is>
          <t>287.18</t>
        </is>
      </c>
      <c r="I465" t="inlineStr">
        <is>
          <t>12.9</t>
        </is>
      </c>
      <c r="J465" t="inlineStr">
        <is>
          <t>4.2699999999999996</t>
        </is>
      </c>
      <c r="K465" t="inlineStr">
        <is>
          <t>137</t>
        </is>
      </c>
      <c r="L465" t="inlineStr">
        <is>
          <t>86.81</t>
        </is>
      </c>
      <c r="M465" t="inlineStr">
        <is>
          <t>3.6</t>
        </is>
      </c>
      <c r="N465" t="inlineStr">
        <is>
          <t>224</t>
        </is>
      </c>
    </row>
    <row r="466">
      <c r="A466" t="inlineStr">
        <is>
          <t>1169</t>
        </is>
      </c>
      <c r="B466" t="inlineStr">
        <is>
          <t>2RS</t>
        </is>
      </c>
      <c r="C466" t="inlineStr">
        <is>
          <t>TRAVELER</t>
        </is>
      </c>
      <c r="D466" t="inlineStr">
        <is>
          <t>2025-11-27T00:00:00</t>
        </is>
      </c>
      <c r="E466" t="inlineStr">
        <is>
          <t>2025-12-04T00:00:00</t>
        </is>
      </c>
      <c r="F466" t="inlineStr">
        <is>
          <t>84.72</t>
        </is>
      </c>
      <c r="G466" t="inlineStr">
        <is>
          <t>93.1</t>
        </is>
      </c>
      <c r="H466" t="inlineStr">
        <is>
          <t>286.56</t>
        </is>
      </c>
      <c r="I466" t="inlineStr">
        <is>
          <t>12.8</t>
        </is>
      </c>
      <c r="J466" t="inlineStr">
        <is>
          <t>4.16</t>
        </is>
      </c>
      <c r="K466" t="inlineStr">
        <is>
          <t>137</t>
        </is>
      </c>
      <c r="L466" t="inlineStr">
        <is>
          <t>85.91</t>
        </is>
      </c>
      <c r="M466" t="inlineStr">
        <is>
          <t>3.6</t>
        </is>
      </c>
      <c r="N466" t="inlineStr">
        <is>
          <t>250</t>
        </is>
      </c>
    </row>
    <row r="467">
      <c r="A467" t="inlineStr">
        <is>
          <t>1170</t>
        </is>
      </c>
      <c r="B467" t="inlineStr">
        <is>
          <t>2RS</t>
        </is>
      </c>
      <c r="C467" t="inlineStr">
        <is>
          <t>TRAVELER</t>
        </is>
      </c>
      <c r="D467" t="inlineStr">
        <is>
          <t>2025-11-29T00:00:00</t>
        </is>
      </c>
      <c r="E467" t="inlineStr">
        <is>
          <t>2025-12-05T00:00:00</t>
        </is>
      </c>
      <c r="F467" t="inlineStr">
        <is>
          <t>84.9</t>
        </is>
      </c>
      <c r="G467" t="inlineStr">
        <is>
          <t>92.7</t>
        </is>
      </c>
      <c r="H467" t="inlineStr">
        <is>
          <t>287.18</t>
        </is>
      </c>
      <c r="I467" t="inlineStr">
        <is>
          <t>12.2</t>
        </is>
      </c>
      <c r="J467" t="inlineStr">
        <is>
          <t>4.13</t>
        </is>
      </c>
      <c r="K467" t="inlineStr">
        <is>
          <t>159</t>
        </is>
      </c>
      <c r="L467" t="inlineStr">
        <is>
          <t>86.84</t>
        </is>
      </c>
      <c r="M467" t="inlineStr">
        <is>
          <t>4.3</t>
        </is>
      </c>
      <c r="N467" t="inlineStr">
        <is>
          <t>240</t>
        </is>
      </c>
    </row>
    <row r="468">
      <c r="A468" t="inlineStr">
        <is>
          <t>1171</t>
        </is>
      </c>
      <c r="B468" t="inlineStr">
        <is>
          <t>IBON</t>
        </is>
      </c>
      <c r="C468" t="inlineStr">
        <is>
          <t>IBON</t>
        </is>
      </c>
      <c r="D468" t="inlineStr">
        <is>
          <t>2025-11-30T00:00:00</t>
        </is>
      </c>
      <c r="E468" t="inlineStr">
        <is>
          <t>2025-12-06T00:00:00</t>
        </is>
      </c>
      <c r="F468" t="inlineStr">
        <is>
          <t>85.52</t>
        </is>
      </c>
      <c r="G468" t="inlineStr">
        <is>
          <t>93</t>
        </is>
      </c>
      <c r="H468" t="inlineStr">
        <is>
          <t>282.25</t>
        </is>
      </c>
      <c r="I468" t="inlineStr">
        <is>
          <t>12.1</t>
        </is>
      </c>
      <c r="J468" t="inlineStr">
        <is>
          <t>4.4000000000000004</t>
        </is>
      </c>
      <c r="K468" t="inlineStr">
        <is>
          <t>150</t>
        </is>
      </c>
      <c r="L468" t="inlineStr">
        <is>
          <t>59.1</t>
        </is>
      </c>
      <c r="M468" t="inlineStr">
        <is>
          <t>4.4000000000000004</t>
        </is>
      </c>
      <c r="N468" t="inlineStr">
        <is>
          <t>513</t>
        </is>
      </c>
    </row>
    <row r="469">
      <c r="A469" t="inlineStr">
        <is>
          <t>1172</t>
        </is>
      </c>
      <c r="B469" t="inlineStr">
        <is>
          <t>IBON</t>
        </is>
      </c>
      <c r="C469" t="inlineStr">
        <is>
          <t>IBON</t>
        </is>
      </c>
      <c r="D469" t="inlineStr">
        <is>
          <t>2025-12-01T00:00:00</t>
        </is>
      </c>
      <c r="E469" t="inlineStr">
        <is>
          <t>2025-12-07T00:00:00</t>
        </is>
      </c>
      <c r="F469" t="inlineStr">
        <is>
          <t>86.06</t>
        </is>
      </c>
      <c r="G469" t="inlineStr">
        <is>
          <t>93.2</t>
        </is>
      </c>
      <c r="H469" t="inlineStr">
        <is>
          <t>283.10000000000002</t>
        </is>
      </c>
      <c r="I469" t="inlineStr">
        <is>
          <t>11.9</t>
        </is>
      </c>
      <c r="J469" t="inlineStr">
        <is>
          <t>4.59</t>
        </is>
      </c>
      <c r="K469" t="inlineStr">
        <is>
          <t>142</t>
        </is>
      </c>
      <c r="L469" t="inlineStr">
        <is>
          <t>53.16</t>
        </is>
      </c>
      <c r="M469" t="inlineStr">
        <is>
          <t>4</t>
        </is>
      </c>
      <c r="N469" t="inlineStr">
        <is>
          <t>576</t>
        </is>
      </c>
    </row>
    <row r="470">
      <c r="A470" t="inlineStr">
        <is>
          <t>1173</t>
        </is>
      </c>
      <c r="B470" t="inlineStr">
        <is>
          <t>IBON</t>
        </is>
      </c>
      <c r="C470" t="inlineStr">
        <is>
          <t>IBON</t>
        </is>
      </c>
      <c r="D470" t="inlineStr">
        <is>
          <t>2025-12-02T00:00:00</t>
        </is>
      </c>
      <c r="E470" t="inlineStr">
        <is>
          <t>2025-12-08T00:00:00</t>
        </is>
      </c>
      <c r="F470" t="inlineStr">
        <is>
          <t>84.49</t>
        </is>
      </c>
      <c r="G470" t="inlineStr">
        <is>
          <t>93.1</t>
        </is>
      </c>
      <c r="H470" t="inlineStr">
        <is>
          <t>283.18</t>
        </is>
      </c>
      <c r="I470" t="inlineStr">
        <is>
          <t>13.4</t>
        </is>
      </c>
      <c r="J470" t="inlineStr">
        <is>
          <t>4.54</t>
        </is>
      </c>
      <c r="K470" t="inlineStr">
        <is>
          <t>168</t>
        </is>
      </c>
      <c r="L470" t="inlineStr">
        <is>
          <t>63.43</t>
        </is>
      </c>
      <c r="M470" t="inlineStr">
        <is>
          <t>4.5</t>
        </is>
      </c>
      <c r="N470" t="inlineStr">
        <is>
          <t>400</t>
        </is>
      </c>
    </row>
    <row r="471">
      <c r="A471" t="inlineStr">
        <is>
          <t>1174</t>
        </is>
      </c>
      <c r="B471" t="inlineStr">
        <is>
          <t>IBON</t>
        </is>
      </c>
      <c r="C471" t="inlineStr">
        <is>
          <t>IBON</t>
        </is>
      </c>
      <c r="D471" t="inlineStr">
        <is>
          <t>2025-12-03T00:00:00</t>
        </is>
      </c>
      <c r="E471" t="inlineStr">
        <is>
          <t>2025-12-10T00:00:00</t>
        </is>
      </c>
      <c r="F471" t="inlineStr">
        <is>
          <t>85.25</t>
        </is>
      </c>
      <c r="G471" t="inlineStr">
        <is>
          <t>93.5</t>
        </is>
      </c>
      <c r="H471" t="inlineStr">
        <is>
          <t>282.23</t>
        </is>
      </c>
      <c r="I471" t="inlineStr">
        <is>
          <t>12.9</t>
        </is>
      </c>
      <c r="J471" t="inlineStr">
        <is>
          <t>4.43</t>
        </is>
      </c>
      <c r="K471" t="inlineStr">
        <is>
          <t>155</t>
        </is>
      </c>
      <c r="L471" t="inlineStr">
        <is>
          <t>59.43</t>
        </is>
      </c>
      <c r="M471" t="inlineStr">
        <is>
          <t>4.26</t>
        </is>
      </c>
      <c r="N471" t="inlineStr">
        <is>
          <t>550</t>
        </is>
      </c>
    </row>
    <row r="472">
      <c r="A472" t="inlineStr">
        <is>
          <t>1175</t>
        </is>
      </c>
      <c r="B472" t="inlineStr">
        <is>
          <t>IBON</t>
        </is>
      </c>
      <c r="C472" t="inlineStr">
        <is>
          <t>IBON</t>
        </is>
      </c>
      <c r="D472" t="inlineStr">
        <is>
          <t>2025-12-04T00:00:00</t>
        </is>
      </c>
      <c r="E472" t="inlineStr">
        <is>
          <t>2025-12-11T00:00:00</t>
        </is>
      </c>
      <c r="F472" t="inlineStr">
        <is>
          <t>85.44</t>
        </is>
      </c>
      <c r="G472" t="inlineStr">
        <is>
          <t>94.1</t>
        </is>
      </c>
      <c r="H472" t="inlineStr">
        <is>
          <t>282.08999999999997</t>
        </is>
      </c>
      <c r="I472" t="inlineStr">
        <is>
          <t>13.3</t>
        </is>
      </c>
      <c r="J472" t="inlineStr">
        <is>
          <t>4.53</t>
        </is>
      </c>
      <c r="K472" t="inlineStr">
        <is>
          <t>147</t>
        </is>
      </c>
      <c r="L472" t="inlineStr">
        <is>
          <t>57.87</t>
        </is>
      </c>
      <c r="M472" t="inlineStr">
        <is>
          <t>3.99</t>
        </is>
      </c>
      <c r="N472" t="inlineStr">
        <is>
          <t>534</t>
        </is>
      </c>
    </row>
    <row r="473">
      <c r="A473" t="inlineStr">
        <is>
          <t>1176</t>
        </is>
      </c>
      <c r="B473" t="inlineStr">
        <is>
          <t>2RS</t>
        </is>
      </c>
      <c r="C473" t="inlineStr">
        <is>
          <t>SKYWAY</t>
        </is>
      </c>
      <c r="D473" t="inlineStr">
        <is>
          <t>2025-12-05T00:00:00</t>
        </is>
      </c>
      <c r="E473" t="inlineStr">
        <is>
          <t>2025-12-12T00:00:00</t>
        </is>
      </c>
      <c r="F473" t="inlineStr">
        <is>
          <t>84.98</t>
        </is>
      </c>
      <c r="G473" t="inlineStr">
        <is>
          <t>93.9</t>
        </is>
      </c>
      <c r="H473" t="inlineStr">
        <is>
          <t>285.23</t>
        </is>
      </c>
      <c r="I473" t="inlineStr">
        <is>
          <t>13.6</t>
        </is>
      </c>
      <c r="J473" t="inlineStr">
        <is>
          <t>4.5199999999999996</t>
        </is>
      </c>
      <c r="K473" t="inlineStr">
        <is>
          <t>137</t>
        </is>
      </c>
      <c r="L473" t="inlineStr">
        <is>
          <t>86.8</t>
        </is>
      </c>
      <c r="M473" t="inlineStr">
        <is>
          <t>3.6</t>
        </is>
      </c>
      <c r="N473" t="inlineStr">
        <is>
          <t>372</t>
        </is>
      </c>
    </row>
    <row r="474">
      <c r="A474" t="inlineStr">
        <is>
          <t>1177</t>
        </is>
      </c>
      <c r="B474" t="inlineStr">
        <is>
          <t>IBON</t>
        </is>
      </c>
      <c r="C474" t="inlineStr">
        <is>
          <t>IBON</t>
        </is>
      </c>
      <c r="D474" t="inlineStr">
        <is>
          <t>2025-12-07T00:00:00</t>
        </is>
      </c>
      <c r="E474" t="inlineStr">
        <is>
          <t>2025-12-13T00:00:00</t>
        </is>
      </c>
      <c r="F474" t="inlineStr">
        <is>
          <t>85.14</t>
        </is>
      </c>
      <c r="G474" t="inlineStr">
        <is>
          <t>93.8</t>
        </is>
      </c>
      <c r="H474" t="inlineStr">
        <is>
          <t>282.08</t>
        </is>
      </c>
      <c r="I474" t="inlineStr">
        <is>
          <t>13.4</t>
        </is>
      </c>
      <c r="J474" t="inlineStr">
        <is>
          <t>4.5599999999999996</t>
        </is>
      </c>
      <c r="K474" t="inlineStr">
        <is>
          <t>149</t>
        </is>
      </c>
      <c r="L474" t="inlineStr">
        <is>
          <t>53.24</t>
        </is>
      </c>
      <c r="M474" t="inlineStr">
        <is>
          <t>3.8</t>
        </is>
      </c>
      <c r="N474" t="inlineStr">
        <is>
          <t>554</t>
        </is>
      </c>
    </row>
    <row r="475">
      <c r="A475" t="inlineStr">
        <is>
          <t>1178</t>
        </is>
      </c>
      <c r="B475" t="inlineStr">
        <is>
          <t>2RS</t>
        </is>
      </c>
      <c r="C475" t="inlineStr">
        <is>
          <t>TRAVELER</t>
        </is>
      </c>
      <c r="D475" t="inlineStr">
        <is>
          <t>2025-12-08T00:00:00</t>
        </is>
      </c>
      <c r="E475" t="inlineStr">
        <is>
          <t>2025-12-14T00:00:00</t>
        </is>
      </c>
      <c r="F475" t="inlineStr">
        <is>
          <t>84.94</t>
        </is>
      </c>
      <c r="G475" t="inlineStr">
        <is>
          <t>92.8</t>
        </is>
      </c>
      <c r="H475" t="inlineStr">
        <is>
          <t>287.06</t>
        </is>
      </c>
      <c r="I475" t="inlineStr">
        <is>
          <t>12.2</t>
        </is>
      </c>
      <c r="J475" t="inlineStr">
        <is>
          <t>4.0599999999999996</t>
        </is>
      </c>
      <c r="K475" t="inlineStr">
        <is>
          <t>157</t>
        </is>
      </c>
      <c r="L475" t="inlineStr">
        <is>
          <t>86.44</t>
        </is>
      </c>
      <c r="M475" t="inlineStr">
        <is>
          <t>4.17</t>
        </is>
      </c>
      <c r="N475" t="inlineStr">
        <is>
          <t>224</t>
        </is>
      </c>
    </row>
    <row r="476">
      <c r="A476" t="inlineStr">
        <is>
          <t>1179</t>
        </is>
      </c>
      <c r="B476" t="inlineStr">
        <is>
          <t>2RS</t>
        </is>
      </c>
      <c r="C476" t="inlineStr">
        <is>
          <t>TRAVELER</t>
        </is>
      </c>
      <c r="D476" t="inlineStr">
        <is>
          <t>2025-12-09T00:00:00</t>
        </is>
      </c>
      <c r="E476" t="inlineStr">
        <is>
          <t>2025-12-15T00:00:00</t>
        </is>
      </c>
      <c r="F476" t="inlineStr">
        <is>
          <t>84.58</t>
        </is>
      </c>
      <c r="G476" t="inlineStr">
        <is>
          <t>93.2</t>
        </is>
      </c>
      <c r="H476" t="inlineStr">
        <is>
          <t>287.05</t>
        </is>
      </c>
      <c r="I476" t="inlineStr">
        <is>
          <t>13</t>
        </is>
      </c>
      <c r="J476" t="inlineStr">
        <is>
          <t>4.16</t>
        </is>
      </c>
      <c r="K476" t="inlineStr">
        <is>
          <t>151</t>
        </is>
      </c>
      <c r="L476" t="inlineStr">
        <is>
          <t>85.71</t>
        </is>
      </c>
      <c r="M476" t="inlineStr">
        <is>
          <t>4.32</t>
        </is>
      </c>
      <c r="N476" t="inlineStr">
        <is>
          <t>279</t>
        </is>
      </c>
    </row>
    <row r="477">
      <c r="A477" t="inlineStr">
        <is>
          <t>1180</t>
        </is>
      </c>
      <c r="B477" t="inlineStr">
        <is>
          <t>2RS</t>
        </is>
      </c>
      <c r="C477" t="inlineStr">
        <is>
          <t>TRAVELER</t>
        </is>
      </c>
      <c r="D477" t="inlineStr">
        <is>
          <t>2025-12-10T00:00:00</t>
        </is>
      </c>
      <c r="E477" t="inlineStr">
        <is>
          <t>2025-12-16T00:00:00</t>
        </is>
      </c>
      <c r="F477" t="inlineStr">
        <is>
          <t>85.41</t>
        </is>
      </c>
      <c r="G477" t="inlineStr">
        <is>
          <t>93.4</t>
        </is>
      </c>
      <c r="H477" t="inlineStr">
        <is>
          <t>287.45999999999998</t>
        </is>
      </c>
      <c r="I477" t="inlineStr">
        <is>
          <t>12.5</t>
        </is>
      </c>
      <c r="J477" t="inlineStr">
        <is>
          <t>4.3099999999999996</t>
        </is>
      </c>
      <c r="K477" t="inlineStr">
        <is>
          <t>154</t>
        </is>
      </c>
      <c r="L477" t="inlineStr">
        <is>
          <t>85.43</t>
        </is>
      </c>
      <c r="M477" t="inlineStr">
        <is>
          <t>4.16</t>
        </is>
      </c>
      <c r="N477" t="inlineStr">
        <is>
          <t>220</t>
        </is>
      </c>
    </row>
    <row r="478">
      <c r="A478" t="inlineStr">
        <is>
          <t>1181</t>
        </is>
      </c>
      <c r="B478" t="inlineStr">
        <is>
          <t>2RS</t>
        </is>
      </c>
      <c r="C478" t="inlineStr">
        <is>
          <t>TRAVELER</t>
        </is>
      </c>
      <c r="D478" t="inlineStr">
        <is>
          <t>2025-12-11T00:00:00</t>
        </is>
      </c>
      <c r="E478" t="inlineStr">
        <is>
          <t>2025-12-18T00:00:00</t>
        </is>
      </c>
      <c r="F478" t="inlineStr">
        <is>
          <t>85.16</t>
        </is>
      </c>
      <c r="G478" t="inlineStr">
        <is>
          <t>93</t>
        </is>
      </c>
      <c r="H478" t="inlineStr">
        <is>
          <t>287.33</t>
        </is>
      </c>
      <c r="I478" t="inlineStr">
        <is>
          <t>12.4</t>
        </is>
      </c>
      <c r="J478" t="inlineStr">
        <is>
          <t>4.3499999999999996</t>
        </is>
      </c>
      <c r="K478" t="inlineStr">
        <is>
          <t>150</t>
        </is>
      </c>
      <c r="L478" t="inlineStr">
        <is>
          <t>84.1</t>
        </is>
      </c>
      <c r="M478" t="inlineStr">
        <is>
          <t>4.05</t>
        </is>
      </c>
      <c r="N478" t="inlineStr">
        <is>
          <t>210</t>
        </is>
      </c>
    </row>
    <row r="479">
      <c r="A479" t="inlineStr">
        <is>
          <t>1182</t>
        </is>
      </c>
      <c r="B479" t="inlineStr">
        <is>
          <t>2RS</t>
        </is>
      </c>
      <c r="C479" t="inlineStr">
        <is>
          <t>TRAVELER</t>
        </is>
      </c>
      <c r="D479" t="inlineStr">
        <is>
          <t>2025-12-12T00:00:00</t>
        </is>
      </c>
      <c r="E479" t="inlineStr">
        <is>
          <t>2025-12-19T00:00:00</t>
        </is>
      </c>
      <c r="F479" t="inlineStr">
        <is>
          <t>84.86</t>
        </is>
      </c>
      <c r="G479" t="inlineStr">
        <is>
          <t>92.8</t>
        </is>
      </c>
      <c r="H479" t="inlineStr">
        <is>
          <t>286.26</t>
        </is>
      </c>
      <c r="I479" t="inlineStr">
        <is>
          <t>12.6</t>
        </is>
      </c>
      <c r="J479" t="inlineStr">
        <is>
          <t>4.4400000000000004</t>
        </is>
      </c>
      <c r="K479" t="inlineStr">
        <is>
          <t>144</t>
        </is>
      </c>
      <c r="L479" t="inlineStr">
        <is>
          <t>83.37</t>
        </is>
      </c>
      <c r="M479" t="inlineStr">
        <is>
          <t>4</t>
        </is>
      </c>
      <c r="N479" t="inlineStr">
        <is>
          <t>225</t>
        </is>
      </c>
    </row>
    <row r="480">
      <c r="A480" t="inlineStr">
        <is>
          <t>1183</t>
        </is>
      </c>
      <c r="B480" t="inlineStr">
        <is>
          <t>2RS</t>
        </is>
      </c>
      <c r="C480" t="inlineStr">
        <is>
          <t>SKYWAY</t>
        </is>
      </c>
      <c r="D480" t="inlineStr">
        <is>
          <t>2025-12-13T00:00:00</t>
        </is>
      </c>
      <c r="E480" t="inlineStr">
        <is>
          <t>2025-12-20T00:00:00</t>
        </is>
      </c>
      <c r="F480" t="inlineStr">
        <is>
          <t>83.96</t>
        </is>
      </c>
      <c r="G480" t="inlineStr">
        <is>
          <t>92.6</t>
        </is>
      </c>
      <c r="H480" t="inlineStr">
        <is>
          <t>284.13</t>
        </is>
      </c>
      <c r="I480" t="inlineStr">
        <is>
          <t>13.4</t>
        </is>
      </c>
      <c r="J480" t="inlineStr">
        <is>
          <t>4.5199999999999996</t>
        </is>
      </c>
      <c r="K480" t="inlineStr">
        <is>
          <t>153</t>
        </is>
      </c>
      <c r="L480" t="inlineStr">
        <is>
          <t>94.59</t>
        </is>
      </c>
      <c r="M480" t="inlineStr">
        <is>
          <t>3</t>
        </is>
      </c>
      <c r="N480" t="inlineStr">
        <is>
          <t>130</t>
        </is>
      </c>
    </row>
    <row r="481">
      <c r="A481" t="inlineStr">
        <is>
          <t>1184</t>
        </is>
      </c>
      <c r="B481" t="inlineStr">
        <is>
          <t>2RS</t>
        </is>
      </c>
      <c r="C481" t="inlineStr">
        <is>
          <t>TRAVELER</t>
        </is>
      </c>
      <c r="D481" t="inlineStr">
        <is>
          <t>2025-12-14T00:00:00</t>
        </is>
      </c>
      <c r="E481" t="inlineStr">
        <is>
          <t>2025-12-21T00:00:00</t>
        </is>
      </c>
      <c r="F481" t="inlineStr">
        <is>
          <t>84.95</t>
        </is>
      </c>
      <c r="G481" t="inlineStr">
        <is>
          <t>93.1</t>
        </is>
      </c>
      <c r="H481" t="inlineStr">
        <is>
          <t>286.26</t>
        </is>
      </c>
      <c r="I481" t="inlineStr">
        <is>
          <t>12.7</t>
        </is>
      </c>
      <c r="J481" t="inlineStr">
        <is>
          <t>4.29</t>
        </is>
      </c>
      <c r="K481" t="inlineStr">
        <is>
          <t>138</t>
        </is>
      </c>
      <c r="L481" t="inlineStr">
        <is>
          <t>82.93</t>
        </is>
      </c>
      <c r="M481" t="inlineStr">
        <is>
          <t>3.8</t>
        </is>
      </c>
      <c r="N481" t="inlineStr">
        <is>
          <t>240</t>
        </is>
      </c>
    </row>
    <row r="482">
      <c r="A482" t="inlineStr">
        <is>
          <t>1185</t>
        </is>
      </c>
      <c r="B482" t="inlineStr">
        <is>
          <t>2RS</t>
        </is>
      </c>
      <c r="C482" t="inlineStr">
        <is>
          <t>TRAVELER</t>
        </is>
      </c>
      <c r="D482" t="inlineStr">
        <is>
          <t>2025-12-16T00:00:00</t>
        </is>
      </c>
      <c r="E482" t="inlineStr">
        <is>
          <t>2025-12-22T00:00:00</t>
        </is>
      </c>
      <c r="F482" t="inlineStr">
        <is>
          <t>85.02</t>
        </is>
      </c>
      <c r="G482" t="inlineStr">
        <is>
          <t>93</t>
        </is>
      </c>
      <c r="H482" t="inlineStr">
        <is>
          <t>287.5</t>
        </is>
      </c>
      <c r="I482" t="inlineStr">
        <is>
          <t>12.7</t>
        </is>
      </c>
      <c r="J482" t="inlineStr">
        <is>
          <t>4.4800000000000004</t>
        </is>
      </c>
      <c r="K482" t="inlineStr">
        <is>
          <t>129</t>
        </is>
      </c>
      <c r="L482" t="inlineStr">
        <is>
          <t>81.91</t>
        </is>
      </c>
      <c r="M482" t="inlineStr">
        <is>
          <t>4.17</t>
        </is>
      </c>
      <c r="N482" t="inlineStr">
        <is>
          <t>233</t>
        </is>
      </c>
    </row>
    <row r="483">
      <c r="A483" t="inlineStr">
        <is>
          <t>1186</t>
        </is>
      </c>
      <c r="B483" t="inlineStr">
        <is>
          <t>2RS</t>
        </is>
      </c>
      <c r="C483" t="inlineStr">
        <is>
          <t>TRAVELER</t>
        </is>
      </c>
      <c r="D483" t="inlineStr">
        <is>
          <t>2025-12-17T00:00:00</t>
        </is>
      </c>
      <c r="E483" t="inlineStr">
        <is>
          <t>2025-12-23T00:00:00</t>
        </is>
      </c>
      <c r="F483" t="inlineStr">
        <is>
          <t>85.12</t>
        </is>
      </c>
      <c r="G483" t="inlineStr">
        <is>
          <t>93.2</t>
        </is>
      </c>
      <c r="H483" t="inlineStr">
        <is>
          <t>287.64</t>
        </is>
      </c>
      <c r="I483" t="inlineStr">
        <is>
          <t>12.7</t>
        </is>
      </c>
      <c r="J483" t="inlineStr">
        <is>
          <t>4.4000000000000004</t>
        </is>
      </c>
      <c r="K483" t="inlineStr">
        <is>
          <t>148</t>
        </is>
      </c>
      <c r="L483" t="inlineStr">
        <is>
          <t>85.62</t>
        </is>
      </c>
      <c r="M483" t="inlineStr">
        <is>
          <t>3.9</t>
        </is>
      </c>
      <c r="N483" t="inlineStr">
        <is>
          <t>227</t>
        </is>
      </c>
    </row>
    <row r="484">
      <c r="A484" t="inlineStr">
        <is>
          <t>1187</t>
        </is>
      </c>
      <c r="B484" t="inlineStr">
        <is>
          <t>2RS</t>
        </is>
      </c>
      <c r="C484" t="inlineStr">
        <is>
          <t>SKYWAY</t>
        </is>
      </c>
      <c r="D484" t="inlineStr">
        <is>
          <t>2025-12-18T00:00:00</t>
        </is>
      </c>
      <c r="E484" t="inlineStr">
        <is>
          <t>2025-12-24T00:00:00</t>
        </is>
      </c>
      <c r="F484" t="inlineStr">
        <is>
          <t>82.62</t>
        </is>
      </c>
      <c r="G484" t="inlineStr">
        <is>
          <t>91</t>
        </is>
      </c>
      <c r="H484" t="inlineStr">
        <is>
          <t>283.29000000000002</t>
        </is>
      </c>
      <c r="I484" t="inlineStr">
        <is>
          <t>13.4</t>
        </is>
      </c>
      <c r="J484" t="inlineStr">
        <is>
          <t>4.66</t>
        </is>
      </c>
      <c r="K484" t="inlineStr">
        <is>
          <t>141</t>
        </is>
      </c>
      <c r="L484" t="inlineStr">
        <is>
          <t>92.64</t>
        </is>
      </c>
      <c r="M484" t="inlineStr">
        <is>
          <t>2.73</t>
        </is>
      </c>
      <c r="N484" t="inlineStr">
        <is>
          <t>214</t>
        </is>
      </c>
    </row>
    <row r="485">
      <c r="A485" t="inlineStr">
        <is>
          <t>1188</t>
        </is>
      </c>
      <c r="B485" t="inlineStr">
        <is>
          <t>2RS</t>
        </is>
      </c>
      <c r="C485" t="inlineStr">
        <is>
          <t>TRAVELER</t>
        </is>
      </c>
      <c r="D485" t="inlineStr">
        <is>
          <t>2025-12-19T00:00:00</t>
        </is>
      </c>
      <c r="E485" t="inlineStr">
        <is>
          <t>2025-12-25T00:00:00</t>
        </is>
      </c>
      <c r="F485" t="inlineStr">
        <is>
          <t>85.57</t>
        </is>
      </c>
      <c r="G485" t="inlineStr"/>
      <c r="H485" t="inlineStr">
        <is>
          <t>287.02</t>
        </is>
      </c>
      <c r="I485" t="inlineStr">
        <is>
          <t>11.6</t>
        </is>
      </c>
      <c r="J485" t="inlineStr"/>
      <c r="K485" t="inlineStr"/>
      <c r="L485" t="inlineStr"/>
      <c r="M485" t="inlineStr"/>
      <c r="N485" t="inlineStr"/>
    </row>
    <row r="486">
      <c r="A486" t="inlineStr">
        <is>
          <t>1189</t>
        </is>
      </c>
      <c r="B486" t="inlineStr">
        <is>
          <t>2RS</t>
        </is>
      </c>
      <c r="C486" t="inlineStr">
        <is>
          <t>TRAVELER</t>
        </is>
      </c>
      <c r="D486" t="inlineStr">
        <is>
          <t>2025-12-20T00:00:00</t>
        </is>
      </c>
      <c r="E486" t="inlineStr">
        <is>
          <t>2025-12-27T00:00:00</t>
        </is>
      </c>
      <c r="F486" t="inlineStr">
        <is>
          <t>84.72</t>
        </is>
      </c>
      <c r="G486" t="inlineStr">
        <is>
          <t>92.9</t>
        </is>
      </c>
      <c r="H486" t="inlineStr">
        <is>
          <t>287.42</t>
        </is>
      </c>
      <c r="I486" t="inlineStr">
        <is>
          <t>12.7</t>
        </is>
      </c>
      <c r="J486" t="inlineStr">
        <is>
          <t>4.22</t>
        </is>
      </c>
      <c r="K486" t="inlineStr">
        <is>
          <t>149</t>
        </is>
      </c>
      <c r="L486" t="inlineStr">
        <is>
          <t>85.62</t>
        </is>
      </c>
      <c r="M486" t="inlineStr">
        <is>
          <t>3.8</t>
        </is>
      </c>
      <c r="N486" t="inlineStr">
        <is>
          <t>200</t>
        </is>
      </c>
    </row>
    <row r="487">
      <c r="A487" t="inlineStr">
        <is>
          <t>1190</t>
        </is>
      </c>
      <c r="B487" t="inlineStr">
        <is>
          <t>IBON</t>
        </is>
      </c>
      <c r="C487" t="inlineStr">
        <is>
          <t>IBON</t>
        </is>
      </c>
      <c r="D487" t="inlineStr">
        <is>
          <t>2025-12-21T00:00:00</t>
        </is>
      </c>
      <c r="E487" t="inlineStr">
        <is>
          <t>2025-12-28T00:00:00</t>
        </is>
      </c>
      <c r="F487" t="inlineStr">
        <is>
          <t>84.67</t>
        </is>
      </c>
      <c r="G487" t="inlineStr">
        <is>
          <t>93.1</t>
        </is>
      </c>
      <c r="H487" t="inlineStr">
        <is>
          <t>282.63</t>
        </is>
      </c>
      <c r="I487" t="inlineStr">
        <is>
          <t>13.3</t>
        </is>
      </c>
      <c r="J487" t="inlineStr">
        <is>
          <t>4.6900000000000004</t>
        </is>
      </c>
      <c r="K487" t="inlineStr">
        <is>
          <t>139</t>
        </is>
      </c>
      <c r="L487" t="inlineStr">
        <is>
          <t>52.82</t>
        </is>
      </c>
      <c r="M487" t="inlineStr">
        <is>
          <t>3.4</t>
        </is>
      </c>
      <c r="N487" t="inlineStr">
        <is>
          <t>568</t>
        </is>
      </c>
    </row>
    <row r="488">
      <c r="A488" t="inlineStr">
        <is>
          <t>1191</t>
        </is>
      </c>
      <c r="B488" t="inlineStr">
        <is>
          <t>IBON</t>
        </is>
      </c>
      <c r="C488" t="inlineStr">
        <is>
          <t>IBON</t>
        </is>
      </c>
      <c r="D488" t="inlineStr">
        <is>
          <t>2025-12-22T00:00:00</t>
        </is>
      </c>
      <c r="E488" t="inlineStr">
        <is>
          <t>2025-12-29T00:00:00</t>
        </is>
      </c>
      <c r="F488" t="inlineStr">
        <is>
          <t>87.23</t>
        </is>
      </c>
      <c r="G488" t="inlineStr">
        <is>
          <t>96</t>
        </is>
      </c>
      <c r="H488" t="inlineStr">
        <is>
          <t>281.57</t>
        </is>
      </c>
      <c r="I488" t="inlineStr">
        <is>
          <t>13.3</t>
        </is>
      </c>
      <c r="J488" t="inlineStr">
        <is>
          <t>4.57</t>
        </is>
      </c>
      <c r="K488" t="inlineStr">
        <is>
          <t>133</t>
        </is>
      </c>
      <c r="L488" t="inlineStr">
        <is>
          <t>53.91</t>
        </is>
      </c>
      <c r="M488" t="inlineStr">
        <is>
          <t>3.95</t>
        </is>
      </c>
      <c r="N488" t="inlineStr">
        <is>
          <t>589</t>
        </is>
      </c>
    </row>
    <row r="489">
      <c r="A489" t="inlineStr">
        <is>
          <t>1192</t>
        </is>
      </c>
      <c r="B489" t="inlineStr">
        <is>
          <t>2RS</t>
        </is>
      </c>
      <c r="C489" t="inlineStr">
        <is>
          <t>SKYWAY</t>
        </is>
      </c>
      <c r="D489" t="inlineStr">
        <is>
          <t>2025-12-24T00:00:00</t>
        </is>
      </c>
      <c r="E489" t="inlineStr">
        <is>
          <t>2025-12-30T00:00:00</t>
        </is>
      </c>
      <c r="F489" t="inlineStr">
        <is>
          <t>83.32</t>
        </is>
      </c>
      <c r="G489" t="inlineStr">
        <is>
          <t>92.5</t>
        </is>
      </c>
      <c r="H489" t="inlineStr">
        <is>
          <t>283.89</t>
        </is>
      </c>
      <c r="I489" t="inlineStr">
        <is>
          <t>13.8</t>
        </is>
      </c>
      <c r="J489" t="inlineStr">
        <is>
          <t>4.3499999999999996</t>
        </is>
      </c>
      <c r="K489" t="inlineStr">
        <is>
          <t>139</t>
        </is>
      </c>
      <c r="L489" t="inlineStr">
        <is>
          <t>88.91</t>
        </is>
      </c>
      <c r="M489" t="inlineStr">
        <is>
          <t>2.9</t>
        </is>
      </c>
      <c r="N489" t="inlineStr">
        <is>
          <t>243</t>
        </is>
      </c>
    </row>
    <row r="490">
      <c r="A490" t="inlineStr">
        <is>
          <t>1193</t>
        </is>
      </c>
      <c r="B490" t="inlineStr">
        <is>
          <t>IBON</t>
        </is>
      </c>
      <c r="C490" t="inlineStr">
        <is>
          <t>IBON</t>
        </is>
      </c>
      <c r="D490" t="inlineStr">
        <is>
          <t>2025-12-25T00:00:00</t>
        </is>
      </c>
      <c r="E490" t="inlineStr">
        <is>
          <t>2025-12-31T00:00:00</t>
        </is>
      </c>
      <c r="F490" t="inlineStr">
        <is>
          <t>85.08</t>
        </is>
      </c>
      <c r="G490" t="inlineStr">
        <is>
          <t>93.5</t>
        </is>
      </c>
      <c r="H490" t="inlineStr">
        <is>
          <t>282.92</t>
        </is>
      </c>
      <c r="I490" t="inlineStr">
        <is>
          <t>13</t>
        </is>
      </c>
      <c r="J490" t="inlineStr">
        <is>
          <t>4.37</t>
        </is>
      </c>
      <c r="K490" t="inlineStr">
        <is>
          <t>138</t>
        </is>
      </c>
      <c r="L490" t="inlineStr">
        <is>
          <t>55.2</t>
        </is>
      </c>
      <c r="M490" t="inlineStr">
        <is>
          <t>3.7</t>
        </is>
      </c>
      <c r="N490" t="inlineStr">
        <is>
          <t>521</t>
        </is>
      </c>
    </row>
    <row r="491">
      <c r="A491" t="inlineStr">
        <is>
          <t>1194</t>
        </is>
      </c>
      <c r="B491" t="inlineStr">
        <is>
          <t>2RS</t>
        </is>
      </c>
      <c r="C491" t="inlineStr">
        <is>
          <t>TRAVELER</t>
        </is>
      </c>
      <c r="D491" t="inlineStr">
        <is>
          <t>2025-12-26T00:00:00</t>
        </is>
      </c>
      <c r="E491" t="inlineStr">
        <is>
          <t>2026-01-01T00:00:00</t>
        </is>
      </c>
      <c r="F491" t="inlineStr">
        <is>
          <t>84.91</t>
        </is>
      </c>
      <c r="G491" t="inlineStr">
        <is>
          <t>93.4</t>
        </is>
      </c>
      <c r="H491" t="inlineStr">
        <is>
          <t>287.60000000000002</t>
        </is>
      </c>
      <c r="I491" t="inlineStr">
        <is>
          <t>12.9</t>
        </is>
      </c>
      <c r="J491" t="inlineStr">
        <is>
          <t>4.1900000000000004</t>
        </is>
      </c>
      <c r="K491" t="inlineStr">
        <is>
          <t>138</t>
        </is>
      </c>
      <c r="L491" t="inlineStr">
        <is>
          <t>85.03</t>
        </is>
      </c>
      <c r="M491" t="inlineStr">
        <is>
          <t>3.9</t>
        </is>
      </c>
      <c r="N491" t="inlineStr">
        <is>
          <t>250</t>
        </is>
      </c>
    </row>
    <row r="492">
      <c r="A492" t="inlineStr">
        <is>
          <t>1195</t>
        </is>
      </c>
      <c r="B492" t="inlineStr">
        <is>
          <t>2RS</t>
        </is>
      </c>
      <c r="C492" t="inlineStr">
        <is>
          <t>TRAVELER</t>
        </is>
      </c>
      <c r="D492" t="inlineStr">
        <is>
          <t>2025-12-27T00:00:00</t>
        </is>
      </c>
      <c r="E492" t="inlineStr">
        <is>
          <t>2026-01-03T00:00:00</t>
        </is>
      </c>
      <c r="F492" t="inlineStr">
        <is>
          <t>84.75</t>
        </is>
      </c>
      <c r="G492" t="inlineStr">
        <is>
          <t>92.9</t>
        </is>
      </c>
      <c r="H492" t="inlineStr">
        <is>
          <t>287.45999999999998</t>
        </is>
      </c>
      <c r="I492" t="inlineStr">
        <is>
          <t>12.9</t>
        </is>
      </c>
      <c r="J492" t="inlineStr">
        <is>
          <t>4.55</t>
        </is>
      </c>
      <c r="K492" t="inlineStr">
        <is>
          <t>152</t>
        </is>
      </c>
      <c r="L492" t="inlineStr">
        <is>
          <t>87.5</t>
        </is>
      </c>
      <c r="M492" t="inlineStr">
        <is>
          <t>3.85</t>
        </is>
      </c>
      <c r="N492" t="inlineStr">
        <is>
          <t>190</t>
        </is>
      </c>
    </row>
    <row r="493">
      <c r="A493" t="inlineStr">
        <is>
          <t>1196</t>
        </is>
      </c>
      <c r="B493" t="inlineStr">
        <is>
          <t>2RS</t>
        </is>
      </c>
      <c r="C493" t="inlineStr">
        <is>
          <t>TRAVELER</t>
        </is>
      </c>
      <c r="D493" t="inlineStr">
        <is>
          <t>2025-12-28T00:00:00</t>
        </is>
      </c>
      <c r="E493" t="inlineStr">
        <is>
          <t>2026-01-04T00:00:00</t>
        </is>
      </c>
      <c r="F493" t="inlineStr">
        <is>
          <t>84.49</t>
        </is>
      </c>
      <c r="G493" t="inlineStr">
        <is>
          <t>93</t>
        </is>
      </c>
      <c r="H493" t="inlineStr">
        <is>
          <t>287.10000000000002</t>
        </is>
      </c>
      <c r="I493" t="inlineStr">
        <is>
          <t>12.9</t>
        </is>
      </c>
      <c r="J493" t="inlineStr">
        <is>
          <t>4.1399999999999997</t>
        </is>
      </c>
      <c r="K493" t="inlineStr">
        <is>
          <t>151</t>
        </is>
      </c>
      <c r="L493" t="inlineStr">
        <is>
          <t>87.69</t>
        </is>
      </c>
      <c r="M493" t="inlineStr">
        <is>
          <t>3.6</t>
        </is>
      </c>
      <c r="N493" t="inlineStr">
        <is>
          <t>185</t>
        </is>
      </c>
    </row>
    <row r="494">
      <c r="A494" t="inlineStr">
        <is>
          <t>1197</t>
        </is>
      </c>
      <c r="B494" t="inlineStr">
        <is>
          <t>2RS</t>
        </is>
      </c>
      <c r="C494" t="inlineStr">
        <is>
          <t>TRAVELER</t>
        </is>
      </c>
      <c r="D494" t="inlineStr">
        <is>
          <t>2025-12-29T00:00:00</t>
        </is>
      </c>
      <c r="E494" t="inlineStr">
        <is>
          <t>2026-01-05T00:00:00</t>
        </is>
      </c>
      <c r="F494" t="inlineStr">
        <is>
          <t>84.96</t>
        </is>
      </c>
      <c r="G494" t="inlineStr"/>
      <c r="H494" t="inlineStr">
        <is>
          <t>286.8</t>
        </is>
      </c>
      <c r="I494" t="inlineStr">
        <is>
          <t>11.1</t>
        </is>
      </c>
      <c r="J494" t="inlineStr"/>
      <c r="K494" t="inlineStr"/>
      <c r="L494" t="inlineStr"/>
      <c r="M494" t="inlineStr"/>
      <c r="N494" t="inlineStr"/>
    </row>
    <row r="495">
      <c r="A495" t="inlineStr">
        <is>
          <t>1198</t>
        </is>
      </c>
      <c r="B495" t="inlineStr">
        <is>
          <t>2RS</t>
        </is>
      </c>
      <c r="C495" t="inlineStr">
        <is>
          <t>TRAVELER</t>
        </is>
      </c>
      <c r="D495" t="inlineStr">
        <is>
          <t>2025-12-31T00:00:00</t>
        </is>
      </c>
      <c r="E495" t="inlineStr">
        <is>
          <t>2026-01-07T00:00:00</t>
        </is>
      </c>
      <c r="F495" t="inlineStr">
        <is>
          <t>85.54</t>
        </is>
      </c>
      <c r="G495" t="inlineStr"/>
      <c r="H495" t="inlineStr">
        <is>
          <t>286.81</t>
        </is>
      </c>
      <c r="I495" t="inlineStr">
        <is>
          <t>11.1</t>
        </is>
      </c>
      <c r="J495" t="inlineStr"/>
      <c r="K495" t="inlineStr"/>
      <c r="L495" t="inlineStr"/>
      <c r="M495" t="inlineStr"/>
      <c r="N495" t="inlineStr"/>
    </row>
    <row r="496">
      <c r="A496" t="inlineStr">
        <is>
          <t>1199</t>
        </is>
      </c>
      <c r="B496" t="inlineStr">
        <is>
          <t>2RS</t>
        </is>
      </c>
      <c r="C496" t="inlineStr">
        <is>
          <t>TRAVELER</t>
        </is>
      </c>
      <c r="D496" t="inlineStr">
        <is>
          <t>2026-01-01T00:00:00</t>
        </is>
      </c>
      <c r="E496" t="inlineStr">
        <is>
          <t>2026-01-08T00:00:00</t>
        </is>
      </c>
      <c r="F496" t="inlineStr">
        <is>
          <t>85.82</t>
        </is>
      </c>
      <c r="G496" t="inlineStr"/>
      <c r="H496" t="inlineStr">
        <is>
          <t>287.01</t>
        </is>
      </c>
      <c r="I496" t="inlineStr">
        <is>
          <t>11.3</t>
        </is>
      </c>
      <c r="J496" t="inlineStr"/>
      <c r="K496" t="inlineStr"/>
      <c r="L496" t="inlineStr"/>
      <c r="M496" t="inlineStr"/>
      <c r="N496" t="inlineStr"/>
    </row>
    <row r="497">
      <c r="A497" t="inlineStr">
        <is>
          <t>1200</t>
        </is>
      </c>
      <c r="B497" t="inlineStr">
        <is>
          <t>IBON</t>
        </is>
      </c>
      <c r="C497" t="inlineStr">
        <is>
          <t>IBON</t>
        </is>
      </c>
      <c r="D497" t="inlineStr">
        <is>
          <t>2026-01-02T00:00:00</t>
        </is>
      </c>
      <c r="E497" t="inlineStr">
        <is>
          <t>2026-01-09T00:00:00</t>
        </is>
      </c>
      <c r="F497" t="inlineStr">
        <is>
          <t>85.77</t>
        </is>
      </c>
      <c r="G497" t="inlineStr">
        <is>
          <t>94.1</t>
        </is>
      </c>
      <c r="H497" t="inlineStr">
        <is>
          <t>282.99</t>
        </is>
      </c>
      <c r="I497" t="inlineStr">
        <is>
          <t>12.9</t>
        </is>
      </c>
      <c r="J497" t="inlineStr">
        <is>
          <t>4.43</t>
        </is>
      </c>
      <c r="K497" t="inlineStr">
        <is>
          <t>149</t>
        </is>
      </c>
      <c r="L497" t="inlineStr">
        <is>
          <t>60</t>
        </is>
      </c>
      <c r="M497" t="inlineStr">
        <is>
          <t>4.0999999999999996</t>
        </is>
      </c>
      <c r="N497" t="inlineStr">
        <is>
          <t>524</t>
        </is>
      </c>
    </row>
    <row r="498">
      <c r="A498" t="inlineStr">
        <is>
          <t>1201</t>
        </is>
      </c>
      <c r="B498" t="inlineStr">
        <is>
          <t>2RS</t>
        </is>
      </c>
      <c r="C498" t="inlineStr">
        <is>
          <t>TRAVELER</t>
        </is>
      </c>
      <c r="D498" t="inlineStr">
        <is>
          <t>2026-01-03T00:00:00</t>
        </is>
      </c>
      <c r="E498" t="inlineStr">
        <is>
          <t>2026-01-11T00:00:00</t>
        </is>
      </c>
      <c r="F498" t="inlineStr">
        <is>
          <t>85.39</t>
        </is>
      </c>
      <c r="G498" t="inlineStr">
        <is>
          <t>93.9</t>
        </is>
      </c>
      <c r="H498" t="inlineStr">
        <is>
          <t>287.39999999999998</t>
        </is>
      </c>
      <c r="I498" t="inlineStr">
        <is>
          <t>12.8</t>
        </is>
      </c>
      <c r="J498" t="inlineStr">
        <is>
          <t>4.13</t>
        </is>
      </c>
      <c r="K498" t="inlineStr">
        <is>
          <t>148</t>
        </is>
      </c>
      <c r="L498" t="inlineStr">
        <is>
          <t>87.89</t>
        </is>
      </c>
      <c r="M498" t="inlineStr">
        <is>
          <t>4.2</t>
        </is>
      </c>
      <c r="N498" t="inlineStr">
        <is>
          <t>209</t>
        </is>
      </c>
    </row>
    <row r="499">
      <c r="A499" t="inlineStr">
        <is>
          <t>1202</t>
        </is>
      </c>
      <c r="B499" t="inlineStr">
        <is>
          <t>IBON</t>
        </is>
      </c>
      <c r="C499" t="inlineStr">
        <is>
          <t>IBON</t>
        </is>
      </c>
      <c r="D499" t="inlineStr">
        <is>
          <t>2026-01-05T00:00:00</t>
        </is>
      </c>
      <c r="E499" t="inlineStr">
        <is>
          <t>2026-01-12T00:00:00</t>
        </is>
      </c>
      <c r="F499" t="inlineStr">
        <is>
          <t>84.64</t>
        </is>
      </c>
      <c r="G499" t="inlineStr">
        <is>
          <t>93.7</t>
        </is>
      </c>
      <c r="H499" t="inlineStr">
        <is>
          <t>283.64999999999998</t>
        </is>
      </c>
      <c r="I499" t="inlineStr">
        <is>
          <t>13.5</t>
        </is>
      </c>
      <c r="J499" t="inlineStr">
        <is>
          <t>4.24</t>
        </is>
      </c>
      <c r="K499" t="inlineStr">
        <is>
          <t>154</t>
        </is>
      </c>
      <c r="L499" t="inlineStr">
        <is>
          <t>63.9</t>
        </is>
      </c>
      <c r="M499" t="inlineStr">
        <is>
          <t>4.3</t>
        </is>
      </c>
      <c r="N499" t="inlineStr">
        <is>
          <t>426</t>
        </is>
      </c>
    </row>
    <row r="500">
      <c r="A500" t="inlineStr">
        <is>
          <t>1203</t>
        </is>
      </c>
      <c r="B500" t="inlineStr">
        <is>
          <t>2RS</t>
        </is>
      </c>
      <c r="C500" t="inlineStr">
        <is>
          <t>SKYWAY</t>
        </is>
      </c>
      <c r="D500" t="inlineStr">
        <is>
          <t>2026-01-08T00:00:00</t>
        </is>
      </c>
      <c r="E500" t="inlineStr">
        <is>
          <t>2026-01-15T00:00:00</t>
        </is>
      </c>
      <c r="F500" t="inlineStr">
        <is>
          <t>83.57</t>
        </is>
      </c>
      <c r="G500" t="inlineStr">
        <is>
          <t>92.6</t>
        </is>
      </c>
      <c r="H500" t="inlineStr">
        <is>
          <t>283.91000000000003</t>
        </is>
      </c>
      <c r="I500" t="inlineStr">
        <is>
          <t>13.5</t>
        </is>
      </c>
      <c r="J500" t="inlineStr">
        <is>
          <t>4.1399999999999997</t>
        </is>
      </c>
      <c r="K500" t="inlineStr">
        <is>
          <t>132</t>
        </is>
      </c>
      <c r="L500" t="inlineStr">
        <is>
          <t>93.22</t>
        </is>
      </c>
      <c r="M500" t="inlineStr">
        <is>
          <t>2.7</t>
        </is>
      </c>
      <c r="N500" t="inlineStr">
        <is>
          <t>176</t>
        </is>
      </c>
    </row>
    <row r="501">
      <c r="A501" t="inlineStr">
        <is>
          <t>1204</t>
        </is>
      </c>
      <c r="B501" t="inlineStr">
        <is>
          <t>2RS</t>
        </is>
      </c>
      <c r="C501" t="inlineStr">
        <is>
          <t>TRAVELER</t>
        </is>
      </c>
      <c r="D501" t="inlineStr">
        <is>
          <t>2026-01-13T00:00:00</t>
        </is>
      </c>
      <c r="E501" t="inlineStr">
        <is>
          <t>2026-01-19T00:00:00</t>
        </is>
      </c>
      <c r="F501" t="inlineStr">
        <is>
          <t>86.49</t>
        </is>
      </c>
      <c r="G501" t="inlineStr"/>
      <c r="H501" t="inlineStr">
        <is>
          <t>287</t>
        </is>
      </c>
      <c r="I501" t="inlineStr">
        <is>
          <t>11.9</t>
        </is>
      </c>
      <c r="J501" t="inlineStr"/>
      <c r="K501" t="inlineStr"/>
      <c r="L501" t="inlineStr"/>
      <c r="M501" t="inlineStr"/>
      <c r="N501" t="inlineStr"/>
    </row>
    <row r="502">
      <c r="A502" t="inlineStr">
        <is>
          <t>1205</t>
        </is>
      </c>
      <c r="B502" t="inlineStr">
        <is>
          <t>2RS</t>
        </is>
      </c>
      <c r="C502" t="inlineStr">
        <is>
          <t>SKYWAY</t>
        </is>
      </c>
      <c r="D502" t="inlineStr">
        <is>
          <t>2026-01-14T00:00:00</t>
        </is>
      </c>
      <c r="E502" t="inlineStr">
        <is>
          <t>2026-01-21T00:00:00</t>
        </is>
      </c>
      <c r="F502" t="inlineStr">
        <is>
          <t>83.67</t>
        </is>
      </c>
      <c r="G502" t="inlineStr">
        <is>
          <t>92.2</t>
        </is>
      </c>
      <c r="H502" t="inlineStr">
        <is>
          <t>283.87</t>
        </is>
      </c>
      <c r="I502" t="inlineStr">
        <is>
          <t>13.3</t>
        </is>
      </c>
      <c r="J502" t="inlineStr">
        <is>
          <t>4.47</t>
        </is>
      </c>
      <c r="K502" t="inlineStr">
        <is>
          <t>166</t>
        </is>
      </c>
      <c r="L502" t="inlineStr">
        <is>
          <t>97.88</t>
        </is>
      </c>
      <c r="M502" t="inlineStr">
        <is>
          <t>2.94</t>
        </is>
      </c>
      <c r="N502" t="inlineStr">
        <is>
          <t>84</t>
        </is>
      </c>
    </row>
    <row r="503">
      <c r="A503" t="inlineStr">
        <is>
          <t>1206</t>
        </is>
      </c>
      <c r="B503" t="inlineStr">
        <is>
          <t>2RS</t>
        </is>
      </c>
      <c r="C503" t="inlineStr">
        <is>
          <t>TRAVELER</t>
        </is>
      </c>
      <c r="D503" t="inlineStr">
        <is>
          <t>2026-01-15T00:00:00</t>
        </is>
      </c>
      <c r="E503" t="inlineStr">
        <is>
          <t>2026-01-22T00:00:00</t>
        </is>
      </c>
      <c r="F503" t="inlineStr">
        <is>
          <t>85.59</t>
        </is>
      </c>
      <c r="G503" t="inlineStr"/>
      <c r="H503" t="inlineStr">
        <is>
          <t>286.39</t>
        </is>
      </c>
      <c r="I503" t="inlineStr">
        <is>
          <t>11.8</t>
        </is>
      </c>
      <c r="J503" t="inlineStr"/>
      <c r="K503" t="inlineStr"/>
      <c r="L503" t="inlineStr"/>
      <c r="M503" t="inlineStr"/>
      <c r="N503" t="inlineStr"/>
    </row>
    <row r="504">
      <c r="A504" t="inlineStr">
        <is>
          <t>1207</t>
        </is>
      </c>
      <c r="B504" t="inlineStr">
        <is>
          <t>2RS</t>
        </is>
      </c>
      <c r="C504" t="inlineStr">
        <is>
          <t>SKYWAY</t>
        </is>
      </c>
      <c r="D504" t="inlineStr">
        <is>
          <t>2026-01-16T00:00:00</t>
        </is>
      </c>
      <c r="E504" t="inlineStr">
        <is>
          <t>2026-01-23T00:00:00</t>
        </is>
      </c>
      <c r="F504" t="inlineStr">
        <is>
          <t>83.81</t>
        </is>
      </c>
      <c r="G504" t="inlineStr">
        <is>
          <t>92.6</t>
        </is>
      </c>
      <c r="H504" t="inlineStr">
        <is>
          <t>283.38</t>
        </is>
      </c>
      <c r="I504" t="inlineStr">
        <is>
          <t>13.5</t>
        </is>
      </c>
      <c r="J504" t="inlineStr">
        <is>
          <t>4.38</t>
        </is>
      </c>
      <c r="K504" t="inlineStr">
        <is>
          <t>162</t>
        </is>
      </c>
      <c r="L504" t="inlineStr">
        <is>
          <t>97.92</t>
        </is>
      </c>
      <c r="M504" t="inlineStr">
        <is>
          <t>2.8</t>
        </is>
      </c>
      <c r="N504" t="inlineStr">
        <is>
          <t>115</t>
        </is>
      </c>
    </row>
    <row r="505">
      <c r="A505" t="inlineStr">
        <is>
          <t>1208</t>
        </is>
      </c>
      <c r="B505" t="inlineStr">
        <is>
          <t>2RS</t>
        </is>
      </c>
      <c r="C505" t="inlineStr">
        <is>
          <t>SKYWAY</t>
        </is>
      </c>
      <c r="D505" t="inlineStr">
        <is>
          <t>2026-01-17T00:00:00</t>
        </is>
      </c>
      <c r="E505" t="inlineStr">
        <is>
          <t>2026-01-25T00:00:00</t>
        </is>
      </c>
      <c r="F505" t="inlineStr">
        <is>
          <t>83.36</t>
        </is>
      </c>
      <c r="G505" t="inlineStr">
        <is>
          <t>91.7</t>
        </is>
      </c>
      <c r="H505" t="inlineStr">
        <is>
          <t>283.33</t>
        </is>
      </c>
      <c r="I505" t="inlineStr">
        <is>
          <t>13</t>
        </is>
      </c>
      <c r="J505" t="inlineStr">
        <is>
          <t>4.25</t>
        </is>
      </c>
      <c r="K505" t="inlineStr">
        <is>
          <t>175</t>
        </is>
      </c>
      <c r="L505" t="inlineStr">
        <is>
          <t>98.14</t>
        </is>
      </c>
      <c r="M505" t="inlineStr">
        <is>
          <t>3.1</t>
        </is>
      </c>
      <c r="N505" t="inlineStr">
        <is>
          <t>100</t>
        </is>
      </c>
    </row>
    <row r="506">
      <c r="A506" t="inlineStr">
        <is>
          <t>1209</t>
        </is>
      </c>
      <c r="B506" t="inlineStr">
        <is>
          <t>2RS</t>
        </is>
      </c>
      <c r="C506" t="inlineStr">
        <is>
          <t>TRAVELER</t>
        </is>
      </c>
      <c r="D506" t="inlineStr">
        <is>
          <t>2026-01-19T00:00:00</t>
        </is>
      </c>
      <c r="E506" t="inlineStr">
        <is>
          <t>2026-01-26T00:00:00</t>
        </is>
      </c>
      <c r="F506" t="inlineStr">
        <is>
          <t>85.51</t>
        </is>
      </c>
      <c r="G506" t="inlineStr">
        <is>
          <t>94.2</t>
        </is>
      </c>
      <c r="H506" t="inlineStr">
        <is>
          <t>286.67</t>
        </is>
      </c>
      <c r="I506" t="inlineStr">
        <is>
          <t>12.8</t>
        </is>
      </c>
      <c r="J506" t="inlineStr">
        <is>
          <t>3.9</t>
        </is>
      </c>
      <c r="K506" t="inlineStr">
        <is>
          <t>151</t>
        </is>
      </c>
      <c r="L506" t="inlineStr">
        <is>
          <t>87.6</t>
        </is>
      </c>
      <c r="M506" t="inlineStr">
        <is>
          <t>4.04</t>
        </is>
      </c>
      <c r="N506" t="inlineStr">
        <is>
          <t>201</t>
        </is>
      </c>
    </row>
    <row r="507">
      <c r="A507" t="inlineStr">
        <is>
          <t>1210</t>
        </is>
      </c>
      <c r="B507" t="inlineStr">
        <is>
          <t>2RS</t>
        </is>
      </c>
      <c r="C507" t="inlineStr">
        <is>
          <t>TRAVELER</t>
        </is>
      </c>
      <c r="D507" t="inlineStr">
        <is>
          <t>2026-01-20T00:00:00</t>
        </is>
      </c>
      <c r="E507" t="inlineStr">
        <is>
          <t>2026-01-27T00:00:00</t>
        </is>
      </c>
      <c r="F507" t="inlineStr">
        <is>
          <t>85.45</t>
        </is>
      </c>
      <c r="G507" t="inlineStr">
        <is>
          <t>93.2</t>
        </is>
      </c>
      <c r="H507" t="inlineStr">
        <is>
          <t>287.81</t>
        </is>
      </c>
      <c r="I507" t="inlineStr">
        <is>
          <t>12</t>
        </is>
      </c>
      <c r="J507" t="inlineStr">
        <is>
          <t>4.0199999999999996</t>
        </is>
      </c>
      <c r="K507" t="inlineStr">
        <is>
          <t>159</t>
        </is>
      </c>
      <c r="L507" t="inlineStr">
        <is>
          <t>85.34</t>
        </is>
      </c>
      <c r="M507" t="inlineStr">
        <is>
          <t>4.26</t>
        </is>
      </c>
      <c r="N507" t="inlineStr">
        <is>
          <t>223</t>
        </is>
      </c>
    </row>
    <row r="508">
      <c r="A508" t="inlineStr">
        <is>
          <t>1211</t>
        </is>
      </c>
      <c r="B508" t="inlineStr">
        <is>
          <t>2RS</t>
        </is>
      </c>
      <c r="C508" t="inlineStr">
        <is>
          <t>SKYWAY</t>
        </is>
      </c>
      <c r="D508" t="inlineStr">
        <is>
          <t>2026-01-22T00:00:00</t>
        </is>
      </c>
      <c r="E508" t="inlineStr">
        <is>
          <t>2026-01-29T00:00:00</t>
        </is>
      </c>
      <c r="F508" t="inlineStr">
        <is>
          <t>83.97</t>
        </is>
      </c>
      <c r="G508" t="inlineStr">
        <is>
          <t>92.5</t>
        </is>
      </c>
      <c r="H508" t="inlineStr">
        <is>
          <t>284.14</t>
        </is>
      </c>
      <c r="I508" t="inlineStr">
        <is>
          <t>13.2</t>
        </is>
      </c>
      <c r="J508" t="inlineStr">
        <is>
          <t>4.3499999999999996</t>
        </is>
      </c>
      <c r="K508" t="inlineStr">
        <is>
          <t>164</t>
        </is>
      </c>
      <c r="L508" t="inlineStr">
        <is>
          <t>97.19</t>
        </is>
      </c>
      <c r="M508" t="inlineStr">
        <is>
          <t>3.2</t>
        </is>
      </c>
      <c r="N508" t="inlineStr">
        <is>
          <t>108</t>
        </is>
      </c>
    </row>
    <row r="509">
      <c r="A509" t="inlineStr">
        <is>
          <t>1212</t>
        </is>
      </c>
      <c r="B509" t="inlineStr">
        <is>
          <t>2RS</t>
        </is>
      </c>
      <c r="C509" t="inlineStr">
        <is>
          <t>TRAVELER</t>
        </is>
      </c>
      <c r="D509" t="inlineStr">
        <is>
          <t>2026-01-23T00:00:00</t>
        </is>
      </c>
      <c r="E509" t="inlineStr">
        <is>
          <t>2026-01-30T00:00:00</t>
        </is>
      </c>
      <c r="F509" t="inlineStr">
        <is>
          <t>85.01</t>
        </is>
      </c>
      <c r="G509" t="inlineStr">
        <is>
          <t>93.7</t>
        </is>
      </c>
      <c r="H509" t="inlineStr">
        <is>
          <t>287.44</t>
        </is>
      </c>
      <c r="I509" t="inlineStr">
        <is>
          <t>12.9</t>
        </is>
      </c>
      <c r="J509" t="inlineStr">
        <is>
          <t>4.03</t>
        </is>
      </c>
      <c r="K509" t="inlineStr">
        <is>
          <t>137</t>
        </is>
      </c>
      <c r="L509" t="inlineStr">
        <is>
          <t>85.82</t>
        </is>
      </c>
      <c r="M509" t="inlineStr">
        <is>
          <t>4</t>
        </is>
      </c>
      <c r="N509" t="inlineStr">
        <is>
          <t>237</t>
        </is>
      </c>
    </row>
    <row r="510">
      <c r="A510" t="inlineStr">
        <is>
          <t>1213</t>
        </is>
      </c>
      <c r="B510" t="inlineStr">
        <is>
          <t>IBON</t>
        </is>
      </c>
      <c r="C510" t="inlineStr">
        <is>
          <t>IBON</t>
        </is>
      </c>
      <c r="D510" t="inlineStr">
        <is>
          <t>2026-01-24T00:00:00</t>
        </is>
      </c>
      <c r="E510" t="inlineStr">
        <is>
          <t>2026-02-01T00:00:00</t>
        </is>
      </c>
      <c r="F510" t="inlineStr">
        <is>
          <t>84.63</t>
        </is>
      </c>
      <c r="G510" t="inlineStr">
        <is>
          <t>92.9</t>
        </is>
      </c>
      <c r="H510" t="inlineStr">
        <is>
          <t>281.95</t>
        </is>
      </c>
      <c r="I510" t="inlineStr">
        <is>
          <t>12.9</t>
        </is>
      </c>
      <c r="J510" t="inlineStr">
        <is>
          <t>4.37</t>
        </is>
      </c>
      <c r="K510" t="inlineStr">
        <is>
          <t>149</t>
        </is>
      </c>
      <c r="L510" t="inlineStr">
        <is>
          <t>66.930000000000007</t>
        </is>
      </c>
      <c r="M510" t="inlineStr">
        <is>
          <t>4.9000000000000004</t>
        </is>
      </c>
      <c r="N510" t="inlineStr">
        <is>
          <t>270</t>
        </is>
      </c>
    </row>
    <row r="511">
      <c r="A511" t="inlineStr">
        <is>
          <t>1214</t>
        </is>
      </c>
      <c r="B511" t="inlineStr">
        <is>
          <t>IBON</t>
        </is>
      </c>
      <c r="C511" t="inlineStr">
        <is>
          <t>IBON</t>
        </is>
      </c>
      <c r="D511" t="inlineStr">
        <is>
          <t>2026-01-25T00:00:00</t>
        </is>
      </c>
      <c r="E511" t="inlineStr">
        <is>
          <t>2026-02-02T00:00:00</t>
        </is>
      </c>
      <c r="F511" t="inlineStr">
        <is>
          <t>83.66</t>
        </is>
      </c>
      <c r="G511" t="inlineStr">
        <is>
          <t>92</t>
        </is>
      </c>
      <c r="H511" t="inlineStr">
        <is>
          <t>282.64</t>
        </is>
      </c>
      <c r="I511" t="inlineStr">
        <is>
          <t>12.7</t>
        </is>
      </c>
      <c r="J511" t="inlineStr">
        <is>
          <t>4.05</t>
        </is>
      </c>
      <c r="K511" t="inlineStr">
        <is>
          <t>171</t>
        </is>
      </c>
      <c r="L511" t="inlineStr">
        <is>
          <t>67.38</t>
        </is>
      </c>
      <c r="M511" t="inlineStr">
        <is>
          <t>5.6</t>
        </is>
      </c>
      <c r="N511" t="inlineStr">
        <is>
          <t>170</t>
        </is>
      </c>
    </row>
    <row r="512">
      <c r="A512" t="inlineStr">
        <is>
          <t>1215</t>
        </is>
      </c>
      <c r="B512" t="inlineStr">
        <is>
          <t>IBON</t>
        </is>
      </c>
      <c r="C512" t="inlineStr">
        <is>
          <t>IBON</t>
        </is>
      </c>
      <c r="D512" t="inlineStr">
        <is>
          <t>2026-01-27T00:00:00</t>
        </is>
      </c>
      <c r="E512" t="inlineStr">
        <is>
          <t>2026-02-04T00:00:00</t>
        </is>
      </c>
      <c r="F512" t="inlineStr">
        <is>
          <t>83.74</t>
        </is>
      </c>
      <c r="G512" t="inlineStr">
        <is>
          <t>91.8</t>
        </is>
      </c>
      <c r="H512" t="inlineStr">
        <is>
          <t>281.07</t>
        </is>
      </c>
      <c r="I512" t="inlineStr">
        <is>
          <t>12.7</t>
        </is>
      </c>
      <c r="J512" t="inlineStr">
        <is>
          <t>4.34</t>
        </is>
      </c>
      <c r="K512" t="inlineStr">
        <is>
          <t>167</t>
        </is>
      </c>
      <c r="L512" t="inlineStr">
        <is>
          <t>70.91</t>
        </is>
      </c>
      <c r="M512" t="inlineStr">
        <is>
          <t>6</t>
        </is>
      </c>
      <c r="N512" t="inlineStr">
        <is>
          <t>226</t>
        </is>
      </c>
    </row>
    <row r="513">
      <c r="A513" t="inlineStr">
        <is>
          <t>1216</t>
        </is>
      </c>
      <c r="B513" t="inlineStr">
        <is>
          <t>IBON</t>
        </is>
      </c>
      <c r="C513" t="inlineStr">
        <is>
          <t>IBON</t>
        </is>
      </c>
      <c r="D513" t="inlineStr">
        <is>
          <t>2026-01-28T00:00:00</t>
        </is>
      </c>
      <c r="E513" t="inlineStr">
        <is>
          <t>2026-02-05T00:00:00</t>
        </is>
      </c>
      <c r="F513" t="inlineStr">
        <is>
          <t>81.81</t>
        </is>
      </c>
      <c r="G513" t="inlineStr">
        <is>
          <t>90.4</t>
        </is>
      </c>
      <c r="H513" t="inlineStr">
        <is>
          <t>282.62</t>
        </is>
      </c>
      <c r="I513" t="inlineStr">
        <is>
          <t>13</t>
        </is>
      </c>
      <c r="J513" t="inlineStr">
        <is>
          <t>3.9</t>
        </is>
      </c>
      <c r="K513" t="inlineStr">
        <is>
          <t>176.4</t>
        </is>
      </c>
      <c r="L513" t="inlineStr">
        <is>
          <t>70.12</t>
        </is>
      </c>
      <c r="M513" t="inlineStr">
        <is>
          <t>5.7</t>
        </is>
      </c>
      <c r="N513" t="inlineStr">
        <is>
          <t>268</t>
        </is>
      </c>
    </row>
    <row r="514">
      <c r="A514" t="inlineStr">
        <is>
          <t>1217</t>
        </is>
      </c>
      <c r="B514" t="inlineStr">
        <is>
          <t>2RS</t>
        </is>
      </c>
      <c r="C514" t="inlineStr">
        <is>
          <t>SKYWAY</t>
        </is>
      </c>
      <c r="D514" t="inlineStr">
        <is>
          <t>2026-01-30T00:00:00</t>
        </is>
      </c>
      <c r="E514" t="inlineStr">
        <is>
          <t>2026-02-06T00:00:00</t>
        </is>
      </c>
      <c r="F514" t="inlineStr">
        <is>
          <t>84.8</t>
        </is>
      </c>
      <c r="G514" t="inlineStr"/>
      <c r="H514" t="inlineStr">
        <is>
          <t>284.12</t>
        </is>
      </c>
      <c r="I514" t="inlineStr">
        <is>
          <t>13.6</t>
        </is>
      </c>
      <c r="J514" t="inlineStr"/>
      <c r="K514" t="inlineStr"/>
      <c r="L514" t="inlineStr"/>
      <c r="M514" t="inlineStr"/>
      <c r="N514" t="inlineStr"/>
    </row>
    <row r="515">
      <c r="A515" t="inlineStr">
        <is>
          <t>1218</t>
        </is>
      </c>
      <c r="B515" t="inlineStr">
        <is>
          <t>2RS</t>
        </is>
      </c>
      <c r="C515" t="inlineStr">
        <is>
          <t>TRAVELER</t>
        </is>
      </c>
      <c r="D515" t="inlineStr">
        <is>
          <t>2026-01-31T00:00:00</t>
        </is>
      </c>
      <c r="E515" t="inlineStr">
        <is>
          <t>2026-02-08T00:00:00</t>
        </is>
      </c>
      <c r="F515" t="inlineStr">
        <is>
          <t>85.84</t>
        </is>
      </c>
      <c r="G515" t="inlineStr">
        <is>
          <t>94.3</t>
        </is>
      </c>
      <c r="H515" t="inlineStr">
        <is>
          <t>287.81</t>
        </is>
      </c>
      <c r="I515" t="inlineStr">
        <is>
          <t>12.7</t>
        </is>
      </c>
      <c r="J515" t="inlineStr">
        <is>
          <t>4.0999999999999996</t>
        </is>
      </c>
      <c r="K515" t="inlineStr">
        <is>
          <t>154</t>
        </is>
      </c>
      <c r="L515" t="inlineStr">
        <is>
          <t>87.92</t>
        </is>
      </c>
      <c r="M515" t="inlineStr">
        <is>
          <t>4.3</t>
        </is>
      </c>
      <c r="N515" t="inlineStr">
        <is>
          <t>190</t>
        </is>
      </c>
    </row>
    <row r="516">
      <c r="A516" t="inlineStr">
        <is>
          <t>1219</t>
        </is>
      </c>
      <c r="B516" t="inlineStr">
        <is>
          <t>2RS</t>
        </is>
      </c>
      <c r="C516" t="inlineStr">
        <is>
          <t>SKYWAY</t>
        </is>
      </c>
      <c r="D516" t="inlineStr">
        <is>
          <t>2026-02-02T00:00:00</t>
        </is>
      </c>
      <c r="E516" t="inlineStr">
        <is>
          <t>2026-02-09T00:00:00</t>
        </is>
      </c>
      <c r="F516" t="inlineStr">
        <is>
          <t>84.84</t>
        </is>
      </c>
      <c r="G516" t="inlineStr"/>
      <c r="H516" t="inlineStr">
        <is>
          <t>284.2</t>
        </is>
      </c>
      <c r="I516" t="inlineStr">
        <is>
          <t>13.6</t>
        </is>
      </c>
      <c r="J516" t="inlineStr"/>
      <c r="K516" t="inlineStr"/>
      <c r="L516" t="inlineStr"/>
      <c r="M516" t="inlineStr"/>
      <c r="N516" t="inlineStr"/>
    </row>
    <row r="517">
      <c r="A517" t="inlineStr">
        <is>
          <t>1220</t>
        </is>
      </c>
      <c r="B517" t="inlineStr">
        <is>
          <t>2RS</t>
        </is>
      </c>
      <c r="C517" t="inlineStr">
        <is>
          <t>TRAVELER</t>
        </is>
      </c>
      <c r="D517" t="inlineStr">
        <is>
          <t>2026-02-03T00:00:00</t>
        </is>
      </c>
      <c r="E517" t="inlineStr">
        <is>
          <t>2026-02-10T00:00:00</t>
        </is>
      </c>
      <c r="F517" t="inlineStr">
        <is>
          <t>85.25</t>
        </is>
      </c>
      <c r="G517" t="inlineStr">
        <is>
          <t>93.7</t>
        </is>
      </c>
      <c r="H517" t="inlineStr">
        <is>
          <t>287.94</t>
        </is>
      </c>
      <c r="I517" t="inlineStr">
        <is>
          <t>12.6</t>
        </is>
      </c>
      <c r="J517" t="inlineStr">
        <is>
          <t>3.99</t>
        </is>
      </c>
      <c r="K517" t="inlineStr">
        <is>
          <t>138</t>
        </is>
      </c>
      <c r="L517" t="inlineStr">
        <is>
          <t>87</t>
        </is>
      </c>
      <c r="M517" t="inlineStr">
        <is>
          <t>3.83</t>
        </is>
      </c>
      <c r="N517" t="inlineStr">
        <is>
          <t>230</t>
        </is>
      </c>
    </row>
    <row r="518">
      <c r="A518" t="inlineStr">
        <is>
          <t>1221</t>
        </is>
      </c>
      <c r="B518" t="inlineStr">
        <is>
          <t>IBON</t>
        </is>
      </c>
      <c r="C518" t="inlineStr">
        <is>
          <t>IBON</t>
        </is>
      </c>
      <c r="D518" t="inlineStr">
        <is>
          <t>2026-02-04T00:00:00</t>
        </is>
      </c>
      <c r="E518" t="inlineStr">
        <is>
          <t>2026-02-12T00:00:00</t>
        </is>
      </c>
      <c r="F518" t="inlineStr">
        <is>
          <t>82.8</t>
        </is>
      </c>
      <c r="G518" t="inlineStr"/>
      <c r="H518" t="inlineStr">
        <is>
          <t>282.02</t>
        </is>
      </c>
      <c r="I518" t="inlineStr">
        <is>
          <t>12.7</t>
        </is>
      </c>
      <c r="J518" t="inlineStr"/>
      <c r="K518" t="inlineStr"/>
      <c r="L518" t="inlineStr"/>
      <c r="M518" t="inlineStr"/>
      <c r="N518" t="inlineStr"/>
    </row>
    <row r="519">
      <c r="A519" t="inlineStr">
        <is>
          <t>1222</t>
        </is>
      </c>
      <c r="B519" t="inlineStr">
        <is>
          <t>IBON</t>
        </is>
      </c>
      <c r="C519" t="inlineStr">
        <is>
          <t>IBON</t>
        </is>
      </c>
      <c r="D519" t="inlineStr">
        <is>
          <t>2026-02-06T00:00:00</t>
        </is>
      </c>
      <c r="E519" t="inlineStr">
        <is>
          <t>2026-02-13T00:00:00</t>
        </is>
      </c>
      <c r="F519" t="inlineStr">
        <is>
          <t>82.75</t>
        </is>
      </c>
      <c r="G519" t="inlineStr">
        <is>
          <t>91</t>
        </is>
      </c>
      <c r="H519" t="inlineStr">
        <is>
          <t>283.33</t>
        </is>
      </c>
      <c r="I519" t="inlineStr">
        <is>
          <t>12.9</t>
        </is>
      </c>
      <c r="J519" t="inlineStr">
        <is>
          <t>4.17</t>
        </is>
      </c>
      <c r="K519" t="inlineStr">
        <is>
          <t>183</t>
        </is>
      </c>
      <c r="L519" t="inlineStr">
        <is>
          <t>77.73</t>
        </is>
      </c>
      <c r="M519" t="inlineStr">
        <is>
          <t>4.5999999999999996</t>
        </is>
      </c>
      <c r="N519" t="inlineStr">
        <is>
          <t>163</t>
        </is>
      </c>
    </row>
    <row r="520">
      <c r="A520" t="inlineStr">
        <is>
          <t>1223</t>
        </is>
      </c>
      <c r="B520" t="inlineStr">
        <is>
          <t>IBON</t>
        </is>
      </c>
      <c r="C520" t="inlineStr">
        <is>
          <t>IBON</t>
        </is>
      </c>
      <c r="D520" t="inlineStr">
        <is>
          <t>2026-02-09T00:00:00</t>
        </is>
      </c>
      <c r="E520" t="inlineStr">
        <is>
          <t>2026-02-17T00:00:00</t>
        </is>
      </c>
      <c r="F520" t="inlineStr"/>
      <c r="G520" t="inlineStr"/>
      <c r="H520" t="inlineStr">
        <is>
          <t>281.26</t>
        </is>
      </c>
      <c r="I520" t="inlineStr">
        <is>
          <t>12.6</t>
        </is>
      </c>
      <c r="J520" t="inlineStr">
        <is>
          <t>4.24</t>
        </is>
      </c>
      <c r="K520" t="inlineStr">
        <is>
          <t>174</t>
        </is>
      </c>
      <c r="L520" t="inlineStr">
        <is>
          <t>69.92</t>
        </is>
      </c>
      <c r="M520" t="inlineStr">
        <is>
          <t>3.83</t>
        </is>
      </c>
      <c r="N520" t="inlineStr">
        <is>
          <t>217</t>
        </is>
      </c>
    </row>
    <row r="521">
      <c r="A521" t="inlineStr">
        <is>
          <t>1224</t>
        </is>
      </c>
      <c r="B521" t="inlineStr">
        <is>
          <t>IBON</t>
        </is>
      </c>
      <c r="C521" t="inlineStr">
        <is>
          <t>IBON</t>
        </is>
      </c>
      <c r="D521" t="inlineStr">
        <is>
          <t>2026-02-13T00:00:00</t>
        </is>
      </c>
      <c r="E521" t="inlineStr">
        <is>
          <t>2026-02-20T00:00:00</t>
        </is>
      </c>
      <c r="F521" t="inlineStr"/>
      <c r="G521" t="inlineStr"/>
      <c r="H521" t="inlineStr">
        <is>
          <t>281.37</t>
        </is>
      </c>
      <c r="I521" t="inlineStr">
        <is>
          <t>12.4</t>
        </is>
      </c>
      <c r="J521" t="inlineStr">
        <is>
          <t>4.3499999999999996</t>
        </is>
      </c>
      <c r="K521" t="inlineStr">
        <is>
          <t>166</t>
        </is>
      </c>
      <c r="L521" t="inlineStr">
        <is>
          <t>67.34</t>
        </is>
      </c>
      <c r="M521" t="inlineStr">
        <is>
          <t>3.8</t>
        </is>
      </c>
      <c r="N521" t="inlineStr">
        <is>
          <t>374</t>
        </is>
      </c>
    </row>
    <row r="522">
      <c r="A522" t="inlineStr">
        <is>
          <t>1225</t>
        </is>
      </c>
      <c r="B522" t="inlineStr">
        <is>
          <t>IBON</t>
        </is>
      </c>
      <c r="C522" t="inlineStr">
        <is>
          <t>IBON</t>
        </is>
      </c>
      <c r="D522" t="inlineStr">
        <is>
          <t>2026-02-14T00:00:00</t>
        </is>
      </c>
      <c r="E522" t="inlineStr">
        <is>
          <t>2026-02-21T00:00:00</t>
        </is>
      </c>
      <c r="F522" t="inlineStr">
        <is>
          <t>84.92</t>
        </is>
      </c>
      <c r="G522" t="inlineStr">
        <is>
          <t>92.7</t>
        </is>
      </c>
      <c r="H522" t="inlineStr">
        <is>
          <t>281.14</t>
        </is>
      </c>
      <c r="I522" t="inlineStr">
        <is>
          <t>12.3</t>
        </is>
      </c>
      <c r="J522" t="inlineStr">
        <is>
          <t>4.28</t>
        </is>
      </c>
      <c r="K522" t="inlineStr">
        <is>
          <t>177</t>
        </is>
      </c>
      <c r="L522" t="inlineStr">
        <is>
          <t>66.23</t>
        </is>
      </c>
      <c r="M522" t="inlineStr">
        <is>
          <t>3.88</t>
        </is>
      </c>
      <c r="N522" t="inlineStr">
        <is>
          <t>275</t>
        </is>
      </c>
    </row>
    <row r="523">
      <c r="A523" t="inlineStr">
        <is>
          <t>1226</t>
        </is>
      </c>
      <c r="B523" t="inlineStr">
        <is>
          <t>IBON</t>
        </is>
      </c>
      <c r="C523" t="inlineStr">
        <is>
          <t>IBON</t>
        </is>
      </c>
      <c r="D523" t="inlineStr">
        <is>
          <t>2026-02-17T00:00:00</t>
        </is>
      </c>
      <c r="E523" t="inlineStr">
        <is>
          <t>2026-02-24T00:00:00</t>
        </is>
      </c>
      <c r="F523" t="inlineStr">
        <is>
          <t>84.76</t>
        </is>
      </c>
      <c r="G523" t="inlineStr">
        <is>
          <t>92.4</t>
        </is>
      </c>
      <c r="H523" t="inlineStr">
        <is>
          <t>281.33</t>
        </is>
      </c>
      <c r="I523" t="inlineStr">
        <is>
          <t>12</t>
        </is>
      </c>
      <c r="J523" t="inlineStr">
        <is>
          <t>4.04</t>
        </is>
      </c>
      <c r="K523" t="inlineStr">
        <is>
          <t>178</t>
        </is>
      </c>
      <c r="L523" t="inlineStr">
        <is>
          <t>70.52</t>
        </is>
      </c>
      <c r="M523" t="inlineStr">
        <is>
          <t>4.17</t>
        </is>
      </c>
      <c r="N523" t="inlineStr">
        <is>
          <t>241</t>
        </is>
      </c>
    </row>
    <row r="524">
      <c r="A524" t="inlineStr">
        <is>
          <t>1227</t>
        </is>
      </c>
      <c r="B524" t="inlineStr">
        <is>
          <t>IBON</t>
        </is>
      </c>
      <c r="C524" t="inlineStr">
        <is>
          <t>IBON</t>
        </is>
      </c>
      <c r="D524" t="inlineStr">
        <is>
          <t>2026-02-18T00:00:00</t>
        </is>
      </c>
      <c r="E524" t="inlineStr">
        <is>
          <t>2026-02-26T00:00:00</t>
        </is>
      </c>
      <c r="F524" t="inlineStr">
        <is>
          <t>86.32</t>
        </is>
      </c>
      <c r="G524" t="inlineStr">
        <is>
          <t>93.8</t>
        </is>
      </c>
      <c r="H524" t="inlineStr">
        <is>
          <t>280.89</t>
        </is>
      </c>
      <c r="I524" t="inlineStr">
        <is>
          <t>11.9</t>
        </is>
      </c>
      <c r="J524" t="inlineStr">
        <is>
          <t>4.22</t>
        </is>
      </c>
      <c r="K524" t="inlineStr">
        <is>
          <t>164</t>
        </is>
      </c>
      <c r="L524" t="inlineStr">
        <is>
          <t>62.22</t>
        </is>
      </c>
      <c r="M524" t="inlineStr">
        <is>
          <t>4.45</t>
        </is>
      </c>
      <c r="N524" t="inlineStr">
        <is>
          <t>423</t>
        </is>
      </c>
    </row>
    <row r="525">
      <c r="A525" t="inlineStr">
        <is>
          <t>1228</t>
        </is>
      </c>
      <c r="B525" t="inlineStr">
        <is>
          <t>IBON</t>
        </is>
      </c>
      <c r="C525" t="inlineStr">
        <is>
          <t>IBON</t>
        </is>
      </c>
      <c r="D525" t="inlineStr">
        <is>
          <t>2026-02-21T00:00:00</t>
        </is>
      </c>
      <c r="E525" t="inlineStr">
        <is>
          <t>2026-02-28T00:00:00</t>
        </is>
      </c>
      <c r="F525" t="inlineStr">
        <is>
          <t>85.85</t>
        </is>
      </c>
      <c r="G525" t="inlineStr">
        <is>
          <t>93.5</t>
        </is>
      </c>
      <c r="H525" t="inlineStr">
        <is>
          <t>280.99</t>
        </is>
      </c>
      <c r="I525" t="inlineStr">
        <is>
          <t>11.9</t>
        </is>
      </c>
      <c r="J525" t="inlineStr">
        <is>
          <t>4.07</t>
        </is>
      </c>
      <c r="K525" t="inlineStr">
        <is>
          <t>159</t>
        </is>
      </c>
      <c r="L525" t="inlineStr">
        <is>
          <t>62.91</t>
        </is>
      </c>
      <c r="M525" t="inlineStr">
        <is>
          <t>4.47</t>
        </is>
      </c>
      <c r="N525" t="inlineStr">
        <is>
          <t>389</t>
        </is>
      </c>
    </row>
    <row r="526">
      <c r="A526" t="inlineStr">
        <is>
          <t>1229</t>
        </is>
      </c>
      <c r="B526" t="inlineStr">
        <is>
          <t>2RS</t>
        </is>
      </c>
      <c r="C526" t="inlineStr">
        <is>
          <t>SKYWAY</t>
        </is>
      </c>
      <c r="D526" t="inlineStr">
        <is>
          <t>2026-02-23T00:00:00</t>
        </is>
      </c>
      <c r="E526" t="inlineStr">
        <is>
          <t>2026-03-02T00:00:00</t>
        </is>
      </c>
      <c r="F526" t="inlineStr">
        <is>
          <t>83.97</t>
        </is>
      </c>
      <c r="G526" t="inlineStr"/>
      <c r="H526" t="inlineStr">
        <is>
          <t>284.11</t>
        </is>
      </c>
      <c r="I526" t="inlineStr">
        <is>
          <t>13.6</t>
        </is>
      </c>
      <c r="J526" t="inlineStr"/>
      <c r="K526" t="inlineStr"/>
      <c r="L526" t="inlineStr"/>
      <c r="M526" t="inlineStr"/>
      <c r="N526" t="inlineStr"/>
    </row>
    <row r="527">
      <c r="A527" t="inlineStr">
        <is>
          <t>1230</t>
        </is>
      </c>
      <c r="B527" t="inlineStr">
        <is>
          <t>2RS</t>
        </is>
      </c>
      <c r="C527" t="inlineStr">
        <is>
          <t>TRAVELER</t>
        </is>
      </c>
      <c r="D527" t="inlineStr">
        <is>
          <t>2026-02-24T00:00:00</t>
        </is>
      </c>
      <c r="E527" t="inlineStr">
        <is>
          <t>2026-03-03T00:00:00</t>
        </is>
      </c>
      <c r="F527" t="inlineStr">
        <is>
          <t>84.42</t>
        </is>
      </c>
      <c r="G527" t="inlineStr">
        <is>
          <t>92.4</t>
        </is>
      </c>
      <c r="H527" t="inlineStr">
        <is>
          <t>287.60000000000002</t>
        </is>
      </c>
      <c r="I527" t="inlineStr">
        <is>
          <t>12.6</t>
        </is>
      </c>
      <c r="J527" t="inlineStr">
        <is>
          <t>4.34</t>
        </is>
      </c>
      <c r="K527" t="inlineStr">
        <is>
          <t>153</t>
        </is>
      </c>
      <c r="L527" t="inlineStr">
        <is>
          <t>87.67</t>
        </is>
      </c>
      <c r="M527" t="inlineStr">
        <is>
          <t>4.08</t>
        </is>
      </c>
      <c r="N527" t="inlineStr">
        <is>
          <t>138</t>
        </is>
      </c>
    </row>
    <row r="528">
      <c r="A528" t="inlineStr">
        <is>
          <t>1231</t>
        </is>
      </c>
      <c r="B528" t="inlineStr">
        <is>
          <t>2RS</t>
        </is>
      </c>
      <c r="C528" t="inlineStr">
        <is>
          <t>SKYWAY</t>
        </is>
      </c>
      <c r="D528" t="inlineStr">
        <is>
          <t>2026-02-26T00:00:00</t>
        </is>
      </c>
      <c r="E528" t="inlineStr">
        <is>
          <t>2026-03-05T00:00:00</t>
        </is>
      </c>
      <c r="F528" t="inlineStr">
        <is>
          <t>84.63</t>
        </is>
      </c>
      <c r="G528" t="inlineStr"/>
      <c r="H528" t="inlineStr">
        <is>
          <t>284.2</t>
        </is>
      </c>
      <c r="I528" t="inlineStr">
        <is>
          <t>13.4</t>
        </is>
      </c>
      <c r="J528" t="inlineStr"/>
      <c r="K528" t="inlineStr"/>
      <c r="L528" t="inlineStr"/>
      <c r="M528" t="inlineStr"/>
      <c r="N528" t="inlineStr"/>
    </row>
    <row r="529">
      <c r="A529" t="inlineStr">
        <is>
          <t>1232</t>
        </is>
      </c>
      <c r="B529" t="inlineStr">
        <is>
          <t>2RS</t>
        </is>
      </c>
      <c r="C529" t="inlineStr">
        <is>
          <t>TRAVELER</t>
        </is>
      </c>
      <c r="D529" t="inlineStr">
        <is>
          <t>2026-02-27T00:00:00</t>
        </is>
      </c>
      <c r="E529" t="inlineStr">
        <is>
          <t>2026-03-07T00:00:00</t>
        </is>
      </c>
      <c r="F529" t="inlineStr">
        <is>
          <t>84.19</t>
        </is>
      </c>
      <c r="G529" t="inlineStr">
        <is>
          <t>92.4</t>
        </is>
      </c>
      <c r="H529" t="inlineStr">
        <is>
          <t>287.75</t>
        </is>
      </c>
      <c r="I529" t="inlineStr">
        <is>
          <t>12.6</t>
        </is>
      </c>
      <c r="J529" t="inlineStr">
        <is>
          <t>4.12</t>
        </is>
      </c>
      <c r="K529" t="inlineStr">
        <is>
          <t>156</t>
        </is>
      </c>
      <c r="L529" t="inlineStr">
        <is>
          <t>90.07</t>
        </is>
      </c>
      <c r="M529" t="inlineStr">
        <is>
          <t>4.0999999999999996</t>
        </is>
      </c>
      <c r="N529" t="inlineStr">
        <is>
          <t>126</t>
        </is>
      </c>
    </row>
    <row r="530">
      <c r="A530" t="inlineStr">
        <is>
          <t>1233</t>
        </is>
      </c>
      <c r="B530" t="inlineStr">
        <is>
          <t>2RS</t>
        </is>
      </c>
      <c r="C530" t="inlineStr">
        <is>
          <t>SKYWAY</t>
        </is>
      </c>
      <c r="D530" t="inlineStr">
        <is>
          <t>2026-03-03T00:00:00</t>
        </is>
      </c>
      <c r="E530" t="inlineStr">
        <is>
          <t>2026-03-11T00:00:00</t>
        </is>
      </c>
      <c r="F530" t="inlineStr">
        <is>
          <t>85.27</t>
        </is>
      </c>
      <c r="G530" t="inlineStr"/>
      <c r="H530" t="inlineStr">
        <is>
          <t>284.17</t>
        </is>
      </c>
      <c r="I530" t="inlineStr">
        <is>
          <t>13.8</t>
        </is>
      </c>
      <c r="J530" t="inlineStr"/>
      <c r="K530" t="inlineStr"/>
      <c r="L530" t="inlineStr"/>
      <c r="M530" t="inlineStr"/>
      <c r="N530" t="inlineStr"/>
    </row>
    <row r="531">
      <c r="A531" t="inlineStr">
        <is>
          <t>1234</t>
        </is>
      </c>
      <c r="B531" t="inlineStr">
        <is>
          <t>2RS</t>
        </is>
      </c>
      <c r="C531" t="inlineStr">
        <is>
          <t>SKYWAY</t>
        </is>
      </c>
      <c r="D531" t="inlineStr">
        <is>
          <t>2026-03-06T00:00:00</t>
        </is>
      </c>
      <c r="E531" t="inlineStr">
        <is>
          <t>2026-03-14T00:00:00</t>
        </is>
      </c>
      <c r="F531" t="inlineStr">
        <is>
          <t>83.56</t>
        </is>
      </c>
      <c r="G531" t="inlineStr"/>
      <c r="H531" t="inlineStr">
        <is>
          <t>284.16000000000003</t>
        </is>
      </c>
      <c r="I531" t="inlineStr">
        <is>
          <t>13.6</t>
        </is>
      </c>
      <c r="J531" t="inlineStr"/>
      <c r="K531" t="inlineStr"/>
      <c r="L531" t="inlineStr"/>
      <c r="M531" t="inlineStr"/>
      <c r="N531" t="inlineStr"/>
    </row>
    <row r="532">
      <c r="A532" t="inlineStr">
        <is>
          <t>1235</t>
        </is>
      </c>
      <c r="B532" t="inlineStr">
        <is>
          <t>2RS</t>
        </is>
      </c>
      <c r="C532" t="inlineStr">
        <is>
          <t>SKYWAY</t>
        </is>
      </c>
      <c r="D532" t="inlineStr">
        <is>
          <t>2026-03-08T00:00:00</t>
        </is>
      </c>
      <c r="E532" t="inlineStr">
        <is>
          <t>2026-03-15T00:00:00</t>
        </is>
      </c>
      <c r="F532" t="inlineStr">
        <is>
          <t>83.54</t>
        </is>
      </c>
      <c r="G532" t="inlineStr"/>
      <c r="H532" t="inlineStr">
        <is>
          <t>283.08999999999997</t>
        </is>
      </c>
      <c r="I532" t="inlineStr">
        <is>
          <t>13.6</t>
        </is>
      </c>
      <c r="J532" t="inlineStr"/>
      <c r="K532" t="inlineStr"/>
      <c r="L532" t="inlineStr"/>
      <c r="M532" t="inlineStr"/>
      <c r="N532" t="inlineStr"/>
    </row>
    <row r="533">
      <c r="A533" t="inlineStr">
        <is>
          <t>1236</t>
        </is>
      </c>
      <c r="B533" t="inlineStr">
        <is>
          <t>2RS</t>
        </is>
      </c>
      <c r="C533" t="inlineStr">
        <is>
          <t>SKYWAY</t>
        </is>
      </c>
      <c r="D533" t="inlineStr">
        <is>
          <t>2026-03-09T00:00:00</t>
        </is>
      </c>
      <c r="E533" t="inlineStr">
        <is>
          <t>2026-03-17T00:00:00</t>
        </is>
      </c>
      <c r="F533" t="inlineStr">
        <is>
          <t>83.9</t>
        </is>
      </c>
      <c r="G533" t="inlineStr"/>
      <c r="H533" t="inlineStr">
        <is>
          <t>283.06</t>
        </is>
      </c>
      <c r="I533" t="inlineStr">
        <is>
          <t>13.6</t>
        </is>
      </c>
      <c r="J533" t="inlineStr"/>
      <c r="K533" t="inlineStr"/>
      <c r="L533" t="inlineStr"/>
      <c r="M533" t="inlineStr"/>
      <c r="N533" t="inlineStr"/>
    </row>
    <row r="534">
      <c r="A534" t="inlineStr">
        <is>
          <t>1237</t>
        </is>
      </c>
      <c r="B534" t="inlineStr">
        <is>
          <t>2RS</t>
        </is>
      </c>
      <c r="C534" t="inlineStr">
        <is>
          <t>SKYWAY</t>
        </is>
      </c>
      <c r="D534" t="inlineStr">
        <is>
          <t>2026-03-10T00:00:00</t>
        </is>
      </c>
      <c r="E534" t="inlineStr">
        <is>
          <t>2026-03-18T00:00:00</t>
        </is>
      </c>
      <c r="F534" t="inlineStr">
        <is>
          <t>83.51</t>
        </is>
      </c>
      <c r="G534" t="inlineStr"/>
      <c r="H534" t="inlineStr">
        <is>
          <t>283.12</t>
        </is>
      </c>
      <c r="I534" t="inlineStr">
        <is>
          <t>13.6</t>
        </is>
      </c>
      <c r="J534" t="inlineStr"/>
      <c r="K534" t="inlineStr"/>
      <c r="L534" t="inlineStr"/>
      <c r="M534" t="inlineStr"/>
      <c r="N534" t="inlineStr"/>
    </row>
    <row r="535">
      <c r="A535" t="inlineStr">
        <is>
          <t>1238</t>
        </is>
      </c>
      <c r="B535" t="inlineStr">
        <is>
          <t>2RS</t>
        </is>
      </c>
      <c r="C535" t="inlineStr">
        <is>
          <t>SKYWAY</t>
        </is>
      </c>
      <c r="D535" t="inlineStr">
        <is>
          <t>2026-03-12T00:00:00</t>
        </is>
      </c>
      <c r="E535" t="inlineStr">
        <is>
          <t>2026-03-20T00:00:00</t>
        </is>
      </c>
      <c r="F535" t="inlineStr">
        <is>
          <t>84.85</t>
        </is>
      </c>
      <c r="G535" t="inlineStr"/>
      <c r="H535" t="inlineStr">
        <is>
          <t>283.08999999999997</t>
        </is>
      </c>
      <c r="I535" t="inlineStr">
        <is>
          <t>13.8</t>
        </is>
      </c>
      <c r="J535" t="inlineStr"/>
      <c r="K535" t="inlineStr"/>
      <c r="L535" t="inlineStr"/>
      <c r="M535" t="inlineStr"/>
      <c r="N535" t="inlineStr"/>
    </row>
    <row r="536">
      <c r="A536" t="inlineStr">
        <is>
          <t>1239</t>
        </is>
      </c>
      <c r="B536" t="inlineStr">
        <is>
          <t>2RS</t>
        </is>
      </c>
      <c r="C536" t="inlineStr">
        <is>
          <t>TRAVELER</t>
        </is>
      </c>
      <c r="D536" t="inlineStr">
        <is>
          <t>2026-03-13T00:00:00</t>
        </is>
      </c>
      <c r="E536" t="inlineStr">
        <is>
          <t>2026-03-21T00:00:00</t>
        </is>
      </c>
      <c r="F536" t="inlineStr">
        <is>
          <t>85.19</t>
        </is>
      </c>
      <c r="G536" t="inlineStr">
        <is>
          <t>93.2</t>
        </is>
      </c>
      <c r="H536" t="inlineStr">
        <is>
          <t>287.22000000000003</t>
        </is>
      </c>
      <c r="I536" t="inlineStr">
        <is>
          <t>12.3</t>
        </is>
      </c>
      <c r="J536" t="inlineStr">
        <is>
          <t>4.1100000000000003</t>
        </is>
      </c>
      <c r="K536" t="inlineStr">
        <is>
          <t>151</t>
        </is>
      </c>
      <c r="L536" t="inlineStr">
        <is>
          <t>81.67</t>
        </is>
      </c>
      <c r="M536" t="inlineStr">
        <is>
          <t>4.5</t>
        </is>
      </c>
      <c r="N536" t="inlineStr">
        <is>
          <t>201</t>
        </is>
      </c>
    </row>
    <row r="537">
      <c r="A537" t="inlineStr">
        <is>
          <t>1240</t>
        </is>
      </c>
      <c r="B537" t="inlineStr">
        <is>
          <t>2RS</t>
        </is>
      </c>
      <c r="C537" t="inlineStr">
        <is>
          <t>TRAVELER</t>
        </is>
      </c>
      <c r="D537" t="inlineStr">
        <is>
          <t>2026-03-16T00:00:00</t>
        </is>
      </c>
      <c r="E537" t="inlineStr">
        <is>
          <t>2026-03-24T00:00:00</t>
        </is>
      </c>
      <c r="F537" t="inlineStr">
        <is>
          <t>83.63</t>
        </is>
      </c>
      <c r="G537" t="inlineStr">
        <is>
          <t>92.1</t>
        </is>
      </c>
      <c r="H537" t="inlineStr">
        <is>
          <t>287.91000000000003</t>
        </is>
      </c>
      <c r="I537" t="inlineStr">
        <is>
          <t>12.8</t>
        </is>
      </c>
      <c r="J537" t="inlineStr">
        <is>
          <t>4.01</t>
        </is>
      </c>
      <c r="K537" t="inlineStr">
        <is>
          <t>160</t>
        </is>
      </c>
      <c r="L537" t="inlineStr">
        <is>
          <t>86.68</t>
        </is>
      </c>
      <c r="M537" t="inlineStr">
        <is>
          <t>4.5</t>
        </is>
      </c>
      <c r="N537" t="inlineStr">
        <is>
          <t>140</t>
        </is>
      </c>
    </row>
    <row r="538">
      <c r="A538" t="inlineStr">
        <is>
          <t>1241</t>
        </is>
      </c>
      <c r="B538" t="inlineStr">
        <is>
          <t>2RS</t>
        </is>
      </c>
      <c r="C538" t="inlineStr">
        <is>
          <t>SKYWAY</t>
        </is>
      </c>
      <c r="D538" t="inlineStr">
        <is>
          <t>2026-03-18T00:00:00</t>
        </is>
      </c>
      <c r="E538" t="inlineStr">
        <is>
          <t>2026-03-25T00:00:00</t>
        </is>
      </c>
      <c r="F538" t="inlineStr">
        <is>
          <t>85.2</t>
        </is>
      </c>
      <c r="G538" t="inlineStr"/>
      <c r="H538" t="inlineStr">
        <is>
          <t>284.07</t>
        </is>
      </c>
      <c r="I538" t="inlineStr">
        <is>
          <t>13.7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1242</t>
        </is>
      </c>
      <c r="B539" t="inlineStr">
        <is>
          <t>2RS</t>
        </is>
      </c>
      <c r="C539" t="inlineStr">
        <is>
          <t>SKYWAY</t>
        </is>
      </c>
      <c r="D539" t="inlineStr">
        <is>
          <t>2026-03-19T00:00:00</t>
        </is>
      </c>
      <c r="E539" t="inlineStr">
        <is>
          <t>2026-03-27T00:00:00</t>
        </is>
      </c>
      <c r="F539" t="inlineStr">
        <is>
          <t>84.39</t>
        </is>
      </c>
      <c r="G539" t="inlineStr"/>
      <c r="H539" t="inlineStr">
        <is>
          <t>280.02999999999997</t>
        </is>
      </c>
      <c r="I539" t="inlineStr">
        <is>
          <t>13.9</t>
        </is>
      </c>
      <c r="J539" t="inlineStr"/>
      <c r="K539" t="inlineStr"/>
      <c r="L539" t="inlineStr"/>
      <c r="M539" t="inlineStr"/>
      <c r="N539" t="inlineStr"/>
    </row>
    <row r="540">
      <c r="A540" t="inlineStr">
        <is>
          <t>1243</t>
        </is>
      </c>
      <c r="B540" t="inlineStr">
        <is>
          <t>IBON</t>
        </is>
      </c>
      <c r="C540" t="inlineStr">
        <is>
          <t>IBON</t>
        </is>
      </c>
      <c r="D540" t="inlineStr">
        <is>
          <t>2026-03-23T00:00:00</t>
        </is>
      </c>
      <c r="E540" t="inlineStr">
        <is>
          <t>2026-03-31T00:00:00</t>
        </is>
      </c>
      <c r="F540" t="inlineStr">
        <is>
          <t>84.26</t>
        </is>
      </c>
      <c r="G540" t="inlineStr">
        <is>
          <t>92.4</t>
        </is>
      </c>
      <c r="H540" t="inlineStr">
        <is>
          <t>282.70999999999998</t>
        </is>
      </c>
      <c r="I540" t="inlineStr">
        <is>
          <t>13.4</t>
        </is>
      </c>
      <c r="J540" t="inlineStr">
        <is>
          <t>5.03</t>
        </is>
      </c>
      <c r="K540" t="inlineStr">
        <is>
          <t>148</t>
        </is>
      </c>
      <c r="L540" t="inlineStr">
        <is>
          <t>62.68</t>
        </is>
      </c>
      <c r="M540" t="inlineStr">
        <is>
          <t>3.76</t>
        </is>
      </c>
      <c r="N540" t="inlineStr">
        <is>
          <t>259</t>
        </is>
      </c>
    </row>
    <row r="541">
      <c r="A541" t="inlineStr">
        <is>
          <t>1244</t>
        </is>
      </c>
      <c r="B541" t="inlineStr">
        <is>
          <t>2RS</t>
        </is>
      </c>
      <c r="C541" t="inlineStr">
        <is>
          <t>TRAVELER</t>
        </is>
      </c>
      <c r="D541" t="inlineStr">
        <is>
          <t>2026-03-30T00:00:00</t>
        </is>
      </c>
      <c r="E541" t="inlineStr">
        <is>
          <t>2026-04-07T00:00:00</t>
        </is>
      </c>
      <c r="F541" t="inlineStr">
        <is>
          <t>84.37</t>
        </is>
      </c>
      <c r="G541" t="inlineStr">
        <is>
          <t>92.9</t>
        </is>
      </c>
      <c r="H541" t="inlineStr">
        <is>
          <t>284.43</t>
        </is>
      </c>
      <c r="I541" t="inlineStr">
        <is>
          <t>13</t>
        </is>
      </c>
      <c r="J541" t="inlineStr">
        <is>
          <t>4.2300000000000004</t>
        </is>
      </c>
      <c r="K541" t="inlineStr">
        <is>
          <t>134</t>
        </is>
      </c>
      <c r="L541" t="inlineStr">
        <is>
          <t>91.1</t>
        </is>
      </c>
      <c r="M541" t="inlineStr">
        <is>
          <t>3</t>
        </is>
      </c>
      <c r="N541" t="inlineStr">
        <is>
          <t>109</t>
        </is>
      </c>
    </row>
    <row r="542">
      <c r="A542" t="inlineStr">
        <is>
          <t>1245</t>
        </is>
      </c>
      <c r="B542" t="inlineStr">
        <is>
          <t>IBON</t>
        </is>
      </c>
      <c r="C542" t="inlineStr">
        <is>
          <t>IBON</t>
        </is>
      </c>
      <c r="D542" t="inlineStr">
        <is>
          <t>2026-03-31T00:00:00</t>
        </is>
      </c>
      <c r="E542" t="inlineStr">
        <is>
          <t>2026-04-08T00:00:00</t>
        </is>
      </c>
      <c r="F542" t="inlineStr">
        <is>
          <t>83.39</t>
        </is>
      </c>
      <c r="G542" t="inlineStr">
        <is>
          <t>92.5</t>
        </is>
      </c>
      <c r="H542" t="inlineStr">
        <is>
          <t>282.99</t>
        </is>
      </c>
      <c r="I542" t="inlineStr">
        <is>
          <t>14.1</t>
        </is>
      </c>
      <c r="J542" t="inlineStr">
        <is>
          <t>4.72</t>
        </is>
      </c>
      <c r="K542" t="inlineStr">
        <is>
          <t>147</t>
        </is>
      </c>
      <c r="L542" t="inlineStr">
        <is>
          <t>62.35</t>
        </is>
      </c>
      <c r="M542" t="inlineStr">
        <is>
          <t>3.2</t>
        </is>
      </c>
      <c r="N542" t="inlineStr">
        <is>
          <t>214</t>
        </is>
      </c>
    </row>
    <row r="543">
      <c r="A543" t="inlineStr">
        <is>
          <t>1246</t>
        </is>
      </c>
      <c r="B543" t="inlineStr">
        <is>
          <t>2RS</t>
        </is>
      </c>
      <c r="C543" t="inlineStr">
        <is>
          <t>TRAVELER</t>
        </is>
      </c>
      <c r="D543" t="inlineStr">
        <is>
          <t>2026-04-02T00:00:00</t>
        </is>
      </c>
      <c r="E543" t="inlineStr">
        <is>
          <t>2026-04-10T00:00:00</t>
        </is>
      </c>
      <c r="F543" t="inlineStr">
        <is>
          <t>82.17</t>
        </is>
      </c>
      <c r="G543" t="inlineStr">
        <is>
          <t>91.4</t>
        </is>
      </c>
      <c r="H543" t="inlineStr">
        <is>
          <t>285.20999999999998</t>
        </is>
      </c>
      <c r="I543" t="inlineStr">
        <is>
          <t>13.7</t>
        </is>
      </c>
      <c r="J543" t="inlineStr">
        <is>
          <t>4.01</t>
        </is>
      </c>
      <c r="K543" t="inlineStr">
        <is>
          <t>124</t>
        </is>
      </c>
      <c r="L543" t="inlineStr">
        <is>
          <t>87.7</t>
        </is>
      </c>
      <c r="M543" t="inlineStr">
        <is>
          <t>3.5</t>
        </is>
      </c>
      <c r="N543" t="inlineStr">
        <is>
          <t>179</t>
        </is>
      </c>
    </row>
    <row r="544">
      <c r="A544" t="inlineStr">
        <is>
          <t>1247</t>
        </is>
      </c>
      <c r="B544" t="inlineStr">
        <is>
          <t>IBON</t>
        </is>
      </c>
      <c r="C544" t="inlineStr">
        <is>
          <t>IBON</t>
        </is>
      </c>
      <c r="D544" t="inlineStr">
        <is>
          <t>2026-04-03T00:00:00</t>
        </is>
      </c>
      <c r="E544" t="inlineStr">
        <is>
          <t>2026-04-11T00:00:00</t>
        </is>
      </c>
      <c r="F544" t="inlineStr">
        <is>
          <t>83.16</t>
        </is>
      </c>
      <c r="G544" t="inlineStr">
        <is>
          <t>92.6</t>
        </is>
      </c>
      <c r="H544" t="inlineStr">
        <is>
          <t>282.56</t>
        </is>
      </c>
      <c r="I544" t="inlineStr">
        <is>
          <t>14.2</t>
        </is>
      </c>
      <c r="J544" t="inlineStr">
        <is>
          <t>4.41</t>
        </is>
      </c>
      <c r="K544" t="inlineStr">
        <is>
          <t>143</t>
        </is>
      </c>
      <c r="L544" t="inlineStr">
        <is>
          <t>68.78</t>
        </is>
      </c>
      <c r="M544" t="inlineStr">
        <is>
          <t>4.07</t>
        </is>
      </c>
      <c r="N544" t="inlineStr">
        <is>
          <t>238</t>
        </is>
      </c>
    </row>
    <row r="545">
      <c r="A545" t="inlineStr">
        <is>
          <t>1248</t>
        </is>
      </c>
      <c r="B545" t="inlineStr">
        <is>
          <t>2RS</t>
        </is>
      </c>
      <c r="C545" t="inlineStr">
        <is>
          <t>TRAVELER</t>
        </is>
      </c>
      <c r="D545" t="inlineStr">
        <is>
          <t>2026-04-09T00:00:00</t>
        </is>
      </c>
      <c r="E545" t="inlineStr">
        <is>
          <t>2026-04-17T00:00:00</t>
        </is>
      </c>
      <c r="F545" t="inlineStr">
        <is>
          <t>84.29</t>
        </is>
      </c>
      <c r="G545" t="inlineStr">
        <is>
          <t>92.5</t>
        </is>
      </c>
      <c r="H545" t="inlineStr">
        <is>
          <t>284.67</t>
        </is>
      </c>
      <c r="I545" t="inlineStr">
        <is>
          <t>12.9</t>
        </is>
      </c>
      <c r="J545" t="inlineStr">
        <is>
          <t>4.42</t>
        </is>
      </c>
      <c r="K545" t="inlineStr">
        <is>
          <t>140</t>
        </is>
      </c>
      <c r="L545" t="inlineStr">
        <is>
          <t>88.45</t>
        </is>
      </c>
      <c r="M545" t="inlineStr">
        <is>
          <t>3.2</t>
        </is>
      </c>
      <c r="N545" t="inlineStr">
        <is>
          <t>158</t>
        </is>
      </c>
    </row>
    <row r="546">
      <c r="A546" t="inlineStr">
        <is>
          <t>1249</t>
        </is>
      </c>
      <c r="B546" t="inlineStr">
        <is>
          <t>2RS</t>
        </is>
      </c>
      <c r="C546" t="inlineStr">
        <is>
          <t>TRAVELER</t>
        </is>
      </c>
      <c r="D546" t="inlineStr">
        <is>
          <t>2026-04-11T00:00:00</t>
        </is>
      </c>
      <c r="E546" t="inlineStr">
        <is>
          <t>2026-04-21T00:00:00</t>
        </is>
      </c>
      <c r="F546" t="inlineStr">
        <is>
          <t>84.22</t>
        </is>
      </c>
      <c r="G546" t="inlineStr">
        <is>
          <t>92.9</t>
        </is>
      </c>
      <c r="H546" t="inlineStr">
        <is>
          <t>285.18</t>
        </is>
      </c>
      <c r="I546" t="inlineStr">
        <is>
          <t>13.5</t>
        </is>
      </c>
      <c r="J546" t="inlineStr">
        <is>
          <t>4.54</t>
        </is>
      </c>
      <c r="K546" t="inlineStr">
        <is>
          <t>135</t>
        </is>
      </c>
      <c r="L546" t="inlineStr">
        <is>
          <t>91.2</t>
        </is>
      </c>
      <c r="M546" t="inlineStr">
        <is>
          <t>3.4</t>
        </is>
      </c>
      <c r="N546" t="inlineStr">
        <is>
          <t>123</t>
        </is>
      </c>
    </row>
    <row r="547">
      <c r="A547" t="inlineStr">
        <is>
          <t>1250</t>
        </is>
      </c>
      <c r="B547" t="inlineStr">
        <is>
          <t>IBON</t>
        </is>
      </c>
      <c r="C547" t="inlineStr">
        <is>
          <t>IBON</t>
        </is>
      </c>
      <c r="D547" t="inlineStr">
        <is>
          <t>2026-04-29T00:00:00</t>
        </is>
      </c>
      <c r="E547" t="inlineStr">
        <is>
          <t>2026-05-06T00:00:00</t>
        </is>
      </c>
      <c r="F547" t="inlineStr">
        <is>
          <t>83.51</t>
        </is>
      </c>
      <c r="G547" t="inlineStr">
        <is>
          <t>92.4</t>
        </is>
      </c>
      <c r="H547" t="inlineStr">
        <is>
          <t>282.89999999999998</t>
        </is>
      </c>
      <c r="I547" t="inlineStr">
        <is>
          <t>13.6</t>
        </is>
      </c>
      <c r="J547" t="inlineStr">
        <is>
          <t>4.3899999999999997</t>
        </is>
      </c>
      <c r="K547" t="inlineStr">
        <is>
          <t>151</t>
        </is>
      </c>
      <c r="L547" t="inlineStr">
        <is>
          <t>68.22</t>
        </is>
      </c>
      <c r="M547" t="inlineStr">
        <is>
          <t>3.65</t>
        </is>
      </c>
      <c r="N547" t="inlineStr">
        <is>
          <t>234</t>
        </is>
      </c>
    </row>
    <row r="548">
      <c r="A548" t="inlineStr">
        <is>
          <t>1251</t>
        </is>
      </c>
      <c r="B548" t="inlineStr">
        <is>
          <t>2RS</t>
        </is>
      </c>
      <c r="C548" t="inlineStr">
        <is>
          <t>TRAVELER</t>
        </is>
      </c>
      <c r="D548" t="inlineStr">
        <is>
          <t>2026-04-30T00:00:00</t>
        </is>
      </c>
      <c r="E548" t="inlineStr">
        <is>
          <t>2026-05-08T00:00:00</t>
        </is>
      </c>
      <c r="F548" t="inlineStr">
        <is>
          <t>83.81</t>
        </is>
      </c>
      <c r="G548" t="inlineStr">
        <is>
          <t>91.8</t>
        </is>
      </c>
      <c r="H548" t="inlineStr">
        <is>
          <t>285.83</t>
        </is>
      </c>
      <c r="I548" t="inlineStr">
        <is>
          <t>12.7</t>
        </is>
      </c>
      <c r="J548" t="inlineStr">
        <is>
          <t>4.3899999999999997</t>
        </is>
      </c>
      <c r="K548" t="inlineStr">
        <is>
          <t>140</t>
        </is>
      </c>
      <c r="L548" t="inlineStr">
        <is>
          <t>88.39</t>
        </is>
      </c>
      <c r="M548" t="inlineStr">
        <is>
          <t>3.9</t>
        </is>
      </c>
      <c r="N548" t="inlineStr">
        <is>
          <t>161</t>
        </is>
      </c>
    </row>
    <row r="549">
      <c r="A549" t="inlineStr">
        <is>
          <t>1252</t>
        </is>
      </c>
      <c r="B549" t="inlineStr">
        <is>
          <t>2RS</t>
        </is>
      </c>
      <c r="C549" t="inlineStr">
        <is>
          <t>TRAVELER</t>
        </is>
      </c>
      <c r="D549" t="inlineStr">
        <is>
          <t>2026-05-01T00:00:00</t>
        </is>
      </c>
      <c r="E549" t="inlineStr">
        <is>
          <t>2026-05-09T00:00:00</t>
        </is>
      </c>
      <c r="F549" t="inlineStr">
        <is>
          <t>83.99</t>
        </is>
      </c>
      <c r="G549" t="inlineStr">
        <is>
          <t>92.2</t>
        </is>
      </c>
      <c r="H549" t="inlineStr">
        <is>
          <t>285.94</t>
        </is>
      </c>
      <c r="I549" t="inlineStr">
        <is>
          <t>12.8</t>
        </is>
      </c>
      <c r="J549" t="inlineStr">
        <is>
          <t>4.3099999999999996</t>
        </is>
      </c>
      <c r="K549" t="inlineStr">
        <is>
          <t>147</t>
        </is>
      </c>
      <c r="L549" t="inlineStr">
        <is>
          <t>87.78</t>
        </is>
      </c>
      <c r="M549" t="inlineStr">
        <is>
          <t>4</t>
        </is>
      </c>
      <c r="N549" t="inlineStr">
        <is>
          <t>157</t>
        </is>
      </c>
    </row>
    <row r="550">
      <c r="A550" t="inlineStr">
        <is>
          <t>1253</t>
        </is>
      </c>
      <c r="B550" t="inlineStr">
        <is>
          <t>2RS</t>
        </is>
      </c>
      <c r="C550" t="inlineStr">
        <is>
          <t>TRAVELER</t>
        </is>
      </c>
      <c r="D550" t="inlineStr">
        <is>
          <t>2026-05-06T00:00:00</t>
        </is>
      </c>
      <c r="E550" t="inlineStr">
        <is>
          <t>2026-05-14T00:00:00</t>
        </is>
      </c>
      <c r="F550" t="inlineStr">
        <is>
          <t>84.19</t>
        </is>
      </c>
      <c r="G550" t="inlineStr">
        <is>
          <t>92.6</t>
        </is>
      </c>
      <c r="H550" t="inlineStr">
        <is>
          <t>286.08999999999997</t>
        </is>
      </c>
      <c r="I550" t="inlineStr">
        <is>
          <t>12.8</t>
        </is>
      </c>
      <c r="J550" t="inlineStr">
        <is>
          <t>4.0999999999999996</t>
        </is>
      </c>
      <c r="K550" t="inlineStr">
        <is>
          <t>157</t>
        </is>
      </c>
      <c r="L550" t="inlineStr">
        <is>
          <t>89.3</t>
        </is>
      </c>
      <c r="M550" t="inlineStr">
        <is>
          <t>4</t>
        </is>
      </c>
      <c r="N550" t="inlineStr">
        <is>
          <t>137</t>
        </is>
      </c>
    </row>
    <row r="551">
      <c r="A551" t="inlineStr">
        <is>
          <t>1254</t>
        </is>
      </c>
      <c r="B551" t="inlineStr">
        <is>
          <t>2RS</t>
        </is>
      </c>
      <c r="C551" t="inlineStr">
        <is>
          <t>TRAVELER</t>
        </is>
      </c>
      <c r="D551" t="inlineStr">
        <is>
          <t>2026-05-08T00:00:00</t>
        </is>
      </c>
      <c r="E551" t="inlineStr">
        <is>
          <t>2026-05-16T00:00:00</t>
        </is>
      </c>
      <c r="F551" t="inlineStr">
        <is>
          <t>83.81</t>
        </is>
      </c>
      <c r="G551" t="inlineStr">
        <is>
          <t>92.9</t>
        </is>
      </c>
      <c r="H551" t="inlineStr">
        <is>
          <t>284.58</t>
        </is>
      </c>
      <c r="I551" t="inlineStr">
        <is>
          <t>13.1</t>
        </is>
      </c>
      <c r="J551" t="inlineStr">
        <is>
          <t>3.64</t>
        </is>
      </c>
      <c r="K551" t="inlineStr">
        <is>
          <t>142</t>
        </is>
      </c>
      <c r="L551" t="inlineStr">
        <is>
          <t>88.53</t>
        </is>
      </c>
      <c r="M551" t="inlineStr">
        <is>
          <t>3.7</t>
        </is>
      </c>
      <c r="N551" t="inlineStr">
        <is>
          <t>205</t>
        </is>
      </c>
    </row>
    <row r="552">
      <c r="A552" t="inlineStr">
        <is>
          <t>1255</t>
        </is>
      </c>
      <c r="B552" t="inlineStr">
        <is>
          <t>2RS</t>
        </is>
      </c>
      <c r="C552" t="inlineStr">
        <is>
          <t>SKYWAY</t>
        </is>
      </c>
      <c r="D552" t="inlineStr">
        <is>
          <t>2026-05-10T00:00:00</t>
        </is>
      </c>
      <c r="E552" t="inlineStr">
        <is>
          <t>2026-05-17T00:00:00</t>
        </is>
      </c>
      <c r="F552" t="inlineStr">
        <is>
          <t>83.93</t>
        </is>
      </c>
      <c r="G552" t="inlineStr"/>
      <c r="H552" t="inlineStr">
        <is>
          <t>279.91000000000003</t>
        </is>
      </c>
      <c r="I552" t="inlineStr">
        <is>
          <t>13.6</t>
        </is>
      </c>
      <c r="J552" t="inlineStr"/>
      <c r="K552" t="inlineStr"/>
      <c r="L552" t="inlineStr"/>
      <c r="M552" t="inlineStr"/>
      <c r="N552" t="inlineStr"/>
    </row>
    <row r="553">
      <c r="A553" t="inlineStr">
        <is>
          <t>1256</t>
        </is>
      </c>
      <c r="B553" t="inlineStr">
        <is>
          <t>2RS</t>
        </is>
      </c>
      <c r="C553" t="inlineStr">
        <is>
          <t>TRAVELER</t>
        </is>
      </c>
      <c r="D553" t="inlineStr">
        <is>
          <t>2026-05-12T00:00:00</t>
        </is>
      </c>
      <c r="E553" t="inlineStr">
        <is>
          <t>2026-05-19T00:00:00</t>
        </is>
      </c>
      <c r="F553" t="inlineStr">
        <is>
          <t>84.68</t>
        </is>
      </c>
      <c r="G553" t="inlineStr">
        <is>
          <t>93.2</t>
        </is>
      </c>
      <c r="H553" t="inlineStr">
        <is>
          <t>283.79000000000002</t>
        </is>
      </c>
      <c r="I553" t="inlineStr">
        <is>
          <t>12.8</t>
        </is>
      </c>
      <c r="J553" t="inlineStr">
        <is>
          <t>4.08</t>
        </is>
      </c>
      <c r="K553" t="inlineStr">
        <is>
          <t>157</t>
        </is>
      </c>
      <c r="L553" t="inlineStr">
        <is>
          <t>88.83</t>
        </is>
      </c>
      <c r="M553" t="inlineStr">
        <is>
          <t>4.2</t>
        </is>
      </c>
      <c r="N553" t="inlineStr">
        <is>
          <t>178</t>
        </is>
      </c>
    </row>
    <row r="554">
      <c r="A554" t="inlineStr">
        <is>
          <t>1257</t>
        </is>
      </c>
      <c r="B554" t="inlineStr">
        <is>
          <t>2RS</t>
        </is>
      </c>
      <c r="C554" t="inlineStr">
        <is>
          <t>TRAVELER</t>
        </is>
      </c>
      <c r="D554" t="inlineStr">
        <is>
          <t>2026-05-13T00:00:00</t>
        </is>
      </c>
      <c r="E554" t="inlineStr">
        <is>
          <t>2026-05-20T00:00:00</t>
        </is>
      </c>
      <c r="F554" t="inlineStr">
        <is>
          <t>84.81</t>
        </is>
      </c>
      <c r="G554" t="inlineStr">
        <is>
          <t>93.4</t>
        </is>
      </c>
      <c r="H554" t="inlineStr">
        <is>
          <t>288.39999999999998</t>
        </is>
      </c>
      <c r="I554" t="inlineStr">
        <is>
          <t>12.9</t>
        </is>
      </c>
      <c r="J554" t="inlineStr">
        <is>
          <t>4.09</t>
        </is>
      </c>
      <c r="K554" t="inlineStr">
        <is>
          <t>153</t>
        </is>
      </c>
      <c r="L554" t="inlineStr">
        <is>
          <t>89.31</t>
        </is>
      </c>
      <c r="M554" t="inlineStr">
        <is>
          <t>4.38</t>
        </is>
      </c>
      <c r="N554" t="inlineStr">
        <is>
          <t>152</t>
        </is>
      </c>
    </row>
    <row r="555">
      <c r="A555" t="inlineStr">
        <is>
          <t>1258</t>
        </is>
      </c>
      <c r="B555" t="inlineStr">
        <is>
          <t>2RS</t>
        </is>
      </c>
      <c r="C555" t="inlineStr">
        <is>
          <t>TRAVELER</t>
        </is>
      </c>
      <c r="D555" t="inlineStr">
        <is>
          <t>2026-05-15T00:00:00</t>
        </is>
      </c>
      <c r="E555" t="inlineStr">
        <is>
          <t>2026-05-22T00:00:00</t>
        </is>
      </c>
      <c r="F555" t="inlineStr">
        <is>
          <t>84.1</t>
        </is>
      </c>
      <c r="G555" t="inlineStr">
        <is>
          <t>92.7</t>
        </is>
      </c>
      <c r="H555" t="inlineStr">
        <is>
          <t>290.24</t>
        </is>
      </c>
      <c r="I555" t="inlineStr">
        <is>
          <t>12.9</t>
        </is>
      </c>
      <c r="J555" t="inlineStr">
        <is>
          <t>3.94</t>
        </is>
      </c>
      <c r="K555" t="inlineStr">
        <is>
          <t>159</t>
        </is>
      </c>
      <c r="L555" t="inlineStr">
        <is>
          <t>89.62</t>
        </is>
      </c>
      <c r="M555" t="inlineStr">
        <is>
          <t>4.4000000000000004</t>
        </is>
      </c>
      <c r="N555" t="inlineStr">
        <is>
          <t>156</t>
        </is>
      </c>
    </row>
    <row r="556">
      <c r="A556" t="inlineStr">
        <is>
          <t>1259</t>
        </is>
      </c>
      <c r="B556" t="inlineStr">
        <is>
          <t>2RS</t>
        </is>
      </c>
      <c r="C556" t="inlineStr">
        <is>
          <t>TRAVELER</t>
        </is>
      </c>
      <c r="D556" t="inlineStr">
        <is>
          <t>2026-05-17T00:00:00</t>
        </is>
      </c>
      <c r="E556" t="inlineStr">
        <is>
          <t>2026-05-24T00:00:00</t>
        </is>
      </c>
      <c r="F556" t="inlineStr">
        <is>
          <t>84.04</t>
        </is>
      </c>
      <c r="G556" t="inlineStr">
        <is>
          <t>93</t>
        </is>
      </c>
      <c r="H556" t="inlineStr">
        <is>
          <t>286.19</t>
        </is>
      </c>
      <c r="I556" t="inlineStr">
        <is>
          <t>13.1</t>
        </is>
      </c>
      <c r="J556" t="inlineStr">
        <is>
          <t>3.85</t>
        </is>
      </c>
      <c r="K556" t="inlineStr">
        <is>
          <t>132</t>
        </is>
      </c>
      <c r="L556" t="inlineStr">
        <is>
          <t>90.47</t>
        </is>
      </c>
      <c r="M556" t="inlineStr">
        <is>
          <t>3.7</t>
        </is>
      </c>
      <c r="N556" t="inlineStr">
        <is>
          <t>177</t>
        </is>
      </c>
    </row>
    <row r="557">
      <c r="A557" t="inlineStr">
        <is>
          <t>1260</t>
        </is>
      </c>
      <c r="B557" t="inlineStr">
        <is>
          <t>2RS</t>
        </is>
      </c>
      <c r="C557" t="inlineStr">
        <is>
          <t>TRAVELER</t>
        </is>
      </c>
      <c r="D557" t="inlineStr">
        <is>
          <t>2026-05-18T00:00:00</t>
        </is>
      </c>
      <c r="E557" t="inlineStr">
        <is>
          <t>2026-05-25T00:00:00</t>
        </is>
      </c>
      <c r="F557" t="inlineStr">
        <is>
          <t>84.07</t>
        </is>
      </c>
      <c r="G557" t="inlineStr">
        <is>
          <t>92.9</t>
        </is>
      </c>
      <c r="H557" t="inlineStr">
        <is>
          <t>284.92</t>
        </is>
      </c>
      <c r="I557" t="inlineStr">
        <is>
          <t>13.1</t>
        </is>
      </c>
      <c r="J557" t="inlineStr">
        <is>
          <t>4</t>
        </is>
      </c>
      <c r="K557" t="inlineStr">
        <is>
          <t>138</t>
        </is>
      </c>
      <c r="L557" t="inlineStr">
        <is>
          <t>88.1</t>
        </is>
      </c>
      <c r="M557" t="inlineStr">
        <is>
          <t>3.4</t>
        </is>
      </c>
      <c r="N557" t="inlineStr">
        <is>
          <t>178</t>
        </is>
      </c>
    </row>
    <row r="558">
      <c r="A558" t="inlineStr">
        <is>
          <t>1261</t>
        </is>
      </c>
      <c r="B558" t="inlineStr">
        <is>
          <t>IBON</t>
        </is>
      </c>
      <c r="C558" t="inlineStr">
        <is>
          <t>IBON</t>
        </is>
      </c>
      <c r="D558" t="inlineStr">
        <is>
          <t>2026-05-20T00:00:00</t>
        </is>
      </c>
      <c r="E558" t="inlineStr">
        <is>
          <t>2026-05-27T00:00:00</t>
        </is>
      </c>
      <c r="F558" t="inlineStr">
        <is>
          <t>84.45</t>
        </is>
      </c>
      <c r="G558" t="inlineStr">
        <is>
          <t>93.7</t>
        </is>
      </c>
      <c r="H558" t="inlineStr">
        <is>
          <t>282.73</t>
        </is>
      </c>
      <c r="I558" t="inlineStr">
        <is>
          <t>13.7</t>
        </is>
      </c>
      <c r="J558" t="inlineStr">
        <is>
          <t>4.24</t>
        </is>
      </c>
      <c r="K558" t="inlineStr">
        <is>
          <t>139</t>
        </is>
      </c>
      <c r="L558" t="inlineStr">
        <is>
          <t>63.43</t>
        </is>
      </c>
      <c r="M558" t="inlineStr">
        <is>
          <t>3.4</t>
        </is>
      </c>
      <c r="N558" t="inlineStr">
        <is>
          <t>199</t>
        </is>
      </c>
    </row>
    <row r="559">
      <c r="A559" t="inlineStr">
        <is>
          <t>1262</t>
        </is>
      </c>
      <c r="B559" t="inlineStr">
        <is>
          <t>2RS</t>
        </is>
      </c>
      <c r="C559" t="inlineStr">
        <is>
          <t>TRAVELER</t>
        </is>
      </c>
      <c r="D559" t="inlineStr">
        <is>
          <t>2026-05-21T00:00:00</t>
        </is>
      </c>
      <c r="E559" t="inlineStr">
        <is>
          <t>2026-05-28T00:00:00</t>
        </is>
      </c>
      <c r="F559" t="inlineStr">
        <is>
          <t>85.02</t>
        </is>
      </c>
      <c r="G559" t="inlineStr">
        <is>
          <t>93.8</t>
        </is>
      </c>
      <c r="H559" t="inlineStr">
        <is>
          <t>284.98</t>
        </is>
      </c>
      <c r="I559" t="inlineStr">
        <is>
          <t>13.2</t>
        </is>
      </c>
      <c r="J559" t="inlineStr">
        <is>
          <t>4.2</t>
        </is>
      </c>
      <c r="K559" t="inlineStr">
        <is>
          <t>121</t>
        </is>
      </c>
      <c r="L559" t="inlineStr">
        <is>
          <t>84.62</t>
        </is>
      </c>
      <c r="M559" t="inlineStr">
        <is>
          <t>3.44</t>
        </is>
      </c>
      <c r="N559" t="inlineStr">
        <is>
          <t>192</t>
        </is>
      </c>
    </row>
    <row r="560">
      <c r="A560" t="inlineStr">
        <is>
          <t>1263</t>
        </is>
      </c>
      <c r="B560" t="inlineStr">
        <is>
          <t>2RS</t>
        </is>
      </c>
      <c r="C560" t="inlineStr">
        <is>
          <t>SKYWAY</t>
        </is>
      </c>
      <c r="D560" t="inlineStr">
        <is>
          <t>2026-05-22T00:00:00</t>
        </is>
      </c>
      <c r="E560" t="inlineStr">
        <is>
          <t>2026-05-29T00:00:00</t>
        </is>
      </c>
      <c r="F560" t="inlineStr">
        <is>
          <t>86.66</t>
        </is>
      </c>
      <c r="G560" t="inlineStr"/>
      <c r="H560" t="inlineStr">
        <is>
          <t>282.07</t>
        </is>
      </c>
      <c r="I560" t="inlineStr">
        <is>
          <t>13.4</t>
        </is>
      </c>
      <c r="J560" t="inlineStr"/>
      <c r="K560" t="inlineStr"/>
      <c r="L560" t="inlineStr"/>
      <c r="M560" t="inlineStr"/>
      <c r="N560" t="inlineStr"/>
    </row>
    <row r="561">
      <c r="A561" t="inlineStr">
        <is>
          <t>1264</t>
        </is>
      </c>
      <c r="B561" t="inlineStr">
        <is>
          <t>2RS</t>
        </is>
      </c>
      <c r="C561" t="inlineStr">
        <is>
          <t>SKYWAY</t>
        </is>
      </c>
      <c r="D561" t="inlineStr">
        <is>
          <t>2026-05-23T00:00:00</t>
        </is>
      </c>
      <c r="E561" t="inlineStr">
        <is>
          <t>2026-05-31T00:00:00</t>
        </is>
      </c>
      <c r="F561" t="inlineStr">
        <is>
          <t>86.16</t>
        </is>
      </c>
      <c r="G561" t="inlineStr"/>
      <c r="H561" t="inlineStr">
        <is>
          <t>280.95999999999998</t>
        </is>
      </c>
      <c r="I561" t="inlineStr">
        <is>
          <t>13.6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1265</t>
        </is>
      </c>
      <c r="B562" t="inlineStr">
        <is>
          <t>2RS</t>
        </is>
      </c>
      <c r="C562" t="inlineStr">
        <is>
          <t>SKYWAY</t>
        </is>
      </c>
      <c r="D562" t="inlineStr">
        <is>
          <t>2026-05-25T00:00:00</t>
        </is>
      </c>
      <c r="E562" t="inlineStr">
        <is>
          <t>2026-06-01T00:00:00</t>
        </is>
      </c>
      <c r="F562" t="inlineStr">
        <is>
          <t>85.75</t>
        </is>
      </c>
      <c r="G562" t="inlineStr"/>
      <c r="H562" t="inlineStr">
        <is>
          <t>282.67</t>
        </is>
      </c>
      <c r="I562" t="inlineStr">
        <is>
          <t>13.4</t>
        </is>
      </c>
      <c r="J562" t="inlineStr"/>
      <c r="K562" t="inlineStr"/>
      <c r="L562" t="inlineStr"/>
      <c r="M562" t="inlineStr"/>
      <c r="N562" t="inlineStr"/>
    </row>
    <row r="563">
      <c r="A563" t="inlineStr">
        <is>
          <t>1266</t>
        </is>
      </c>
      <c r="B563" t="inlineStr">
        <is>
          <t>IBON</t>
        </is>
      </c>
      <c r="C563" t="inlineStr">
        <is>
          <t>IBON</t>
        </is>
      </c>
      <c r="D563" t="inlineStr">
        <is>
          <t>2026-05-26T00:00:00</t>
        </is>
      </c>
      <c r="E563" t="inlineStr">
        <is>
          <t>2026-06-03T00:00:00</t>
        </is>
      </c>
      <c r="F563" t="inlineStr">
        <is>
          <t>83.72</t>
        </is>
      </c>
      <c r="G563" t="inlineStr">
        <is>
          <t>92.6</t>
        </is>
      </c>
      <c r="H563" t="inlineStr">
        <is>
          <t>282.68</t>
        </is>
      </c>
      <c r="I563" t="inlineStr">
        <is>
          <t>13.5</t>
        </is>
      </c>
      <c r="J563" t="inlineStr">
        <is>
          <t>4.32</t>
        </is>
      </c>
      <c r="K563" t="inlineStr">
        <is>
          <t>161</t>
        </is>
      </c>
      <c r="L563" t="inlineStr">
        <is>
          <t>68.209999999999994</t>
        </is>
      </c>
      <c r="M563" t="inlineStr">
        <is>
          <t>3.79</t>
        </is>
      </c>
      <c r="N563" t="inlineStr">
        <is>
          <t>115</t>
        </is>
      </c>
    </row>
    <row r="564">
      <c r="A564" t="inlineStr">
        <is>
          <t>1267</t>
        </is>
      </c>
      <c r="B564" t="inlineStr">
        <is>
          <t>IBON</t>
        </is>
      </c>
      <c r="C564" t="inlineStr">
        <is>
          <t>IBON</t>
        </is>
      </c>
      <c r="D564" t="inlineStr">
        <is>
          <t>2026-05-28T00:00:00</t>
        </is>
      </c>
      <c r="E564" t="inlineStr">
        <is>
          <t>2026-06-05T00:00:00</t>
        </is>
      </c>
      <c r="F564" t="inlineStr">
        <is>
          <t>84.3</t>
        </is>
      </c>
      <c r="G564" t="inlineStr">
        <is>
          <t>93.2</t>
        </is>
      </c>
      <c r="H564" t="inlineStr">
        <is>
          <t>282.8</t>
        </is>
      </c>
      <c r="I564" t="inlineStr">
        <is>
          <t>13.5</t>
        </is>
      </c>
      <c r="J564" t="inlineStr">
        <is>
          <t>4.33</t>
        </is>
      </c>
      <c r="K564" t="inlineStr">
        <is>
          <t>129</t>
        </is>
      </c>
      <c r="L564" t="inlineStr">
        <is>
          <t>53.57</t>
        </is>
      </c>
      <c r="M564" t="inlineStr">
        <is>
          <t>3.22</t>
        </is>
      </c>
      <c r="N564" t="inlineStr">
        <is>
          <t>359</t>
        </is>
      </c>
    </row>
    <row r="565">
      <c r="A565" t="inlineStr">
        <is>
          <t>1268</t>
        </is>
      </c>
      <c r="B565" t="inlineStr">
        <is>
          <t>IBON</t>
        </is>
      </c>
      <c r="C565" t="inlineStr">
        <is>
          <t>IBON</t>
        </is>
      </c>
      <c r="D565" t="inlineStr">
        <is>
          <t>2026-05-29T00:00:00</t>
        </is>
      </c>
      <c r="E565" t="inlineStr">
        <is>
          <t>2026-06-06T00:00:00</t>
        </is>
      </c>
      <c r="F565" t="inlineStr">
        <is>
          <t>83.24</t>
        </is>
      </c>
      <c r="G565" t="inlineStr"/>
      <c r="H565" t="inlineStr">
        <is>
          <t>282.64</t>
        </is>
      </c>
      <c r="I565" t="inlineStr"/>
      <c r="J565" t="inlineStr">
        <is>
          <t>4.2</t>
        </is>
      </c>
      <c r="K565" t="inlineStr">
        <is>
          <t>154</t>
        </is>
      </c>
      <c r="L565" t="inlineStr">
        <is>
          <t>61.29</t>
        </is>
      </c>
      <c r="M565" t="inlineStr">
        <is>
          <t>4.4000000000000004</t>
        </is>
      </c>
      <c r="N565" t="inlineStr">
        <is>
          <t>240</t>
        </is>
      </c>
    </row>
    <row r="566">
      <c r="A566" t="inlineStr">
        <is>
          <t>1269</t>
        </is>
      </c>
      <c r="B566" t="inlineStr">
        <is>
          <t>IBON</t>
        </is>
      </c>
      <c r="C566" t="inlineStr">
        <is>
          <t>IBON</t>
        </is>
      </c>
      <c r="D566" t="inlineStr">
        <is>
          <t>2026-05-31T00:00:00</t>
        </is>
      </c>
      <c r="E566" t="inlineStr">
        <is>
          <t>2026-06-07T00:00:00</t>
        </is>
      </c>
      <c r="F566" t="inlineStr">
        <is>
          <t>83.62</t>
        </is>
      </c>
      <c r="G566" t="inlineStr"/>
      <c r="H566" t="inlineStr">
        <is>
          <t>282.62</t>
        </is>
      </c>
      <c r="I566" t="inlineStr"/>
      <c r="J566" t="inlineStr">
        <is>
          <t>4.2</t>
        </is>
      </c>
      <c r="K566" t="inlineStr">
        <is>
          <t>143</t>
        </is>
      </c>
      <c r="L566" t="inlineStr">
        <is>
          <t>64.3</t>
        </is>
      </c>
      <c r="M566" t="inlineStr">
        <is>
          <t>4.37</t>
        </is>
      </c>
      <c r="N566" t="inlineStr">
        <is>
          <t>200</t>
        </is>
      </c>
    </row>
    <row r="567">
      <c r="A567" t="inlineStr">
        <is>
          <t>1270</t>
        </is>
      </c>
      <c r="B567" t="inlineStr">
        <is>
          <t>IBON</t>
        </is>
      </c>
      <c r="C567" t="inlineStr">
        <is>
          <t>IBON</t>
        </is>
      </c>
      <c r="D567" t="inlineStr">
        <is>
          <t>2026-06-01T00:00:00</t>
        </is>
      </c>
      <c r="E567" t="inlineStr">
        <is>
          <t>2026-06-09T00:00:00</t>
        </is>
      </c>
      <c r="F567" t="inlineStr">
        <is>
          <t>83.02</t>
        </is>
      </c>
      <c r="G567" t="inlineStr">
        <is>
          <t>92.2</t>
        </is>
      </c>
      <c r="H567" t="inlineStr">
        <is>
          <t>281.58</t>
        </is>
      </c>
      <c r="I567" t="inlineStr">
        <is>
          <t>13.8</t>
        </is>
      </c>
      <c r="J567" t="inlineStr">
        <is>
          <t>4.2300000000000004</t>
        </is>
      </c>
      <c r="K567" t="inlineStr">
        <is>
          <t>168</t>
        </is>
      </c>
      <c r="L567" t="inlineStr">
        <is>
          <t>61.76</t>
        </is>
      </c>
      <c r="M567" t="inlineStr">
        <is>
          <t>4.4800000000000004</t>
        </is>
      </c>
      <c r="N567" t="inlineStr">
        <is>
          <t>200</t>
        </is>
      </c>
    </row>
    <row r="568">
      <c r="A568" t="inlineStr">
        <is>
          <t>1271</t>
        </is>
      </c>
      <c r="B568" t="inlineStr">
        <is>
          <t>2RS</t>
        </is>
      </c>
      <c r="C568" t="inlineStr">
        <is>
          <t>TRAVELER</t>
        </is>
      </c>
      <c r="D568" t="inlineStr">
        <is>
          <t>2026-06-03T00:00:00</t>
        </is>
      </c>
      <c r="E568" t="inlineStr">
        <is>
          <t>2026-06-10T00:00:00</t>
        </is>
      </c>
      <c r="F568" t="inlineStr">
        <is>
          <t>84.76</t>
        </is>
      </c>
      <c r="G568" t="inlineStr">
        <is>
          <t>93.3</t>
        </is>
      </c>
      <c r="H568" t="inlineStr">
        <is>
          <t>284.61</t>
        </is>
      </c>
      <c r="I568" t="inlineStr">
        <is>
          <t>13.2</t>
        </is>
      </c>
      <c r="J568" t="inlineStr">
        <is>
          <t>4.51</t>
        </is>
      </c>
      <c r="K568" t="inlineStr">
        <is>
          <t>130</t>
        </is>
      </c>
      <c r="L568" t="inlineStr">
        <is>
          <t>84.01</t>
        </is>
      </c>
      <c r="M568" t="inlineStr">
        <is>
          <t>3.9</t>
        </is>
      </c>
      <c r="N568" t="inlineStr">
        <is>
          <t>200</t>
        </is>
      </c>
    </row>
    <row r="569">
      <c r="A569" t="inlineStr">
        <is>
          <t>1272</t>
        </is>
      </c>
      <c r="B569" t="inlineStr">
        <is>
          <t>2RS</t>
        </is>
      </c>
      <c r="C569" t="inlineStr">
        <is>
          <t>TRAVELER</t>
        </is>
      </c>
      <c r="D569" t="inlineStr">
        <is>
          <t>2026-06-04T00:00:00</t>
        </is>
      </c>
      <c r="E569" t="inlineStr">
        <is>
          <t>2026-06-11T00:00:00</t>
        </is>
      </c>
      <c r="F569" t="inlineStr">
        <is>
          <t>83.7</t>
        </is>
      </c>
      <c r="G569" t="inlineStr"/>
      <c r="H569" t="inlineStr">
        <is>
          <t>285.08</t>
        </is>
      </c>
      <c r="I569" t="inlineStr">
        <is>
          <t>13.3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1273</t>
        </is>
      </c>
      <c r="B570" t="inlineStr">
        <is>
          <t>2RS</t>
        </is>
      </c>
      <c r="C570" t="inlineStr">
        <is>
          <t>TRAVELER</t>
        </is>
      </c>
      <c r="D570" t="inlineStr">
        <is>
          <t>2026-06-06T00:00:00</t>
        </is>
      </c>
      <c r="E570" t="inlineStr">
        <is>
          <t>2026-06-13T00:00:00</t>
        </is>
      </c>
      <c r="F570" t="inlineStr">
        <is>
          <t>83.69</t>
        </is>
      </c>
      <c r="G570" t="inlineStr">
        <is>
          <t>92.8</t>
        </is>
      </c>
      <c r="H570" t="inlineStr">
        <is>
          <t>285.2</t>
        </is>
      </c>
      <c r="I570" t="inlineStr">
        <is>
          <t>13.1</t>
        </is>
      </c>
      <c r="J570" t="inlineStr">
        <is>
          <t>3.68</t>
        </is>
      </c>
      <c r="K570" t="inlineStr">
        <is>
          <t>144</t>
        </is>
      </c>
      <c r="L570" t="inlineStr">
        <is>
          <t>91.79</t>
        </is>
      </c>
      <c r="M570" t="inlineStr">
        <is>
          <t>3.84</t>
        </is>
      </c>
      <c r="N570" t="inlineStr">
        <is>
          <t>119</t>
        </is>
      </c>
    </row>
    <row r="571">
      <c r="A571" t="inlineStr">
        <is>
          <t>1274</t>
        </is>
      </c>
      <c r="B571" t="inlineStr">
        <is>
          <t>2RS</t>
        </is>
      </c>
      <c r="C571" t="inlineStr">
        <is>
          <t>TRAVELER</t>
        </is>
      </c>
      <c r="D571" t="inlineStr">
        <is>
          <t>2026-06-07T00:00:00</t>
        </is>
      </c>
      <c r="E571" t="inlineStr">
        <is>
          <t>2026-06-14T00:00:00</t>
        </is>
      </c>
      <c r="F571" t="inlineStr">
        <is>
          <t>84.77</t>
        </is>
      </c>
      <c r="G571" t="inlineStr"/>
      <c r="H571" t="inlineStr">
        <is>
          <t>285.37</t>
        </is>
      </c>
      <c r="I571" t="inlineStr">
        <is>
          <t>12.8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1275</t>
        </is>
      </c>
      <c r="B572" t="inlineStr">
        <is>
          <t>2RS</t>
        </is>
      </c>
      <c r="C572" t="inlineStr">
        <is>
          <t>SKYWAY</t>
        </is>
      </c>
      <c r="D572" t="inlineStr">
        <is>
          <t>2026-06-08T00:00:00</t>
        </is>
      </c>
      <c r="E572" t="inlineStr">
        <is>
          <t>2026-06-15T00:00:00</t>
        </is>
      </c>
      <c r="F572" t="inlineStr">
        <is>
          <t>85.17</t>
        </is>
      </c>
      <c r="G572" t="inlineStr"/>
      <c r="H572" t="inlineStr">
        <is>
          <t>280.06</t>
        </is>
      </c>
      <c r="I572" t="inlineStr">
        <is>
          <t>13.1</t>
        </is>
      </c>
      <c r="J572" t="inlineStr"/>
      <c r="K572" t="inlineStr"/>
      <c r="L572" t="inlineStr"/>
      <c r="M572" t="inlineStr"/>
      <c r="N572" t="inlineStr"/>
    </row>
    <row r="573">
      <c r="A573" t="inlineStr">
        <is>
          <t>1276</t>
        </is>
      </c>
      <c r="B573" t="inlineStr">
        <is>
          <t>2RS</t>
        </is>
      </c>
      <c r="C573" t="inlineStr">
        <is>
          <t>TRAVELER</t>
        </is>
      </c>
      <c r="D573" t="inlineStr">
        <is>
          <t>2026-06-10T00:00:00</t>
        </is>
      </c>
      <c r="E573" t="inlineStr">
        <is>
          <t>2026-06-16T00:00:00</t>
        </is>
      </c>
      <c r="F573" t="inlineStr">
        <is>
          <t>85.14</t>
        </is>
      </c>
      <c r="G573" t="inlineStr">
        <is>
          <t>94.1</t>
        </is>
      </c>
      <c r="H573" t="inlineStr">
        <is>
          <t>284.91000000000003</t>
        </is>
      </c>
      <c r="I573" t="inlineStr">
        <is>
          <t>13.4</t>
        </is>
      </c>
      <c r="J573" t="inlineStr">
        <is>
          <t>4.24</t>
        </is>
      </c>
      <c r="K573" t="inlineStr">
        <is>
          <t>131</t>
        </is>
      </c>
      <c r="L573" t="inlineStr">
        <is>
          <t>85.63</t>
        </is>
      </c>
      <c r="M573" t="inlineStr">
        <is>
          <t>3.51</t>
        </is>
      </c>
      <c r="N573" t="inlineStr">
        <is>
          <t>220</t>
        </is>
      </c>
    </row>
    <row r="574">
      <c r="A574" t="inlineStr">
        <is>
          <t>1277</t>
        </is>
      </c>
      <c r="B574" t="inlineStr">
        <is>
          <t>2RS</t>
        </is>
      </c>
      <c r="C574" t="inlineStr">
        <is>
          <t>TRAVELER</t>
        </is>
      </c>
      <c r="D574" t="inlineStr">
        <is>
          <t>2026-06-11T00:00:00</t>
        </is>
      </c>
      <c r="E574" t="inlineStr">
        <is>
          <t>2026-06-17T00:00:00</t>
        </is>
      </c>
      <c r="F574" t="inlineStr">
        <is>
          <t>85.11</t>
        </is>
      </c>
      <c r="G574" t="inlineStr">
        <is>
          <t>93.5</t>
        </is>
      </c>
      <c r="H574" t="inlineStr">
        <is>
          <t>285.05</t>
        </is>
      </c>
      <c r="I574" t="inlineStr">
        <is>
          <t>13</t>
        </is>
      </c>
      <c r="J574" t="inlineStr">
        <is>
          <t>4.41</t>
        </is>
      </c>
      <c r="K574" t="inlineStr">
        <is>
          <t>125</t>
        </is>
      </c>
      <c r="L574" t="inlineStr">
        <is>
          <t>89.11</t>
        </is>
      </c>
      <c r="M574" t="inlineStr">
        <is>
          <t>3.6</t>
        </is>
      </c>
      <c r="N574" t="inlineStr">
        <is>
          <t>154</t>
        </is>
      </c>
    </row>
    <row r="575">
      <c r="A575" t="inlineStr">
        <is>
          <t>1278</t>
        </is>
      </c>
      <c r="B575" t="inlineStr">
        <is>
          <t>2RS</t>
        </is>
      </c>
      <c r="C575" t="inlineStr">
        <is>
          <t>TRAVELER</t>
        </is>
      </c>
      <c r="D575" t="inlineStr">
        <is>
          <t>2026-06-12T00:00:00</t>
        </is>
      </c>
      <c r="E575" t="inlineStr">
        <is>
          <t>2026-06-19T00:00:00</t>
        </is>
      </c>
      <c r="F575" t="inlineStr">
        <is>
          <t>85.07</t>
        </is>
      </c>
      <c r="G575" t="inlineStr">
        <is>
          <t>93.2</t>
        </is>
      </c>
      <c r="H575" t="inlineStr">
        <is>
          <t>285.11</t>
        </is>
      </c>
      <c r="I575" t="inlineStr">
        <is>
          <t>12.7</t>
        </is>
      </c>
      <c r="J575" t="inlineStr">
        <is>
          <t>4.34</t>
        </is>
      </c>
      <c r="K575" t="inlineStr">
        <is>
          <t>138</t>
        </is>
      </c>
      <c r="L575" t="inlineStr">
        <is>
          <t>91</t>
        </is>
      </c>
      <c r="M575" t="inlineStr">
        <is>
          <t>3.5</t>
        </is>
      </c>
      <c r="N575" t="inlineStr">
        <is>
          <t>159</t>
        </is>
      </c>
    </row>
    <row r="576">
      <c r="A576" t="inlineStr">
        <is>
          <t>1279</t>
        </is>
      </c>
      <c r="B576" t="inlineStr">
        <is>
          <t>2RS</t>
        </is>
      </c>
      <c r="C576" t="inlineStr">
        <is>
          <t>TRAVELER</t>
        </is>
      </c>
      <c r="D576" t="inlineStr">
        <is>
          <t>2026-06-13T00:00:00</t>
        </is>
      </c>
      <c r="E576" t="inlineStr">
        <is>
          <t>2026-06-20T00:00:00</t>
        </is>
      </c>
      <c r="F576" t="inlineStr">
        <is>
          <t>85.98</t>
        </is>
      </c>
      <c r="G576" t="inlineStr">
        <is>
          <t>93.7</t>
        </is>
      </c>
      <c r="H576" t="inlineStr">
        <is>
          <t>285.08</t>
        </is>
      </c>
      <c r="I576" t="inlineStr">
        <is>
          <t>12.2</t>
        </is>
      </c>
      <c r="J576" t="inlineStr">
        <is>
          <t>4.34</t>
        </is>
      </c>
      <c r="K576" t="inlineStr">
        <is>
          <t>128</t>
        </is>
      </c>
      <c r="L576" t="inlineStr">
        <is>
          <t>88.3</t>
        </is>
      </c>
      <c r="M576" t="inlineStr">
        <is>
          <t>3.4</t>
        </is>
      </c>
      <c r="N576" t="inlineStr">
        <is>
          <t>181</t>
        </is>
      </c>
    </row>
    <row r="577">
      <c r="A577" t="inlineStr">
        <is>
          <t>1280</t>
        </is>
      </c>
      <c r="B577" t="inlineStr">
        <is>
          <t>2RS</t>
        </is>
      </c>
      <c r="C577" t="inlineStr">
        <is>
          <t>SKYWAY</t>
        </is>
      </c>
      <c r="D577" t="inlineStr">
        <is>
          <t>2026-06-14T00:00:00</t>
        </is>
      </c>
      <c r="E577" t="inlineStr">
        <is>
          <t>2026-06-21T00:00:00</t>
        </is>
      </c>
      <c r="F577" t="inlineStr">
        <is>
          <t>86.07</t>
        </is>
      </c>
      <c r="G577" t="inlineStr"/>
      <c r="H577" t="inlineStr">
        <is>
          <t>280.08</t>
        </is>
      </c>
      <c r="I577" t="inlineStr">
        <is>
          <t>13.1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1281</t>
        </is>
      </c>
      <c r="B578" t="inlineStr">
        <is>
          <t>2RS</t>
        </is>
      </c>
      <c r="C578" t="inlineStr">
        <is>
          <t>IBON</t>
        </is>
      </c>
      <c r="D578" t="inlineStr">
        <is>
          <t>2026-06-15T00:00:00</t>
        </is>
      </c>
      <c r="E578" t="inlineStr">
        <is>
          <t>2026-06-22T00:00:00</t>
        </is>
      </c>
      <c r="F578" t="inlineStr">
        <is>
          <t>83.41</t>
        </is>
      </c>
      <c r="G578" t="inlineStr">
        <is>
          <t>92.4</t>
        </is>
      </c>
      <c r="H578" t="inlineStr">
        <is>
          <t>282.54000000000002</t>
        </is>
      </c>
      <c r="I578" t="inlineStr">
        <is>
          <t>13.7</t>
        </is>
      </c>
      <c r="J578" t="inlineStr">
        <is>
          <t>4.41</t>
        </is>
      </c>
      <c r="K578" t="inlineStr">
        <is>
          <t>168</t>
        </is>
      </c>
      <c r="L578" t="inlineStr">
        <is>
          <t>63.71</t>
        </is>
      </c>
      <c r="M578" t="inlineStr">
        <is>
          <t>4.67</t>
        </is>
      </c>
      <c r="N578" t="inlineStr">
        <is>
          <t>196</t>
        </is>
      </c>
    </row>
    <row r="579">
      <c r="A579" t="inlineStr">
        <is>
          <t>1282</t>
        </is>
      </c>
      <c r="B579" t="inlineStr">
        <is>
          <t>2RS</t>
        </is>
      </c>
      <c r="C579" t="inlineStr">
        <is>
          <t>IBON</t>
        </is>
      </c>
      <c r="D579" t="inlineStr">
        <is>
          <t>2026-06-17T00:00:00</t>
        </is>
      </c>
      <c r="E579" t="inlineStr">
        <is>
          <t>2026-06-24T00:00:00</t>
        </is>
      </c>
      <c r="F579" t="inlineStr">
        <is>
          <t>84.09</t>
        </is>
      </c>
      <c r="G579" t="inlineStr">
        <is>
          <t>92.5</t>
        </is>
      </c>
      <c r="H579" t="inlineStr">
        <is>
          <t>282.61</t>
        </is>
      </c>
      <c r="I579" t="inlineStr">
        <is>
          <t>13.1</t>
        </is>
      </c>
      <c r="J579" t="inlineStr">
        <is>
          <t>4.38</t>
        </is>
      </c>
      <c r="K579" t="inlineStr">
        <is>
          <t>164</t>
        </is>
      </c>
      <c r="L579" t="inlineStr">
        <is>
          <t>63.92</t>
        </is>
      </c>
      <c r="M579" t="inlineStr">
        <is>
          <t>4.53</t>
        </is>
      </c>
      <c r="N579" t="inlineStr">
        <is>
          <t>176</t>
        </is>
      </c>
    </row>
    <row r="580">
      <c r="A580" t="inlineStr">
        <is>
          <t>1283</t>
        </is>
      </c>
      <c r="B580" t="inlineStr">
        <is>
          <t>2RS</t>
        </is>
      </c>
      <c r="C580" t="inlineStr">
        <is>
          <t>IBON</t>
        </is>
      </c>
      <c r="D580" t="inlineStr">
        <is>
          <t>2026-06-18T00:00:00</t>
        </is>
      </c>
      <c r="E580" t="inlineStr">
        <is>
          <t>2026-06-25T00:00:00</t>
        </is>
      </c>
      <c r="F580" t="inlineStr">
        <is>
          <t>84.3</t>
        </is>
      </c>
      <c r="G580" t="inlineStr">
        <is>
          <t>92.9</t>
        </is>
      </c>
      <c r="H580" t="inlineStr">
        <is>
          <t>282.8</t>
        </is>
      </c>
      <c r="I580" t="inlineStr">
        <is>
          <t>13.3</t>
        </is>
      </c>
      <c r="J580" t="inlineStr">
        <is>
          <t>4.46</t>
        </is>
      </c>
      <c r="K580" t="inlineStr">
        <is>
          <t>165</t>
        </is>
      </c>
      <c r="L580" t="inlineStr">
        <is>
          <t>59.79</t>
        </is>
      </c>
      <c r="M580" t="inlineStr">
        <is>
          <t>4.9000000000000004</t>
        </is>
      </c>
      <c r="N580" t="inlineStr">
        <is>
          <t>261</t>
        </is>
      </c>
    </row>
    <row r="581">
      <c r="A581" t="inlineStr">
        <is>
          <t>1284</t>
        </is>
      </c>
      <c r="B581" t="inlineStr">
        <is>
          <t>2RS</t>
        </is>
      </c>
      <c r="C581" t="inlineStr">
        <is>
          <t>IBON</t>
        </is>
      </c>
      <c r="D581" t="inlineStr">
        <is>
          <t>2026-06-20T00:00:00</t>
        </is>
      </c>
      <c r="E581" t="inlineStr">
        <is>
          <t>2026-06-27T00:00:00</t>
        </is>
      </c>
      <c r="F581" t="inlineStr">
        <is>
          <t>84.16</t>
        </is>
      </c>
      <c r="G581" t="inlineStr">
        <is>
          <t>92.5</t>
        </is>
      </c>
      <c r="H581" t="inlineStr">
        <is>
          <t>282.93</t>
        </is>
      </c>
      <c r="I581" t="inlineStr">
        <is>
          <t>13.3</t>
        </is>
      </c>
      <c r="J581" t="inlineStr">
        <is>
          <t>4.66</t>
        </is>
      </c>
      <c r="K581" t="inlineStr">
        <is>
          <t>161</t>
        </is>
      </c>
      <c r="L581" t="inlineStr">
        <is>
          <t>59.59</t>
        </is>
      </c>
      <c r="M581" t="inlineStr">
        <is>
          <t>5</t>
        </is>
      </c>
      <c r="N581" t="inlineStr">
        <is>
          <t>286</t>
        </is>
      </c>
    </row>
    <row r="582">
      <c r="A582" t="inlineStr">
        <is>
          <t>1285</t>
        </is>
      </c>
      <c r="B582" t="inlineStr">
        <is>
          <t>2RS</t>
        </is>
      </c>
      <c r="C582" t="inlineStr">
        <is>
          <t>IBON</t>
        </is>
      </c>
      <c r="D582" t="inlineStr">
        <is>
          <t>2026-06-21T00:00:00</t>
        </is>
      </c>
      <c r="E582" t="inlineStr">
        <is>
          <t>2026-06-28T00:00:00</t>
        </is>
      </c>
      <c r="F582" t="inlineStr">
        <is>
          <t>84.21</t>
        </is>
      </c>
      <c r="G582" t="inlineStr">
        <is>
          <t>93.1</t>
        </is>
      </c>
      <c r="H582" t="inlineStr">
        <is>
          <t>282.77</t>
        </is>
      </c>
      <c r="I582" t="inlineStr">
        <is>
          <t>13.5</t>
        </is>
      </c>
      <c r="J582" t="inlineStr">
        <is>
          <t>4.33</t>
        </is>
      </c>
      <c r="K582" t="inlineStr">
        <is>
          <t>155</t>
        </is>
      </c>
      <c r="L582" t="inlineStr">
        <is>
          <t>63.02</t>
        </is>
      </c>
      <c r="M582" t="inlineStr">
        <is>
          <t>4</t>
        </is>
      </c>
      <c r="N582" t="inlineStr">
        <is>
          <t>220</t>
        </is>
      </c>
    </row>
    <row r="583">
      <c r="A583" t="inlineStr">
        <is>
          <t>1286</t>
        </is>
      </c>
      <c r="B583" t="inlineStr">
        <is>
          <t>2RS</t>
        </is>
      </c>
      <c r="C583" t="inlineStr">
        <is>
          <t>TRAVELER</t>
        </is>
      </c>
      <c r="D583" t="inlineStr">
        <is>
          <t>2026-06-22T00:00:00</t>
        </is>
      </c>
      <c r="E583" t="inlineStr">
        <is>
          <t>2026-06-29T00:00:00</t>
        </is>
      </c>
      <c r="F583" t="inlineStr">
        <is>
          <t>84.43</t>
        </is>
      </c>
      <c r="G583" t="inlineStr">
        <is>
          <t>92.4</t>
        </is>
      </c>
      <c r="H583" t="inlineStr">
        <is>
          <t>285.06</t>
        </is>
      </c>
      <c r="I583" t="inlineStr">
        <is>
          <t>12.4</t>
        </is>
      </c>
      <c r="J583" t="inlineStr">
        <is>
          <t>4.18</t>
        </is>
      </c>
      <c r="K583" t="inlineStr">
        <is>
          <t>141</t>
        </is>
      </c>
      <c r="L583" t="inlineStr">
        <is>
          <t>88.46</t>
        </is>
      </c>
      <c r="M583" t="inlineStr">
        <is>
          <t>3.5</t>
        </is>
      </c>
      <c r="N583" t="inlineStr">
        <is>
          <t>171</t>
        </is>
      </c>
    </row>
    <row r="584">
      <c r="A584" t="inlineStr">
        <is>
          <t>1287</t>
        </is>
      </c>
      <c r="B584" t="inlineStr">
        <is>
          <t>2RS</t>
        </is>
      </c>
      <c r="C584" t="inlineStr">
        <is>
          <t>TRAVELER</t>
        </is>
      </c>
      <c r="D584" t="inlineStr">
        <is>
          <t>2026-06-24T00:00:00</t>
        </is>
      </c>
      <c r="E584" t="inlineStr">
        <is>
          <t>2026-06-30T00:00:00</t>
        </is>
      </c>
      <c r="F584" t="inlineStr">
        <is>
          <t>84.62</t>
        </is>
      </c>
      <c r="G584" t="inlineStr">
        <is>
          <t>92.9</t>
        </is>
      </c>
      <c r="H584" t="inlineStr">
        <is>
          <t>285.39999999999998</t>
        </is>
      </c>
      <c r="I584" t="inlineStr">
        <is>
          <t>12.9</t>
        </is>
      </c>
      <c r="J584" t="inlineStr">
        <is>
          <t>4.3899999999999997</t>
        </is>
      </c>
      <c r="K584" t="inlineStr">
        <is>
          <t>134</t>
        </is>
      </c>
      <c r="L584" t="inlineStr">
        <is>
          <t>87.57</t>
        </is>
      </c>
      <c r="M584" t="inlineStr">
        <is>
          <t>3.68</t>
        </is>
      </c>
      <c r="N584" t="inlineStr">
        <is>
          <t>153</t>
        </is>
      </c>
    </row>
    <row r="585">
      <c r="A585" t="inlineStr">
        <is>
          <t>1288</t>
        </is>
      </c>
      <c r="B585" t="inlineStr">
        <is>
          <t>2RS</t>
        </is>
      </c>
      <c r="C585" t="inlineStr">
        <is>
          <t>TRAVELER</t>
        </is>
      </c>
      <c r="D585" t="inlineStr">
        <is>
          <t>2026-06-25T00:00:00</t>
        </is>
      </c>
      <c r="E585" t="inlineStr">
        <is>
          <t>2026-07-02T00:00:00</t>
        </is>
      </c>
      <c r="F585" t="inlineStr">
        <is>
          <t>85.53</t>
        </is>
      </c>
      <c r="G585" t="inlineStr">
        <is>
          <t>93.6</t>
        </is>
      </c>
      <c r="H585" t="inlineStr">
        <is>
          <t>284.95</t>
        </is>
      </c>
      <c r="I585" t="inlineStr">
        <is>
          <t>12.3</t>
        </is>
      </c>
      <c r="J585" t="inlineStr">
        <is>
          <t>4.3600000000000003</t>
        </is>
      </c>
      <c r="K585" t="inlineStr">
        <is>
          <t>132</t>
        </is>
      </c>
      <c r="L585" t="inlineStr">
        <is>
          <t>86.87</t>
        </is>
      </c>
      <c r="M585" t="inlineStr">
        <is>
          <t>3.76</t>
        </is>
      </c>
      <c r="N585" t="inlineStr">
        <is>
          <t>198</t>
        </is>
      </c>
    </row>
    <row r="586">
      <c r="A586" t="inlineStr">
        <is>
          <t>1289</t>
        </is>
      </c>
      <c r="B586" t="inlineStr">
        <is>
          <t>2RS</t>
        </is>
      </c>
      <c r="C586" t="inlineStr">
        <is>
          <t>TRAVELER</t>
        </is>
      </c>
      <c r="D586" t="inlineStr">
        <is>
          <t>2026-06-26T00:00:00</t>
        </is>
      </c>
      <c r="E586" t="inlineStr">
        <is>
          <t>2026-07-03T00:00:00</t>
        </is>
      </c>
      <c r="F586" t="inlineStr">
        <is>
          <t>84.15</t>
        </is>
      </c>
      <c r="G586" t="inlineStr">
        <is>
          <t>91.8</t>
        </is>
      </c>
      <c r="H586" t="inlineStr">
        <is>
          <t>285.14999999999998</t>
        </is>
      </c>
      <c r="I586" t="inlineStr">
        <is>
          <t>12.6</t>
        </is>
      </c>
      <c r="J586" t="inlineStr">
        <is>
          <t>4.62</t>
        </is>
      </c>
      <c r="K586" t="inlineStr">
        <is>
          <t>149</t>
        </is>
      </c>
      <c r="L586" t="inlineStr">
        <is>
          <t>83.35</t>
        </is>
      </c>
      <c r="M586" t="inlineStr">
        <is>
          <t>3.9</t>
        </is>
      </c>
      <c r="N586" t="inlineStr">
        <is>
          <t>172</t>
        </is>
      </c>
    </row>
    <row r="587">
      <c r="A587" t="inlineStr">
        <is>
          <t>1290</t>
        </is>
      </c>
      <c r="B587" t="inlineStr">
        <is>
          <t>2RS</t>
        </is>
      </c>
      <c r="C587" t="inlineStr">
        <is>
          <t>TRAVELER</t>
        </is>
      </c>
      <c r="D587" t="inlineStr">
        <is>
          <t>2026-06-27T00:00:00</t>
        </is>
      </c>
      <c r="E587" t="inlineStr">
        <is>
          <t>2026-07-04T00:00:00</t>
        </is>
      </c>
      <c r="F587" t="inlineStr">
        <is>
          <t>84.22</t>
        </is>
      </c>
      <c r="G587" t="inlineStr">
        <is>
          <t>93.6</t>
        </is>
      </c>
      <c r="H587" t="inlineStr">
        <is>
          <t>285.27999999999997</t>
        </is>
      </c>
      <c r="I587" t="inlineStr">
        <is>
          <t>13.8</t>
        </is>
      </c>
      <c r="J587" t="inlineStr">
        <is>
          <t>4.16</t>
        </is>
      </c>
      <c r="K587" t="inlineStr">
        <is>
          <t>134</t>
        </is>
      </c>
      <c r="L587" t="inlineStr">
        <is>
          <t>83.92</t>
        </is>
      </c>
      <c r="M587" t="inlineStr">
        <is>
          <t>3.61</t>
        </is>
      </c>
      <c r="N587" t="inlineStr">
        <is>
          <t>198</t>
        </is>
      </c>
    </row>
    <row r="588">
      <c r="A588" t="inlineStr">
        <is>
          <t>1291</t>
        </is>
      </c>
      <c r="B588" t="inlineStr">
        <is>
          <t>2RS</t>
        </is>
      </c>
      <c r="C588" t="inlineStr">
        <is>
          <t>TRAVELER</t>
        </is>
      </c>
      <c r="D588" t="inlineStr">
        <is>
          <t>2026-06-28T00:00:00</t>
        </is>
      </c>
      <c r="E588" t="inlineStr">
        <is>
          <t>2026-07-05T00:00:00</t>
        </is>
      </c>
      <c r="F588" t="inlineStr">
        <is>
          <t>84.42</t>
        </is>
      </c>
      <c r="G588" t="inlineStr">
        <is>
          <t>93.7</t>
        </is>
      </c>
      <c r="H588" t="inlineStr">
        <is>
          <t>284.95</t>
        </is>
      </c>
      <c r="I588" t="inlineStr">
        <is>
          <t>13.6</t>
        </is>
      </c>
      <c r="J588" t="inlineStr">
        <is>
          <t>4.12</t>
        </is>
      </c>
      <c r="K588" t="inlineStr">
        <is>
          <t>139</t>
        </is>
      </c>
      <c r="L588" t="inlineStr">
        <is>
          <t>80.3</t>
        </is>
      </c>
      <c r="M588" t="inlineStr">
        <is>
          <t>3.89</t>
        </is>
      </c>
      <c r="N588" t="inlineStr">
        <is>
          <t>229</t>
        </is>
      </c>
    </row>
    <row r="589">
      <c r="A589" t="inlineStr">
        <is>
          <t>1292</t>
        </is>
      </c>
      <c r="B589" t="inlineStr">
        <is>
          <t>2RS</t>
        </is>
      </c>
      <c r="C589" t="inlineStr">
        <is>
          <t>IBON</t>
        </is>
      </c>
      <c r="D589" t="inlineStr">
        <is>
          <t>2026-06-30T00:00:00</t>
        </is>
      </c>
      <c r="E589" t="inlineStr">
        <is>
          <t>2026-07-07T00:00:00</t>
        </is>
      </c>
      <c r="F589" t="inlineStr">
        <is>
          <t>84.1</t>
        </is>
      </c>
      <c r="G589" t="inlineStr">
        <is>
          <t>92.9</t>
        </is>
      </c>
      <c r="H589" t="inlineStr">
        <is>
          <t>282.7</t>
        </is>
      </c>
      <c r="I589" t="inlineStr">
        <is>
          <t>13.6</t>
        </is>
      </c>
      <c r="J589" t="inlineStr">
        <is>
          <t>4.54</t>
        </is>
      </c>
      <c r="K589" t="inlineStr">
        <is>
          <t>144</t>
        </is>
      </c>
      <c r="L589" t="inlineStr">
        <is>
          <t>59.4</t>
        </is>
      </c>
      <c r="M589" t="inlineStr">
        <is>
          <t>3.68</t>
        </is>
      </c>
      <c r="N589" t="inlineStr">
        <is>
          <t>271</t>
        </is>
      </c>
    </row>
    <row r="590">
      <c r="A590" t="inlineStr">
        <is>
          <t>1293</t>
        </is>
      </c>
      <c r="B590" t="inlineStr">
        <is>
          <t>2RS</t>
        </is>
      </c>
      <c r="C590" t="inlineStr">
        <is>
          <t>PLANET</t>
        </is>
      </c>
      <c r="D590" t="inlineStr">
        <is>
          <t>2026-07-01T00:00:00</t>
        </is>
      </c>
      <c r="E590" t="inlineStr">
        <is>
          <t>2026-07-08T00:00:00</t>
        </is>
      </c>
      <c r="F590" t="inlineStr">
        <is>
          <t>83.95</t>
        </is>
      </c>
      <c r="G590" t="inlineStr">
        <is>
          <t>92.8</t>
        </is>
      </c>
      <c r="H590" t="inlineStr">
        <is>
          <t>282.74</t>
        </is>
      </c>
      <c r="I590" t="inlineStr">
        <is>
          <t>13.7</t>
        </is>
      </c>
      <c r="J590" t="inlineStr">
        <is>
          <t>4.6100000000000003</t>
        </is>
      </c>
      <c r="K590" t="inlineStr">
        <is>
          <t>143</t>
        </is>
      </c>
      <c r="L590" t="inlineStr">
        <is>
          <t>53.94</t>
        </is>
      </c>
      <c r="M590" t="inlineStr">
        <is>
          <t>4.2</t>
        </is>
      </c>
      <c r="N590" t="inlineStr">
        <is>
          <t>403</t>
        </is>
      </c>
    </row>
    <row r="591">
      <c r="A591" t="inlineStr">
        <is>
          <t>1294</t>
        </is>
      </c>
      <c r="B591" t="inlineStr">
        <is>
          <t>2RS</t>
        </is>
      </c>
      <c r="C591" t="inlineStr">
        <is>
          <t>PLANET</t>
        </is>
      </c>
      <c r="D591" t="inlineStr">
        <is>
          <t>2026-07-02T00:00:00</t>
        </is>
      </c>
      <c r="E591" t="inlineStr">
        <is>
          <t>2026-07-09T00:00:00</t>
        </is>
      </c>
      <c r="F591" t="inlineStr">
        <is>
          <t>82.65</t>
        </is>
      </c>
      <c r="G591" t="inlineStr">
        <is>
          <t>91.1</t>
        </is>
      </c>
      <c r="H591" t="inlineStr">
        <is>
          <t>266.91000000000003</t>
        </is>
      </c>
      <c r="I591" t="inlineStr">
        <is>
          <t>13.2</t>
        </is>
      </c>
      <c r="J591" t="inlineStr">
        <is>
          <t>4.32</t>
        </is>
      </c>
      <c r="K591" t="inlineStr">
        <is>
          <t>145</t>
        </is>
      </c>
      <c r="L591" t="inlineStr">
        <is>
          <t>82.14</t>
        </is>
      </c>
      <c r="M591" t="inlineStr">
        <is>
          <t>4.9000000000000004</t>
        </is>
      </c>
      <c r="N591" t="inlineStr">
        <is>
          <t>125</t>
        </is>
      </c>
    </row>
    <row r="592">
      <c r="A592" t="inlineStr">
        <is>
          <t>1295</t>
        </is>
      </c>
      <c r="B592" t="inlineStr">
        <is>
          <t>IBON</t>
        </is>
      </c>
      <c r="C592" t="inlineStr">
        <is>
          <t>IBON</t>
        </is>
      </c>
      <c r="D592" t="inlineStr">
        <is>
          <t>2026-07-03T00:00:00</t>
        </is>
      </c>
      <c r="E592" t="inlineStr">
        <is>
          <t>2026-07-10T00:00:00</t>
        </is>
      </c>
      <c r="F592" t="inlineStr">
        <is>
          <t>85.02</t>
        </is>
      </c>
      <c r="G592" t="inlineStr">
        <is>
          <t>93.9</t>
        </is>
      </c>
      <c r="H592" t="inlineStr">
        <is>
          <t>282.77</t>
        </is>
      </c>
      <c r="I592" t="inlineStr">
        <is>
          <t>13.7</t>
        </is>
      </c>
      <c r="J592" t="inlineStr">
        <is>
          <t>4.6500000000000004</t>
        </is>
      </c>
      <c r="K592" t="inlineStr">
        <is>
          <t>138</t>
        </is>
      </c>
      <c r="L592" t="inlineStr">
        <is>
          <t>56.51</t>
        </is>
      </c>
      <c r="M592" t="inlineStr">
        <is>
          <t>3.89</t>
        </is>
      </c>
      <c r="N592" t="inlineStr">
        <is>
          <t>378</t>
        </is>
      </c>
    </row>
    <row r="593">
      <c r="A593" t="inlineStr">
        <is>
          <t>1296</t>
        </is>
      </c>
      <c r="B593" t="inlineStr">
        <is>
          <t>IBON</t>
        </is>
      </c>
      <c r="C593" t="inlineStr">
        <is>
          <t>IBON</t>
        </is>
      </c>
      <c r="D593" t="inlineStr">
        <is>
          <t>2026-07-05T00:00:00</t>
        </is>
      </c>
      <c r="E593" t="inlineStr">
        <is>
          <t>2026-07-11T00:00:00</t>
        </is>
      </c>
      <c r="F593" t="inlineStr">
        <is>
          <t>83.4</t>
        </is>
      </c>
      <c r="G593" t="inlineStr">
        <is>
          <t>92.2</t>
        </is>
      </c>
      <c r="H593" t="inlineStr">
        <is>
          <t>285.25</t>
        </is>
      </c>
      <c r="I593" t="inlineStr">
        <is>
          <t>14.6</t>
        </is>
      </c>
      <c r="J593" t="inlineStr">
        <is>
          <t>4.6399999999999997</t>
        </is>
      </c>
      <c r="K593" t="inlineStr">
        <is>
          <t>157</t>
        </is>
      </c>
      <c r="L593" t="inlineStr">
        <is>
          <t>56.1</t>
        </is>
      </c>
      <c r="M593" t="inlineStr">
        <is>
          <t>5</t>
        </is>
      </c>
      <c r="N593" t="inlineStr">
        <is>
          <t>313</t>
        </is>
      </c>
    </row>
    <row r="594">
      <c r="A594" t="inlineStr">
        <is>
          <t>1297</t>
        </is>
      </c>
      <c r="B594" t="inlineStr">
        <is>
          <t>2RS</t>
        </is>
      </c>
      <c r="C594" t="inlineStr">
        <is>
          <t>SKYWAY</t>
        </is>
      </c>
      <c r="D594" t="inlineStr">
        <is>
          <t>2026-07-06T00:00:00</t>
        </is>
      </c>
      <c r="E594" t="inlineStr">
        <is>
          <t>2026-07-13T00:00:00</t>
        </is>
      </c>
      <c r="F594" t="inlineStr">
        <is>
          <t>85.31</t>
        </is>
      </c>
      <c r="G594" t="inlineStr"/>
      <c r="H594" t="inlineStr">
        <is>
          <t>280.08999999999997</t>
        </is>
      </c>
      <c r="I594" t="inlineStr">
        <is>
          <t>13.1</t>
        </is>
      </c>
      <c r="J594" t="inlineStr"/>
      <c r="K594" t="inlineStr"/>
      <c r="L594" t="inlineStr"/>
      <c r="M594" t="inlineStr"/>
      <c r="N594" t="inlineStr"/>
    </row>
    <row r="595">
      <c r="A595" t="inlineStr">
        <is>
          <t>1298</t>
        </is>
      </c>
      <c r="B595" t="inlineStr">
        <is>
          <t>2RS</t>
        </is>
      </c>
      <c r="C595" t="inlineStr">
        <is>
          <t>TRAVELER</t>
        </is>
      </c>
      <c r="D595" t="inlineStr">
        <is>
          <t>2026-07-07T00:00:00</t>
        </is>
      </c>
      <c r="E595" t="inlineStr">
        <is>
          <t>2026-07-14T00:00:00</t>
        </is>
      </c>
      <c r="F595" t="inlineStr">
        <is>
          <t>85.57</t>
        </is>
      </c>
      <c r="G595" t="inlineStr">
        <is>
          <t>93.5</t>
        </is>
      </c>
      <c r="H595" t="inlineStr">
        <is>
          <t>285.25</t>
        </is>
      </c>
      <c r="I595" t="inlineStr">
        <is>
          <t>12.2</t>
        </is>
      </c>
      <c r="J595" t="inlineStr">
        <is>
          <t>4.07</t>
        </is>
      </c>
      <c r="K595" t="inlineStr">
        <is>
          <t>139</t>
        </is>
      </c>
      <c r="L595" t="inlineStr">
        <is>
          <t>89</t>
        </is>
      </c>
      <c r="M595" t="inlineStr">
        <is>
          <t>3.5</t>
        </is>
      </c>
      <c r="N595" t="inlineStr">
        <is>
          <t>160</t>
        </is>
      </c>
    </row>
    <row r="596">
      <c r="A596" t="inlineStr">
        <is>
          <t>1299</t>
        </is>
      </c>
      <c r="B596" t="inlineStr">
        <is>
          <t>2RS</t>
        </is>
      </c>
      <c r="C596" t="inlineStr">
        <is>
          <t>TRAVELER</t>
        </is>
      </c>
      <c r="D596" t="inlineStr">
        <is>
          <t>2026-07-08T00:00:00</t>
        </is>
      </c>
      <c r="E596" t="inlineStr">
        <is>
          <t>2026-07-15T00:00:00</t>
        </is>
      </c>
      <c r="F596" t="inlineStr">
        <is>
          <t>86.27</t>
        </is>
      </c>
      <c r="G596" t="inlineStr">
        <is>
          <t>94.3</t>
        </is>
      </c>
      <c r="H596" t="inlineStr">
        <is>
          <t>285.3</t>
        </is>
      </c>
      <c r="I596" t="inlineStr">
        <is>
          <t>12.7</t>
        </is>
      </c>
      <c r="J596" t="inlineStr">
        <is>
          <t>4.58</t>
        </is>
      </c>
      <c r="K596" t="inlineStr">
        <is>
          <t>134</t>
        </is>
      </c>
      <c r="L596" t="inlineStr">
        <is>
          <t>88.53</t>
        </is>
      </c>
      <c r="M596" t="inlineStr">
        <is>
          <t>3.66</t>
        </is>
      </c>
      <c r="N596" t="inlineStr">
        <is>
          <t>159</t>
        </is>
      </c>
    </row>
    <row r="597">
      <c r="A597" t="inlineStr">
        <is>
          <t>1300</t>
        </is>
      </c>
      <c r="B597" t="inlineStr">
        <is>
          <t>2RS</t>
        </is>
      </c>
      <c r="C597" t="inlineStr">
        <is>
          <t>TRAVELER</t>
        </is>
      </c>
      <c r="D597" t="inlineStr">
        <is>
          <t>2026-07-09T00:00:00</t>
        </is>
      </c>
      <c r="E597" t="inlineStr">
        <is>
          <t>2026-07-16T00:00:00</t>
        </is>
      </c>
      <c r="F597" t="inlineStr">
        <is>
          <t>84.64</t>
        </is>
      </c>
      <c r="G597" t="inlineStr">
        <is>
          <t>94</t>
        </is>
      </c>
      <c r="H597" t="inlineStr">
        <is>
          <t>284.70999999999998</t>
        </is>
      </c>
      <c r="I597" t="inlineStr">
        <is>
          <t>13.8</t>
        </is>
      </c>
      <c r="J597" t="inlineStr">
        <is>
          <t>4.3099999999999996</t>
        </is>
      </c>
      <c r="K597" t="inlineStr">
        <is>
          <t>124</t>
        </is>
      </c>
      <c r="L597" t="inlineStr">
        <is>
          <t>86.84</t>
        </is>
      </c>
      <c r="M597" t="inlineStr">
        <is>
          <t>3.5</t>
        </is>
      </c>
      <c r="N597" t="inlineStr">
        <is>
          <t>193</t>
        </is>
      </c>
    </row>
    <row r="598">
      <c r="A598" t="inlineStr">
        <is>
          <t>1301</t>
        </is>
      </c>
      <c r="B598" t="inlineStr">
        <is>
          <t>2RS</t>
        </is>
      </c>
      <c r="C598" t="inlineStr">
        <is>
          <t>TRAVELER</t>
        </is>
      </c>
      <c r="D598" t="inlineStr">
        <is>
          <t>2026-07-11T00:00:00</t>
        </is>
      </c>
      <c r="E598" t="inlineStr">
        <is>
          <t>2026-07-17T00:00:00</t>
        </is>
      </c>
      <c r="F598" t="inlineStr">
        <is>
          <t>85.31</t>
        </is>
      </c>
      <c r="G598" t="inlineStr">
        <is>
          <t>94.1</t>
        </is>
      </c>
      <c r="H598" t="inlineStr">
        <is>
          <t>285</t>
        </is>
      </c>
      <c r="I598" t="inlineStr">
        <is>
          <t>13.4</t>
        </is>
      </c>
      <c r="J598" t="inlineStr">
        <is>
          <t>4.4800000000000004</t>
        </is>
      </c>
      <c r="K598" t="inlineStr">
        <is>
          <t>126</t>
        </is>
      </c>
      <c r="L598" t="inlineStr">
        <is>
          <t>83.77</t>
        </is>
      </c>
      <c r="M598" t="inlineStr">
        <is>
          <t>3.59</t>
        </is>
      </c>
      <c r="N598" t="inlineStr">
        <is>
          <t>220</t>
        </is>
      </c>
    </row>
    <row r="599">
      <c r="A599" t="inlineStr">
        <is>
          <t>1302</t>
        </is>
      </c>
      <c r="B599" t="inlineStr">
        <is>
          <t>2RS</t>
        </is>
      </c>
      <c r="C599" t="inlineStr">
        <is>
          <t>TRAVELER</t>
        </is>
      </c>
      <c r="D599" t="inlineStr">
        <is>
          <t>2026-07-12T00:00:00</t>
        </is>
      </c>
      <c r="E599" t="inlineStr">
        <is>
          <t>2026-07-18T00:00:00</t>
        </is>
      </c>
      <c r="F599" t="inlineStr">
        <is>
          <t>85.45</t>
        </is>
      </c>
      <c r="G599" t="inlineStr">
        <is>
          <t>93.9</t>
        </is>
      </c>
      <c r="H599" t="inlineStr">
        <is>
          <t>284.82</t>
        </is>
      </c>
      <c r="I599" t="inlineStr">
        <is>
          <t>13</t>
        </is>
      </c>
      <c r="J599" t="inlineStr">
        <is>
          <t>4.4400000000000004</t>
        </is>
      </c>
      <c r="K599" t="inlineStr">
        <is>
          <t>127</t>
        </is>
      </c>
      <c r="L599" t="inlineStr">
        <is>
          <t>84.48</t>
        </is>
      </c>
      <c r="M599" t="inlineStr">
        <is>
          <t>3.7</t>
        </is>
      </c>
      <c r="N599" t="inlineStr">
        <is>
          <t>221</t>
        </is>
      </c>
    </row>
    <row r="600">
      <c r="A600" t="inlineStr">
        <is>
          <t>1303</t>
        </is>
      </c>
      <c r="B600" t="inlineStr">
        <is>
          <t>2RS</t>
        </is>
      </c>
      <c r="C600" t="inlineStr">
        <is>
          <t>TRAVELER</t>
        </is>
      </c>
      <c r="D600" t="inlineStr">
        <is>
          <t>2026-07-13T00:00:00</t>
        </is>
      </c>
      <c r="E600" t="inlineStr">
        <is>
          <t>2026-07-20T00:00:00</t>
        </is>
      </c>
      <c r="F600" t="inlineStr">
        <is>
          <t>85.15</t>
        </is>
      </c>
      <c r="G600" t="inlineStr">
        <is>
          <t>92.6</t>
        </is>
      </c>
      <c r="H600" t="inlineStr">
        <is>
          <t>284.97000000000003</t>
        </is>
      </c>
      <c r="I600" t="inlineStr">
        <is>
          <t>12.2</t>
        </is>
      </c>
      <c r="J600" t="inlineStr">
        <is>
          <t>4.4800000000000004</t>
        </is>
      </c>
      <c r="K600" t="inlineStr">
        <is>
          <t>130</t>
        </is>
      </c>
      <c r="L600" t="inlineStr">
        <is>
          <t>82.67</t>
        </is>
      </c>
      <c r="M600" t="inlineStr">
        <is>
          <t>3.75</t>
        </is>
      </c>
      <c r="N600" t="inlineStr">
        <is>
          <t>222</t>
        </is>
      </c>
    </row>
    <row r="601">
      <c r="A601" t="inlineStr">
        <is>
          <t>1304</t>
        </is>
      </c>
      <c r="B601" t="inlineStr">
        <is>
          <t>2RS</t>
        </is>
      </c>
      <c r="C601" t="inlineStr">
        <is>
          <t>TRAVELER</t>
        </is>
      </c>
      <c r="D601" t="inlineStr">
        <is>
          <t>2026-07-14T00:00:00</t>
        </is>
      </c>
      <c r="E601" t="inlineStr">
        <is>
          <t>2026-07-21T00:00:00</t>
        </is>
      </c>
      <c r="F601" t="inlineStr">
        <is>
          <t>86.98</t>
        </is>
      </c>
      <c r="G601" t="inlineStr"/>
      <c r="H601" t="inlineStr">
        <is>
          <t>280.07</t>
        </is>
      </c>
      <c r="I601" t="inlineStr">
        <is>
          <t>12.5</t>
        </is>
      </c>
      <c r="J601" t="inlineStr"/>
      <c r="K601" t="inlineStr"/>
      <c r="L601" t="inlineStr"/>
      <c r="M601" t="inlineStr"/>
      <c r="N601" t="inlineStr"/>
    </row>
    <row r="602">
      <c r="A602" t="inlineStr">
        <is>
          <t>1305</t>
        </is>
      </c>
      <c r="B602" t="inlineStr">
        <is>
          <t>IBON</t>
        </is>
      </c>
      <c r="C602" t="inlineStr">
        <is>
          <t>IBON</t>
        </is>
      </c>
      <c r="D602" t="inlineStr">
        <is>
          <t>2026-07-15T00:00:00</t>
        </is>
      </c>
      <c r="E602" t="inlineStr">
        <is>
          <t>2026-07-22T00:00:00</t>
        </is>
      </c>
      <c r="F602" t="inlineStr">
        <is>
          <t>84.53</t>
        </is>
      </c>
      <c r="G602" t="inlineStr">
        <is>
          <t>94.8</t>
        </is>
      </c>
      <c r="H602" t="inlineStr">
        <is>
          <t>282.35000000000002</t>
        </is>
      </c>
      <c r="I602" t="inlineStr">
        <is>
          <t>14.8</t>
        </is>
      </c>
      <c r="J602" t="inlineStr">
        <is>
          <t>4.47</t>
        </is>
      </c>
      <c r="K602" t="inlineStr">
        <is>
          <t>145.4</t>
        </is>
      </c>
      <c r="L602" t="inlineStr">
        <is>
          <t>54.78</t>
        </is>
      </c>
      <c r="M602" t="inlineStr">
        <is>
          <t>4.4000000000000004</t>
        </is>
      </c>
      <c r="N602" t="inlineStr">
        <is>
          <t>340</t>
        </is>
      </c>
    </row>
    <row r="603">
      <c r="A603" t="inlineStr">
        <is>
          <t>1306</t>
        </is>
      </c>
      <c r="B603" t="inlineStr">
        <is>
          <t>IBON</t>
        </is>
      </c>
      <c r="C603" t="inlineStr">
        <is>
          <t>IBON</t>
        </is>
      </c>
      <c r="D603" t="inlineStr">
        <is>
          <t>2026-07-17T00:00:00</t>
        </is>
      </c>
      <c r="E603" t="inlineStr">
        <is>
          <t>2026-07-23T00:00:00</t>
        </is>
      </c>
      <c r="F603" t="inlineStr">
        <is>
          <t>84.45</t>
        </is>
      </c>
      <c r="G603" t="inlineStr">
        <is>
          <t>93.6</t>
        </is>
      </c>
      <c r="H603" t="inlineStr">
        <is>
          <t>282.77</t>
        </is>
      </c>
      <c r="I603" t="inlineStr">
        <is>
          <t>13.8</t>
        </is>
      </c>
      <c r="J603" t="inlineStr">
        <is>
          <t>4.47</t>
        </is>
      </c>
      <c r="K603" t="inlineStr">
        <is>
          <t>150</t>
        </is>
      </c>
      <c r="L603" t="inlineStr">
        <is>
          <t>57.49</t>
        </is>
      </c>
      <c r="M603" t="inlineStr">
        <is>
          <t>4.7</t>
        </is>
      </c>
      <c r="N603" t="inlineStr">
        <is>
          <t>333</t>
        </is>
      </c>
    </row>
    <row r="604">
      <c r="A604" t="inlineStr">
        <is>
          <t>1307</t>
        </is>
      </c>
      <c r="B604" t="inlineStr">
        <is>
          <t>IBON</t>
        </is>
      </c>
      <c r="C604" t="inlineStr">
        <is>
          <t>IBON</t>
        </is>
      </c>
      <c r="D604" t="inlineStr">
        <is>
          <t>2026-07-18T00:00:00</t>
        </is>
      </c>
      <c r="E604" t="inlineStr">
        <is>
          <t>2026-07-25T00:00:00</t>
        </is>
      </c>
      <c r="F604" t="inlineStr">
        <is>
          <t>85.13</t>
        </is>
      </c>
      <c r="G604" t="inlineStr">
        <is>
          <t>94.4</t>
        </is>
      </c>
      <c r="H604" t="inlineStr">
        <is>
          <t>282.87</t>
        </is>
      </c>
      <c r="I604" t="inlineStr">
        <is>
          <t>13.8</t>
        </is>
      </c>
      <c r="J604" t="inlineStr">
        <is>
          <t>4.4400000000000004</t>
        </is>
      </c>
      <c r="K604" t="inlineStr">
        <is>
          <t>145</t>
        </is>
      </c>
      <c r="L604" t="inlineStr">
        <is>
          <t>54.85</t>
        </is>
      </c>
      <c r="M604" t="inlineStr">
        <is>
          <t>4.5999999999999996</t>
        </is>
      </c>
      <c r="N604" t="inlineStr">
        <is>
          <t>415</t>
        </is>
      </c>
    </row>
    <row r="605">
      <c r="A605" t="inlineStr">
        <is>
          <t>1308</t>
        </is>
      </c>
      <c r="B605" t="inlineStr">
        <is>
          <t>2RS</t>
        </is>
      </c>
      <c r="C605" t="inlineStr">
        <is>
          <t>SKYWAY</t>
        </is>
      </c>
      <c r="D605" t="inlineStr">
        <is>
          <t>2026-07-19T00:00:00</t>
        </is>
      </c>
      <c r="E605" t="inlineStr">
        <is>
          <t>2026-07-26T00:00:00</t>
        </is>
      </c>
      <c r="F605" t="inlineStr">
        <is>
          <t>86.57</t>
        </is>
      </c>
      <c r="G605" t="inlineStr"/>
      <c r="H605" t="inlineStr">
        <is>
          <t>281.33</t>
        </is>
      </c>
      <c r="I605" t="inlineStr">
        <is>
          <t>13.2</t>
        </is>
      </c>
      <c r="J605" t="inlineStr"/>
      <c r="K605" t="inlineStr"/>
      <c r="L605" t="inlineStr"/>
      <c r="M605" t="inlineStr"/>
      <c r="N605" t="inlineStr"/>
    </row>
    <row r="606">
      <c r="A606" t="inlineStr">
        <is>
          <t>1309</t>
        </is>
      </c>
      <c r="B606" t="inlineStr">
        <is>
          <t>IBON</t>
        </is>
      </c>
      <c r="C606" t="inlineStr">
        <is>
          <t>IBON</t>
        </is>
      </c>
      <c r="D606" t="inlineStr">
        <is>
          <t>2026-07-20T00:00:00</t>
        </is>
      </c>
      <c r="E606" t="inlineStr">
        <is>
          <t>2026-07-27T00:00:00</t>
        </is>
      </c>
      <c r="F606" t="inlineStr">
        <is>
          <t>84.96</t>
        </is>
      </c>
      <c r="G606" t="inlineStr">
        <is>
          <t>94.4</t>
        </is>
      </c>
      <c r="H606" t="inlineStr">
        <is>
          <t>282.60000000000002</t>
        </is>
      </c>
      <c r="I606" t="inlineStr">
        <is>
          <t>13.9</t>
        </is>
      </c>
      <c r="J606" t="inlineStr">
        <is>
          <t>4.68</t>
        </is>
      </c>
      <c r="K606" t="inlineStr">
        <is>
          <t>150</t>
        </is>
      </c>
      <c r="L606" t="inlineStr">
        <is>
          <t>61.1</t>
        </is>
      </c>
      <c r="M606" t="inlineStr">
        <is>
          <t>4.7</t>
        </is>
      </c>
      <c r="N606" t="inlineStr">
        <is>
          <t>261</t>
        </is>
      </c>
    </row>
    <row r="607">
      <c r="A607" t="inlineStr">
        <is>
          <t>1310</t>
        </is>
      </c>
      <c r="B607" t="inlineStr">
        <is>
          <t>IBON</t>
        </is>
      </c>
      <c r="C607" t="inlineStr">
        <is>
          <t>IBON</t>
        </is>
      </c>
      <c r="D607" t="inlineStr">
        <is>
          <t>2026-07-22T00:00:00</t>
        </is>
      </c>
      <c r="E607" t="inlineStr">
        <is>
          <t>2026-07-28T00:00:00</t>
        </is>
      </c>
      <c r="F607" t="inlineStr">
        <is>
          <t>84.53</t>
        </is>
      </c>
      <c r="G607" t="inlineStr">
        <is>
          <t>93.9</t>
        </is>
      </c>
      <c r="H607" t="inlineStr">
        <is>
          <t>283.72000000000003</t>
        </is>
      </c>
      <c r="I607" t="inlineStr">
        <is>
          <t>14.1</t>
        </is>
      </c>
      <c r="J607" t="inlineStr">
        <is>
          <t>4.57</t>
        </is>
      </c>
      <c r="K607" t="inlineStr">
        <is>
          <t>145</t>
        </is>
      </c>
      <c r="L607" t="inlineStr">
        <is>
          <t>55.9</t>
        </is>
      </c>
      <c r="M607" t="inlineStr">
        <is>
          <t>4.5</t>
        </is>
      </c>
      <c r="N607" t="inlineStr">
        <is>
          <t>360</t>
        </is>
      </c>
    </row>
    <row r="608">
      <c r="A608" t="inlineStr">
        <is>
          <t>1311</t>
        </is>
      </c>
      <c r="B608" t="inlineStr">
        <is>
          <t>2RS</t>
        </is>
      </c>
      <c r="C608" t="inlineStr">
        <is>
          <t>TRAVELER</t>
        </is>
      </c>
      <c r="D608" t="inlineStr">
        <is>
          <t>2026-07-23T00:00:00</t>
        </is>
      </c>
      <c r="E608" t="inlineStr">
        <is>
          <t>2026-07-29T00:00:00</t>
        </is>
      </c>
      <c r="F608" t="inlineStr">
        <is>
          <t>84.99</t>
        </is>
      </c>
      <c r="G608" t="inlineStr">
        <is>
          <t>94.3</t>
        </is>
      </c>
      <c r="H608" t="inlineStr">
        <is>
          <t>285.76</t>
        </is>
      </c>
      <c r="I608" t="inlineStr">
        <is>
          <t>13.7</t>
        </is>
      </c>
      <c r="J608" t="inlineStr">
        <is>
          <t>4.25</t>
        </is>
      </c>
      <c r="K608" t="inlineStr">
        <is>
          <t>130</t>
        </is>
      </c>
      <c r="L608" t="inlineStr">
        <is>
          <t>85.1</t>
        </is>
      </c>
      <c r="M608" t="inlineStr">
        <is>
          <t>3.6</t>
        </is>
      </c>
      <c r="N608" t="inlineStr">
        <is>
          <t>188</t>
        </is>
      </c>
    </row>
    <row r="609">
      <c r="A609" t="inlineStr">
        <is>
          <t>1312</t>
        </is>
      </c>
      <c r="B609" t="inlineStr">
        <is>
          <t>2RS</t>
        </is>
      </c>
      <c r="C609" t="inlineStr">
        <is>
          <t>TRAVELER</t>
        </is>
      </c>
      <c r="D609" t="inlineStr">
        <is>
          <t>2026-07-24T00:00:00</t>
        </is>
      </c>
      <c r="E609" t="inlineStr">
        <is>
          <t>2026-07-31T00:00:00</t>
        </is>
      </c>
      <c r="F609" t="inlineStr">
        <is>
          <t>85.97</t>
        </is>
      </c>
      <c r="G609" t="inlineStr"/>
      <c r="H609" t="inlineStr">
        <is>
          <t>285.64</t>
        </is>
      </c>
      <c r="I609" t="inlineStr">
        <is>
          <t>13.4</t>
        </is>
      </c>
      <c r="J609" t="inlineStr"/>
      <c r="K609" t="inlineStr"/>
      <c r="L609" t="inlineStr"/>
      <c r="M609" t="inlineStr"/>
      <c r="N609" t="inlineStr"/>
    </row>
    <row r="610">
      <c r="A610" t="inlineStr">
        <is>
          <t>1313</t>
        </is>
      </c>
      <c r="B610" t="inlineStr">
        <is>
          <t>2RS</t>
        </is>
      </c>
      <c r="C610" t="inlineStr">
        <is>
          <t>TRAVELER</t>
        </is>
      </c>
      <c r="D610" t="inlineStr">
        <is>
          <t>2026-07-25T00:00:00</t>
        </is>
      </c>
      <c r="E610" t="inlineStr">
        <is>
          <t>2026-08-01T00:00:00</t>
        </is>
      </c>
      <c r="F610" t="inlineStr">
        <is>
          <t>85.88</t>
        </is>
      </c>
      <c r="G610" t="inlineStr"/>
      <c r="H610" t="inlineStr">
        <is>
          <t>285.68</t>
        </is>
      </c>
      <c r="I610" t="inlineStr">
        <is>
          <t>13</t>
        </is>
      </c>
      <c r="J610" t="inlineStr"/>
      <c r="K610" t="inlineStr"/>
      <c r="L610" t="inlineStr"/>
      <c r="M610" t="inlineStr"/>
      <c r="N610" t="inlineStr"/>
    </row>
    <row r="611">
      <c r="A611" t="inlineStr">
        <is>
          <t>1314</t>
        </is>
      </c>
      <c r="B611" t="inlineStr">
        <is>
          <t>2RS</t>
        </is>
      </c>
      <c r="C611" t="inlineStr">
        <is>
          <t>SKYWAY</t>
        </is>
      </c>
      <c r="D611" t="inlineStr">
        <is>
          <t>2026-07-27T00:00:00</t>
        </is>
      </c>
      <c r="E611" t="inlineStr">
        <is>
          <t>2026-08-02T00:00:00</t>
        </is>
      </c>
      <c r="F611" t="inlineStr">
        <is>
          <t>86.69</t>
        </is>
      </c>
      <c r="G611" t="inlineStr"/>
      <c r="H611" t="inlineStr">
        <is>
          <t>281.26</t>
        </is>
      </c>
      <c r="I611" t="inlineStr">
        <is>
          <t>13.6</t>
        </is>
      </c>
      <c r="J611" t="inlineStr"/>
      <c r="K611" t="inlineStr"/>
      <c r="L611" t="inlineStr"/>
      <c r="M611" t="inlineStr"/>
      <c r="N611" t="inlineStr"/>
    </row>
    <row r="612">
      <c r="A612" t="inlineStr">
        <is>
          <t>1315</t>
        </is>
      </c>
      <c r="B612" t="inlineStr">
        <is>
          <t>2RS</t>
        </is>
      </c>
      <c r="C612" t="inlineStr">
        <is>
          <t>TRAVELER</t>
        </is>
      </c>
      <c r="D612" t="inlineStr">
        <is>
          <t>2026-07-27T00:00:00</t>
        </is>
      </c>
      <c r="E612" t="inlineStr">
        <is>
          <t>2026-08-03T00:00:00</t>
        </is>
      </c>
      <c r="F612" t="inlineStr">
        <is>
          <t>85.3</t>
        </is>
      </c>
      <c r="G612" t="inlineStr"/>
      <c r="H612" t="inlineStr">
        <is>
          <t>285.81</t>
        </is>
      </c>
      <c r="I612" t="inlineStr">
        <is>
          <t>13.5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1316</t>
        </is>
      </c>
      <c r="B613" t="inlineStr">
        <is>
          <t>2RS</t>
        </is>
      </c>
      <c r="C613" t="inlineStr">
        <is>
          <t>SKYWAY</t>
        </is>
      </c>
      <c r="D613" t="inlineStr">
        <is>
          <t>2026-07-29T00:00:00</t>
        </is>
      </c>
      <c r="E613" t="inlineStr">
        <is>
          <t>2026-08-05T00:00:00</t>
        </is>
      </c>
      <c r="F613" t="inlineStr"/>
      <c r="G613" t="inlineStr"/>
      <c r="H613" t="inlineStr">
        <is>
          <t>280.07</t>
        </is>
      </c>
      <c r="I613" t="inlineStr">
        <is>
          <t>13</t>
        </is>
      </c>
      <c r="J613" t="inlineStr"/>
      <c r="K613" t="inlineStr"/>
      <c r="L613" t="inlineStr"/>
      <c r="M613" t="inlineStr"/>
      <c r="N613" t="inlineStr"/>
    </row>
    <row r="614">
      <c r="A614" t="inlineStr">
        <is>
          <t>1317</t>
        </is>
      </c>
      <c r="B614" t="inlineStr">
        <is>
          <t>2RS</t>
        </is>
      </c>
      <c r="C614" t="inlineStr">
        <is>
          <t>SKYWAY</t>
        </is>
      </c>
      <c r="D614" t="inlineStr">
        <is>
          <t>2026-07-30T00:00:00</t>
        </is>
      </c>
      <c r="E614" t="inlineStr">
        <is>
          <t>2026-08-07T00:00:00</t>
        </is>
      </c>
      <c r="F614" t="inlineStr"/>
      <c r="G614" t="inlineStr"/>
      <c r="H614" t="inlineStr">
        <is>
          <t>279.86</t>
        </is>
      </c>
      <c r="I614" t="inlineStr">
        <is>
          <t>13</t>
        </is>
      </c>
      <c r="J614" t="inlineStr"/>
      <c r="K614" t="inlineStr"/>
      <c r="L614" t="inlineStr"/>
      <c r="M614" t="inlineStr"/>
      <c r="N614" t="inlineStr"/>
    </row>
    <row r="615">
      <c r="A615" t="inlineStr">
        <is>
          <t>1318</t>
        </is>
      </c>
      <c r="B615" t="inlineStr">
        <is>
          <t>2RS</t>
        </is>
      </c>
      <c r="C615" t="inlineStr">
        <is>
          <t>SKYWAY</t>
        </is>
      </c>
      <c r="D615" t="inlineStr">
        <is>
          <t>2026-07-31T00:00:00</t>
        </is>
      </c>
      <c r="E615" t="inlineStr">
        <is>
          <t>2026-08-08T00:00:00</t>
        </is>
      </c>
      <c r="F615" t="inlineStr"/>
      <c r="G615" t="inlineStr"/>
      <c r="H615" t="inlineStr">
        <is>
          <t>279.91000000000003</t>
        </is>
      </c>
      <c r="I615" t="inlineStr">
        <is>
          <t>12.8</t>
        </is>
      </c>
      <c r="J615" t="inlineStr"/>
      <c r="K615" t="inlineStr"/>
      <c r="L615" t="inlineStr"/>
      <c r="M615" t="inlineStr"/>
      <c r="N615" t="inlineStr"/>
    </row>
    <row r="616">
      <c r="A616" t="inlineStr">
        <is>
          <t>1319</t>
        </is>
      </c>
      <c r="B616" t="inlineStr">
        <is>
          <t>2RS</t>
        </is>
      </c>
      <c r="C616" t="inlineStr">
        <is>
          <t>SKYWAY</t>
        </is>
      </c>
      <c r="D616" t="inlineStr">
        <is>
          <t>2026-08-01T00:00:00</t>
        </is>
      </c>
      <c r="E616" t="inlineStr">
        <is>
          <t>2026-08-09T00:00:00</t>
        </is>
      </c>
      <c r="F616" t="inlineStr"/>
      <c r="G616" t="inlineStr"/>
      <c r="H616" t="inlineStr">
        <is>
          <t>274.81</t>
        </is>
      </c>
      <c r="I616" t="inlineStr">
        <is>
          <t>13.6</t>
        </is>
      </c>
      <c r="J616" t="inlineStr"/>
      <c r="K616" t="inlineStr"/>
      <c r="L616" t="inlineStr"/>
      <c r="M616" t="inlineStr"/>
      <c r="N616" t="inlineStr"/>
    </row>
    <row r="617">
      <c r="A617" t="inlineStr">
        <is>
          <t>1320</t>
        </is>
      </c>
      <c r="B617" t="inlineStr">
        <is>
          <t>2RS</t>
        </is>
      </c>
      <c r="C617" t="inlineStr">
        <is>
          <t>TRAVELER</t>
        </is>
      </c>
      <c r="D617" t="inlineStr">
        <is>
          <t>2026-08-02T00:00:00</t>
        </is>
      </c>
      <c r="E617" t="inlineStr">
        <is>
          <t>2026-08-10T00:00:00</t>
        </is>
      </c>
      <c r="F617" t="inlineStr"/>
      <c r="G617" t="inlineStr"/>
      <c r="H617" t="inlineStr">
        <is>
          <t>285.81</t>
        </is>
      </c>
      <c r="I617" t="inlineStr">
        <is>
          <t>13.1</t>
        </is>
      </c>
      <c r="J617" t="inlineStr"/>
      <c r="K617" t="inlineStr"/>
      <c r="L617" t="inlineStr"/>
      <c r="M617" t="inlineStr"/>
      <c r="N617" t="inlineStr"/>
    </row>
    <row r="618">
      <c r="A618" t="inlineStr">
        <is>
          <t>1321</t>
        </is>
      </c>
      <c r="B618" t="inlineStr">
        <is>
          <t>2RS</t>
        </is>
      </c>
      <c r="C618" t="inlineStr">
        <is>
          <t>SKYWAY</t>
        </is>
      </c>
      <c r="D618" t="inlineStr">
        <is>
          <t>2026-08-04T00:00:00</t>
        </is>
      </c>
      <c r="E618" t="inlineStr">
        <is>
          <t>2026-08-12T00:00:00</t>
        </is>
      </c>
      <c r="F618" t="inlineStr"/>
      <c r="G618" t="inlineStr"/>
      <c r="H618" t="inlineStr">
        <is>
          <t>287.14</t>
        </is>
      </c>
      <c r="I618" t="inlineStr"/>
      <c r="J618" t="inlineStr"/>
      <c r="K618" t="inlineStr"/>
      <c r="L618" t="inlineStr"/>
      <c r="M618" t="inlineStr"/>
      <c r="N6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Batch</t>
        </is>
      </c>
      <c r="B1" s="1" t="inlineStr">
        <is>
          <t>Cahier des charges</t>
        </is>
      </c>
      <c r="C1" s="1" t="inlineStr">
        <is>
          <t>Mois</t>
        </is>
      </c>
      <c r="D1" s="1" t="inlineStr">
        <is>
          <t>Fin de production</t>
        </is>
      </c>
      <c r="E1" s="1" t="inlineStr">
        <is>
          <t>Cle</t>
        </is>
      </c>
      <c r="F1" s="1" t="inlineStr">
        <is>
          <t>malt_yield_r2</t>
        </is>
      </c>
      <c r="G1" s="1" t="inlineStr">
        <is>
          <t>malt_dry_yield</t>
        </is>
      </c>
      <c r="H1" s="1" t="inlineStr">
        <is>
          <t>goods_weight</t>
        </is>
      </c>
      <c r="I1" s="1" t="inlineStr">
        <is>
          <t>goods_moisture</t>
        </is>
      </c>
      <c r="J1" s="1" t="inlineStr">
        <is>
          <t>malt_moisture</t>
        </is>
      </c>
      <c r="K1" s="1" t="inlineStr">
        <is>
          <t>FAN</t>
        </is>
      </c>
      <c r="L1" s="1" t="inlineStr">
        <is>
          <t>friabilite</t>
        </is>
      </c>
      <c r="M1" s="1" t="inlineStr">
        <is>
          <t>coloration_EBC</t>
        </is>
      </c>
      <c r="N1" s="1" t="inlineStr">
        <is>
          <t>betaG</t>
        </is>
      </c>
    </row>
    <row r="2">
      <c r="A2" t="inlineStr">
        <is>
          <t>705</t>
        </is>
      </c>
      <c r="B2" t="inlineStr">
        <is>
          <t>2RS</t>
        </is>
      </c>
      <c r="C2" t="n">
        <v>2</v>
      </c>
      <c r="D2" s="2" t="n">
        <v>45350</v>
      </c>
      <c r="E2" t="inlineStr">
        <is>
          <t>2RS-2</t>
        </is>
      </c>
      <c r="F2" t="n">
        <v>85.39</v>
      </c>
      <c r="G2" t="inlineStr"/>
      <c r="H2" t="n">
        <v>283.31</v>
      </c>
      <c r="I2" t="n">
        <v>13.1</v>
      </c>
      <c r="J2" t="inlineStr"/>
      <c r="K2" t="inlineStr"/>
      <c r="L2" t="inlineStr"/>
      <c r="M2" t="inlineStr"/>
      <c r="N2" t="inlineStr"/>
    </row>
    <row r="3">
      <c r="A3" t="inlineStr">
        <is>
          <t>706</t>
        </is>
      </c>
      <c r="B3" t="inlineStr">
        <is>
          <t>2RS</t>
        </is>
      </c>
      <c r="C3" t="n">
        <v>2</v>
      </c>
      <c r="D3" s="2" t="n">
        <v>45351</v>
      </c>
      <c r="E3" t="inlineStr">
        <is>
          <t>2RS-2</t>
        </is>
      </c>
      <c r="F3" t="n">
        <v>85.59999999999999</v>
      </c>
      <c r="G3" t="inlineStr"/>
      <c r="H3" t="n">
        <v>283.31</v>
      </c>
      <c r="I3" t="n">
        <v>13.1</v>
      </c>
      <c r="J3" t="inlineStr"/>
      <c r="K3" t="inlineStr"/>
      <c r="L3" t="inlineStr"/>
      <c r="M3" t="inlineStr"/>
      <c r="N3" t="inlineStr"/>
    </row>
    <row r="4">
      <c r="A4" t="inlineStr">
        <is>
          <t>707</t>
        </is>
      </c>
      <c r="B4" t="inlineStr">
        <is>
          <t>2RS</t>
        </is>
      </c>
      <c r="C4" t="n">
        <v>3</v>
      </c>
      <c r="D4" s="2" t="n">
        <v>45352</v>
      </c>
      <c r="E4" t="inlineStr">
        <is>
          <t>2RS-3</t>
        </is>
      </c>
      <c r="F4" t="n">
        <v>86.25</v>
      </c>
      <c r="G4" t="n">
        <v>94.5</v>
      </c>
      <c r="H4" t="n">
        <v>282.34</v>
      </c>
      <c r="I4" t="n">
        <v>12.8</v>
      </c>
      <c r="J4" t="n">
        <v>4.48</v>
      </c>
      <c r="K4" t="n">
        <v>156</v>
      </c>
      <c r="L4" t="n">
        <v>82.08</v>
      </c>
      <c r="M4" t="n">
        <v>4</v>
      </c>
      <c r="N4" t="n">
        <v>283</v>
      </c>
    </row>
    <row r="5">
      <c r="A5" t="inlineStr">
        <is>
          <t>708</t>
        </is>
      </c>
      <c r="B5" t="inlineStr">
        <is>
          <t>2RS</t>
        </is>
      </c>
      <c r="C5" t="n">
        <v>3</v>
      </c>
      <c r="D5" s="2" t="n">
        <v>45353</v>
      </c>
      <c r="E5" t="inlineStr">
        <is>
          <t>2RS-3</t>
        </is>
      </c>
      <c r="F5" t="n">
        <v>86.14</v>
      </c>
      <c r="G5" t="n">
        <v>91.90000000000001</v>
      </c>
      <c r="H5" t="n">
        <v>282.41</v>
      </c>
      <c r="I5" t="n">
        <v>10.4</v>
      </c>
      <c r="J5" t="n">
        <v>4.46</v>
      </c>
      <c r="K5" t="n">
        <v>153</v>
      </c>
      <c r="L5" t="n">
        <v>81.3</v>
      </c>
      <c r="M5" t="n">
        <v>4.4</v>
      </c>
      <c r="N5" t="n">
        <v>267</v>
      </c>
    </row>
    <row r="6">
      <c r="A6" t="inlineStr">
        <is>
          <t>709</t>
        </is>
      </c>
      <c r="B6" t="inlineStr">
        <is>
          <t>2RS</t>
        </is>
      </c>
      <c r="C6" t="n">
        <v>3</v>
      </c>
      <c r="D6" s="2" t="n">
        <v>45355</v>
      </c>
      <c r="E6" t="inlineStr">
        <is>
          <t>2RS-3</t>
        </is>
      </c>
      <c r="F6" t="n">
        <v>86.17</v>
      </c>
      <c r="G6" t="n">
        <v>94.59999999999999</v>
      </c>
      <c r="H6" t="n">
        <v>284.43</v>
      </c>
      <c r="I6" t="n">
        <v>12.7</v>
      </c>
      <c r="J6" t="n">
        <v>4.2</v>
      </c>
      <c r="K6" t="n">
        <v>135</v>
      </c>
      <c r="L6" t="n">
        <v>85.14</v>
      </c>
      <c r="M6" t="n">
        <v>3.6</v>
      </c>
      <c r="N6" t="n">
        <v>282</v>
      </c>
    </row>
    <row r="7">
      <c r="A7" t="inlineStr">
        <is>
          <t>710</t>
        </is>
      </c>
      <c r="B7" t="inlineStr">
        <is>
          <t>IBON</t>
        </is>
      </c>
      <c r="C7" t="n">
        <v>3</v>
      </c>
      <c r="D7" s="2" t="n">
        <v>45356</v>
      </c>
      <c r="E7" t="inlineStr">
        <is>
          <t>IBON-3</t>
        </is>
      </c>
      <c r="F7" t="n">
        <v>83.06999999999999</v>
      </c>
      <c r="G7" t="n">
        <v>93.8</v>
      </c>
      <c r="H7" t="n">
        <v>283</v>
      </c>
      <c r="I7" t="n">
        <v>15.4</v>
      </c>
      <c r="J7" t="n">
        <v>4.44</v>
      </c>
      <c r="K7" t="n">
        <v>135</v>
      </c>
      <c r="L7" t="n">
        <v>52</v>
      </c>
      <c r="M7" t="n">
        <v>4.1</v>
      </c>
      <c r="N7" t="n">
        <v>367</v>
      </c>
    </row>
    <row r="8">
      <c r="A8" t="inlineStr">
        <is>
          <t>711</t>
        </is>
      </c>
      <c r="B8" t="inlineStr">
        <is>
          <t>2RS</t>
        </is>
      </c>
      <c r="C8" t="n">
        <v>3</v>
      </c>
      <c r="D8" s="2" t="n">
        <v>45357</v>
      </c>
      <c r="E8" t="inlineStr">
        <is>
          <t>2RS-3</t>
        </is>
      </c>
      <c r="F8" t="n">
        <v>81.92</v>
      </c>
      <c r="G8" t="n">
        <v>87.59999999999999</v>
      </c>
      <c r="H8" t="n">
        <v>294.34</v>
      </c>
      <c r="I8" t="n">
        <v>10.5</v>
      </c>
      <c r="J8" t="n">
        <v>4.33</v>
      </c>
      <c r="K8" t="n">
        <v>113</v>
      </c>
      <c r="L8" t="n">
        <v>79.26000000000001</v>
      </c>
      <c r="M8" t="n">
        <v>4.5</v>
      </c>
      <c r="N8" t="n">
        <v>293</v>
      </c>
    </row>
    <row r="9">
      <c r="A9" t="inlineStr">
        <is>
          <t>712</t>
        </is>
      </c>
      <c r="B9" t="inlineStr">
        <is>
          <t>2RS</t>
        </is>
      </c>
      <c r="C9" t="n">
        <v>3</v>
      </c>
      <c r="D9" s="2" t="n">
        <v>45358</v>
      </c>
      <c r="E9" t="inlineStr">
        <is>
          <t>2RS-3</t>
        </is>
      </c>
      <c r="F9" t="n">
        <v>85.64</v>
      </c>
      <c r="G9" t="n">
        <v>90.59999999999999</v>
      </c>
      <c r="H9" t="n">
        <v>282.41</v>
      </c>
      <c r="I9" t="n">
        <v>10.1</v>
      </c>
      <c r="J9" t="n">
        <v>4.89</v>
      </c>
      <c r="K9" t="n">
        <v>144</v>
      </c>
      <c r="L9" t="n">
        <v>79.40000000000001</v>
      </c>
      <c r="M9" t="n">
        <v>4.5</v>
      </c>
      <c r="N9" t="n">
        <v>293</v>
      </c>
    </row>
    <row r="10">
      <c r="A10" t="inlineStr">
        <is>
          <t>713</t>
        </is>
      </c>
      <c r="B10" t="inlineStr">
        <is>
          <t>2RS</t>
        </is>
      </c>
      <c r="C10" t="n">
        <v>3</v>
      </c>
      <c r="D10" s="2" t="n">
        <v>45359</v>
      </c>
      <c r="E10" t="inlineStr">
        <is>
          <t>2RS-3</t>
        </is>
      </c>
      <c r="F10" t="n">
        <v>85.73999999999999</v>
      </c>
      <c r="G10" t="n">
        <v>91.3</v>
      </c>
      <c r="H10" t="n">
        <v>282.65</v>
      </c>
      <c r="I10" t="n">
        <v>10.1</v>
      </c>
      <c r="J10" t="n">
        <v>4.3</v>
      </c>
      <c r="K10" t="n">
        <v>155</v>
      </c>
      <c r="L10" t="n">
        <v>90.42</v>
      </c>
      <c r="M10" t="n">
        <v>3.7</v>
      </c>
      <c r="N10" t="inlineStr"/>
    </row>
    <row r="11">
      <c r="A11" t="inlineStr">
        <is>
          <t>714</t>
        </is>
      </c>
      <c r="B11" t="inlineStr">
        <is>
          <t>2RS</t>
        </is>
      </c>
      <c r="C11" t="n">
        <v>3</v>
      </c>
      <c r="D11" s="2" t="n">
        <v>45360</v>
      </c>
      <c r="E11" t="inlineStr">
        <is>
          <t>2RS-3</t>
        </is>
      </c>
      <c r="F11" t="n">
        <v>86.28</v>
      </c>
      <c r="G11" t="n">
        <v>94.7</v>
      </c>
      <c r="H11" t="n">
        <v>282.92</v>
      </c>
      <c r="I11" t="n">
        <v>12.9</v>
      </c>
      <c r="J11" t="n">
        <v>4.42</v>
      </c>
      <c r="K11" t="n">
        <v>147</v>
      </c>
      <c r="L11" t="n">
        <v>87.8</v>
      </c>
      <c r="M11" t="n">
        <v>4.1</v>
      </c>
      <c r="N11" t="n">
        <v>186</v>
      </c>
    </row>
    <row r="12">
      <c r="A12" t="inlineStr">
        <is>
          <t>715</t>
        </is>
      </c>
      <c r="B12" t="inlineStr">
        <is>
          <t>2RS</t>
        </is>
      </c>
      <c r="C12" t="n">
        <v>3</v>
      </c>
      <c r="D12" s="2" t="n">
        <v>45361</v>
      </c>
      <c r="E12" t="inlineStr">
        <is>
          <t>2RS-3</t>
        </is>
      </c>
      <c r="F12" t="n">
        <v>85.2</v>
      </c>
      <c r="G12" t="n">
        <v>93.8</v>
      </c>
      <c r="H12" t="n">
        <v>283.22</v>
      </c>
      <c r="I12" t="n">
        <v>13.6</v>
      </c>
      <c r="J12" t="n">
        <v>4.89</v>
      </c>
      <c r="K12" t="n">
        <v>144</v>
      </c>
      <c r="L12" t="n">
        <v>79.40000000000001</v>
      </c>
      <c r="M12" t="n">
        <v>4.5</v>
      </c>
      <c r="N12" t="n">
        <v>293</v>
      </c>
    </row>
    <row r="13">
      <c r="A13" t="inlineStr">
        <is>
          <t>716</t>
        </is>
      </c>
      <c r="B13" t="inlineStr">
        <is>
          <t>2RS</t>
        </is>
      </c>
      <c r="C13" t="n">
        <v>3</v>
      </c>
      <c r="D13" s="2" t="n">
        <v>45363</v>
      </c>
      <c r="E13" t="inlineStr">
        <is>
          <t>2RS-3</t>
        </is>
      </c>
      <c r="F13" t="n">
        <v>85.05</v>
      </c>
      <c r="G13" t="n">
        <v>94.2</v>
      </c>
      <c r="H13" t="n">
        <v>282.88</v>
      </c>
      <c r="I13" t="n">
        <v>13.6</v>
      </c>
      <c r="J13" t="n">
        <v>4.29</v>
      </c>
      <c r="K13" t="n">
        <v>154</v>
      </c>
      <c r="L13" t="n">
        <v>82</v>
      </c>
      <c r="M13" t="n">
        <v>4.8</v>
      </c>
      <c r="N13" t="n">
        <v>350</v>
      </c>
    </row>
    <row r="14">
      <c r="A14" t="inlineStr">
        <is>
          <t>717</t>
        </is>
      </c>
      <c r="B14" t="inlineStr">
        <is>
          <t>2RS</t>
        </is>
      </c>
      <c r="C14" t="n">
        <v>3</v>
      </c>
      <c r="D14" s="2" t="n">
        <v>45364</v>
      </c>
      <c r="E14" t="inlineStr">
        <is>
          <t>2RS-3</t>
        </is>
      </c>
      <c r="F14" t="n">
        <v>85.03</v>
      </c>
      <c r="G14" t="n">
        <v>94</v>
      </c>
      <c r="H14" t="n">
        <v>282.79</v>
      </c>
      <c r="I14" t="n">
        <v>13.4</v>
      </c>
      <c r="J14" t="n">
        <v>4.29</v>
      </c>
      <c r="K14" t="n">
        <v>154</v>
      </c>
      <c r="L14" t="n">
        <v>82.68000000000001</v>
      </c>
      <c r="M14" t="n">
        <v>4.4</v>
      </c>
      <c r="N14" t="n">
        <v>329</v>
      </c>
    </row>
    <row r="15">
      <c r="A15" t="inlineStr">
        <is>
          <t>718</t>
        </is>
      </c>
      <c r="B15" t="inlineStr">
        <is>
          <t>2RS</t>
        </is>
      </c>
      <c r="C15" t="n">
        <v>3</v>
      </c>
      <c r="D15" s="2" t="n">
        <v>45365</v>
      </c>
      <c r="E15" t="inlineStr">
        <is>
          <t>2RS-3</t>
        </is>
      </c>
      <c r="F15" t="n">
        <v>84.44</v>
      </c>
      <c r="G15" t="n">
        <v>94.59999999999999</v>
      </c>
      <c r="H15" t="n">
        <v>287.06</v>
      </c>
      <c r="I15" t="n">
        <v>14.6</v>
      </c>
      <c r="J15" t="n">
        <v>4.3</v>
      </c>
      <c r="K15" t="n">
        <v>154</v>
      </c>
      <c r="L15" t="n">
        <v>82</v>
      </c>
      <c r="M15" t="n">
        <v>4.8</v>
      </c>
      <c r="N15" t="n">
        <v>350</v>
      </c>
    </row>
    <row r="16">
      <c r="A16" t="inlineStr">
        <is>
          <t>719</t>
        </is>
      </c>
      <c r="B16" t="inlineStr">
        <is>
          <t>IBON</t>
        </is>
      </c>
      <c r="C16" t="n">
        <v>3</v>
      </c>
      <c r="D16" s="2" t="n">
        <v>45366</v>
      </c>
      <c r="E16" t="inlineStr">
        <is>
          <t>IBON-3</t>
        </is>
      </c>
      <c r="F16" t="n">
        <v>83.43000000000001</v>
      </c>
      <c r="G16" t="n">
        <v>94.90000000000001</v>
      </c>
      <c r="H16" t="n">
        <v>275.43</v>
      </c>
      <c r="I16" t="n">
        <v>15.9</v>
      </c>
      <c r="J16" t="n">
        <v>4.32</v>
      </c>
      <c r="K16" t="n">
        <v>142</v>
      </c>
      <c r="L16" t="n">
        <v>54.7</v>
      </c>
      <c r="M16" t="n">
        <v>4.2</v>
      </c>
      <c r="N16" t="n">
        <v>329</v>
      </c>
    </row>
    <row r="17">
      <c r="A17" t="inlineStr">
        <is>
          <t>720</t>
        </is>
      </c>
      <c r="B17" t="inlineStr">
        <is>
          <t>2RS</t>
        </is>
      </c>
      <c r="C17" t="n">
        <v>3</v>
      </c>
      <c r="D17" s="2" t="n">
        <v>45367</v>
      </c>
      <c r="E17" t="inlineStr">
        <is>
          <t>2RS-3</t>
        </is>
      </c>
      <c r="F17" t="n">
        <v>85.48</v>
      </c>
      <c r="G17" t="n">
        <v>94.7</v>
      </c>
      <c r="H17" t="n">
        <v>283.21</v>
      </c>
      <c r="I17" t="n">
        <v>13.4</v>
      </c>
      <c r="J17" t="n">
        <v>4.1</v>
      </c>
      <c r="K17" t="n">
        <v>151</v>
      </c>
      <c r="L17" t="n">
        <v>82.8</v>
      </c>
      <c r="M17" t="n">
        <v>4.29</v>
      </c>
      <c r="N17" t="n">
        <v>311</v>
      </c>
    </row>
    <row r="18">
      <c r="A18" t="inlineStr">
        <is>
          <t>721</t>
        </is>
      </c>
      <c r="B18" t="inlineStr">
        <is>
          <t>IBON</t>
        </is>
      </c>
      <c r="C18" t="n">
        <v>3</v>
      </c>
      <c r="D18" s="2" t="n">
        <v>45368</v>
      </c>
      <c r="E18" t="inlineStr">
        <is>
          <t>IBON-3</t>
        </is>
      </c>
      <c r="F18" t="n">
        <v>84.06</v>
      </c>
      <c r="G18" t="n">
        <v>94.7</v>
      </c>
      <c r="H18" t="inlineStr"/>
      <c r="I18" t="n">
        <v>15.2</v>
      </c>
      <c r="J18" t="n">
        <v>4.43</v>
      </c>
      <c r="K18" t="n">
        <v>137</v>
      </c>
      <c r="L18" t="n">
        <v>52</v>
      </c>
      <c r="M18" t="n">
        <v>4.4</v>
      </c>
      <c r="N18" t="inlineStr"/>
    </row>
    <row r="19">
      <c r="A19" t="inlineStr">
        <is>
          <t>722</t>
        </is>
      </c>
      <c r="B19" t="inlineStr">
        <is>
          <t>2RS</t>
        </is>
      </c>
      <c r="C19" t="n">
        <v>3</v>
      </c>
      <c r="D19" s="2" t="n">
        <v>45369</v>
      </c>
      <c r="E19" t="inlineStr">
        <is>
          <t>2RS-3</t>
        </is>
      </c>
      <c r="F19" t="n">
        <v>85.17</v>
      </c>
      <c r="G19" t="n">
        <v>94.59999999999999</v>
      </c>
      <c r="H19" t="n">
        <v>286.99</v>
      </c>
      <c r="I19" t="n">
        <v>13.7</v>
      </c>
      <c r="J19" t="n">
        <v>4.14</v>
      </c>
      <c r="K19" t="n">
        <v>153</v>
      </c>
      <c r="L19" t="n">
        <v>84.31999999999999</v>
      </c>
      <c r="M19" t="n">
        <v>4.8</v>
      </c>
      <c r="N19" t="n">
        <v>324</v>
      </c>
    </row>
    <row r="20">
      <c r="A20" t="inlineStr">
        <is>
          <t>723</t>
        </is>
      </c>
      <c r="B20" t="inlineStr">
        <is>
          <t>2RS</t>
        </is>
      </c>
      <c r="C20" t="n">
        <v>3</v>
      </c>
      <c r="D20" s="2" t="n">
        <v>45371</v>
      </c>
      <c r="E20" t="inlineStr">
        <is>
          <t>2RS-3</t>
        </is>
      </c>
      <c r="F20" t="n">
        <v>84.87</v>
      </c>
      <c r="G20" t="n">
        <v>95.40000000000001</v>
      </c>
      <c r="H20" t="n">
        <v>283.35</v>
      </c>
      <c r="I20" t="n">
        <v>14.9</v>
      </c>
      <c r="J20" t="n">
        <v>4.39</v>
      </c>
      <c r="K20" t="n">
        <v>129</v>
      </c>
      <c r="L20" t="n">
        <v>78</v>
      </c>
      <c r="M20" t="n">
        <v>3.9</v>
      </c>
      <c r="N20" t="n">
        <v>420</v>
      </c>
    </row>
    <row r="21">
      <c r="A21" t="inlineStr">
        <is>
          <t>724</t>
        </is>
      </c>
      <c r="B21" t="inlineStr">
        <is>
          <t>IBON</t>
        </is>
      </c>
      <c r="C21" t="n">
        <v>3</v>
      </c>
      <c r="D21" s="2" t="n">
        <v>45372</v>
      </c>
      <c r="E21" t="inlineStr">
        <is>
          <t>IBON-3</t>
        </is>
      </c>
      <c r="F21" t="n">
        <v>83.38</v>
      </c>
      <c r="G21" t="n">
        <v>91.3</v>
      </c>
      <c r="H21" t="inlineStr"/>
      <c r="I21" t="n">
        <v>12.5</v>
      </c>
      <c r="J21" t="n">
        <v>4.16</v>
      </c>
      <c r="K21" t="n">
        <v>135</v>
      </c>
      <c r="L21" t="n">
        <v>56.2</v>
      </c>
      <c r="M21" t="n">
        <v>4.2</v>
      </c>
      <c r="N21" t="inlineStr"/>
    </row>
    <row r="22">
      <c r="A22" t="inlineStr">
        <is>
          <t>725</t>
        </is>
      </c>
      <c r="B22" t="inlineStr">
        <is>
          <t>IBON</t>
        </is>
      </c>
      <c r="C22" t="n">
        <v>3</v>
      </c>
      <c r="D22" s="2" t="n">
        <v>45373</v>
      </c>
      <c r="E22" t="inlineStr">
        <is>
          <t>IBON-3</t>
        </is>
      </c>
      <c r="F22" t="n">
        <v>83.20999999999999</v>
      </c>
      <c r="G22" t="n">
        <v>94.2</v>
      </c>
      <c r="H22" t="inlineStr"/>
      <c r="I22" t="n">
        <v>15.6</v>
      </c>
      <c r="J22" t="n">
        <v>4.42</v>
      </c>
      <c r="K22" t="n">
        <v>142</v>
      </c>
      <c r="L22" t="n">
        <v>52.8</v>
      </c>
      <c r="M22" t="n">
        <v>3.4</v>
      </c>
      <c r="N22" t="inlineStr"/>
    </row>
    <row r="23">
      <c r="A23" t="inlineStr">
        <is>
          <t>726</t>
        </is>
      </c>
      <c r="B23" t="inlineStr">
        <is>
          <t>IBON</t>
        </is>
      </c>
      <c r="C23" t="n">
        <v>3</v>
      </c>
      <c r="D23" s="2" t="n">
        <v>45374</v>
      </c>
      <c r="E23" t="inlineStr">
        <is>
          <t>IBON-3</t>
        </is>
      </c>
      <c r="F23" t="n">
        <v>83.31999999999999</v>
      </c>
      <c r="G23" t="n">
        <v>94</v>
      </c>
      <c r="H23" t="inlineStr"/>
      <c r="I23" t="n">
        <v>15</v>
      </c>
      <c r="J23" t="n">
        <v>4.15</v>
      </c>
      <c r="K23" t="n">
        <v>155</v>
      </c>
      <c r="L23" t="n">
        <v>58.1</v>
      </c>
      <c r="M23" t="n">
        <v>4.7</v>
      </c>
      <c r="N23" t="n">
        <v>302</v>
      </c>
    </row>
    <row r="24">
      <c r="A24" t="inlineStr">
        <is>
          <t>727</t>
        </is>
      </c>
      <c r="B24" t="inlineStr">
        <is>
          <t>IBON</t>
        </is>
      </c>
      <c r="C24" t="n">
        <v>3</v>
      </c>
      <c r="D24" s="2" t="n">
        <v>45375</v>
      </c>
      <c r="E24" t="inlineStr">
        <is>
          <t>IBON-3</t>
        </is>
      </c>
      <c r="F24" t="n">
        <v>83.34999999999999</v>
      </c>
      <c r="G24" t="n">
        <v>94.09999999999999</v>
      </c>
      <c r="H24" t="n">
        <v>275.12</v>
      </c>
      <c r="I24" t="n">
        <v>15.2</v>
      </c>
      <c r="J24" t="n">
        <v>4.27</v>
      </c>
      <c r="K24" t="n">
        <v>144</v>
      </c>
      <c r="L24" t="n">
        <v>52</v>
      </c>
      <c r="M24" t="n">
        <v>3.8</v>
      </c>
      <c r="N24" t="n">
        <v>388</v>
      </c>
    </row>
    <row r="25">
      <c r="A25" t="inlineStr">
        <is>
          <t>728</t>
        </is>
      </c>
      <c r="B25" t="inlineStr">
        <is>
          <t>IBON</t>
        </is>
      </c>
      <c r="C25" t="n">
        <v>3</v>
      </c>
      <c r="D25" s="2" t="n">
        <v>45376</v>
      </c>
      <c r="E25" t="inlineStr">
        <is>
          <t>IBON-3</t>
        </is>
      </c>
      <c r="F25" t="n">
        <v>83.8</v>
      </c>
      <c r="G25" t="n">
        <v>94.2</v>
      </c>
      <c r="H25" t="inlineStr"/>
      <c r="I25" t="n">
        <v>15</v>
      </c>
      <c r="J25" t="n">
        <v>4.47</v>
      </c>
      <c r="K25" t="n">
        <v>137</v>
      </c>
      <c r="L25" t="n">
        <v>49</v>
      </c>
      <c r="M25" t="n">
        <v>3.6</v>
      </c>
      <c r="N25" t="n">
        <v>425</v>
      </c>
    </row>
    <row r="26">
      <c r="A26" t="inlineStr">
        <is>
          <t>729</t>
        </is>
      </c>
      <c r="B26" t="inlineStr">
        <is>
          <t>2RS</t>
        </is>
      </c>
      <c r="C26" t="n">
        <v>3</v>
      </c>
      <c r="D26" s="2" t="n">
        <v>45378</v>
      </c>
      <c r="E26" t="inlineStr">
        <is>
          <t>2RS-3</t>
        </is>
      </c>
      <c r="F26" t="n">
        <v>84.13</v>
      </c>
      <c r="G26" t="n">
        <v>94.40000000000001</v>
      </c>
      <c r="H26" t="n">
        <v>282.76</v>
      </c>
      <c r="I26" t="n">
        <v>14.9</v>
      </c>
      <c r="J26" t="n">
        <v>4.55</v>
      </c>
      <c r="K26" t="n">
        <v>138</v>
      </c>
      <c r="L26" t="n">
        <v>81</v>
      </c>
      <c r="M26" t="n">
        <v>3.34</v>
      </c>
      <c r="N26" t="n">
        <v>267</v>
      </c>
    </row>
    <row r="27">
      <c r="A27" t="inlineStr">
        <is>
          <t>730</t>
        </is>
      </c>
      <c r="B27" t="inlineStr">
        <is>
          <t>2RS</t>
        </is>
      </c>
      <c r="C27" t="n">
        <v>3</v>
      </c>
      <c r="D27" s="2" t="n">
        <v>45379</v>
      </c>
      <c r="E27" t="inlineStr">
        <is>
          <t>2RS-3</t>
        </is>
      </c>
      <c r="F27" t="n">
        <v>84.06</v>
      </c>
      <c r="G27" t="n">
        <v>94.8</v>
      </c>
      <c r="H27" t="n">
        <v>287.72</v>
      </c>
      <c r="I27" t="n">
        <v>15.1</v>
      </c>
      <c r="J27" t="n">
        <v>4.29</v>
      </c>
      <c r="K27" t="n">
        <v>115</v>
      </c>
      <c r="L27" t="n">
        <v>82.2</v>
      </c>
      <c r="M27" t="n">
        <v>3.4</v>
      </c>
      <c r="N27" t="n">
        <v>292</v>
      </c>
    </row>
    <row r="28">
      <c r="A28" t="inlineStr">
        <is>
          <t>731</t>
        </is>
      </c>
      <c r="B28" t="inlineStr">
        <is>
          <t>2RS</t>
        </is>
      </c>
      <c r="C28" t="n">
        <v>3</v>
      </c>
      <c r="D28" s="2" t="n">
        <v>45380</v>
      </c>
      <c r="E28" t="inlineStr">
        <is>
          <t>2RS-3</t>
        </is>
      </c>
      <c r="F28" t="n">
        <v>84.01000000000001</v>
      </c>
      <c r="G28" t="n">
        <v>94.40000000000001</v>
      </c>
      <c r="H28" t="n">
        <v>286.75</v>
      </c>
      <c r="I28" t="n">
        <v>14.9</v>
      </c>
      <c r="J28" t="n">
        <v>4.34</v>
      </c>
      <c r="K28" t="n">
        <v>126</v>
      </c>
      <c r="L28" t="n">
        <v>83.48</v>
      </c>
      <c r="M28" t="n">
        <v>4</v>
      </c>
      <c r="N28" t="n">
        <v>188</v>
      </c>
    </row>
    <row r="29">
      <c r="A29" t="inlineStr">
        <is>
          <t>732</t>
        </is>
      </c>
      <c r="B29" t="inlineStr">
        <is>
          <t>2RS</t>
        </is>
      </c>
      <c r="C29" t="n">
        <v>3</v>
      </c>
      <c r="D29" s="2" t="n">
        <v>45381</v>
      </c>
      <c r="E29" t="inlineStr">
        <is>
          <t>2RS-3</t>
        </is>
      </c>
      <c r="F29" t="n">
        <v>85.14</v>
      </c>
      <c r="G29" t="n">
        <v>95.40000000000001</v>
      </c>
      <c r="H29" t="n">
        <v>283.06</v>
      </c>
      <c r="I29" t="n">
        <v>14.6</v>
      </c>
      <c r="J29" t="n">
        <v>4.31</v>
      </c>
      <c r="K29" t="n">
        <v>132</v>
      </c>
      <c r="L29" t="n">
        <v>84.28</v>
      </c>
      <c r="M29" t="n">
        <v>3.88</v>
      </c>
      <c r="N29" t="n">
        <v>178</v>
      </c>
    </row>
    <row r="30">
      <c r="A30" t="inlineStr">
        <is>
          <t>733</t>
        </is>
      </c>
      <c r="B30" t="inlineStr">
        <is>
          <t>2RS</t>
        </is>
      </c>
      <c r="C30" t="n">
        <v>3</v>
      </c>
      <c r="D30" s="2" t="n">
        <v>45382</v>
      </c>
      <c r="E30" t="inlineStr">
        <is>
          <t>2RS-3</t>
        </is>
      </c>
      <c r="F30" t="n">
        <v>86.26000000000001</v>
      </c>
      <c r="G30" t="n">
        <v>96.3</v>
      </c>
      <c r="H30" t="n">
        <v>287.1</v>
      </c>
      <c r="I30" t="n">
        <v>14.5</v>
      </c>
      <c r="J30" t="n">
        <v>4.52</v>
      </c>
      <c r="K30" t="n">
        <v>130</v>
      </c>
      <c r="L30" t="n">
        <v>87</v>
      </c>
      <c r="M30" t="n">
        <v>4.2</v>
      </c>
      <c r="N30" t="n">
        <v>150</v>
      </c>
    </row>
    <row r="31">
      <c r="A31" t="inlineStr">
        <is>
          <t>734</t>
        </is>
      </c>
      <c r="B31" t="inlineStr">
        <is>
          <t>2RS</t>
        </is>
      </c>
      <c r="C31" t="n">
        <v>4</v>
      </c>
      <c r="D31" s="2" t="n">
        <v>45383</v>
      </c>
      <c r="E31" t="inlineStr">
        <is>
          <t>2RS-4</t>
        </is>
      </c>
      <c r="F31" t="n">
        <v>83.47</v>
      </c>
      <c r="G31" t="n">
        <v>93.7</v>
      </c>
      <c r="H31" t="n">
        <v>287.9</v>
      </c>
      <c r="I31" t="n">
        <v>14.8</v>
      </c>
      <c r="J31" t="n">
        <v>4.36</v>
      </c>
      <c r="K31" t="n">
        <v>124</v>
      </c>
      <c r="L31" t="n">
        <v>84.2</v>
      </c>
      <c r="M31" t="n">
        <v>4.15</v>
      </c>
      <c r="N31" t="n">
        <v>172</v>
      </c>
    </row>
    <row r="32">
      <c r="A32" t="inlineStr">
        <is>
          <t>735</t>
        </is>
      </c>
      <c r="B32" t="inlineStr">
        <is>
          <t>2RS</t>
        </is>
      </c>
      <c r="C32" t="n">
        <v>4</v>
      </c>
      <c r="D32" s="2" t="n">
        <v>45384</v>
      </c>
      <c r="E32" t="inlineStr">
        <is>
          <t>2RS-4</t>
        </is>
      </c>
      <c r="F32" t="n">
        <v>82.81</v>
      </c>
      <c r="G32" t="n">
        <v>92.7</v>
      </c>
      <c r="H32" t="n">
        <v>286.89</v>
      </c>
      <c r="I32" t="n">
        <v>14.8</v>
      </c>
      <c r="J32" t="n">
        <v>4.61</v>
      </c>
      <c r="K32" t="n">
        <v>138</v>
      </c>
      <c r="L32" t="n">
        <v>82.48</v>
      </c>
      <c r="M32" t="n">
        <v>4.5</v>
      </c>
      <c r="N32" t="n">
        <v>154</v>
      </c>
    </row>
    <row r="33">
      <c r="A33" t="inlineStr">
        <is>
          <t>736</t>
        </is>
      </c>
      <c r="B33" t="inlineStr">
        <is>
          <t>2RS</t>
        </is>
      </c>
      <c r="C33" t="n">
        <v>4</v>
      </c>
      <c r="D33" s="2" t="n">
        <v>45385</v>
      </c>
      <c r="E33" t="inlineStr">
        <is>
          <t>2RS-4</t>
        </is>
      </c>
      <c r="F33" t="n">
        <v>84.16</v>
      </c>
      <c r="G33" t="n">
        <v>94</v>
      </c>
      <c r="H33" t="n">
        <v>286.34</v>
      </c>
      <c r="I33" t="n">
        <v>14.3</v>
      </c>
      <c r="J33" t="n">
        <v>4.32</v>
      </c>
      <c r="K33" t="n">
        <v>128</v>
      </c>
      <c r="L33" t="n">
        <v>83.12</v>
      </c>
      <c r="M33" t="n">
        <v>3.9</v>
      </c>
      <c r="N33" t="n">
        <v>203</v>
      </c>
    </row>
    <row r="34">
      <c r="A34" t="inlineStr">
        <is>
          <t>737</t>
        </is>
      </c>
      <c r="B34" t="inlineStr">
        <is>
          <t>2RS</t>
        </is>
      </c>
      <c r="C34" t="n">
        <v>4</v>
      </c>
      <c r="D34" s="2" t="n">
        <v>45387</v>
      </c>
      <c r="E34" t="inlineStr">
        <is>
          <t>2RS-4</t>
        </is>
      </c>
      <c r="F34" t="n">
        <v>83.23999999999999</v>
      </c>
      <c r="G34" t="n">
        <v>93.40000000000001</v>
      </c>
      <c r="H34" t="n">
        <v>286.97</v>
      </c>
      <c r="I34" t="n">
        <v>14.8</v>
      </c>
      <c r="J34" t="n">
        <v>4.4</v>
      </c>
      <c r="K34" t="n">
        <v>138</v>
      </c>
      <c r="L34" t="n">
        <v>84.90000000000001</v>
      </c>
      <c r="M34" t="n">
        <v>4.1</v>
      </c>
      <c r="N34" t="n">
        <v>145</v>
      </c>
    </row>
    <row r="35">
      <c r="A35" t="inlineStr">
        <is>
          <t>738</t>
        </is>
      </c>
      <c r="B35" t="inlineStr">
        <is>
          <t>2RS</t>
        </is>
      </c>
      <c r="C35" t="n">
        <v>4</v>
      </c>
      <c r="D35" s="2" t="n">
        <v>45388</v>
      </c>
      <c r="E35" t="inlineStr">
        <is>
          <t>2RS-4</t>
        </is>
      </c>
      <c r="F35" t="n">
        <v>83.33</v>
      </c>
      <c r="G35" t="n">
        <v>93.8</v>
      </c>
      <c r="H35" t="n">
        <v>286.49</v>
      </c>
      <c r="I35" t="n">
        <v>14.9</v>
      </c>
      <c r="J35" t="n">
        <v>4.24</v>
      </c>
      <c r="K35" t="n">
        <v>133</v>
      </c>
      <c r="L35" t="n">
        <v>84.76000000000001</v>
      </c>
      <c r="M35" t="n">
        <v>4.09</v>
      </c>
      <c r="N35" t="n">
        <v>170</v>
      </c>
    </row>
    <row r="36">
      <c r="A36" t="inlineStr">
        <is>
          <t>739</t>
        </is>
      </c>
      <c r="B36" t="inlineStr">
        <is>
          <t>2RS</t>
        </is>
      </c>
      <c r="C36" t="n">
        <v>4</v>
      </c>
      <c r="D36" s="2" t="n">
        <v>45390</v>
      </c>
      <c r="E36" t="inlineStr">
        <is>
          <t>2RS-4</t>
        </is>
      </c>
      <c r="F36" t="n">
        <v>83.68000000000001</v>
      </c>
      <c r="G36" t="n">
        <v>93.7</v>
      </c>
      <c r="H36" t="n">
        <v>285.75</v>
      </c>
      <c r="I36" t="n">
        <v>14.7</v>
      </c>
      <c r="J36" t="n">
        <v>4.53</v>
      </c>
      <c r="K36" t="n">
        <v>137</v>
      </c>
      <c r="L36" t="n">
        <v>84.95999999999999</v>
      </c>
      <c r="M36" t="n">
        <v>3.89</v>
      </c>
      <c r="N36" t="n">
        <v>175</v>
      </c>
    </row>
    <row r="37">
      <c r="A37" t="inlineStr">
        <is>
          <t>740</t>
        </is>
      </c>
      <c r="B37" t="inlineStr">
        <is>
          <t>2RS</t>
        </is>
      </c>
      <c r="C37" t="n">
        <v>4</v>
      </c>
      <c r="D37" s="2" t="n">
        <v>45391</v>
      </c>
      <c r="E37" t="inlineStr">
        <is>
          <t>2RS-4</t>
        </is>
      </c>
      <c r="F37" t="n">
        <v>84.29000000000001</v>
      </c>
      <c r="G37" t="n">
        <v>94.7</v>
      </c>
      <c r="H37" t="n">
        <v>285.92</v>
      </c>
      <c r="I37" t="n">
        <v>15</v>
      </c>
      <c r="J37" t="n">
        <v>4.47</v>
      </c>
      <c r="K37" t="n">
        <v>134</v>
      </c>
      <c r="L37" t="n">
        <v>81.22</v>
      </c>
      <c r="M37" t="n">
        <v>3.86</v>
      </c>
      <c r="N37" t="n">
        <v>208</v>
      </c>
    </row>
    <row r="38">
      <c r="A38" t="inlineStr">
        <is>
          <t>741</t>
        </is>
      </c>
      <c r="B38" t="inlineStr">
        <is>
          <t>2RS</t>
        </is>
      </c>
      <c r="C38" t="n">
        <v>4</v>
      </c>
      <c r="D38" s="2" t="n">
        <v>45392</v>
      </c>
      <c r="E38" t="inlineStr">
        <is>
          <t>2RS-4</t>
        </is>
      </c>
      <c r="F38" t="n">
        <v>84</v>
      </c>
      <c r="G38" t="n">
        <v>94</v>
      </c>
      <c r="H38" t="n">
        <v>286.37</v>
      </c>
      <c r="I38" t="n">
        <v>14.7</v>
      </c>
      <c r="J38" t="n">
        <v>4.56</v>
      </c>
      <c r="K38" t="n">
        <v>134</v>
      </c>
      <c r="L38" t="n">
        <v>83.28</v>
      </c>
      <c r="M38" t="n">
        <v>3.98</v>
      </c>
      <c r="N38" t="n">
        <v>186</v>
      </c>
    </row>
    <row r="39">
      <c r="A39" t="inlineStr">
        <is>
          <t>742</t>
        </is>
      </c>
      <c r="B39" t="inlineStr">
        <is>
          <t>2RS</t>
        </is>
      </c>
      <c r="C39" t="n">
        <v>4</v>
      </c>
      <c r="D39" s="2" t="n">
        <v>45393</v>
      </c>
      <c r="E39" t="inlineStr">
        <is>
          <t>2RS-4</t>
        </is>
      </c>
      <c r="F39" t="n">
        <v>84.27</v>
      </c>
      <c r="G39" t="n">
        <v>94.3</v>
      </c>
      <c r="H39" t="n">
        <v>286.5</v>
      </c>
      <c r="I39" t="n">
        <v>14.8</v>
      </c>
      <c r="J39" t="n">
        <v>4.63</v>
      </c>
      <c r="K39" t="n">
        <v>130</v>
      </c>
      <c r="L39" t="n">
        <v>81.40000000000001</v>
      </c>
      <c r="M39" t="n">
        <v>3.99</v>
      </c>
      <c r="N39" t="n">
        <v>225</v>
      </c>
    </row>
    <row r="40">
      <c r="A40" t="inlineStr">
        <is>
          <t>743</t>
        </is>
      </c>
      <c r="B40" t="inlineStr">
        <is>
          <t>2RS</t>
        </is>
      </c>
      <c r="C40" t="n">
        <v>4</v>
      </c>
      <c r="D40" s="2" t="n">
        <v>45394</v>
      </c>
      <c r="E40" t="inlineStr">
        <is>
          <t>2RS-4</t>
        </is>
      </c>
      <c r="F40" t="n">
        <v>83.95999999999999</v>
      </c>
      <c r="G40" t="n">
        <v>94.5</v>
      </c>
      <c r="H40" t="n">
        <v>285.94</v>
      </c>
      <c r="I40" t="n">
        <v>14.9</v>
      </c>
      <c r="J40" t="n">
        <v>4.19</v>
      </c>
      <c r="K40" t="n">
        <v>123</v>
      </c>
      <c r="L40" t="n">
        <v>81.5</v>
      </c>
      <c r="M40" t="n">
        <v>3.96</v>
      </c>
      <c r="N40" t="n">
        <v>264</v>
      </c>
    </row>
    <row r="41">
      <c r="A41" t="inlineStr">
        <is>
          <t>744</t>
        </is>
      </c>
      <c r="B41" t="inlineStr">
        <is>
          <t>2RS</t>
        </is>
      </c>
      <c r="C41" t="n">
        <v>4</v>
      </c>
      <c r="D41" s="2" t="n">
        <v>45396</v>
      </c>
      <c r="E41" t="inlineStr">
        <is>
          <t>2RS-4</t>
        </is>
      </c>
      <c r="F41" t="n">
        <v>83.63</v>
      </c>
      <c r="G41" t="n">
        <v>94.5</v>
      </c>
      <c r="H41" t="n">
        <v>286.18</v>
      </c>
      <c r="I41" t="n">
        <v>15.3</v>
      </c>
      <c r="J41" t="n">
        <v>4.28</v>
      </c>
      <c r="K41" t="n">
        <v>136</v>
      </c>
      <c r="L41" t="n">
        <v>87.40000000000001</v>
      </c>
      <c r="M41" t="n">
        <v>4.4</v>
      </c>
      <c r="N41" t="n">
        <v>158</v>
      </c>
    </row>
    <row r="42">
      <c r="A42" t="inlineStr">
        <is>
          <t>745</t>
        </is>
      </c>
      <c r="B42" t="inlineStr">
        <is>
          <t>2RS</t>
        </is>
      </c>
      <c r="C42" t="n">
        <v>4</v>
      </c>
      <c r="D42" s="2" t="n">
        <v>45397</v>
      </c>
      <c r="E42" t="inlineStr">
        <is>
          <t>2RS-4</t>
        </is>
      </c>
      <c r="F42" t="n">
        <v>83.86</v>
      </c>
      <c r="G42" t="n">
        <v>94.09999999999999</v>
      </c>
      <c r="H42" t="n">
        <v>286.45</v>
      </c>
      <c r="I42" t="n">
        <v>15</v>
      </c>
      <c r="J42" t="n">
        <v>4.66</v>
      </c>
      <c r="K42" t="n">
        <v>124</v>
      </c>
      <c r="L42" t="n">
        <v>85.59999999999999</v>
      </c>
      <c r="M42" t="n">
        <v>4.4</v>
      </c>
      <c r="N42" t="n">
        <v>160</v>
      </c>
    </row>
    <row r="43">
      <c r="A43" t="inlineStr">
        <is>
          <t>746</t>
        </is>
      </c>
      <c r="B43" t="inlineStr">
        <is>
          <t>2RS</t>
        </is>
      </c>
      <c r="C43" t="n">
        <v>4</v>
      </c>
      <c r="D43" s="2" t="n">
        <v>45398</v>
      </c>
      <c r="E43" t="inlineStr">
        <is>
          <t>2RS-4</t>
        </is>
      </c>
      <c r="F43" t="n">
        <v>84.45</v>
      </c>
      <c r="G43" t="n">
        <v>95.09999999999999</v>
      </c>
      <c r="H43" t="n">
        <v>285.27</v>
      </c>
      <c r="I43" t="n">
        <v>14.9</v>
      </c>
      <c r="J43" t="n">
        <v>4.14</v>
      </c>
      <c r="K43" t="n">
        <v>117</v>
      </c>
      <c r="L43" t="n">
        <v>84.59999999999999</v>
      </c>
      <c r="M43" t="n">
        <v>4.2</v>
      </c>
      <c r="N43" t="n">
        <v>192</v>
      </c>
    </row>
    <row r="44">
      <c r="A44" t="inlineStr">
        <is>
          <t>747</t>
        </is>
      </c>
      <c r="B44" t="inlineStr">
        <is>
          <t>2RS</t>
        </is>
      </c>
      <c r="C44" t="n">
        <v>4</v>
      </c>
      <c r="D44" s="2" t="n">
        <v>45399</v>
      </c>
      <c r="E44" t="inlineStr">
        <is>
          <t>2RS-4</t>
        </is>
      </c>
      <c r="F44" t="n">
        <v>83.38</v>
      </c>
      <c r="G44" t="n">
        <v>94.09999999999999</v>
      </c>
      <c r="H44" t="n">
        <v>287.52</v>
      </c>
      <c r="I44" t="n">
        <v>15.3</v>
      </c>
      <c r="J44" t="n">
        <v>4.36</v>
      </c>
      <c r="K44" t="n">
        <v>126</v>
      </c>
      <c r="L44" t="n">
        <v>79.3</v>
      </c>
      <c r="M44" t="n">
        <v>3.9</v>
      </c>
      <c r="N44" t="n">
        <v>257</v>
      </c>
    </row>
    <row r="45">
      <c r="A45" t="inlineStr">
        <is>
          <t>748</t>
        </is>
      </c>
      <c r="B45" t="inlineStr">
        <is>
          <t>2RS</t>
        </is>
      </c>
      <c r="C45" t="n">
        <v>4</v>
      </c>
      <c r="D45" s="2" t="n">
        <v>45400</v>
      </c>
      <c r="E45" t="inlineStr">
        <is>
          <t>2RS-4</t>
        </is>
      </c>
      <c r="F45" t="n">
        <v>83.22</v>
      </c>
      <c r="G45" t="n">
        <v>93.90000000000001</v>
      </c>
      <c r="H45" t="n">
        <v>288.77</v>
      </c>
      <c r="I45" t="n">
        <v>15.1</v>
      </c>
      <c r="J45" t="n">
        <v>4.25</v>
      </c>
      <c r="K45" t="n">
        <v>126</v>
      </c>
      <c r="L45" t="n">
        <v>78.64</v>
      </c>
      <c r="M45" t="n">
        <v>3.94</v>
      </c>
      <c r="N45" t="n">
        <v>261</v>
      </c>
    </row>
    <row r="46">
      <c r="A46" t="inlineStr">
        <is>
          <t>749</t>
        </is>
      </c>
      <c r="B46" t="inlineStr">
        <is>
          <t>2RS</t>
        </is>
      </c>
      <c r="C46" t="n">
        <v>4</v>
      </c>
      <c r="D46" s="2" t="n">
        <v>45401</v>
      </c>
      <c r="E46" t="inlineStr">
        <is>
          <t>2RS-4</t>
        </is>
      </c>
      <c r="F46" t="n">
        <v>83.31999999999999</v>
      </c>
      <c r="G46" t="n">
        <v>93.7</v>
      </c>
      <c r="H46" t="n">
        <v>286.35</v>
      </c>
      <c r="I46" t="n">
        <v>15</v>
      </c>
      <c r="J46" t="n">
        <v>4.39</v>
      </c>
      <c r="K46" t="n">
        <v>128</v>
      </c>
      <c r="L46" t="n">
        <v>84.16</v>
      </c>
      <c r="M46" t="n">
        <v>4</v>
      </c>
      <c r="N46" t="n">
        <v>187</v>
      </c>
    </row>
    <row r="47">
      <c r="A47" t="inlineStr">
        <is>
          <t>750</t>
        </is>
      </c>
      <c r="B47" t="inlineStr">
        <is>
          <t>2RS</t>
        </is>
      </c>
      <c r="C47" t="n">
        <v>4</v>
      </c>
      <c r="D47" s="2" t="n">
        <v>45402</v>
      </c>
      <c r="E47" t="inlineStr">
        <is>
          <t>2RS-4</t>
        </is>
      </c>
      <c r="F47" t="n">
        <v>82.75</v>
      </c>
      <c r="G47" t="n">
        <v>92.8</v>
      </c>
      <c r="H47" t="n">
        <v>287.36</v>
      </c>
      <c r="I47" t="n">
        <v>14.7</v>
      </c>
      <c r="J47" t="n">
        <v>4.35</v>
      </c>
      <c r="K47" t="n">
        <v>127</v>
      </c>
      <c r="L47" t="n">
        <v>85.44</v>
      </c>
      <c r="M47" t="n">
        <v>4.3</v>
      </c>
      <c r="N47" t="n">
        <v>182</v>
      </c>
    </row>
    <row r="48">
      <c r="A48" t="inlineStr">
        <is>
          <t>751</t>
        </is>
      </c>
      <c r="B48" t="inlineStr">
        <is>
          <t>2RS</t>
        </is>
      </c>
      <c r="C48" t="n">
        <v>4</v>
      </c>
      <c r="D48" s="2" t="n">
        <v>45404</v>
      </c>
      <c r="E48" t="inlineStr">
        <is>
          <t>2RS-4</t>
        </is>
      </c>
      <c r="F48" t="n">
        <v>82.72</v>
      </c>
      <c r="G48" t="n">
        <v>92.40000000000001</v>
      </c>
      <c r="H48" t="n">
        <v>285.75</v>
      </c>
      <c r="I48" t="n">
        <v>14.9</v>
      </c>
      <c r="J48" t="n">
        <v>4.97</v>
      </c>
      <c r="K48" t="n">
        <v>136</v>
      </c>
      <c r="L48" t="n">
        <v>77.26000000000001</v>
      </c>
      <c r="M48" t="n">
        <v>4.1</v>
      </c>
      <c r="N48" t="n">
        <v>255</v>
      </c>
    </row>
    <row r="49">
      <c r="A49" t="inlineStr">
        <is>
          <t>752</t>
        </is>
      </c>
      <c r="B49" t="inlineStr">
        <is>
          <t>2RS</t>
        </is>
      </c>
      <c r="C49" t="n">
        <v>4</v>
      </c>
      <c r="D49" s="2" t="n">
        <v>45405</v>
      </c>
      <c r="E49" t="inlineStr">
        <is>
          <t>2RS-4</t>
        </is>
      </c>
      <c r="F49" t="n">
        <v>83.06999999999999</v>
      </c>
      <c r="G49" t="n">
        <v>92.90000000000001</v>
      </c>
      <c r="H49" t="n">
        <v>286.34</v>
      </c>
      <c r="I49" t="n">
        <v>14.5</v>
      </c>
      <c r="J49" t="n">
        <v>4.38</v>
      </c>
      <c r="K49" t="n">
        <v>134</v>
      </c>
      <c r="L49" t="n">
        <v>80.48</v>
      </c>
      <c r="M49" t="n">
        <v>4.3</v>
      </c>
      <c r="N49" t="n">
        <v>191</v>
      </c>
    </row>
    <row r="50">
      <c r="A50" t="inlineStr">
        <is>
          <t>753</t>
        </is>
      </c>
      <c r="B50" t="inlineStr">
        <is>
          <t>2RS</t>
        </is>
      </c>
      <c r="C50" t="n">
        <v>4</v>
      </c>
      <c r="D50" s="2" t="n">
        <v>45406</v>
      </c>
      <c r="E50" t="inlineStr">
        <is>
          <t>2RS-4</t>
        </is>
      </c>
      <c r="F50" t="n">
        <v>82.89</v>
      </c>
      <c r="G50" t="n">
        <v>92.5</v>
      </c>
      <c r="H50" t="n">
        <v>286.59</v>
      </c>
      <c r="I50" t="n">
        <v>14.3</v>
      </c>
      <c r="J50" t="n">
        <v>4.39</v>
      </c>
      <c r="K50" t="n">
        <v>127</v>
      </c>
      <c r="L50" t="n">
        <v>81.31999999999998</v>
      </c>
      <c r="M50" t="n">
        <v>4.3</v>
      </c>
      <c r="N50" t="n">
        <v>167</v>
      </c>
    </row>
    <row r="51">
      <c r="A51" t="inlineStr">
        <is>
          <t>754</t>
        </is>
      </c>
      <c r="B51" t="inlineStr">
        <is>
          <t>IBON</t>
        </is>
      </c>
      <c r="C51" t="n">
        <v>4</v>
      </c>
      <c r="D51" s="2" t="n">
        <v>45407</v>
      </c>
      <c r="E51" t="inlineStr">
        <is>
          <t>IBON-4</t>
        </is>
      </c>
      <c r="F51" t="n">
        <v>82.20999999999999</v>
      </c>
      <c r="G51" t="n">
        <v>92.90000000000001</v>
      </c>
      <c r="H51" t="n">
        <v>282.08</v>
      </c>
      <c r="I51" t="n">
        <v>15.4</v>
      </c>
      <c r="J51" t="n">
        <v>4.37</v>
      </c>
      <c r="K51" t="n">
        <v>145</v>
      </c>
      <c r="L51" t="n">
        <v>52.84</v>
      </c>
      <c r="M51" t="n">
        <v>5.1</v>
      </c>
      <c r="N51" t="n">
        <v>357</v>
      </c>
    </row>
    <row r="52">
      <c r="A52" t="inlineStr">
        <is>
          <t>755</t>
        </is>
      </c>
      <c r="B52" t="inlineStr">
        <is>
          <t>IBON</t>
        </is>
      </c>
      <c r="C52" t="n">
        <v>4</v>
      </c>
      <c r="D52" s="2" t="n">
        <v>45408</v>
      </c>
      <c r="E52" t="inlineStr">
        <is>
          <t>IBON-4</t>
        </is>
      </c>
      <c r="F52" t="n">
        <v>82.3</v>
      </c>
      <c r="G52" t="n">
        <v>92.7</v>
      </c>
      <c r="H52" t="n">
        <v>282.08</v>
      </c>
      <c r="I52" t="n">
        <v>15.3</v>
      </c>
      <c r="J52" t="n">
        <v>4.64</v>
      </c>
      <c r="K52" t="n">
        <v>151</v>
      </c>
      <c r="L52" t="n">
        <v>53.52</v>
      </c>
      <c r="M52" t="n">
        <v>5.55</v>
      </c>
      <c r="N52" t="n">
        <v>277</v>
      </c>
    </row>
    <row r="53">
      <c r="A53" t="inlineStr">
        <is>
          <t>756</t>
        </is>
      </c>
      <c r="B53" t="inlineStr">
        <is>
          <t>IBON</t>
        </is>
      </c>
      <c r="C53" t="n">
        <v>4</v>
      </c>
      <c r="D53" s="2" t="n">
        <v>45409</v>
      </c>
      <c r="E53" t="inlineStr">
        <is>
          <t>IBON-4</t>
        </is>
      </c>
      <c r="F53" t="n">
        <v>82.69</v>
      </c>
      <c r="G53" t="n">
        <v>93.40000000000001</v>
      </c>
      <c r="H53" t="n">
        <v>283.15</v>
      </c>
      <c r="I53" t="n">
        <v>15.4</v>
      </c>
      <c r="J53" t="n">
        <v>4.45</v>
      </c>
      <c r="K53" t="n">
        <v>141</v>
      </c>
      <c r="L53" t="n">
        <v>52.26</v>
      </c>
      <c r="M53" t="n">
        <v>4.8</v>
      </c>
      <c r="N53" t="n">
        <v>308</v>
      </c>
    </row>
    <row r="54">
      <c r="A54" t="inlineStr">
        <is>
          <t>757</t>
        </is>
      </c>
      <c r="B54" t="inlineStr">
        <is>
          <t>2RS</t>
        </is>
      </c>
      <c r="C54" t="n">
        <v>4</v>
      </c>
      <c r="D54" s="2" t="n">
        <v>45411</v>
      </c>
      <c r="E54" t="inlineStr">
        <is>
          <t>2RS-4</t>
        </is>
      </c>
      <c r="F54" t="n">
        <v>83.18000000000001</v>
      </c>
      <c r="G54" t="n">
        <v>92.7</v>
      </c>
      <c r="H54" t="n">
        <v>286.54</v>
      </c>
      <c r="I54" t="n">
        <v>14.7</v>
      </c>
      <c r="J54" t="n">
        <v>4.95</v>
      </c>
      <c r="K54" t="n">
        <v>134</v>
      </c>
      <c r="L54" t="n">
        <v>84.23999999999999</v>
      </c>
      <c r="M54" t="n">
        <v>3.9</v>
      </c>
      <c r="N54" t="n">
        <v>154</v>
      </c>
    </row>
    <row r="55">
      <c r="A55" t="inlineStr">
        <is>
          <t>758</t>
        </is>
      </c>
      <c r="B55" t="inlineStr">
        <is>
          <t>2RS</t>
        </is>
      </c>
      <c r="C55" t="n">
        <v>4</v>
      </c>
      <c r="D55" s="2" t="n">
        <v>45412</v>
      </c>
      <c r="E55" t="inlineStr">
        <is>
          <t>2RS-4</t>
        </is>
      </c>
      <c r="F55" t="n">
        <v>83.25</v>
      </c>
      <c r="G55" t="n">
        <v>93.3</v>
      </c>
      <c r="H55" t="n">
        <v>288.26</v>
      </c>
      <c r="I55" t="n">
        <v>14.7</v>
      </c>
      <c r="J55" t="n">
        <v>4.45</v>
      </c>
      <c r="K55" t="n">
        <v>135</v>
      </c>
      <c r="L55" t="n">
        <v>82</v>
      </c>
      <c r="M55" t="n">
        <v>3.9</v>
      </c>
      <c r="N55" t="n">
        <v>210</v>
      </c>
    </row>
    <row r="56">
      <c r="A56" t="inlineStr">
        <is>
          <t>759</t>
        </is>
      </c>
      <c r="B56" t="inlineStr">
        <is>
          <t>2RS</t>
        </is>
      </c>
      <c r="C56" t="n">
        <v>5</v>
      </c>
      <c r="D56" s="2" t="n">
        <v>45413</v>
      </c>
      <c r="E56" t="inlineStr">
        <is>
          <t>2RS-5</t>
        </is>
      </c>
      <c r="F56" t="n">
        <v>82.31999999999999</v>
      </c>
      <c r="G56" t="n">
        <v>92.3</v>
      </c>
      <c r="H56" t="n">
        <v>288.06</v>
      </c>
      <c r="I56" t="n">
        <v>14.7</v>
      </c>
      <c r="J56" t="n">
        <v>4.38</v>
      </c>
      <c r="K56" t="n">
        <v>147</v>
      </c>
      <c r="L56" t="n">
        <v>82.12</v>
      </c>
      <c r="M56" t="n">
        <v>4.64</v>
      </c>
      <c r="N56" t="n">
        <v>237</v>
      </c>
    </row>
    <row r="57">
      <c r="A57" t="inlineStr">
        <is>
          <t>760</t>
        </is>
      </c>
      <c r="B57" t="inlineStr">
        <is>
          <t>2RS</t>
        </is>
      </c>
      <c r="C57" t="n">
        <v>5</v>
      </c>
      <c r="D57" s="2" t="n">
        <v>45414</v>
      </c>
      <c r="E57" t="inlineStr">
        <is>
          <t>2RS-5</t>
        </is>
      </c>
      <c r="F57" t="n">
        <v>84.12</v>
      </c>
      <c r="G57" t="n">
        <v>94</v>
      </c>
      <c r="H57" t="n">
        <v>286.18</v>
      </c>
      <c r="I57" t="n">
        <v>14.4</v>
      </c>
      <c r="J57" t="n">
        <v>4.36</v>
      </c>
      <c r="K57" t="n">
        <v>126</v>
      </c>
      <c r="L57" t="n">
        <v>80.12</v>
      </c>
      <c r="M57" t="n">
        <v>3.9</v>
      </c>
      <c r="N57" t="n">
        <v>240</v>
      </c>
    </row>
    <row r="58">
      <c r="A58" t="inlineStr">
        <is>
          <t>761</t>
        </is>
      </c>
      <c r="B58" t="inlineStr">
        <is>
          <t>2RS</t>
        </is>
      </c>
      <c r="C58" t="n">
        <v>5</v>
      </c>
      <c r="D58" s="2" t="n">
        <v>45415</v>
      </c>
      <c r="E58" t="inlineStr">
        <is>
          <t>2RS-5</t>
        </is>
      </c>
      <c r="F58" t="n">
        <v>82.81</v>
      </c>
      <c r="G58" t="n">
        <v>92.40000000000001</v>
      </c>
      <c r="H58" t="n">
        <v>286.18</v>
      </c>
      <c r="I58" t="n">
        <v>14.4</v>
      </c>
      <c r="J58" t="n">
        <v>4.47</v>
      </c>
      <c r="K58" t="n">
        <v>146</v>
      </c>
      <c r="L58" t="n">
        <v>82.38</v>
      </c>
      <c r="M58" t="n">
        <v>4.49</v>
      </c>
      <c r="N58" t="n">
        <v>171</v>
      </c>
    </row>
    <row r="59">
      <c r="A59" t="inlineStr">
        <is>
          <t>762</t>
        </is>
      </c>
      <c r="B59" t="inlineStr">
        <is>
          <t>2RS</t>
        </is>
      </c>
      <c r="C59" t="n">
        <v>5</v>
      </c>
      <c r="D59" s="2" t="n">
        <v>45416</v>
      </c>
      <c r="E59" t="inlineStr">
        <is>
          <t>2RS-5</t>
        </is>
      </c>
      <c r="F59" t="n">
        <v>82.88</v>
      </c>
      <c r="G59" t="n">
        <v>92.5</v>
      </c>
      <c r="H59" t="n">
        <v>285.76</v>
      </c>
      <c r="I59" t="n">
        <v>14.3</v>
      </c>
      <c r="J59" t="n">
        <v>4.4</v>
      </c>
      <c r="K59" t="n">
        <v>146</v>
      </c>
      <c r="L59" t="n">
        <v>85.40000000000001</v>
      </c>
      <c r="M59" t="n">
        <v>4.08</v>
      </c>
      <c r="N59" t="n">
        <v>143</v>
      </c>
    </row>
    <row r="60">
      <c r="A60" t="inlineStr">
        <is>
          <t>763</t>
        </is>
      </c>
      <c r="B60" t="inlineStr">
        <is>
          <t>2RS</t>
        </is>
      </c>
      <c r="C60" t="n">
        <v>5</v>
      </c>
      <c r="D60" s="2" t="n">
        <v>45418</v>
      </c>
      <c r="E60" t="inlineStr">
        <is>
          <t>2RS-5</t>
        </is>
      </c>
      <c r="F60" t="n">
        <v>82.89</v>
      </c>
      <c r="G60" t="n">
        <v>92.90000000000001</v>
      </c>
      <c r="H60" t="n">
        <v>285.74</v>
      </c>
      <c r="I60" t="n">
        <v>14.5</v>
      </c>
      <c r="J60" t="n">
        <v>4.2</v>
      </c>
      <c r="K60" t="n">
        <v>138</v>
      </c>
      <c r="L60" t="n">
        <v>86.04000000000001</v>
      </c>
      <c r="M60" t="n">
        <v>4.23</v>
      </c>
      <c r="N60" t="n">
        <v>161</v>
      </c>
    </row>
    <row r="61">
      <c r="A61" t="inlineStr">
        <is>
          <t>764</t>
        </is>
      </c>
      <c r="B61" t="inlineStr">
        <is>
          <t>2RS</t>
        </is>
      </c>
      <c r="C61" t="n">
        <v>5</v>
      </c>
      <c r="D61" s="2" t="n">
        <v>45419</v>
      </c>
      <c r="E61" t="inlineStr">
        <is>
          <t>2RS-5</t>
        </is>
      </c>
      <c r="F61" t="n">
        <v>83.40000000000001</v>
      </c>
      <c r="G61" t="n">
        <v>93.40000000000001</v>
      </c>
      <c r="H61" t="n">
        <v>286.26</v>
      </c>
      <c r="I61" t="n">
        <v>14.5</v>
      </c>
      <c r="J61" t="n">
        <v>4.26</v>
      </c>
      <c r="K61" t="n">
        <v>135</v>
      </c>
      <c r="L61" t="n">
        <v>84.45999999999999</v>
      </c>
      <c r="M61" t="n">
        <v>3.96</v>
      </c>
      <c r="N61" t="n">
        <v>126</v>
      </c>
    </row>
    <row r="62">
      <c r="A62" t="inlineStr">
        <is>
          <t>765</t>
        </is>
      </c>
      <c r="B62" t="inlineStr">
        <is>
          <t>2RS</t>
        </is>
      </c>
      <c r="C62" t="n">
        <v>5</v>
      </c>
      <c r="D62" s="2" t="n">
        <v>45420</v>
      </c>
      <c r="E62" t="inlineStr">
        <is>
          <t>2RS-5</t>
        </is>
      </c>
      <c r="F62" t="n">
        <v>83.33</v>
      </c>
      <c r="G62" t="n">
        <v>93.09999999999999</v>
      </c>
      <c r="H62" t="n">
        <v>285.33</v>
      </c>
      <c r="I62" t="n">
        <v>14.4</v>
      </c>
      <c r="J62" t="n">
        <v>4.35</v>
      </c>
      <c r="K62" t="n">
        <v>123</v>
      </c>
      <c r="L62" t="n">
        <v>83.7</v>
      </c>
      <c r="M62" t="n">
        <v>4.06</v>
      </c>
      <c r="N62" t="n">
        <v>181</v>
      </c>
    </row>
    <row r="63">
      <c r="A63" t="inlineStr">
        <is>
          <t>766</t>
        </is>
      </c>
      <c r="B63" t="inlineStr">
        <is>
          <t>2RS</t>
        </is>
      </c>
      <c r="C63" t="n">
        <v>5</v>
      </c>
      <c r="D63" s="2" t="n">
        <v>45421</v>
      </c>
      <c r="E63" t="inlineStr">
        <is>
          <t>2RS-5</t>
        </is>
      </c>
      <c r="F63" t="n">
        <v>83.17</v>
      </c>
      <c r="G63" t="n">
        <v>93.40000000000001</v>
      </c>
      <c r="H63" t="n">
        <v>287.01</v>
      </c>
      <c r="I63" t="n">
        <v>14.8</v>
      </c>
      <c r="J63" t="n">
        <v>4.35</v>
      </c>
      <c r="K63" t="n">
        <v>128</v>
      </c>
      <c r="L63" t="n">
        <v>84.94</v>
      </c>
      <c r="M63" t="n">
        <v>4.1</v>
      </c>
      <c r="N63" t="n">
        <v>180</v>
      </c>
    </row>
    <row r="64">
      <c r="A64" t="inlineStr">
        <is>
          <t>767</t>
        </is>
      </c>
      <c r="B64" t="inlineStr">
        <is>
          <t>2RS</t>
        </is>
      </c>
      <c r="C64" t="n">
        <v>5</v>
      </c>
      <c r="D64" s="2" t="n">
        <v>45422</v>
      </c>
      <c r="E64" t="inlineStr">
        <is>
          <t>2RS-5</t>
        </is>
      </c>
      <c r="F64" t="n">
        <v>83.33</v>
      </c>
      <c r="G64" t="n">
        <v>93.7</v>
      </c>
      <c r="H64" t="n">
        <v>285.91</v>
      </c>
      <c r="I64" t="n">
        <v>14.8</v>
      </c>
      <c r="J64" t="n">
        <v>4.24</v>
      </c>
      <c r="K64" t="n">
        <v>129</v>
      </c>
      <c r="L64" t="n">
        <v>84.02</v>
      </c>
      <c r="M64" t="n">
        <v>4.1</v>
      </c>
      <c r="N64" t="n">
        <v>197</v>
      </c>
    </row>
    <row r="65">
      <c r="A65" t="inlineStr">
        <is>
          <t>768</t>
        </is>
      </c>
      <c r="B65" t="inlineStr">
        <is>
          <t>2RS</t>
        </is>
      </c>
      <c r="C65" t="n">
        <v>5</v>
      </c>
      <c r="D65" s="2" t="n">
        <v>45423</v>
      </c>
      <c r="E65" t="inlineStr">
        <is>
          <t>2RS-5</t>
        </is>
      </c>
      <c r="F65" t="n">
        <v>82.91</v>
      </c>
      <c r="G65" t="n">
        <v>93</v>
      </c>
      <c r="H65" t="n">
        <v>285.54</v>
      </c>
      <c r="I65" t="n">
        <v>14.6</v>
      </c>
      <c r="J65" t="n">
        <v>4.19</v>
      </c>
      <c r="K65" t="n">
        <v>127</v>
      </c>
      <c r="L65" t="n">
        <v>86.8</v>
      </c>
      <c r="M65" t="n">
        <v>3.75</v>
      </c>
      <c r="N65" t="n">
        <v>164</v>
      </c>
    </row>
    <row r="66">
      <c r="A66" t="inlineStr">
        <is>
          <t>769</t>
        </is>
      </c>
      <c r="B66" t="inlineStr">
        <is>
          <t>2RS</t>
        </is>
      </c>
      <c r="C66" t="n">
        <v>5</v>
      </c>
      <c r="D66" s="2" t="n">
        <v>45425</v>
      </c>
      <c r="E66" t="inlineStr">
        <is>
          <t>2RS-5</t>
        </is>
      </c>
      <c r="F66" t="n">
        <v>83.12</v>
      </c>
      <c r="G66" t="n">
        <v>93.40000000000001</v>
      </c>
      <c r="H66" t="n">
        <v>287.71</v>
      </c>
      <c r="I66" t="n">
        <v>14.9</v>
      </c>
      <c r="J66" t="n">
        <v>4.4</v>
      </c>
      <c r="K66" t="n">
        <v>118</v>
      </c>
      <c r="L66" t="n">
        <v>80.16</v>
      </c>
      <c r="M66" t="n">
        <v>3.8</v>
      </c>
      <c r="N66" t="n">
        <v>188</v>
      </c>
    </row>
    <row r="67">
      <c r="A67" t="inlineStr">
        <is>
          <t>770</t>
        </is>
      </c>
      <c r="B67" t="inlineStr">
        <is>
          <t>2RS</t>
        </is>
      </c>
      <c r="C67" t="n">
        <v>5</v>
      </c>
      <c r="D67" s="2" t="n">
        <v>45426</v>
      </c>
      <c r="E67" t="inlineStr">
        <is>
          <t>2RS-5</t>
        </is>
      </c>
      <c r="F67" t="n">
        <v>82.77</v>
      </c>
      <c r="G67" t="n">
        <v>93.09999999999999</v>
      </c>
      <c r="H67" t="n">
        <v>286</v>
      </c>
      <c r="I67" t="n">
        <v>14.8</v>
      </c>
      <c r="J67" t="n">
        <v>4.19</v>
      </c>
      <c r="K67" t="n">
        <v>127</v>
      </c>
      <c r="L67" t="n">
        <v>86.8</v>
      </c>
      <c r="M67" t="n">
        <v>3.75</v>
      </c>
      <c r="N67" t="n">
        <v>164</v>
      </c>
    </row>
    <row r="68">
      <c r="A68" t="inlineStr">
        <is>
          <t>771</t>
        </is>
      </c>
      <c r="B68" t="inlineStr">
        <is>
          <t>2RS</t>
        </is>
      </c>
      <c r="C68" t="n">
        <v>5</v>
      </c>
      <c r="D68" s="2" t="n">
        <v>45427</v>
      </c>
      <c r="E68" t="inlineStr">
        <is>
          <t>2RS-5</t>
        </is>
      </c>
      <c r="F68" t="n">
        <v>83.44</v>
      </c>
      <c r="G68" t="n">
        <v>93.7</v>
      </c>
      <c r="H68" t="n">
        <v>285.82</v>
      </c>
      <c r="I68" t="n">
        <v>14.8</v>
      </c>
      <c r="J68" t="n">
        <v>4.37</v>
      </c>
      <c r="K68" t="n">
        <v>130</v>
      </c>
      <c r="L68" t="n">
        <v>83.44</v>
      </c>
      <c r="M68" t="n">
        <v>4.3</v>
      </c>
      <c r="N68" t="n">
        <v>238</v>
      </c>
    </row>
    <row r="69">
      <c r="A69" t="inlineStr">
        <is>
          <t>772</t>
        </is>
      </c>
      <c r="B69" t="inlineStr">
        <is>
          <t>2RS</t>
        </is>
      </c>
      <c r="C69" t="n">
        <v>5</v>
      </c>
      <c r="D69" s="2" t="n">
        <v>45428</v>
      </c>
      <c r="E69" t="inlineStr">
        <is>
          <t>2RS-5</t>
        </is>
      </c>
      <c r="F69" t="n">
        <v>83.65000000000001</v>
      </c>
      <c r="G69" t="n">
        <v>93.90000000000001</v>
      </c>
      <c r="H69" t="n">
        <v>286.09</v>
      </c>
      <c r="I69" t="n">
        <v>14.8</v>
      </c>
      <c r="J69" t="n">
        <v>4.37</v>
      </c>
      <c r="K69" t="n">
        <v>123</v>
      </c>
      <c r="L69" t="n">
        <v>82.7</v>
      </c>
      <c r="M69" t="n">
        <v>4</v>
      </c>
      <c r="N69" t="n">
        <v>248</v>
      </c>
    </row>
    <row r="70">
      <c r="A70" t="inlineStr">
        <is>
          <t>773</t>
        </is>
      </c>
      <c r="B70" t="inlineStr">
        <is>
          <t>2RS</t>
        </is>
      </c>
      <c r="C70" t="n">
        <v>5</v>
      </c>
      <c r="D70" s="2" t="n">
        <v>45430</v>
      </c>
      <c r="E70" t="inlineStr">
        <is>
          <t>2RS-5</t>
        </is>
      </c>
      <c r="F70" t="n">
        <v>83.29000000000001</v>
      </c>
      <c r="G70" t="n">
        <v>93.3</v>
      </c>
      <c r="H70" t="n">
        <v>286.2</v>
      </c>
      <c r="I70" t="n">
        <v>14.8</v>
      </c>
      <c r="J70" t="n">
        <v>4.53</v>
      </c>
      <c r="K70" t="n">
        <v>123</v>
      </c>
      <c r="L70" t="n">
        <v>84.34</v>
      </c>
      <c r="M70" t="n">
        <v>3.97</v>
      </c>
      <c r="N70" t="n">
        <v>237</v>
      </c>
    </row>
    <row r="71">
      <c r="A71" t="inlineStr">
        <is>
          <t>774</t>
        </is>
      </c>
      <c r="B71" t="inlineStr">
        <is>
          <t>2RS</t>
        </is>
      </c>
      <c r="C71" t="n">
        <v>5</v>
      </c>
      <c r="D71" s="2" t="n">
        <v>45431</v>
      </c>
      <c r="E71" t="inlineStr">
        <is>
          <t>2RS-5</t>
        </is>
      </c>
      <c r="F71" t="n">
        <v>83.05</v>
      </c>
      <c r="G71" t="n">
        <v>93.40000000000001</v>
      </c>
      <c r="H71" t="n">
        <v>286.03</v>
      </c>
      <c r="I71" t="n">
        <v>14.8</v>
      </c>
      <c r="J71" t="n">
        <v>4.22</v>
      </c>
      <c r="K71" t="n">
        <v>125</v>
      </c>
      <c r="L71" t="n">
        <v>86.8</v>
      </c>
      <c r="M71" t="n">
        <v>4.12</v>
      </c>
      <c r="N71" t="n">
        <v>198</v>
      </c>
    </row>
    <row r="72">
      <c r="A72" t="inlineStr">
        <is>
          <t>775</t>
        </is>
      </c>
      <c r="B72" t="inlineStr">
        <is>
          <t>2RS</t>
        </is>
      </c>
      <c r="C72" t="n">
        <v>5</v>
      </c>
      <c r="D72" s="2" t="n">
        <v>45432</v>
      </c>
      <c r="E72" t="inlineStr">
        <is>
          <t>2RS-5</t>
        </is>
      </c>
      <c r="F72" t="n">
        <v>83.53</v>
      </c>
      <c r="G72" t="n">
        <v>93.09999999999999</v>
      </c>
      <c r="H72" t="n">
        <v>281.45</v>
      </c>
      <c r="I72" t="n">
        <v>14.5</v>
      </c>
      <c r="J72" t="n">
        <v>4.69</v>
      </c>
      <c r="K72" t="n">
        <v>127</v>
      </c>
      <c r="L72" t="n">
        <v>82.90000000000001</v>
      </c>
      <c r="M72" t="n">
        <v>4</v>
      </c>
      <c r="N72" t="n">
        <v>205</v>
      </c>
    </row>
    <row r="73">
      <c r="A73" t="inlineStr">
        <is>
          <t>776</t>
        </is>
      </c>
      <c r="B73" t="inlineStr">
        <is>
          <t>2RS</t>
        </is>
      </c>
      <c r="C73" t="n">
        <v>5</v>
      </c>
      <c r="D73" s="2" t="n">
        <v>45433</v>
      </c>
      <c r="E73" t="inlineStr">
        <is>
          <t>2RS-5</t>
        </is>
      </c>
      <c r="F73" t="n">
        <v>83.23</v>
      </c>
      <c r="G73" t="n">
        <v>93.8</v>
      </c>
      <c r="H73" t="n">
        <v>286.59</v>
      </c>
      <c r="I73" t="n">
        <v>15</v>
      </c>
      <c r="J73" t="n">
        <v>4.23</v>
      </c>
      <c r="K73" t="n">
        <v>121</v>
      </c>
      <c r="L73" t="n">
        <v>81</v>
      </c>
      <c r="M73" t="n">
        <v>3.7</v>
      </c>
      <c r="N73" t="n">
        <v>266</v>
      </c>
    </row>
    <row r="74">
      <c r="A74" t="inlineStr">
        <is>
          <t>777</t>
        </is>
      </c>
      <c r="B74" t="inlineStr">
        <is>
          <t>2RS</t>
        </is>
      </c>
      <c r="C74" t="n">
        <v>5</v>
      </c>
      <c r="D74" s="2" t="n">
        <v>45434</v>
      </c>
      <c r="E74" t="inlineStr">
        <is>
          <t>2RS-5</t>
        </is>
      </c>
      <c r="F74" t="n">
        <v>82.67</v>
      </c>
      <c r="G74" t="n">
        <v>93.09999999999999</v>
      </c>
      <c r="H74" t="n">
        <v>286.58</v>
      </c>
      <c r="I74" t="n">
        <v>14.9</v>
      </c>
      <c r="J74" t="n">
        <v>4.2</v>
      </c>
      <c r="K74" t="inlineStr"/>
      <c r="L74" t="n">
        <v>73.61</v>
      </c>
      <c r="M74" t="inlineStr"/>
      <c r="N74" t="n">
        <v>405</v>
      </c>
    </row>
    <row r="75">
      <c r="A75" t="inlineStr">
        <is>
          <t>778</t>
        </is>
      </c>
      <c r="B75" t="inlineStr">
        <is>
          <t>2RS</t>
        </is>
      </c>
      <c r="C75" t="n">
        <v>5</v>
      </c>
      <c r="D75" s="2" t="n">
        <v>45435</v>
      </c>
      <c r="E75" t="inlineStr">
        <is>
          <t>2RS-5</t>
        </is>
      </c>
      <c r="F75" t="n">
        <v>83.11</v>
      </c>
      <c r="G75" t="n">
        <v>93.2</v>
      </c>
      <c r="H75" t="n">
        <v>286.47</v>
      </c>
      <c r="I75" t="n">
        <v>14.7</v>
      </c>
      <c r="J75" t="n">
        <v>4.31</v>
      </c>
      <c r="K75" t="inlineStr"/>
      <c r="L75" t="n">
        <v>78.16</v>
      </c>
      <c r="M75" t="inlineStr"/>
      <c r="N75" t="n">
        <v>320</v>
      </c>
    </row>
    <row r="76">
      <c r="A76" t="inlineStr">
        <is>
          <t>779</t>
        </is>
      </c>
      <c r="B76" t="inlineStr">
        <is>
          <t>2RS</t>
        </is>
      </c>
      <c r="C76" t="n">
        <v>5</v>
      </c>
      <c r="D76" s="2" t="n">
        <v>45436</v>
      </c>
      <c r="E76" t="inlineStr">
        <is>
          <t>2RS-5</t>
        </is>
      </c>
      <c r="F76" t="n">
        <v>83.31999999999999</v>
      </c>
      <c r="G76" t="n">
        <v>93.40000000000001</v>
      </c>
      <c r="H76" t="n">
        <v>282.1</v>
      </c>
      <c r="I76" t="n">
        <v>14.5</v>
      </c>
      <c r="J76" t="n">
        <v>4.13</v>
      </c>
      <c r="K76" t="inlineStr"/>
      <c r="L76" t="n">
        <v>75.09999999999998</v>
      </c>
      <c r="M76" t="inlineStr"/>
      <c r="N76" t="n">
        <v>298</v>
      </c>
    </row>
    <row r="77">
      <c r="A77" t="inlineStr">
        <is>
          <t>780</t>
        </is>
      </c>
      <c r="B77" t="inlineStr">
        <is>
          <t>IBON</t>
        </is>
      </c>
      <c r="C77" t="n">
        <v>5</v>
      </c>
      <c r="D77" s="2" t="n">
        <v>45437</v>
      </c>
      <c r="E77" t="inlineStr">
        <is>
          <t>IBON-5</t>
        </is>
      </c>
      <c r="F77" t="n">
        <v>83.33</v>
      </c>
      <c r="G77" t="n">
        <v>93.40000000000001</v>
      </c>
      <c r="H77" t="n">
        <v>282.55</v>
      </c>
      <c r="I77" t="n">
        <v>14.9</v>
      </c>
      <c r="J77" t="n">
        <v>4.64</v>
      </c>
      <c r="K77" t="inlineStr"/>
      <c r="L77" t="n">
        <v>56.96</v>
      </c>
      <c r="M77" t="inlineStr"/>
      <c r="N77" t="n">
        <v>363</v>
      </c>
    </row>
    <row r="78">
      <c r="A78" t="inlineStr">
        <is>
          <t>781</t>
        </is>
      </c>
      <c r="B78" t="inlineStr">
        <is>
          <t>IBON</t>
        </is>
      </c>
      <c r="C78" t="n">
        <v>5</v>
      </c>
      <c r="D78" s="2" t="n">
        <v>45438</v>
      </c>
      <c r="E78" t="inlineStr">
        <is>
          <t>IBON-5</t>
        </is>
      </c>
      <c r="F78" t="n">
        <v>83.08</v>
      </c>
      <c r="G78" t="n">
        <v>92.90000000000001</v>
      </c>
      <c r="H78" t="n">
        <v>282.33</v>
      </c>
      <c r="I78" t="n">
        <v>14.7</v>
      </c>
      <c r="J78" t="n">
        <v>4.59</v>
      </c>
      <c r="K78" t="inlineStr"/>
      <c r="L78" t="n">
        <v>52.5</v>
      </c>
      <c r="M78" t="inlineStr"/>
      <c r="N78" t="n">
        <v>414</v>
      </c>
    </row>
    <row r="79">
      <c r="A79" t="inlineStr">
        <is>
          <t>782</t>
        </is>
      </c>
      <c r="B79" t="inlineStr">
        <is>
          <t>IBON</t>
        </is>
      </c>
      <c r="C79" t="n">
        <v>5</v>
      </c>
      <c r="D79" s="2" t="n">
        <v>45439</v>
      </c>
      <c r="E79" t="inlineStr">
        <is>
          <t>IBON-5</t>
        </is>
      </c>
      <c r="F79" t="n">
        <v>82.37</v>
      </c>
      <c r="G79" t="n">
        <v>92.2</v>
      </c>
      <c r="H79" t="n">
        <v>282.94</v>
      </c>
      <c r="I79" t="n">
        <v>14.5</v>
      </c>
      <c r="J79" t="n">
        <v>4.28</v>
      </c>
      <c r="K79" t="inlineStr"/>
      <c r="L79" t="n">
        <v>57</v>
      </c>
      <c r="M79" t="inlineStr"/>
      <c r="N79" t="n">
        <v>290</v>
      </c>
    </row>
    <row r="80">
      <c r="A80" t="inlineStr">
        <is>
          <t>783</t>
        </is>
      </c>
      <c r="B80" t="inlineStr">
        <is>
          <t>2RS</t>
        </is>
      </c>
      <c r="C80" t="n">
        <v>5</v>
      </c>
      <c r="D80" s="2" t="n">
        <v>45441</v>
      </c>
      <c r="E80" t="inlineStr">
        <is>
          <t>2RS-5</t>
        </is>
      </c>
      <c r="F80" t="n">
        <v>83.45</v>
      </c>
      <c r="G80" t="n">
        <v>93.40000000000001</v>
      </c>
      <c r="H80" t="n">
        <v>286.89</v>
      </c>
      <c r="I80" t="n">
        <v>14.4</v>
      </c>
      <c r="J80" t="n">
        <v>4.16</v>
      </c>
      <c r="K80" t="inlineStr"/>
      <c r="L80" t="n">
        <v>82.31999999999999</v>
      </c>
      <c r="M80" t="inlineStr"/>
      <c r="N80" t="n">
        <v>249</v>
      </c>
    </row>
    <row r="81">
      <c r="A81" t="inlineStr">
        <is>
          <t>784</t>
        </is>
      </c>
      <c r="B81" t="inlineStr">
        <is>
          <t>2RS</t>
        </is>
      </c>
      <c r="C81" t="n">
        <v>5</v>
      </c>
      <c r="D81" s="2" t="n">
        <v>45442</v>
      </c>
      <c r="E81" t="inlineStr">
        <is>
          <t>2RS-5</t>
        </is>
      </c>
      <c r="F81" t="n">
        <v>83.37</v>
      </c>
      <c r="G81" t="inlineStr"/>
      <c r="H81" t="n">
        <v>285.6</v>
      </c>
      <c r="I81" t="n">
        <v>14.5</v>
      </c>
      <c r="J81" t="inlineStr"/>
      <c r="K81" t="inlineStr"/>
      <c r="L81" t="inlineStr"/>
      <c r="M81" t="inlineStr"/>
      <c r="N81" t="inlineStr"/>
    </row>
    <row r="82">
      <c r="A82" t="inlineStr">
        <is>
          <t>785</t>
        </is>
      </c>
      <c r="B82" t="inlineStr">
        <is>
          <t>2RS</t>
        </is>
      </c>
      <c r="C82" t="n">
        <v>5</v>
      </c>
      <c r="D82" s="2" t="n">
        <v>45443</v>
      </c>
      <c r="E82" t="inlineStr">
        <is>
          <t>2RS-5</t>
        </is>
      </c>
      <c r="F82" t="n">
        <v>83.31999999999999</v>
      </c>
      <c r="G82" t="n">
        <v>93.5</v>
      </c>
      <c r="H82" t="n">
        <v>287.75</v>
      </c>
      <c r="I82" t="n">
        <v>14.5</v>
      </c>
      <c r="J82" t="n">
        <v>4.02</v>
      </c>
      <c r="K82" t="inlineStr"/>
      <c r="L82" t="n">
        <v>81.23999999999998</v>
      </c>
      <c r="M82" t="inlineStr"/>
      <c r="N82" t="n">
        <v>376</v>
      </c>
    </row>
    <row r="83">
      <c r="A83" t="inlineStr">
        <is>
          <t>786</t>
        </is>
      </c>
      <c r="B83" t="inlineStr">
        <is>
          <t>2RS</t>
        </is>
      </c>
      <c r="C83" t="n">
        <v>6</v>
      </c>
      <c r="D83" s="2" t="n">
        <v>45444</v>
      </c>
      <c r="E83" t="inlineStr">
        <is>
          <t>2RS-6</t>
        </is>
      </c>
      <c r="F83" t="n">
        <v>82.98</v>
      </c>
      <c r="G83" t="n">
        <v>93.59999999999999</v>
      </c>
      <c r="H83" t="n">
        <v>286.91</v>
      </c>
      <c r="I83" t="n">
        <v>14.9</v>
      </c>
      <c r="J83" t="n">
        <v>4.06</v>
      </c>
      <c r="K83" t="inlineStr"/>
      <c r="L83" t="n">
        <v>82.20999999999999</v>
      </c>
      <c r="M83" t="inlineStr"/>
      <c r="N83" t="n">
        <v>307</v>
      </c>
    </row>
    <row r="84">
      <c r="A84" t="inlineStr">
        <is>
          <t>787</t>
        </is>
      </c>
      <c r="B84" t="inlineStr">
        <is>
          <t>2RS</t>
        </is>
      </c>
      <c r="C84" t="n">
        <v>6</v>
      </c>
      <c r="D84" s="2" t="n">
        <v>45445</v>
      </c>
      <c r="E84" t="inlineStr">
        <is>
          <t>2RS-6</t>
        </is>
      </c>
      <c r="F84" t="n">
        <v>82.81999999999999</v>
      </c>
      <c r="G84" t="n">
        <v>93.40000000000001</v>
      </c>
      <c r="H84" t="n">
        <v>286.5</v>
      </c>
      <c r="I84" t="n">
        <v>14.9</v>
      </c>
      <c r="J84" t="n">
        <v>4</v>
      </c>
      <c r="K84" t="inlineStr"/>
      <c r="L84" t="n">
        <v>83.3</v>
      </c>
      <c r="M84" t="inlineStr"/>
      <c r="N84" t="n">
        <v>362</v>
      </c>
    </row>
    <row r="85">
      <c r="A85" t="inlineStr">
        <is>
          <t>788</t>
        </is>
      </c>
      <c r="B85" t="inlineStr">
        <is>
          <t>2RS</t>
        </is>
      </c>
      <c r="C85" t="n">
        <v>6</v>
      </c>
      <c r="D85" s="2" t="n">
        <v>45446</v>
      </c>
      <c r="E85" t="inlineStr">
        <is>
          <t>2RS-6</t>
        </is>
      </c>
      <c r="F85" t="n">
        <v>83.47</v>
      </c>
      <c r="G85" t="n">
        <v>93.59999999999999</v>
      </c>
      <c r="H85" t="n">
        <v>287.03</v>
      </c>
      <c r="I85" t="n">
        <v>14.6</v>
      </c>
      <c r="J85" t="n">
        <v>4.27</v>
      </c>
      <c r="K85" t="inlineStr"/>
      <c r="L85" t="n">
        <v>82.8</v>
      </c>
      <c r="M85" t="inlineStr"/>
      <c r="N85" t="n">
        <v>289</v>
      </c>
    </row>
    <row r="86">
      <c r="A86" t="inlineStr">
        <is>
          <t>789</t>
        </is>
      </c>
      <c r="B86" t="inlineStr">
        <is>
          <t>2RS</t>
        </is>
      </c>
      <c r="C86" t="n">
        <v>6</v>
      </c>
      <c r="D86" s="2" t="n">
        <v>45447</v>
      </c>
      <c r="E86" t="inlineStr">
        <is>
          <t>2RS-6</t>
        </is>
      </c>
      <c r="F86" t="n">
        <v>84.8</v>
      </c>
      <c r="G86" t="n">
        <v>94.5</v>
      </c>
      <c r="H86" t="n">
        <v>286.74</v>
      </c>
      <c r="I86" t="n">
        <v>14</v>
      </c>
      <c r="J86" t="n">
        <v>4.16</v>
      </c>
      <c r="K86" t="inlineStr"/>
      <c r="L86" t="n">
        <v>82.73999999999999</v>
      </c>
      <c r="M86" t="inlineStr"/>
      <c r="N86" t="n">
        <v>283</v>
      </c>
    </row>
    <row r="87">
      <c r="A87" t="inlineStr">
        <is>
          <t>790</t>
        </is>
      </c>
      <c r="B87" t="inlineStr">
        <is>
          <t>2RS</t>
        </is>
      </c>
      <c r="C87" t="n">
        <v>6</v>
      </c>
      <c r="D87" s="2" t="n">
        <v>45449</v>
      </c>
      <c r="E87" t="inlineStr">
        <is>
          <t>2RS-6</t>
        </is>
      </c>
      <c r="F87" t="n">
        <v>83.67</v>
      </c>
      <c r="G87" t="n">
        <v>94</v>
      </c>
      <c r="H87" t="n">
        <v>286.63</v>
      </c>
      <c r="I87" t="n">
        <v>14.3</v>
      </c>
      <c r="J87" t="n">
        <v>3.75</v>
      </c>
      <c r="K87" t="n">
        <v>130</v>
      </c>
      <c r="L87" t="n">
        <v>81</v>
      </c>
      <c r="M87" t="n">
        <v>4.1</v>
      </c>
      <c r="N87" t="n">
        <v>273</v>
      </c>
    </row>
    <row r="88">
      <c r="A88" t="inlineStr">
        <is>
          <t>791</t>
        </is>
      </c>
      <c r="B88" t="inlineStr">
        <is>
          <t>2RS</t>
        </is>
      </c>
      <c r="C88" t="n">
        <v>6</v>
      </c>
      <c r="D88" s="2" t="n">
        <v>45450</v>
      </c>
      <c r="E88" t="inlineStr">
        <is>
          <t>2RS-6</t>
        </is>
      </c>
      <c r="F88" t="n">
        <v>84.77</v>
      </c>
      <c r="G88" t="n">
        <v>94.3</v>
      </c>
      <c r="H88" t="n">
        <v>286.74</v>
      </c>
      <c r="I88" t="n">
        <v>13.9</v>
      </c>
      <c r="J88" t="n">
        <v>4.23</v>
      </c>
      <c r="K88" t="n">
        <v>132</v>
      </c>
      <c r="L88" t="n">
        <v>81.58</v>
      </c>
      <c r="M88" t="n">
        <v>3.79</v>
      </c>
      <c r="N88" t="n">
        <v>338</v>
      </c>
    </row>
    <row r="89">
      <c r="A89" t="inlineStr">
        <is>
          <t>792</t>
        </is>
      </c>
      <c r="B89" t="inlineStr">
        <is>
          <t>2RS</t>
        </is>
      </c>
      <c r="C89" t="n">
        <v>6</v>
      </c>
      <c r="D89" s="2" t="n">
        <v>45451</v>
      </c>
      <c r="E89" t="inlineStr">
        <is>
          <t>2RS-6</t>
        </is>
      </c>
      <c r="F89" t="n">
        <v>84.16</v>
      </c>
      <c r="G89" t="n">
        <v>94.2</v>
      </c>
      <c r="H89" t="n">
        <v>286.19</v>
      </c>
      <c r="I89" t="n">
        <v>14.5</v>
      </c>
      <c r="J89" t="n">
        <v>4.28</v>
      </c>
      <c r="K89" t="n">
        <v>145</v>
      </c>
      <c r="L89" t="n">
        <v>85</v>
      </c>
      <c r="M89" t="n">
        <v>3.8</v>
      </c>
      <c r="N89" t="n">
        <v>192</v>
      </c>
    </row>
    <row r="90">
      <c r="A90" t="inlineStr">
        <is>
          <t>793</t>
        </is>
      </c>
      <c r="B90" t="inlineStr">
        <is>
          <t>IBON</t>
        </is>
      </c>
      <c r="C90" t="n">
        <v>6</v>
      </c>
      <c r="D90" s="2" t="n">
        <v>45452</v>
      </c>
      <c r="E90" t="inlineStr">
        <is>
          <t>IBON-6</t>
        </is>
      </c>
      <c r="F90" t="n">
        <v>83.55</v>
      </c>
      <c r="G90" t="n">
        <v>93.2</v>
      </c>
      <c r="H90" t="n">
        <v>282.63</v>
      </c>
      <c r="I90" t="n">
        <v>14.2</v>
      </c>
      <c r="J90" t="n">
        <v>4.33</v>
      </c>
      <c r="K90" t="n">
        <v>157</v>
      </c>
      <c r="L90" t="n">
        <v>54.2</v>
      </c>
      <c r="M90" t="n">
        <v>5.3</v>
      </c>
      <c r="N90" t="n">
        <v>400</v>
      </c>
    </row>
    <row r="91">
      <c r="A91" t="inlineStr">
        <is>
          <t>794</t>
        </is>
      </c>
      <c r="B91" t="inlineStr">
        <is>
          <t>IBON</t>
        </is>
      </c>
      <c r="C91" t="n">
        <v>6</v>
      </c>
      <c r="D91" s="2" t="n">
        <v>45453</v>
      </c>
      <c r="E91" t="inlineStr">
        <is>
          <t>IBON-6</t>
        </is>
      </c>
      <c r="F91" t="n">
        <v>83.40000000000001</v>
      </c>
      <c r="G91" t="n">
        <v>93</v>
      </c>
      <c r="H91" t="n">
        <v>283.19</v>
      </c>
      <c r="I91" t="n">
        <v>14.3</v>
      </c>
      <c r="J91" t="n">
        <v>4.46</v>
      </c>
      <c r="K91" t="n">
        <v>163</v>
      </c>
      <c r="L91" t="n">
        <v>52</v>
      </c>
      <c r="M91" t="n">
        <v>5.8</v>
      </c>
      <c r="N91" t="n">
        <v>333</v>
      </c>
    </row>
    <row r="92">
      <c r="A92" t="inlineStr">
        <is>
          <t>795</t>
        </is>
      </c>
      <c r="B92" t="inlineStr">
        <is>
          <t>IBON</t>
        </is>
      </c>
      <c r="C92" t="n">
        <v>6</v>
      </c>
      <c r="D92" s="2" t="n">
        <v>45454</v>
      </c>
      <c r="E92" t="inlineStr">
        <is>
          <t>IBON-6</t>
        </is>
      </c>
      <c r="F92" t="n">
        <v>82.64</v>
      </c>
      <c r="G92" t="n">
        <v>92.3</v>
      </c>
      <c r="H92" t="n">
        <v>283.1</v>
      </c>
      <c r="I92" t="n">
        <v>14.4</v>
      </c>
      <c r="J92" t="n">
        <v>4.38</v>
      </c>
      <c r="K92" t="n">
        <v>167</v>
      </c>
      <c r="L92" t="n">
        <v>55.8</v>
      </c>
      <c r="M92" t="n">
        <v>5.6</v>
      </c>
      <c r="N92" t="n">
        <v>402</v>
      </c>
    </row>
    <row r="93">
      <c r="A93" t="inlineStr">
        <is>
          <t>796</t>
        </is>
      </c>
      <c r="B93" t="inlineStr">
        <is>
          <t>2RS</t>
        </is>
      </c>
      <c r="C93" t="n">
        <v>6</v>
      </c>
      <c r="D93" s="2" t="n">
        <v>45456</v>
      </c>
      <c r="E93" t="inlineStr">
        <is>
          <t>2RS-6</t>
        </is>
      </c>
      <c r="F93" t="n">
        <v>84.17</v>
      </c>
      <c r="G93" t="n">
        <v>93.59999999999999</v>
      </c>
      <c r="H93" t="n">
        <v>287.57</v>
      </c>
      <c r="I93" t="n">
        <v>14</v>
      </c>
      <c r="J93" t="n">
        <v>4.34</v>
      </c>
      <c r="K93" t="n">
        <v>118</v>
      </c>
      <c r="L93" t="n">
        <v>83.12</v>
      </c>
      <c r="M93" t="n">
        <v>3.16</v>
      </c>
      <c r="N93" t="n">
        <v>252</v>
      </c>
    </row>
    <row r="94">
      <c r="A94" t="inlineStr">
        <is>
          <t>797</t>
        </is>
      </c>
      <c r="B94" t="inlineStr">
        <is>
          <t>2RS</t>
        </is>
      </c>
      <c r="C94" t="n">
        <v>6</v>
      </c>
      <c r="D94" s="2" t="n">
        <v>45457</v>
      </c>
      <c r="E94" t="inlineStr">
        <is>
          <t>2RS-6</t>
        </is>
      </c>
      <c r="F94" t="n">
        <v>84.19</v>
      </c>
      <c r="G94" t="n">
        <v>93.8</v>
      </c>
      <c r="H94" t="n">
        <v>287.44</v>
      </c>
      <c r="I94" t="n">
        <v>14.1</v>
      </c>
      <c r="J94" t="n">
        <v>4.27</v>
      </c>
      <c r="K94" t="n">
        <v>117</v>
      </c>
      <c r="L94" t="n">
        <v>79.34</v>
      </c>
      <c r="M94" t="n">
        <v>3.19</v>
      </c>
      <c r="N94" t="n">
        <v>305</v>
      </c>
    </row>
    <row r="95">
      <c r="A95" t="inlineStr">
        <is>
          <t>798</t>
        </is>
      </c>
      <c r="B95" t="inlineStr">
        <is>
          <t>2RS</t>
        </is>
      </c>
      <c r="C95" t="n">
        <v>6</v>
      </c>
      <c r="D95" s="2" t="n">
        <v>45458</v>
      </c>
      <c r="E95" t="inlineStr">
        <is>
          <t>2RS-6</t>
        </is>
      </c>
      <c r="F95" t="n">
        <v>84.01000000000001</v>
      </c>
      <c r="G95" t="n">
        <v>93.7</v>
      </c>
      <c r="H95" t="n">
        <v>286.73</v>
      </c>
      <c r="I95" t="n">
        <v>14.3</v>
      </c>
      <c r="J95" t="n">
        <v>4.45</v>
      </c>
      <c r="K95" t="n">
        <v>119</v>
      </c>
      <c r="L95" t="n">
        <v>79.7</v>
      </c>
      <c r="M95" t="n">
        <v>3.25</v>
      </c>
      <c r="N95" t="n">
        <v>313</v>
      </c>
    </row>
    <row r="96">
      <c r="A96" t="inlineStr">
        <is>
          <t>799</t>
        </is>
      </c>
      <c r="B96" t="inlineStr">
        <is>
          <t>2RS</t>
        </is>
      </c>
      <c r="C96" t="n">
        <v>6</v>
      </c>
      <c r="D96" s="2" t="n">
        <v>45459</v>
      </c>
      <c r="E96" t="inlineStr">
        <is>
          <t>2RS-6</t>
        </is>
      </c>
      <c r="F96" t="n">
        <v>83.55</v>
      </c>
      <c r="G96" t="n">
        <v>93.40000000000001</v>
      </c>
      <c r="H96" t="n">
        <v>286.89</v>
      </c>
      <c r="I96" t="n">
        <v>14.1</v>
      </c>
      <c r="J96" t="n">
        <v>3.94</v>
      </c>
      <c r="K96" t="n">
        <v>118</v>
      </c>
      <c r="L96" t="n">
        <v>82.94</v>
      </c>
      <c r="M96" t="n">
        <v>3.6</v>
      </c>
      <c r="N96" t="n">
        <v>297</v>
      </c>
    </row>
    <row r="97">
      <c r="A97" t="inlineStr">
        <is>
          <t>800</t>
        </is>
      </c>
      <c r="B97" t="inlineStr">
        <is>
          <t>2RS</t>
        </is>
      </c>
      <c r="C97" t="n">
        <v>6</v>
      </c>
      <c r="D97" s="2" t="n">
        <v>45460</v>
      </c>
      <c r="E97" t="inlineStr">
        <is>
          <t>2RS-6</t>
        </is>
      </c>
      <c r="F97" t="n">
        <v>83.36</v>
      </c>
      <c r="G97" t="n">
        <v>93.09999999999999</v>
      </c>
      <c r="H97" t="n">
        <v>287.56</v>
      </c>
      <c r="I97" t="n">
        <v>13.9</v>
      </c>
      <c r="J97" t="n">
        <v>3.81</v>
      </c>
      <c r="K97" t="n">
        <v>120</v>
      </c>
      <c r="L97" t="n">
        <v>90.8</v>
      </c>
      <c r="M97" t="n">
        <v>3.4</v>
      </c>
      <c r="N97" t="n">
        <v>177</v>
      </c>
    </row>
    <row r="98">
      <c r="A98" t="inlineStr">
        <is>
          <t>801</t>
        </is>
      </c>
      <c r="B98" t="inlineStr">
        <is>
          <t>2RS</t>
        </is>
      </c>
      <c r="C98" t="n">
        <v>6</v>
      </c>
      <c r="D98" s="2" t="n">
        <v>45461</v>
      </c>
      <c r="E98" t="inlineStr">
        <is>
          <t>2RS-6</t>
        </is>
      </c>
      <c r="F98" t="n">
        <v>83.34999999999999</v>
      </c>
      <c r="G98" t="n">
        <v>93.5</v>
      </c>
      <c r="H98" t="n">
        <v>287.43</v>
      </c>
      <c r="I98" t="n">
        <v>14.3</v>
      </c>
      <c r="J98" t="n">
        <v>3.91</v>
      </c>
      <c r="K98" t="n">
        <v>121</v>
      </c>
      <c r="L98" t="n">
        <v>85.62</v>
      </c>
      <c r="M98" t="n">
        <v>3.65</v>
      </c>
      <c r="N98" t="n">
        <v>225</v>
      </c>
    </row>
    <row r="99">
      <c r="A99" t="inlineStr">
        <is>
          <t>802</t>
        </is>
      </c>
      <c r="B99" t="inlineStr">
        <is>
          <t>2RS</t>
        </is>
      </c>
      <c r="C99" t="n">
        <v>6</v>
      </c>
      <c r="D99" s="2" t="n">
        <v>45463</v>
      </c>
      <c r="E99" t="inlineStr">
        <is>
          <t>2RS-6</t>
        </is>
      </c>
      <c r="F99" t="n">
        <v>83.61</v>
      </c>
      <c r="G99" t="n">
        <v>93.5</v>
      </c>
      <c r="H99" t="n">
        <v>286.54</v>
      </c>
      <c r="I99" t="n">
        <v>14</v>
      </c>
      <c r="J99" t="n">
        <v>3.82</v>
      </c>
      <c r="K99" t="n">
        <v>119</v>
      </c>
      <c r="L99" t="n">
        <v>86.84</v>
      </c>
      <c r="M99" t="n">
        <v>3.2</v>
      </c>
      <c r="N99" t="n">
        <v>220</v>
      </c>
    </row>
    <row r="100">
      <c r="A100" t="inlineStr">
        <is>
          <t>803</t>
        </is>
      </c>
      <c r="B100" t="inlineStr">
        <is>
          <t>2RS</t>
        </is>
      </c>
      <c r="C100" t="n">
        <v>6</v>
      </c>
      <c r="D100" s="2" t="n">
        <v>45464</v>
      </c>
      <c r="E100" t="inlineStr">
        <is>
          <t>2RS-6</t>
        </is>
      </c>
      <c r="F100" t="n">
        <v>83.42</v>
      </c>
      <c r="G100" t="n">
        <v>93.40000000000001</v>
      </c>
      <c r="H100" t="n">
        <v>286.7</v>
      </c>
      <c r="I100" t="n">
        <v>14.2</v>
      </c>
      <c r="J100" t="n">
        <v>3.9</v>
      </c>
      <c r="K100" t="n">
        <v>126</v>
      </c>
      <c r="L100" t="n">
        <v>85.59999999999999</v>
      </c>
      <c r="M100" t="n">
        <v>3.7</v>
      </c>
      <c r="N100" t="n">
        <v>232</v>
      </c>
    </row>
    <row r="101">
      <c r="A101" t="inlineStr">
        <is>
          <t>804</t>
        </is>
      </c>
      <c r="B101" t="inlineStr">
        <is>
          <t>2RS</t>
        </is>
      </c>
      <c r="C101" t="n">
        <v>6</v>
      </c>
      <c r="D101" s="2" t="n">
        <v>45465</v>
      </c>
      <c r="E101" t="inlineStr">
        <is>
          <t>2RS-6</t>
        </is>
      </c>
      <c r="F101" t="n">
        <v>84.12</v>
      </c>
      <c r="G101" t="n">
        <v>93.8</v>
      </c>
      <c r="H101" t="n">
        <v>286.76</v>
      </c>
      <c r="I101" t="n">
        <v>14.1</v>
      </c>
      <c r="J101" t="n">
        <v>4.19</v>
      </c>
      <c r="K101" t="n">
        <v>131</v>
      </c>
      <c r="L101" t="n">
        <v>85.40000000000001</v>
      </c>
      <c r="M101" t="n">
        <v>3.4</v>
      </c>
      <c r="N101" t="n">
        <v>195</v>
      </c>
    </row>
    <row r="102">
      <c r="A102" t="inlineStr">
        <is>
          <t>805</t>
        </is>
      </c>
      <c r="B102" t="inlineStr">
        <is>
          <t>2RS</t>
        </is>
      </c>
      <c r="C102" t="n">
        <v>6</v>
      </c>
      <c r="D102" s="2" t="n">
        <v>45466</v>
      </c>
      <c r="E102" t="inlineStr">
        <is>
          <t>2RS-6</t>
        </is>
      </c>
      <c r="F102" t="n">
        <v>83.47</v>
      </c>
      <c r="G102" t="n">
        <v>92.90000000000001</v>
      </c>
      <c r="H102" t="n">
        <v>287.35</v>
      </c>
      <c r="I102" t="n">
        <v>14.1</v>
      </c>
      <c r="J102" t="n">
        <v>4.42</v>
      </c>
      <c r="K102" t="n">
        <v>156</v>
      </c>
      <c r="L102" t="n">
        <v>84.09999999999999</v>
      </c>
      <c r="M102" t="n">
        <v>4.28</v>
      </c>
      <c r="N102" t="n">
        <v>179</v>
      </c>
    </row>
    <row r="103">
      <c r="A103" t="inlineStr">
        <is>
          <t>806</t>
        </is>
      </c>
      <c r="B103" t="inlineStr">
        <is>
          <t>2RS</t>
        </is>
      </c>
      <c r="C103" t="n">
        <v>6</v>
      </c>
      <c r="D103" s="2" t="n">
        <v>45467</v>
      </c>
      <c r="E103" t="inlineStr">
        <is>
          <t>2RS-6</t>
        </is>
      </c>
      <c r="F103" t="n">
        <v>83.25</v>
      </c>
      <c r="G103" t="n">
        <v>92.3</v>
      </c>
      <c r="H103" t="n">
        <v>287.4</v>
      </c>
      <c r="I103" t="n">
        <v>13.8</v>
      </c>
      <c r="J103" t="n">
        <v>4.43</v>
      </c>
      <c r="K103" t="n">
        <v>148</v>
      </c>
      <c r="L103" t="n">
        <v>88.54000000000001</v>
      </c>
      <c r="M103" t="n">
        <v>3.9</v>
      </c>
      <c r="N103" t="n">
        <v>145</v>
      </c>
    </row>
    <row r="104">
      <c r="A104" t="inlineStr">
        <is>
          <t>807</t>
        </is>
      </c>
      <c r="B104" t="inlineStr">
        <is>
          <t>2RS</t>
        </is>
      </c>
      <c r="C104" t="n">
        <v>6</v>
      </c>
      <c r="D104" s="2" t="n">
        <v>45468</v>
      </c>
      <c r="E104" t="inlineStr">
        <is>
          <t>2RS-6</t>
        </is>
      </c>
      <c r="F104" t="n">
        <v>83.25</v>
      </c>
      <c r="G104" t="n">
        <v>92.8</v>
      </c>
      <c r="H104" t="n">
        <v>287.36</v>
      </c>
      <c r="I104" t="n">
        <v>14</v>
      </c>
      <c r="J104" t="n">
        <v>4.12</v>
      </c>
      <c r="K104" t="n">
        <v>140</v>
      </c>
      <c r="L104" t="n">
        <v>86.88</v>
      </c>
      <c r="M104" t="n">
        <v>3.9</v>
      </c>
      <c r="N104" t="n">
        <v>183</v>
      </c>
    </row>
    <row r="105">
      <c r="A105" t="inlineStr">
        <is>
          <t>808</t>
        </is>
      </c>
      <c r="B105" t="inlineStr">
        <is>
          <t>2RS</t>
        </is>
      </c>
      <c r="C105" t="n">
        <v>6</v>
      </c>
      <c r="D105" s="2" t="n">
        <v>45470</v>
      </c>
      <c r="E105" t="inlineStr">
        <is>
          <t>2RS-6</t>
        </is>
      </c>
      <c r="F105" t="n">
        <v>84.63</v>
      </c>
      <c r="G105" t="n">
        <v>94</v>
      </c>
      <c r="H105" t="n">
        <v>287.24</v>
      </c>
      <c r="I105" t="n">
        <v>14</v>
      </c>
      <c r="J105" t="n">
        <v>4.49</v>
      </c>
      <c r="K105" t="n">
        <v>121</v>
      </c>
      <c r="L105" t="n">
        <v>83.3</v>
      </c>
      <c r="M105" t="n">
        <v>3.4</v>
      </c>
      <c r="N105" t="n">
        <v>257</v>
      </c>
    </row>
    <row r="106">
      <c r="A106" t="inlineStr">
        <is>
          <t>809</t>
        </is>
      </c>
      <c r="B106" t="inlineStr">
        <is>
          <t>2RS</t>
        </is>
      </c>
      <c r="C106" t="n">
        <v>6</v>
      </c>
      <c r="D106" s="2" t="n">
        <v>45471</v>
      </c>
      <c r="E106" t="inlineStr">
        <is>
          <t>2RS-6</t>
        </is>
      </c>
      <c r="F106" t="n">
        <v>84.54000000000001</v>
      </c>
      <c r="G106" t="n">
        <v>93.90000000000001</v>
      </c>
      <c r="H106" t="n">
        <v>287.11</v>
      </c>
      <c r="I106" t="n">
        <v>14</v>
      </c>
      <c r="J106" t="n">
        <v>4.46</v>
      </c>
      <c r="K106" t="n">
        <v>130</v>
      </c>
      <c r="L106" t="n">
        <v>83.52</v>
      </c>
      <c r="M106" t="n">
        <v>3.7</v>
      </c>
      <c r="N106" t="n">
        <v>240</v>
      </c>
    </row>
    <row r="107">
      <c r="A107" t="inlineStr">
        <is>
          <t>810</t>
        </is>
      </c>
      <c r="B107" t="inlineStr">
        <is>
          <t>2RS</t>
        </is>
      </c>
      <c r="C107" t="n">
        <v>6</v>
      </c>
      <c r="D107" s="2" t="n">
        <v>45472</v>
      </c>
      <c r="E107" t="inlineStr">
        <is>
          <t>2RS-6</t>
        </is>
      </c>
      <c r="F107" t="n">
        <v>83.81</v>
      </c>
      <c r="G107" t="n">
        <v>93.90000000000001</v>
      </c>
      <c r="H107" t="n">
        <v>286.52</v>
      </c>
      <c r="I107" t="n">
        <v>14.7</v>
      </c>
      <c r="J107" t="n">
        <v>4.4</v>
      </c>
      <c r="K107" t="n">
        <v>126</v>
      </c>
      <c r="L107" t="n">
        <v>82.7</v>
      </c>
      <c r="M107" t="n">
        <v>3.8</v>
      </c>
      <c r="N107" t="n">
        <v>205</v>
      </c>
    </row>
    <row r="108">
      <c r="A108" t="inlineStr">
        <is>
          <t>811</t>
        </is>
      </c>
      <c r="B108" t="inlineStr">
        <is>
          <t>2RS</t>
        </is>
      </c>
      <c r="C108" t="n">
        <v>6</v>
      </c>
      <c r="D108" s="2" t="n">
        <v>45473</v>
      </c>
      <c r="E108" t="inlineStr">
        <is>
          <t>2RS-6</t>
        </is>
      </c>
      <c r="F108" t="n">
        <v>83.04000000000001</v>
      </c>
      <c r="G108" t="n">
        <v>92.40000000000001</v>
      </c>
      <c r="H108" t="n">
        <v>287.2</v>
      </c>
      <c r="I108" t="n">
        <v>14.4</v>
      </c>
      <c r="J108" t="n">
        <v>4.74</v>
      </c>
      <c r="K108" t="n">
        <v>139</v>
      </c>
      <c r="L108" t="n">
        <v>82.84</v>
      </c>
      <c r="M108" t="n">
        <v>4.2</v>
      </c>
      <c r="N108" t="n">
        <v>189</v>
      </c>
    </row>
    <row r="109">
      <c r="A109" t="inlineStr">
        <is>
          <t>812</t>
        </is>
      </c>
      <c r="B109" t="inlineStr">
        <is>
          <t>2RS</t>
        </is>
      </c>
      <c r="C109" t="n">
        <v>7</v>
      </c>
      <c r="D109" s="2" t="n">
        <v>45474</v>
      </c>
      <c r="E109" t="inlineStr">
        <is>
          <t>2RS-7</t>
        </is>
      </c>
      <c r="F109" t="n">
        <v>82.81</v>
      </c>
      <c r="G109" t="n">
        <v>92.90000000000001</v>
      </c>
      <c r="H109" t="n">
        <v>286.51</v>
      </c>
      <c r="I109" t="n">
        <v>14.7</v>
      </c>
      <c r="J109" t="n">
        <v>4.27</v>
      </c>
      <c r="K109" t="n">
        <v>137</v>
      </c>
      <c r="L109" t="n">
        <v>86.81999999999999</v>
      </c>
      <c r="M109" t="n">
        <v>3.7</v>
      </c>
      <c r="N109" t="n">
        <v>216</v>
      </c>
    </row>
    <row r="110">
      <c r="A110" t="inlineStr">
        <is>
          <t>813</t>
        </is>
      </c>
      <c r="B110" t="inlineStr">
        <is>
          <t>2RS</t>
        </is>
      </c>
      <c r="C110" t="n">
        <v>7</v>
      </c>
      <c r="D110" s="2" t="n">
        <v>45476</v>
      </c>
      <c r="E110" t="inlineStr">
        <is>
          <t>2RS-7</t>
        </is>
      </c>
      <c r="F110" t="n">
        <v>83.08</v>
      </c>
      <c r="G110" t="n">
        <v>93.09999999999999</v>
      </c>
      <c r="H110" t="n">
        <v>286.37</v>
      </c>
      <c r="I110" t="n">
        <v>14.6</v>
      </c>
      <c r="J110" t="n">
        <v>4.26</v>
      </c>
      <c r="K110" t="n">
        <v>127</v>
      </c>
      <c r="L110" t="n">
        <v>79.62</v>
      </c>
      <c r="M110" t="n">
        <v>3.58</v>
      </c>
      <c r="N110" t="n">
        <v>297</v>
      </c>
    </row>
    <row r="111">
      <c r="A111" t="inlineStr">
        <is>
          <t>814</t>
        </is>
      </c>
      <c r="B111" t="inlineStr">
        <is>
          <t>2RS</t>
        </is>
      </c>
      <c r="C111" t="n">
        <v>7</v>
      </c>
      <c r="D111" s="2" t="n">
        <v>45477</v>
      </c>
      <c r="E111" t="inlineStr">
        <is>
          <t>2RS-7</t>
        </is>
      </c>
      <c r="F111" t="n">
        <v>83.39</v>
      </c>
      <c r="G111" t="n">
        <v>93.2</v>
      </c>
      <c r="H111" t="n">
        <v>286.18</v>
      </c>
      <c r="I111" t="n">
        <v>14.4</v>
      </c>
      <c r="J111" t="n">
        <v>4.29</v>
      </c>
      <c r="K111" t="n">
        <v>123</v>
      </c>
      <c r="L111" t="n">
        <v>83.92</v>
      </c>
      <c r="M111" t="n">
        <v>3.7</v>
      </c>
      <c r="N111" t="n">
        <v>208</v>
      </c>
    </row>
    <row r="112">
      <c r="A112" t="inlineStr">
        <is>
          <t>815</t>
        </is>
      </c>
      <c r="B112" t="inlineStr">
        <is>
          <t>2RS</t>
        </is>
      </c>
      <c r="C112" t="n">
        <v>7</v>
      </c>
      <c r="D112" s="2" t="n">
        <v>45478</v>
      </c>
      <c r="E112" t="inlineStr">
        <is>
          <t>2RS-7</t>
        </is>
      </c>
      <c r="F112" t="n">
        <v>83.92</v>
      </c>
      <c r="G112" t="n">
        <v>94</v>
      </c>
      <c r="H112" t="n">
        <v>287.85</v>
      </c>
      <c r="I112" t="n">
        <v>14.5</v>
      </c>
      <c r="J112" t="n">
        <v>4.28</v>
      </c>
      <c r="K112" t="n">
        <v>122</v>
      </c>
      <c r="L112" t="n">
        <v>84.5</v>
      </c>
      <c r="M112" t="n">
        <v>3.89</v>
      </c>
      <c r="N112" t="n">
        <v>225</v>
      </c>
    </row>
    <row r="113">
      <c r="A113" t="inlineStr">
        <is>
          <t>816</t>
        </is>
      </c>
      <c r="B113" t="inlineStr">
        <is>
          <t>2RS</t>
        </is>
      </c>
      <c r="C113" t="n">
        <v>7</v>
      </c>
      <c r="D113" s="2" t="n">
        <v>45479</v>
      </c>
      <c r="E113" t="inlineStr">
        <is>
          <t>2RS-7</t>
        </is>
      </c>
      <c r="F113" t="n">
        <v>82.19</v>
      </c>
      <c r="G113" t="n">
        <v>92.2</v>
      </c>
      <c r="H113" t="n">
        <v>287.08</v>
      </c>
      <c r="I113" t="n">
        <v>14.7</v>
      </c>
      <c r="J113" t="n">
        <v>4.28</v>
      </c>
      <c r="K113" t="n">
        <v>140</v>
      </c>
      <c r="L113" t="n">
        <v>87.03</v>
      </c>
      <c r="M113" t="n">
        <v>4.4</v>
      </c>
      <c r="N113" t="n">
        <v>166</v>
      </c>
    </row>
    <row r="114">
      <c r="A114" t="inlineStr">
        <is>
          <t>817</t>
        </is>
      </c>
      <c r="B114" t="inlineStr">
        <is>
          <t>2RS</t>
        </is>
      </c>
      <c r="C114" t="n">
        <v>7</v>
      </c>
      <c r="D114" s="2" t="n">
        <v>45480</v>
      </c>
      <c r="E114" t="inlineStr">
        <is>
          <t>2RS-7</t>
        </is>
      </c>
      <c r="F114" t="n">
        <v>82.67</v>
      </c>
      <c r="G114" t="n">
        <v>92.3</v>
      </c>
      <c r="H114" t="n">
        <v>290.28</v>
      </c>
      <c r="I114" t="n">
        <v>14.6</v>
      </c>
      <c r="J114" t="n">
        <v>4.63</v>
      </c>
      <c r="K114" t="n">
        <v>136</v>
      </c>
      <c r="L114" t="n">
        <v>78.43000000000001</v>
      </c>
      <c r="M114" t="n">
        <v>4.3</v>
      </c>
      <c r="N114" t="n">
        <v>288</v>
      </c>
    </row>
    <row r="115">
      <c r="A115" t="inlineStr">
        <is>
          <t>818</t>
        </is>
      </c>
      <c r="B115" t="inlineStr">
        <is>
          <t>2RS</t>
        </is>
      </c>
      <c r="C115" t="n">
        <v>7</v>
      </c>
      <c r="D115" s="2" t="n">
        <v>45482</v>
      </c>
      <c r="E115" t="inlineStr">
        <is>
          <t>2RS-7</t>
        </is>
      </c>
      <c r="F115" t="n">
        <v>83.68000000000001</v>
      </c>
      <c r="G115" t="n">
        <v>93.5</v>
      </c>
      <c r="H115" t="n">
        <v>286.86</v>
      </c>
      <c r="I115" t="n">
        <v>14.7</v>
      </c>
      <c r="J115" t="n">
        <v>4.64</v>
      </c>
      <c r="K115" t="n">
        <v>158</v>
      </c>
      <c r="L115" t="n">
        <v>76.41</v>
      </c>
      <c r="M115" t="n">
        <v>3.98</v>
      </c>
      <c r="N115" t="n">
        <v>376</v>
      </c>
    </row>
    <row r="116">
      <c r="A116" t="inlineStr">
        <is>
          <t>819</t>
        </is>
      </c>
      <c r="B116" t="inlineStr">
        <is>
          <t>2RS</t>
        </is>
      </c>
      <c r="C116" t="n">
        <v>7</v>
      </c>
      <c r="D116" s="2" t="n">
        <v>45483</v>
      </c>
      <c r="E116" t="inlineStr">
        <is>
          <t>2RS-7</t>
        </is>
      </c>
      <c r="F116" t="n">
        <v>84.19</v>
      </c>
      <c r="G116" t="n">
        <v>95.2</v>
      </c>
      <c r="H116" t="n">
        <v>285.91</v>
      </c>
      <c r="I116" t="n">
        <v>14.8</v>
      </c>
      <c r="J116" t="n">
        <v>3.67</v>
      </c>
      <c r="K116" t="n">
        <v>119</v>
      </c>
      <c r="L116" t="n">
        <v>66.72</v>
      </c>
      <c r="M116" t="n">
        <v>3.71</v>
      </c>
      <c r="N116" t="inlineStr"/>
    </row>
    <row r="117">
      <c r="A117" t="inlineStr">
        <is>
          <t>820</t>
        </is>
      </c>
      <c r="B117" t="inlineStr">
        <is>
          <t>2RS</t>
        </is>
      </c>
      <c r="C117" t="n">
        <v>7</v>
      </c>
      <c r="D117" s="2" t="n">
        <v>45485</v>
      </c>
      <c r="E117" t="inlineStr">
        <is>
          <t>2RS-7</t>
        </is>
      </c>
      <c r="F117" t="n">
        <v>83.98</v>
      </c>
      <c r="G117" t="n">
        <v>94.09999999999999</v>
      </c>
      <c r="H117" t="n">
        <v>286.12</v>
      </c>
      <c r="I117" t="n">
        <v>14.6</v>
      </c>
      <c r="J117" t="n">
        <v>4.3</v>
      </c>
      <c r="K117" t="n">
        <v>122</v>
      </c>
      <c r="L117" t="n">
        <v>79.09999999999998</v>
      </c>
      <c r="M117" t="n">
        <v>3.6</v>
      </c>
      <c r="N117" t="n">
        <v>333</v>
      </c>
    </row>
    <row r="118">
      <c r="A118" t="inlineStr">
        <is>
          <t>821</t>
        </is>
      </c>
      <c r="B118" t="inlineStr">
        <is>
          <t>2RS</t>
        </is>
      </c>
      <c r="C118" t="n">
        <v>7</v>
      </c>
      <c r="D118" s="2" t="n">
        <v>45486</v>
      </c>
      <c r="E118" t="inlineStr">
        <is>
          <t>2RS-7</t>
        </is>
      </c>
      <c r="F118" t="n">
        <v>83.94</v>
      </c>
      <c r="G118" t="n">
        <v>94.40000000000001</v>
      </c>
      <c r="H118" t="n">
        <v>287.11</v>
      </c>
      <c r="I118" t="n">
        <v>15.3</v>
      </c>
      <c r="J118" t="n">
        <v>4.72</v>
      </c>
      <c r="K118" t="n">
        <v>136</v>
      </c>
      <c r="L118" t="n">
        <v>80.54000000000001</v>
      </c>
      <c r="M118" t="n">
        <v>3.86</v>
      </c>
      <c r="N118" t="n">
        <v>214</v>
      </c>
    </row>
    <row r="119">
      <c r="A119" t="inlineStr">
        <is>
          <t>822</t>
        </is>
      </c>
      <c r="B119" t="inlineStr">
        <is>
          <t>IBON</t>
        </is>
      </c>
      <c r="C119" t="n">
        <v>7</v>
      </c>
      <c r="D119" s="2" t="n">
        <v>45487</v>
      </c>
      <c r="E119" t="inlineStr">
        <is>
          <t>IBON-7</t>
        </is>
      </c>
      <c r="F119" t="n">
        <v>82.95</v>
      </c>
      <c r="G119" t="n">
        <v>93.3</v>
      </c>
      <c r="H119" t="n">
        <v>282.43</v>
      </c>
      <c r="I119" t="n">
        <v>15.3</v>
      </c>
      <c r="J119" t="n">
        <v>4.72</v>
      </c>
      <c r="K119" t="n">
        <v>143</v>
      </c>
      <c r="L119" t="n">
        <v>51.2</v>
      </c>
      <c r="M119" t="n">
        <v>5.2</v>
      </c>
      <c r="N119" t="inlineStr"/>
    </row>
    <row r="120">
      <c r="A120" t="inlineStr">
        <is>
          <t>823</t>
        </is>
      </c>
      <c r="B120" t="inlineStr">
        <is>
          <t>IBON</t>
        </is>
      </c>
      <c r="C120" t="n">
        <v>7</v>
      </c>
      <c r="D120" s="2" t="n">
        <v>45487</v>
      </c>
      <c r="E120" t="inlineStr">
        <is>
          <t>IBON-7</t>
        </is>
      </c>
      <c r="F120" t="n">
        <v>83.03</v>
      </c>
      <c r="G120" t="n">
        <v>93.5</v>
      </c>
      <c r="H120" t="n">
        <v>282.43</v>
      </c>
      <c r="I120" t="n">
        <v>15.3</v>
      </c>
      <c r="J120" t="n">
        <v>4.65</v>
      </c>
      <c r="K120" t="n">
        <v>164</v>
      </c>
      <c r="L120" t="n">
        <v>52.5</v>
      </c>
      <c r="M120" t="n">
        <v>5.8</v>
      </c>
      <c r="N120" t="n">
        <v>399</v>
      </c>
    </row>
    <row r="121">
      <c r="A121" t="inlineStr">
        <is>
          <t>824</t>
        </is>
      </c>
      <c r="B121" t="inlineStr">
        <is>
          <t>IBON</t>
        </is>
      </c>
      <c r="C121" t="n">
        <v>7</v>
      </c>
      <c r="D121" s="2" t="n">
        <v>45489</v>
      </c>
      <c r="E121" t="inlineStr">
        <is>
          <t>IBON-7</t>
        </is>
      </c>
      <c r="F121" t="n">
        <v>83.76000000000001</v>
      </c>
      <c r="G121" t="n">
        <v>93.3</v>
      </c>
      <c r="H121" t="n">
        <v>282.39</v>
      </c>
      <c r="I121" t="n">
        <v>14.6</v>
      </c>
      <c r="J121" t="n">
        <v>4.9</v>
      </c>
      <c r="K121" t="n">
        <v>140</v>
      </c>
      <c r="L121" t="n">
        <v>50</v>
      </c>
      <c r="M121" t="n">
        <v>5.1</v>
      </c>
      <c r="N121" t="inlineStr"/>
    </row>
    <row r="122">
      <c r="A122" t="inlineStr">
        <is>
          <t>825</t>
        </is>
      </c>
      <c r="B122" t="inlineStr">
        <is>
          <t>2RS</t>
        </is>
      </c>
      <c r="C122" t="n">
        <v>7</v>
      </c>
      <c r="D122" s="2" t="n">
        <v>45490</v>
      </c>
      <c r="E122" t="inlineStr">
        <is>
          <t>2RS-7</t>
        </is>
      </c>
      <c r="F122" t="n">
        <v>83.63</v>
      </c>
      <c r="G122" t="n">
        <v>93.59999999999999</v>
      </c>
      <c r="H122" t="n">
        <v>286.05</v>
      </c>
      <c r="I122" t="n">
        <v>14.5</v>
      </c>
      <c r="J122" t="n">
        <v>4.34</v>
      </c>
      <c r="K122" t="n">
        <v>127</v>
      </c>
      <c r="L122" t="n">
        <v>83</v>
      </c>
      <c r="M122" t="n">
        <v>4</v>
      </c>
      <c r="N122" t="n">
        <v>224</v>
      </c>
    </row>
    <row r="123">
      <c r="A123" t="inlineStr">
        <is>
          <t>826</t>
        </is>
      </c>
      <c r="B123" t="inlineStr">
        <is>
          <t>2RS</t>
        </is>
      </c>
      <c r="C123" t="n">
        <v>7</v>
      </c>
      <c r="D123" s="2" t="n">
        <v>45492</v>
      </c>
      <c r="E123" t="inlineStr">
        <is>
          <t>2RS-7</t>
        </is>
      </c>
      <c r="F123" t="n">
        <v>84.23</v>
      </c>
      <c r="G123" t="n">
        <v>94.09999999999999</v>
      </c>
      <c r="H123" t="n">
        <v>286.2</v>
      </c>
      <c r="I123" t="n">
        <v>14.5</v>
      </c>
      <c r="J123" t="n">
        <v>4.51</v>
      </c>
      <c r="K123" t="n">
        <v>135</v>
      </c>
      <c r="L123" t="n">
        <v>83.90000000000001</v>
      </c>
      <c r="M123" t="n">
        <v>3.85</v>
      </c>
      <c r="N123" t="n">
        <v>251</v>
      </c>
    </row>
    <row r="124">
      <c r="A124" t="inlineStr">
        <is>
          <t>827</t>
        </is>
      </c>
      <c r="B124" t="inlineStr">
        <is>
          <t>2RS</t>
        </is>
      </c>
      <c r="C124" t="n">
        <v>7</v>
      </c>
      <c r="D124" s="2" t="n">
        <v>45493</v>
      </c>
      <c r="E124" t="inlineStr">
        <is>
          <t>2RS-7</t>
        </is>
      </c>
      <c r="F124" t="n">
        <v>83.64</v>
      </c>
      <c r="G124" t="n">
        <v>93.5</v>
      </c>
      <c r="H124" t="n">
        <v>286.38</v>
      </c>
      <c r="I124" t="n">
        <v>14.4</v>
      </c>
      <c r="J124" t="n">
        <v>4.32</v>
      </c>
      <c r="K124" t="n">
        <v>134</v>
      </c>
      <c r="L124" t="n">
        <v>83.8</v>
      </c>
      <c r="M124" t="n">
        <v>4.1</v>
      </c>
      <c r="N124" t="n">
        <v>284</v>
      </c>
    </row>
    <row r="125">
      <c r="A125" t="inlineStr">
        <is>
          <t>828</t>
        </is>
      </c>
      <c r="B125" t="inlineStr">
        <is>
          <t>IBON</t>
        </is>
      </c>
      <c r="C125" t="n">
        <v>7</v>
      </c>
      <c r="D125" s="2" t="n">
        <v>45494</v>
      </c>
      <c r="E125" t="inlineStr">
        <is>
          <t>IBON-7</t>
        </is>
      </c>
      <c r="F125" t="n">
        <v>83.36</v>
      </c>
      <c r="G125" t="n">
        <v>93.59999999999999</v>
      </c>
      <c r="H125" t="n">
        <v>282.49</v>
      </c>
      <c r="I125" t="n">
        <v>15.2</v>
      </c>
      <c r="J125" t="n">
        <v>4.79</v>
      </c>
      <c r="K125" t="n">
        <v>130</v>
      </c>
      <c r="L125" t="n">
        <v>46.9</v>
      </c>
      <c r="M125" t="n">
        <v>3.8</v>
      </c>
      <c r="N125" t="inlineStr"/>
    </row>
    <row r="126">
      <c r="A126" t="inlineStr">
        <is>
          <t>829</t>
        </is>
      </c>
      <c r="B126" t="inlineStr">
        <is>
          <t>IBON</t>
        </is>
      </c>
      <c r="C126" t="n">
        <v>7</v>
      </c>
      <c r="D126" s="2" t="n">
        <v>45495</v>
      </c>
      <c r="E126" t="inlineStr">
        <is>
          <t>IBON-7</t>
        </is>
      </c>
      <c r="F126" t="n">
        <v>82.77</v>
      </c>
      <c r="G126" t="n">
        <v>93</v>
      </c>
      <c r="H126" t="n">
        <v>282.51</v>
      </c>
      <c r="I126" t="n">
        <v>15.3</v>
      </c>
      <c r="J126" t="n">
        <v>4.85</v>
      </c>
      <c r="K126" t="n">
        <v>139</v>
      </c>
      <c r="L126" t="n">
        <v>50.4</v>
      </c>
      <c r="M126" t="n">
        <v>3.9</v>
      </c>
      <c r="N126" t="inlineStr"/>
    </row>
    <row r="127">
      <c r="A127" t="inlineStr">
        <is>
          <t>830</t>
        </is>
      </c>
      <c r="B127" t="inlineStr">
        <is>
          <t>IBON</t>
        </is>
      </c>
      <c r="C127" t="n">
        <v>7</v>
      </c>
      <c r="D127" s="2" t="n">
        <v>45497</v>
      </c>
      <c r="E127" t="inlineStr">
        <is>
          <t>IBON-7</t>
        </is>
      </c>
      <c r="F127" t="n">
        <v>83.09</v>
      </c>
      <c r="G127" t="n">
        <v>93.5</v>
      </c>
      <c r="H127" t="n">
        <v>283.36</v>
      </c>
      <c r="I127" t="n">
        <v>15.3</v>
      </c>
      <c r="J127" t="n">
        <v>4.67</v>
      </c>
      <c r="K127" t="n">
        <v>134</v>
      </c>
      <c r="L127" t="n">
        <v>47.14</v>
      </c>
      <c r="M127" t="n">
        <v>4</v>
      </c>
      <c r="N127" t="inlineStr"/>
    </row>
    <row r="128">
      <c r="A128" t="inlineStr">
        <is>
          <t>831</t>
        </is>
      </c>
      <c r="B128" t="inlineStr">
        <is>
          <t>2RS</t>
        </is>
      </c>
      <c r="C128" t="n">
        <v>7</v>
      </c>
      <c r="D128" s="2" t="n">
        <v>45498</v>
      </c>
      <c r="E128" t="inlineStr">
        <is>
          <t>2RS-7</t>
        </is>
      </c>
      <c r="F128" t="n">
        <v>83.48999999999999</v>
      </c>
      <c r="G128" t="n">
        <v>93.8</v>
      </c>
      <c r="H128" t="n">
        <v>286.63</v>
      </c>
      <c r="I128" t="n">
        <v>15</v>
      </c>
      <c r="J128" t="n">
        <v>4.52</v>
      </c>
      <c r="K128" t="n">
        <v>126</v>
      </c>
      <c r="L128" t="n">
        <v>76.54000000000001</v>
      </c>
      <c r="M128" t="n">
        <v>3.52</v>
      </c>
      <c r="N128" t="n">
        <v>352</v>
      </c>
    </row>
    <row r="129">
      <c r="A129" t="inlineStr">
        <is>
          <t>832</t>
        </is>
      </c>
      <c r="B129" t="inlineStr">
        <is>
          <t>2RS</t>
        </is>
      </c>
      <c r="C129" t="n">
        <v>7</v>
      </c>
      <c r="D129" s="2" t="n">
        <v>45499</v>
      </c>
      <c r="E129" t="inlineStr">
        <is>
          <t>2RS-7</t>
        </is>
      </c>
      <c r="F129" t="n">
        <v>83.27</v>
      </c>
      <c r="G129" t="n">
        <v>92.7</v>
      </c>
      <c r="H129" t="n">
        <v>286.24</v>
      </c>
      <c r="I129" t="n">
        <v>14.9</v>
      </c>
      <c r="J129" t="n">
        <v>5.23</v>
      </c>
      <c r="K129" t="n">
        <v>133</v>
      </c>
      <c r="L129" t="n">
        <v>74.5</v>
      </c>
      <c r="M129" t="n">
        <v>3.81</v>
      </c>
      <c r="N129" t="n">
        <v>352</v>
      </c>
    </row>
    <row r="130">
      <c r="A130" t="inlineStr">
        <is>
          <t>833</t>
        </is>
      </c>
      <c r="B130" t="inlineStr">
        <is>
          <t>2RS</t>
        </is>
      </c>
      <c r="C130" t="n">
        <v>7</v>
      </c>
      <c r="D130" s="2" t="n">
        <v>45500</v>
      </c>
      <c r="E130" t="inlineStr">
        <is>
          <t>2RS-7</t>
        </is>
      </c>
      <c r="F130" t="n">
        <v>83.97</v>
      </c>
      <c r="G130" t="n">
        <v>94</v>
      </c>
      <c r="H130" t="n">
        <v>287.12</v>
      </c>
      <c r="I130" t="n">
        <v>14.6</v>
      </c>
      <c r="J130" t="n">
        <v>4.38</v>
      </c>
      <c r="K130" t="n">
        <v>128</v>
      </c>
      <c r="L130" t="n">
        <v>80</v>
      </c>
      <c r="M130" t="n">
        <v>3.9</v>
      </c>
      <c r="N130" t="n">
        <v>289</v>
      </c>
    </row>
    <row r="131">
      <c r="A131" t="inlineStr">
        <is>
          <t>834</t>
        </is>
      </c>
      <c r="B131" t="inlineStr">
        <is>
          <t>2RS</t>
        </is>
      </c>
      <c r="C131" t="n">
        <v>7</v>
      </c>
      <c r="D131" s="2" t="n">
        <v>45501</v>
      </c>
      <c r="E131" t="inlineStr">
        <is>
          <t>2RS-7</t>
        </is>
      </c>
      <c r="F131" t="n">
        <v>82.87</v>
      </c>
      <c r="G131" t="n">
        <v>93.40000000000001</v>
      </c>
      <c r="H131" t="n">
        <v>285.74</v>
      </c>
      <c r="I131" t="n">
        <v>15.3</v>
      </c>
      <c r="J131" t="n">
        <v>4.51</v>
      </c>
      <c r="K131" t="n">
        <v>129</v>
      </c>
      <c r="L131" t="n">
        <v>75.31</v>
      </c>
      <c r="M131" t="n">
        <v>4.3</v>
      </c>
      <c r="N131" t="n">
        <v>334</v>
      </c>
    </row>
    <row r="132">
      <c r="A132" t="inlineStr">
        <is>
          <t>835</t>
        </is>
      </c>
      <c r="B132" t="inlineStr">
        <is>
          <t>IBON</t>
        </is>
      </c>
      <c r="C132" t="n">
        <v>7</v>
      </c>
      <c r="D132" s="2" t="n">
        <v>45502</v>
      </c>
      <c r="E132" t="inlineStr">
        <is>
          <t>IBON-7</t>
        </is>
      </c>
      <c r="F132" t="n">
        <v>83.65000000000001</v>
      </c>
      <c r="G132" t="n">
        <v>94.2</v>
      </c>
      <c r="H132" t="n">
        <v>280.44</v>
      </c>
      <c r="I132" t="n">
        <v>15.2</v>
      </c>
      <c r="J132" t="n">
        <v>4.47</v>
      </c>
      <c r="K132" t="n">
        <v>139.6</v>
      </c>
      <c r="L132" t="n">
        <v>49.1</v>
      </c>
      <c r="M132" t="n">
        <v>5.47</v>
      </c>
      <c r="N132" t="inlineStr"/>
    </row>
    <row r="133">
      <c r="A133" t="inlineStr">
        <is>
          <t>836</t>
        </is>
      </c>
      <c r="B133" t="inlineStr">
        <is>
          <t>IBON</t>
        </is>
      </c>
      <c r="C133" t="n">
        <v>7</v>
      </c>
      <c r="D133" s="2" t="n">
        <v>45504</v>
      </c>
      <c r="E133" t="inlineStr">
        <is>
          <t>IBON-7</t>
        </is>
      </c>
      <c r="F133" t="n">
        <v>84.09999999999999</v>
      </c>
      <c r="G133" t="n">
        <v>94.40000000000001</v>
      </c>
      <c r="H133" t="n">
        <v>283.25</v>
      </c>
      <c r="I133" t="n">
        <v>15.1</v>
      </c>
      <c r="J133" t="n">
        <v>4.73</v>
      </c>
      <c r="K133" t="n">
        <v>138</v>
      </c>
      <c r="L133" t="n">
        <v>41.8</v>
      </c>
      <c r="M133" t="n">
        <v>4.7</v>
      </c>
      <c r="N133" t="inlineStr"/>
    </row>
    <row r="134">
      <c r="A134" t="inlineStr">
        <is>
          <t>837</t>
        </is>
      </c>
      <c r="B134" t="inlineStr">
        <is>
          <t>IBON</t>
        </is>
      </c>
      <c r="C134" t="n">
        <v>8</v>
      </c>
      <c r="D134" s="2" t="n">
        <v>45505</v>
      </c>
      <c r="E134" t="inlineStr">
        <is>
          <t>IBON-8</t>
        </is>
      </c>
      <c r="F134" t="n">
        <v>83.67</v>
      </c>
      <c r="G134" t="n">
        <v>93.7</v>
      </c>
      <c r="H134" t="n">
        <v>280.93</v>
      </c>
      <c r="I134" t="n">
        <v>14.9</v>
      </c>
      <c r="J134" t="n">
        <v>4.7</v>
      </c>
      <c r="K134" t="n">
        <v>140</v>
      </c>
      <c r="L134" t="n">
        <v>45.64</v>
      </c>
      <c r="M134" t="n">
        <v>5.1</v>
      </c>
      <c r="N134" t="inlineStr"/>
    </row>
    <row r="135">
      <c r="A135" t="inlineStr">
        <is>
          <t>838</t>
        </is>
      </c>
      <c r="B135" t="inlineStr">
        <is>
          <t>2RS</t>
        </is>
      </c>
      <c r="C135" t="n">
        <v>8</v>
      </c>
      <c r="D135" s="2" t="n">
        <v>45506</v>
      </c>
      <c r="E135" t="inlineStr">
        <is>
          <t>2RS-8</t>
        </is>
      </c>
      <c r="F135" t="n">
        <v>83.39</v>
      </c>
      <c r="G135" t="n">
        <v>93.59999999999999</v>
      </c>
      <c r="H135" t="n">
        <v>285.49</v>
      </c>
      <c r="I135" t="n">
        <v>14.9</v>
      </c>
      <c r="J135" t="n">
        <v>4.53</v>
      </c>
      <c r="K135" t="n">
        <v>124</v>
      </c>
      <c r="L135" t="n">
        <v>75</v>
      </c>
      <c r="M135" t="n">
        <v>3.5</v>
      </c>
      <c r="N135" t="n">
        <v>405</v>
      </c>
    </row>
    <row r="136">
      <c r="A136" t="inlineStr">
        <is>
          <t>839</t>
        </is>
      </c>
      <c r="B136" t="inlineStr">
        <is>
          <t>2RS</t>
        </is>
      </c>
      <c r="C136" t="n">
        <v>8</v>
      </c>
      <c r="D136" s="2" t="n">
        <v>45508</v>
      </c>
      <c r="E136" t="inlineStr">
        <is>
          <t>2RS-8</t>
        </is>
      </c>
      <c r="F136" t="n">
        <v>84.20999999999999</v>
      </c>
      <c r="G136" t="n">
        <v>93.90000000000001</v>
      </c>
      <c r="H136" t="n">
        <v>286.06</v>
      </c>
      <c r="I136" t="n">
        <v>14.2</v>
      </c>
      <c r="J136" t="n">
        <v>4.28</v>
      </c>
      <c r="K136" t="n">
        <v>142</v>
      </c>
      <c r="L136" t="n">
        <v>79.40000000000001</v>
      </c>
      <c r="M136" t="n">
        <v>4.08</v>
      </c>
      <c r="N136" t="n">
        <v>327</v>
      </c>
    </row>
    <row r="137">
      <c r="A137" t="inlineStr">
        <is>
          <t>840</t>
        </is>
      </c>
      <c r="B137" t="inlineStr">
        <is>
          <t>2RS</t>
        </is>
      </c>
      <c r="C137" t="n">
        <v>8</v>
      </c>
      <c r="D137" s="2" t="n">
        <v>45509</v>
      </c>
      <c r="E137" t="inlineStr">
        <is>
          <t>2RS-8</t>
        </is>
      </c>
      <c r="F137" t="n">
        <v>83.95999999999999</v>
      </c>
      <c r="G137" t="n">
        <v>93.8</v>
      </c>
      <c r="H137" t="n">
        <v>287</v>
      </c>
      <c r="I137" t="n">
        <v>14.4</v>
      </c>
      <c r="J137" t="n">
        <v>4.33</v>
      </c>
      <c r="K137" t="n">
        <v>146</v>
      </c>
      <c r="L137" t="n">
        <v>83.36</v>
      </c>
      <c r="M137" t="n">
        <v>4.5</v>
      </c>
      <c r="N137" t="n">
        <v>181</v>
      </c>
    </row>
    <row r="138">
      <c r="A138" t="inlineStr">
        <is>
          <t>841</t>
        </is>
      </c>
      <c r="B138" t="inlineStr">
        <is>
          <t>2RS</t>
        </is>
      </c>
      <c r="C138" t="n">
        <v>8</v>
      </c>
      <c r="D138" s="2" t="n">
        <v>45511</v>
      </c>
      <c r="E138" t="inlineStr">
        <is>
          <t>2RS-8</t>
        </is>
      </c>
      <c r="F138" t="n">
        <v>84.04000000000001</v>
      </c>
      <c r="G138" t="n">
        <v>94.09999999999999</v>
      </c>
      <c r="H138" t="n">
        <v>286.16</v>
      </c>
      <c r="I138" t="n">
        <v>14.4</v>
      </c>
      <c r="J138" t="n">
        <v>4.19</v>
      </c>
      <c r="K138" t="n">
        <v>143</v>
      </c>
      <c r="L138" t="n">
        <v>78.98</v>
      </c>
      <c r="M138" t="n">
        <v>4.22</v>
      </c>
      <c r="N138" t="n">
        <v>289</v>
      </c>
    </row>
    <row r="139">
      <c r="A139" t="inlineStr">
        <is>
          <t>842</t>
        </is>
      </c>
      <c r="B139" t="inlineStr">
        <is>
          <t>2RS</t>
        </is>
      </c>
      <c r="C139" t="n">
        <v>8</v>
      </c>
      <c r="D139" s="2" t="n">
        <v>45513</v>
      </c>
      <c r="E139" t="inlineStr">
        <is>
          <t>2RS-8</t>
        </is>
      </c>
      <c r="F139" t="n">
        <v>84.06</v>
      </c>
      <c r="G139" t="n">
        <v>94.09999999999999</v>
      </c>
      <c r="H139" t="n">
        <v>285.62</v>
      </c>
      <c r="I139" t="n">
        <v>14.4</v>
      </c>
      <c r="J139" t="n">
        <v>4.21</v>
      </c>
      <c r="K139" t="n">
        <v>137</v>
      </c>
      <c r="L139" t="n">
        <v>79.5</v>
      </c>
      <c r="M139" t="n">
        <v>4.2</v>
      </c>
      <c r="N139" t="n">
        <v>295</v>
      </c>
    </row>
    <row r="140">
      <c r="A140" t="inlineStr">
        <is>
          <t>843</t>
        </is>
      </c>
      <c r="B140" t="inlineStr">
        <is>
          <t>2RS</t>
        </is>
      </c>
      <c r="C140" t="n">
        <v>8</v>
      </c>
      <c r="D140" s="2" t="n">
        <v>45515</v>
      </c>
      <c r="E140" t="inlineStr">
        <is>
          <t>2RS-8</t>
        </is>
      </c>
      <c r="F140" t="n">
        <v>84.34999999999999</v>
      </c>
      <c r="G140" t="n">
        <v>94.2</v>
      </c>
      <c r="H140" t="n">
        <v>285.79</v>
      </c>
      <c r="I140" t="n">
        <v>14.5</v>
      </c>
      <c r="J140" t="n">
        <v>4.53</v>
      </c>
      <c r="K140" t="n">
        <v>119</v>
      </c>
      <c r="L140" t="n">
        <v>76.84</v>
      </c>
      <c r="M140" t="n">
        <v>3.6</v>
      </c>
      <c r="N140" t="n">
        <v>413</v>
      </c>
    </row>
    <row r="141">
      <c r="A141" t="inlineStr">
        <is>
          <t>844</t>
        </is>
      </c>
      <c r="B141" t="inlineStr">
        <is>
          <t>2RS</t>
        </is>
      </c>
      <c r="C141" t="n">
        <v>8</v>
      </c>
      <c r="D141" s="2" t="n">
        <v>45516</v>
      </c>
      <c r="E141" t="inlineStr">
        <is>
          <t>2RS-8</t>
        </is>
      </c>
      <c r="F141" t="n">
        <v>83.54000000000001</v>
      </c>
      <c r="G141" t="n">
        <v>93.59999999999999</v>
      </c>
      <c r="H141" t="n">
        <v>286.61</v>
      </c>
      <c r="I141" t="n">
        <v>14.6</v>
      </c>
      <c r="J141" t="n">
        <v>4.36</v>
      </c>
      <c r="K141" t="n">
        <v>126</v>
      </c>
      <c r="L141" t="n">
        <v>79.42</v>
      </c>
      <c r="M141" t="n">
        <v>3.7</v>
      </c>
      <c r="N141" t="n">
        <v>366</v>
      </c>
    </row>
    <row r="142">
      <c r="A142" t="inlineStr">
        <is>
          <t>845</t>
        </is>
      </c>
      <c r="B142" t="inlineStr">
        <is>
          <t>2RS</t>
        </is>
      </c>
      <c r="C142" t="n">
        <v>8</v>
      </c>
      <c r="D142" s="2" t="n">
        <v>45517</v>
      </c>
      <c r="E142" t="inlineStr">
        <is>
          <t>2RS-8</t>
        </is>
      </c>
      <c r="F142" t="n">
        <v>83.75</v>
      </c>
      <c r="G142" t="n">
        <v>93.8</v>
      </c>
      <c r="H142" t="n">
        <v>286.34</v>
      </c>
      <c r="I142" t="n">
        <v>14.7</v>
      </c>
      <c r="J142" t="n">
        <v>4.47</v>
      </c>
      <c r="K142" t="n">
        <v>140</v>
      </c>
      <c r="L142" t="n">
        <v>79</v>
      </c>
      <c r="M142" t="n">
        <v>3.98</v>
      </c>
      <c r="N142" t="n">
        <v>282</v>
      </c>
    </row>
    <row r="143">
      <c r="A143" t="inlineStr">
        <is>
          <t>846</t>
        </is>
      </c>
      <c r="B143" t="inlineStr">
        <is>
          <t>2RS</t>
        </is>
      </c>
      <c r="C143" t="n">
        <v>8</v>
      </c>
      <c r="D143" s="2" t="n">
        <v>45519</v>
      </c>
      <c r="E143" t="inlineStr">
        <is>
          <t>2RS-8</t>
        </is>
      </c>
      <c r="F143" t="n">
        <v>83.33</v>
      </c>
      <c r="G143" t="n">
        <v>93.2</v>
      </c>
      <c r="H143" t="n">
        <v>286.69</v>
      </c>
      <c r="I143" t="n">
        <v>14.6</v>
      </c>
      <c r="J143" t="n">
        <v>4.49</v>
      </c>
      <c r="K143" t="n">
        <v>142</v>
      </c>
      <c r="L143" t="n">
        <v>79.06</v>
      </c>
      <c r="M143" t="n">
        <v>4.26</v>
      </c>
      <c r="N143" t="n">
        <v>269</v>
      </c>
    </row>
    <row r="144">
      <c r="A144" t="inlineStr">
        <is>
          <t>847</t>
        </is>
      </c>
      <c r="B144" t="inlineStr">
        <is>
          <t>2RS</t>
        </is>
      </c>
      <c r="C144" t="n">
        <v>8</v>
      </c>
      <c r="D144" s="2" t="n">
        <v>45521</v>
      </c>
      <c r="E144" t="inlineStr">
        <is>
          <t>2RS-8</t>
        </is>
      </c>
      <c r="F144" t="n">
        <v>83.62</v>
      </c>
      <c r="G144" t="n">
        <v>93.5</v>
      </c>
      <c r="H144" t="n">
        <v>286.44</v>
      </c>
      <c r="I144" t="n">
        <v>14.6</v>
      </c>
      <c r="J144" t="n">
        <v>4.47</v>
      </c>
      <c r="K144" t="n">
        <v>144</v>
      </c>
      <c r="L144" t="n">
        <v>80.18000000000001</v>
      </c>
      <c r="M144" t="n">
        <v>4.2</v>
      </c>
      <c r="N144" t="n">
        <v>223</v>
      </c>
    </row>
    <row r="145">
      <c r="A145" t="inlineStr">
        <is>
          <t>848</t>
        </is>
      </c>
      <c r="B145" t="inlineStr">
        <is>
          <t>2RS</t>
        </is>
      </c>
      <c r="C145" t="n">
        <v>8</v>
      </c>
      <c r="D145" s="2" t="n">
        <v>45522</v>
      </c>
      <c r="E145" t="inlineStr">
        <is>
          <t>2RS-8</t>
        </is>
      </c>
      <c r="F145" t="n">
        <v>84.67</v>
      </c>
      <c r="G145" t="n">
        <v>94.40000000000001</v>
      </c>
      <c r="H145" t="n">
        <v>283.78</v>
      </c>
      <c r="I145" t="n">
        <v>14.3</v>
      </c>
      <c r="J145" t="n">
        <v>4.43</v>
      </c>
      <c r="K145" t="n">
        <v>133</v>
      </c>
      <c r="L145" t="n">
        <v>77.09999999999998</v>
      </c>
      <c r="M145" t="n">
        <v>3.7</v>
      </c>
      <c r="N145" t="n">
        <v>399</v>
      </c>
    </row>
    <row r="146">
      <c r="A146" t="inlineStr">
        <is>
          <t>849</t>
        </is>
      </c>
      <c r="B146" t="inlineStr">
        <is>
          <t>IBON</t>
        </is>
      </c>
      <c r="C146" t="n">
        <v>8</v>
      </c>
      <c r="D146" s="2" t="n">
        <v>45524</v>
      </c>
      <c r="E146" t="inlineStr">
        <is>
          <t>IBON-8</t>
        </is>
      </c>
      <c r="F146" t="n">
        <v>83.34999999999999</v>
      </c>
      <c r="G146" t="n">
        <v>93.5</v>
      </c>
      <c r="H146" t="n">
        <v>280.74</v>
      </c>
      <c r="I146" t="n">
        <v>14.9</v>
      </c>
      <c r="J146" t="n">
        <v>4.49</v>
      </c>
      <c r="K146" t="n">
        <v>141</v>
      </c>
      <c r="L146" t="n">
        <v>55.42</v>
      </c>
      <c r="M146" t="n">
        <v>5</v>
      </c>
      <c r="N146" t="inlineStr"/>
    </row>
    <row r="147">
      <c r="A147" t="inlineStr">
        <is>
          <t>850</t>
        </is>
      </c>
      <c r="B147" t="inlineStr">
        <is>
          <t>2RS</t>
        </is>
      </c>
      <c r="C147" t="n">
        <v>8</v>
      </c>
      <c r="D147" s="2" t="n">
        <v>45526</v>
      </c>
      <c r="E147" t="inlineStr">
        <is>
          <t>2RS-8</t>
        </is>
      </c>
      <c r="F147" t="n">
        <v>84.20999999999999</v>
      </c>
      <c r="G147" t="n">
        <v>93.90000000000001</v>
      </c>
      <c r="H147" t="n">
        <v>285.75</v>
      </c>
      <c r="I147" t="n">
        <v>14.2</v>
      </c>
      <c r="J147" t="n">
        <v>4.38</v>
      </c>
      <c r="K147" t="n">
        <v>128</v>
      </c>
      <c r="L147" t="n">
        <v>75.20999999999998</v>
      </c>
      <c r="M147" t="n">
        <v>3.7</v>
      </c>
      <c r="N147" t="n">
        <v>424</v>
      </c>
    </row>
    <row r="148">
      <c r="A148" t="inlineStr">
        <is>
          <t>851</t>
        </is>
      </c>
      <c r="B148" t="inlineStr">
        <is>
          <t>IBON</t>
        </is>
      </c>
      <c r="C148" t="n">
        <v>8</v>
      </c>
      <c r="D148" s="2" t="n">
        <v>45527</v>
      </c>
      <c r="E148" t="inlineStr">
        <is>
          <t>IBON-8</t>
        </is>
      </c>
      <c r="F148" t="n">
        <v>83.97</v>
      </c>
      <c r="G148" t="inlineStr"/>
      <c r="H148" t="n">
        <v>281.29</v>
      </c>
      <c r="I148" t="inlineStr"/>
      <c r="J148" t="n">
        <v>4.93</v>
      </c>
      <c r="K148" t="n">
        <v>136</v>
      </c>
      <c r="L148" t="n">
        <v>50.62</v>
      </c>
      <c r="M148" t="n">
        <v>4.9</v>
      </c>
      <c r="N148" t="inlineStr"/>
    </row>
    <row r="149">
      <c r="A149" t="inlineStr">
        <is>
          <t>852</t>
        </is>
      </c>
      <c r="B149" t="inlineStr">
        <is>
          <t>IBON</t>
        </is>
      </c>
      <c r="C149" t="n">
        <v>8</v>
      </c>
      <c r="D149" s="2" t="n">
        <v>45529</v>
      </c>
      <c r="E149" t="inlineStr">
        <is>
          <t>IBON-8</t>
        </is>
      </c>
      <c r="F149" t="n">
        <v>84.19</v>
      </c>
      <c r="G149" t="n">
        <v>93.8</v>
      </c>
      <c r="H149" t="n">
        <v>277.47</v>
      </c>
      <c r="I149" t="n">
        <v>14.4</v>
      </c>
      <c r="J149" t="n">
        <v>4.66</v>
      </c>
      <c r="K149" t="n">
        <v>135</v>
      </c>
      <c r="L149" t="n">
        <v>43.48</v>
      </c>
      <c r="M149" t="n">
        <v>5.8</v>
      </c>
      <c r="N149" t="inlineStr"/>
    </row>
    <row r="150">
      <c r="A150" t="inlineStr">
        <is>
          <t>853</t>
        </is>
      </c>
      <c r="B150" t="inlineStr">
        <is>
          <t>2RS</t>
        </is>
      </c>
      <c r="C150" t="n">
        <v>8</v>
      </c>
      <c r="D150" s="2" t="n">
        <v>45530</v>
      </c>
      <c r="E150" t="inlineStr">
        <is>
          <t>2RS-8</t>
        </is>
      </c>
      <c r="F150" t="n">
        <v>83.98999999999999</v>
      </c>
      <c r="G150" t="n">
        <v>93.5</v>
      </c>
      <c r="H150" t="n">
        <v>284.03</v>
      </c>
      <c r="I150" t="n">
        <v>14.3</v>
      </c>
      <c r="J150" t="n">
        <v>4.57</v>
      </c>
      <c r="K150" t="n">
        <v>137</v>
      </c>
      <c r="L150" t="n">
        <v>78.45999999999998</v>
      </c>
      <c r="M150" t="n">
        <v>4</v>
      </c>
      <c r="N150" t="n">
        <v>314</v>
      </c>
    </row>
    <row r="151">
      <c r="A151" t="inlineStr">
        <is>
          <t>854</t>
        </is>
      </c>
      <c r="B151" t="inlineStr">
        <is>
          <t>2RS</t>
        </is>
      </c>
      <c r="C151" t="n">
        <v>8</v>
      </c>
      <c r="D151" s="2" t="n">
        <v>45531</v>
      </c>
      <c r="E151" t="inlineStr">
        <is>
          <t>2RS-8</t>
        </is>
      </c>
      <c r="F151" t="n">
        <v>84.3</v>
      </c>
      <c r="G151" t="n">
        <v>93.59999999999999</v>
      </c>
      <c r="H151" t="n">
        <v>286.47</v>
      </c>
      <c r="I151" t="n">
        <v>14.3</v>
      </c>
      <c r="J151" t="n">
        <v>4.9</v>
      </c>
      <c r="K151" t="n">
        <v>144</v>
      </c>
      <c r="L151" t="n">
        <v>79</v>
      </c>
      <c r="M151" t="n">
        <v>4.23</v>
      </c>
      <c r="N151" t="n">
        <v>239</v>
      </c>
    </row>
    <row r="152">
      <c r="A152" t="inlineStr">
        <is>
          <t>855</t>
        </is>
      </c>
      <c r="B152" t="inlineStr">
        <is>
          <t>2RS</t>
        </is>
      </c>
      <c r="C152" t="n">
        <v>8</v>
      </c>
      <c r="D152" s="2" t="n">
        <v>45532</v>
      </c>
      <c r="E152" t="inlineStr">
        <is>
          <t>2RS-8</t>
        </is>
      </c>
      <c r="F152" t="n">
        <v>83.45</v>
      </c>
      <c r="G152" t="n">
        <v>93.3</v>
      </c>
      <c r="H152" t="n">
        <v>277.23</v>
      </c>
      <c r="I152" t="n">
        <v>14.6</v>
      </c>
      <c r="J152" t="n">
        <v>4.5</v>
      </c>
      <c r="K152" t="inlineStr"/>
      <c r="L152" t="inlineStr"/>
      <c r="M152" t="inlineStr"/>
      <c r="N152" t="inlineStr"/>
    </row>
    <row r="153">
      <c r="A153" t="inlineStr">
        <is>
          <t>856</t>
        </is>
      </c>
      <c r="B153" t="inlineStr">
        <is>
          <t>2RS</t>
        </is>
      </c>
      <c r="C153" t="n">
        <v>8</v>
      </c>
      <c r="D153" s="2" t="n">
        <v>45533</v>
      </c>
      <c r="E153" t="inlineStr">
        <is>
          <t>2RS-8</t>
        </is>
      </c>
      <c r="F153" t="n">
        <v>83.51000000000001</v>
      </c>
      <c r="G153" t="n">
        <v>93.40000000000001</v>
      </c>
      <c r="H153" t="n">
        <v>285.91</v>
      </c>
      <c r="I153" t="n">
        <v>14.6</v>
      </c>
      <c r="J153" t="n">
        <v>4.48</v>
      </c>
      <c r="K153" t="n">
        <v>125</v>
      </c>
      <c r="L153" t="n">
        <v>76.5</v>
      </c>
      <c r="M153" t="n">
        <v>4.1</v>
      </c>
      <c r="N153" t="n">
        <v>325</v>
      </c>
    </row>
    <row r="154">
      <c r="A154" t="inlineStr">
        <is>
          <t>857</t>
        </is>
      </c>
      <c r="B154" t="inlineStr">
        <is>
          <t>2RS</t>
        </is>
      </c>
      <c r="C154" t="n">
        <v>8</v>
      </c>
      <c r="D154" s="2" t="n">
        <v>45534</v>
      </c>
      <c r="E154" t="inlineStr">
        <is>
          <t>2RS-8</t>
        </is>
      </c>
      <c r="F154" t="n">
        <v>83.59999999999999</v>
      </c>
      <c r="G154" t="n">
        <v>93.90000000000001</v>
      </c>
      <c r="H154" t="n">
        <v>285.63</v>
      </c>
      <c r="I154" t="n">
        <v>14.9</v>
      </c>
      <c r="J154" t="n">
        <v>4.46</v>
      </c>
      <c r="K154" t="n">
        <v>124</v>
      </c>
      <c r="L154" t="n">
        <v>75.68000000000001</v>
      </c>
      <c r="M154" t="n">
        <v>4.02</v>
      </c>
      <c r="N154" t="n">
        <v>413</v>
      </c>
    </row>
    <row r="155">
      <c r="A155" t="inlineStr">
        <is>
          <t>858</t>
        </is>
      </c>
      <c r="B155" t="inlineStr">
        <is>
          <t>2RS</t>
        </is>
      </c>
      <c r="C155" t="n">
        <v>9</v>
      </c>
      <c r="D155" s="2" t="n">
        <v>45536</v>
      </c>
      <c r="E155" t="inlineStr">
        <is>
          <t>2RS-9</t>
        </is>
      </c>
      <c r="F155" t="n">
        <v>83.83</v>
      </c>
      <c r="G155" t="n">
        <v>93.40000000000001</v>
      </c>
      <c r="H155" t="n">
        <v>286.86</v>
      </c>
      <c r="I155" t="n">
        <v>14.7</v>
      </c>
      <c r="J155" t="n">
        <v>4.99</v>
      </c>
      <c r="K155" t="n">
        <v>134.4</v>
      </c>
      <c r="L155" t="n">
        <v>71.83</v>
      </c>
      <c r="M155" t="n">
        <v>4.1</v>
      </c>
      <c r="N155" t="n">
        <v>387</v>
      </c>
    </row>
    <row r="156">
      <c r="A156" t="inlineStr">
        <is>
          <t>859</t>
        </is>
      </c>
      <c r="B156" t="inlineStr">
        <is>
          <t>2RS</t>
        </is>
      </c>
      <c r="C156" t="n">
        <v>9</v>
      </c>
      <c r="D156" s="2" t="n">
        <v>45537</v>
      </c>
      <c r="E156" t="inlineStr">
        <is>
          <t>2RS-9</t>
        </is>
      </c>
      <c r="F156" t="n">
        <v>84.02</v>
      </c>
      <c r="G156" t="n">
        <v>93.90000000000001</v>
      </c>
      <c r="H156" t="n">
        <v>286.62</v>
      </c>
      <c r="I156" t="n">
        <v>14.5</v>
      </c>
      <c r="J156" t="n">
        <v>4.41</v>
      </c>
      <c r="K156" t="n">
        <v>134</v>
      </c>
      <c r="L156" t="n">
        <v>85.12</v>
      </c>
      <c r="M156" t="n">
        <v>3.91</v>
      </c>
      <c r="N156" t="n">
        <v>213</v>
      </c>
    </row>
    <row r="157">
      <c r="A157" t="inlineStr">
        <is>
          <t>860</t>
        </is>
      </c>
      <c r="B157" t="inlineStr">
        <is>
          <t>2RS</t>
        </is>
      </c>
      <c r="C157" t="n">
        <v>9</v>
      </c>
      <c r="D157" s="2" t="n">
        <v>45538</v>
      </c>
      <c r="E157" t="inlineStr">
        <is>
          <t>2RS-9</t>
        </is>
      </c>
      <c r="F157" t="n">
        <v>83.73</v>
      </c>
      <c r="G157" t="n">
        <v>93.5</v>
      </c>
      <c r="H157" t="n">
        <v>285.33</v>
      </c>
      <c r="I157" t="n">
        <v>14.5</v>
      </c>
      <c r="J157" t="n">
        <v>4.49</v>
      </c>
      <c r="K157" t="n">
        <v>135</v>
      </c>
      <c r="L157" t="n">
        <v>77.97</v>
      </c>
      <c r="M157" t="n">
        <v>4.3</v>
      </c>
      <c r="N157" t="n">
        <v>270</v>
      </c>
    </row>
    <row r="158">
      <c r="A158" t="inlineStr">
        <is>
          <t>861</t>
        </is>
      </c>
      <c r="B158" t="inlineStr">
        <is>
          <t>IBON</t>
        </is>
      </c>
      <c r="C158" t="n">
        <v>9</v>
      </c>
      <c r="D158" s="2" t="n">
        <v>45539</v>
      </c>
      <c r="E158" t="inlineStr">
        <is>
          <t>IBON-9</t>
        </is>
      </c>
      <c r="F158" t="n">
        <v>84.76000000000001</v>
      </c>
      <c r="G158" t="n">
        <v>94.59999999999999</v>
      </c>
      <c r="H158" t="n">
        <v>281.64</v>
      </c>
      <c r="I158" t="n">
        <v>14.5</v>
      </c>
      <c r="J158" t="n">
        <v>4.6</v>
      </c>
      <c r="K158" t="n">
        <v>125</v>
      </c>
      <c r="L158" t="n">
        <v>42.7</v>
      </c>
      <c r="M158" t="n">
        <v>4.8</v>
      </c>
      <c r="N158" t="inlineStr"/>
    </row>
    <row r="159">
      <c r="A159" t="inlineStr">
        <is>
          <t>862</t>
        </is>
      </c>
      <c r="B159" t="inlineStr">
        <is>
          <t>2RS</t>
        </is>
      </c>
      <c r="C159" t="n">
        <v>9</v>
      </c>
      <c r="D159" s="2" t="n">
        <v>45541</v>
      </c>
      <c r="E159" t="inlineStr">
        <is>
          <t>2RS-9</t>
        </is>
      </c>
      <c r="F159" t="n">
        <v>83.36</v>
      </c>
      <c r="G159" t="n">
        <v>93.40000000000001</v>
      </c>
      <c r="H159" t="n">
        <v>285.44</v>
      </c>
      <c r="I159" t="n">
        <v>14.7</v>
      </c>
      <c r="J159" t="n">
        <v>4.45</v>
      </c>
      <c r="K159" t="n">
        <v>140</v>
      </c>
      <c r="L159" t="n">
        <v>84.45</v>
      </c>
      <c r="M159" t="n">
        <v>4</v>
      </c>
      <c r="N159" t="n">
        <v>190</v>
      </c>
    </row>
    <row r="160">
      <c r="A160" t="inlineStr">
        <is>
          <t>863</t>
        </is>
      </c>
      <c r="B160" t="inlineStr">
        <is>
          <t>2RS</t>
        </is>
      </c>
      <c r="C160" t="n">
        <v>9</v>
      </c>
      <c r="D160" s="2" t="n">
        <v>45542</v>
      </c>
      <c r="E160" t="inlineStr">
        <is>
          <t>2RS-9</t>
        </is>
      </c>
      <c r="F160" t="n">
        <v>83.97</v>
      </c>
      <c r="G160" t="n">
        <v>93.90000000000001</v>
      </c>
      <c r="H160" t="n">
        <v>286.11</v>
      </c>
      <c r="I160" t="n">
        <v>14.2</v>
      </c>
      <c r="J160" t="n">
        <v>4.1</v>
      </c>
      <c r="K160" t="n">
        <v>135</v>
      </c>
      <c r="L160" t="n">
        <v>84.72</v>
      </c>
      <c r="M160" t="n">
        <v>4.4</v>
      </c>
      <c r="N160" t="n">
        <v>208</v>
      </c>
    </row>
    <row r="161">
      <c r="A161" t="inlineStr">
        <is>
          <t>864</t>
        </is>
      </c>
      <c r="B161" t="inlineStr">
        <is>
          <t>2RS</t>
        </is>
      </c>
      <c r="C161" t="n">
        <v>9</v>
      </c>
      <c r="D161" s="2" t="n">
        <v>45543</v>
      </c>
      <c r="E161" t="inlineStr">
        <is>
          <t>2RS-9</t>
        </is>
      </c>
      <c r="F161" t="n">
        <v>83.20999999999999</v>
      </c>
      <c r="G161" t="n">
        <v>92.90000000000001</v>
      </c>
      <c r="H161" t="n">
        <v>286.13</v>
      </c>
      <c r="I161" t="n">
        <v>14.6</v>
      </c>
      <c r="J161" t="n">
        <v>4.63</v>
      </c>
      <c r="K161" t="n">
        <v>123</v>
      </c>
      <c r="L161" t="n">
        <v>78.7</v>
      </c>
      <c r="M161" t="n">
        <v>4.26</v>
      </c>
      <c r="N161" t="n">
        <v>270</v>
      </c>
    </row>
    <row r="162">
      <c r="A162" t="inlineStr">
        <is>
          <t>865</t>
        </is>
      </c>
      <c r="B162" t="inlineStr">
        <is>
          <t>2RS</t>
        </is>
      </c>
      <c r="C162" t="n">
        <v>9</v>
      </c>
      <c r="D162" s="2" t="n">
        <v>45544</v>
      </c>
      <c r="E162" t="inlineStr">
        <is>
          <t>2RS-9</t>
        </is>
      </c>
      <c r="F162" t="n">
        <v>83.69</v>
      </c>
      <c r="G162" t="n">
        <v>93.7</v>
      </c>
      <c r="H162" t="n">
        <v>285.99</v>
      </c>
      <c r="I162" t="n">
        <v>14.7</v>
      </c>
      <c r="J162" t="n">
        <v>4.45</v>
      </c>
      <c r="K162" t="n">
        <v>130</v>
      </c>
      <c r="L162" t="n">
        <v>79.05</v>
      </c>
      <c r="M162" t="n">
        <v>3.9</v>
      </c>
      <c r="N162" t="n">
        <v>282</v>
      </c>
    </row>
    <row r="163">
      <c r="A163" t="inlineStr">
        <is>
          <t>866</t>
        </is>
      </c>
      <c r="B163" t="inlineStr">
        <is>
          <t>2RS</t>
        </is>
      </c>
      <c r="C163" t="n">
        <v>9</v>
      </c>
      <c r="D163" s="2" t="n">
        <v>45545</v>
      </c>
      <c r="E163" t="inlineStr">
        <is>
          <t>2RS-9</t>
        </is>
      </c>
      <c r="F163" t="n">
        <v>83.06999999999999</v>
      </c>
      <c r="G163" t="n">
        <v>93.09999999999999</v>
      </c>
      <c r="H163" t="n">
        <v>286.83</v>
      </c>
      <c r="I163" t="n">
        <v>14.8</v>
      </c>
      <c r="J163" t="n">
        <v>4.55</v>
      </c>
      <c r="K163" t="n">
        <v>141</v>
      </c>
      <c r="L163" t="n">
        <v>80.90000000000001</v>
      </c>
      <c r="M163" t="n">
        <v>4.38</v>
      </c>
      <c r="N163" t="n">
        <v>233</v>
      </c>
    </row>
    <row r="164">
      <c r="A164" t="inlineStr">
        <is>
          <t>867</t>
        </is>
      </c>
      <c r="B164" t="inlineStr">
        <is>
          <t>2RS</t>
        </is>
      </c>
      <c r="C164" t="n">
        <v>9</v>
      </c>
      <c r="D164" s="2" t="n">
        <v>45547</v>
      </c>
      <c r="E164" t="inlineStr">
        <is>
          <t>2RS-9</t>
        </is>
      </c>
      <c r="F164" t="n">
        <v>83.81999999999999</v>
      </c>
      <c r="G164" t="n">
        <v>94</v>
      </c>
      <c r="H164" t="n">
        <v>284.28</v>
      </c>
      <c r="I164" t="n">
        <v>14.8</v>
      </c>
      <c r="J164" t="n">
        <v>4.47</v>
      </c>
      <c r="K164" t="n">
        <v>146</v>
      </c>
      <c r="L164" t="n">
        <v>77.38</v>
      </c>
      <c r="M164" t="n">
        <v>4.4</v>
      </c>
      <c r="N164" t="n">
        <v>251</v>
      </c>
    </row>
    <row r="165">
      <c r="A165" t="inlineStr">
        <is>
          <t>868</t>
        </is>
      </c>
      <c r="B165" t="inlineStr">
        <is>
          <t>2RS</t>
        </is>
      </c>
      <c r="C165" t="n">
        <v>9</v>
      </c>
      <c r="D165" s="2" t="n">
        <v>45548</v>
      </c>
      <c r="E165" t="inlineStr">
        <is>
          <t>2RS-9</t>
        </is>
      </c>
      <c r="F165" t="n">
        <v>83.81999999999999</v>
      </c>
      <c r="G165" t="n">
        <v>93.59999999999999</v>
      </c>
      <c r="H165" t="n">
        <v>285.75</v>
      </c>
      <c r="I165" t="n">
        <v>14.4</v>
      </c>
      <c r="J165" t="n">
        <v>4.37</v>
      </c>
      <c r="K165" t="n">
        <v>125.5</v>
      </c>
      <c r="L165" t="n">
        <v>75.87</v>
      </c>
      <c r="M165" t="n">
        <v>3.87</v>
      </c>
      <c r="N165" t="inlineStr"/>
    </row>
    <row r="166">
      <c r="A166" t="inlineStr">
        <is>
          <t>869</t>
        </is>
      </c>
      <c r="B166" t="inlineStr">
        <is>
          <t>2RS</t>
        </is>
      </c>
      <c r="C166" t="n">
        <v>9</v>
      </c>
      <c r="D166" s="2" t="n">
        <v>45550</v>
      </c>
      <c r="E166" t="inlineStr">
        <is>
          <t>2RS-9</t>
        </is>
      </c>
      <c r="F166" t="n">
        <v>82.73</v>
      </c>
      <c r="G166" t="n">
        <v>92.5</v>
      </c>
      <c r="H166" t="n">
        <v>288.88</v>
      </c>
      <c r="I166" t="n">
        <v>14.7</v>
      </c>
      <c r="J166" t="n">
        <v>4.67</v>
      </c>
      <c r="K166" t="n">
        <v>128</v>
      </c>
      <c r="L166" t="n">
        <v>76.45</v>
      </c>
      <c r="M166" t="n">
        <v>3.7</v>
      </c>
      <c r="N166" t="n">
        <v>412</v>
      </c>
    </row>
    <row r="167">
      <c r="A167" t="inlineStr">
        <is>
          <t>870</t>
        </is>
      </c>
      <c r="B167" t="inlineStr">
        <is>
          <t>2RS</t>
        </is>
      </c>
      <c r="C167" t="n">
        <v>9</v>
      </c>
      <c r="D167" s="2" t="n">
        <v>45551</v>
      </c>
      <c r="E167" t="inlineStr">
        <is>
          <t>2RS-9</t>
        </is>
      </c>
      <c r="F167" t="n">
        <v>85.47</v>
      </c>
      <c r="G167" t="n">
        <v>95.3</v>
      </c>
      <c r="H167" t="n">
        <v>286.83</v>
      </c>
      <c r="I167" t="n">
        <v>14.4</v>
      </c>
      <c r="J167" t="n">
        <v>4.57</v>
      </c>
      <c r="K167" t="n">
        <v>139</v>
      </c>
      <c r="L167" t="n">
        <v>77.16</v>
      </c>
      <c r="M167" t="n">
        <v>4.1</v>
      </c>
      <c r="N167" t="inlineStr"/>
    </row>
    <row r="168">
      <c r="A168" t="inlineStr">
        <is>
          <t>871</t>
        </is>
      </c>
      <c r="B168" t="inlineStr">
        <is>
          <t>2RS</t>
        </is>
      </c>
      <c r="C168" t="n">
        <v>9</v>
      </c>
      <c r="D168" s="2" t="n">
        <v>45552</v>
      </c>
      <c r="E168" t="inlineStr">
        <is>
          <t>2RS-9</t>
        </is>
      </c>
      <c r="F168" t="n">
        <v>83.53</v>
      </c>
      <c r="G168" t="n">
        <v>94</v>
      </c>
      <c r="H168" t="n">
        <v>284.91</v>
      </c>
      <c r="I168" t="n">
        <v>15</v>
      </c>
      <c r="J168" t="n">
        <v>4.36</v>
      </c>
      <c r="K168" t="n">
        <v>142</v>
      </c>
      <c r="L168" t="n">
        <v>79.28</v>
      </c>
      <c r="M168" t="n">
        <v>4.22</v>
      </c>
      <c r="N168" t="n">
        <v>274</v>
      </c>
    </row>
    <row r="169">
      <c r="A169" t="inlineStr">
        <is>
          <t>872</t>
        </is>
      </c>
      <c r="B169" t="inlineStr">
        <is>
          <t>2RS</t>
        </is>
      </c>
      <c r="C169" t="n">
        <v>9</v>
      </c>
      <c r="D169" s="2" t="n">
        <v>45554</v>
      </c>
      <c r="E169" t="inlineStr">
        <is>
          <t>2RS-9</t>
        </is>
      </c>
      <c r="F169" t="n">
        <v>83.34999999999999</v>
      </c>
      <c r="G169" t="n">
        <v>93.40000000000001</v>
      </c>
      <c r="H169" t="n">
        <v>285.41</v>
      </c>
      <c r="I169" t="n">
        <v>14.6</v>
      </c>
      <c r="J169" t="n">
        <v>4.33</v>
      </c>
      <c r="K169" t="n">
        <v>132</v>
      </c>
      <c r="L169" t="n">
        <v>76.73999999999998</v>
      </c>
      <c r="M169" t="n">
        <v>4.4</v>
      </c>
      <c r="N169" t="n">
        <v>315</v>
      </c>
    </row>
    <row r="170">
      <c r="A170" t="inlineStr">
        <is>
          <t>873</t>
        </is>
      </c>
      <c r="B170" t="inlineStr">
        <is>
          <t>2RS</t>
        </is>
      </c>
      <c r="C170" t="n">
        <v>9</v>
      </c>
      <c r="D170" s="2" t="n">
        <v>45555</v>
      </c>
      <c r="E170" t="inlineStr">
        <is>
          <t>2RS-9</t>
        </is>
      </c>
      <c r="F170" t="n">
        <v>83.95</v>
      </c>
      <c r="G170" t="n">
        <v>93.8</v>
      </c>
      <c r="H170" t="n">
        <v>285.56</v>
      </c>
      <c r="I170" t="n">
        <v>14.7</v>
      </c>
      <c r="J170" t="n">
        <v>4.71</v>
      </c>
      <c r="K170" t="n">
        <v>132</v>
      </c>
      <c r="L170" t="n">
        <v>77.67</v>
      </c>
      <c r="M170" t="n">
        <v>4.1</v>
      </c>
      <c r="N170" t="n">
        <v>346</v>
      </c>
    </row>
    <row r="171">
      <c r="A171" t="inlineStr">
        <is>
          <t>874</t>
        </is>
      </c>
      <c r="B171" t="inlineStr">
        <is>
          <t>IBON</t>
        </is>
      </c>
      <c r="C171" t="n">
        <v>9</v>
      </c>
      <c r="D171" s="2" t="n">
        <v>45556</v>
      </c>
      <c r="E171" t="inlineStr">
        <is>
          <t>IBON-9</t>
        </is>
      </c>
      <c r="F171" t="n">
        <v>83.95</v>
      </c>
      <c r="G171" t="n">
        <v>93.3</v>
      </c>
      <c r="H171" t="n">
        <v>281.7</v>
      </c>
      <c r="I171" t="n">
        <v>14.5</v>
      </c>
      <c r="J171" t="n">
        <v>4.96</v>
      </c>
      <c r="K171" t="n">
        <v>142</v>
      </c>
      <c r="L171" t="n">
        <v>54.94</v>
      </c>
      <c r="M171" t="n">
        <v>4.9</v>
      </c>
      <c r="N171" t="inlineStr"/>
    </row>
    <row r="172">
      <c r="A172" t="inlineStr">
        <is>
          <t>875</t>
        </is>
      </c>
      <c r="B172" t="inlineStr">
        <is>
          <t>2RS</t>
        </is>
      </c>
      <c r="C172" t="n">
        <v>9</v>
      </c>
      <c r="D172" s="2" t="n">
        <v>45558</v>
      </c>
      <c r="E172" t="inlineStr">
        <is>
          <t>2RS-9</t>
        </is>
      </c>
      <c r="F172" t="n">
        <v>83.09999999999999</v>
      </c>
      <c r="G172" t="n">
        <v>93.2</v>
      </c>
      <c r="H172" t="n">
        <v>282.51</v>
      </c>
      <c r="I172" t="n">
        <v>14.8</v>
      </c>
      <c r="J172" t="n">
        <v>4.45</v>
      </c>
      <c r="K172" t="n">
        <v>137</v>
      </c>
      <c r="L172" t="n">
        <v>85.5</v>
      </c>
      <c r="M172" t="n">
        <v>4.1</v>
      </c>
      <c r="N172" t="n">
        <v>223</v>
      </c>
    </row>
    <row r="173">
      <c r="A173" t="inlineStr">
        <is>
          <t>876</t>
        </is>
      </c>
      <c r="B173" t="inlineStr">
        <is>
          <t>2RS</t>
        </is>
      </c>
      <c r="C173" t="n">
        <v>9</v>
      </c>
      <c r="D173" s="2" t="n">
        <v>45559</v>
      </c>
      <c r="E173" t="inlineStr">
        <is>
          <t>2RS-9</t>
        </is>
      </c>
      <c r="F173" t="n">
        <v>83.25</v>
      </c>
      <c r="G173" t="n">
        <v>93.7</v>
      </c>
      <c r="H173" t="n">
        <v>285.11</v>
      </c>
      <c r="I173" t="n">
        <v>15</v>
      </c>
      <c r="J173" t="n">
        <v>4.33</v>
      </c>
      <c r="K173" t="n">
        <v>140</v>
      </c>
      <c r="L173" t="n">
        <v>79.59999999999998</v>
      </c>
      <c r="M173" t="n">
        <v>3.9</v>
      </c>
      <c r="N173" t="n">
        <v>287</v>
      </c>
    </row>
    <row r="174">
      <c r="A174" t="inlineStr">
        <is>
          <t>877</t>
        </is>
      </c>
      <c r="B174" t="inlineStr">
        <is>
          <t>2RS</t>
        </is>
      </c>
      <c r="C174" t="n">
        <v>9</v>
      </c>
      <c r="D174" s="2" t="n">
        <v>45560</v>
      </c>
      <c r="E174" t="inlineStr">
        <is>
          <t>2RS-9</t>
        </is>
      </c>
      <c r="F174" t="n">
        <v>83.65000000000001</v>
      </c>
      <c r="G174" t="n">
        <v>94.09999999999999</v>
      </c>
      <c r="H174" t="n">
        <v>285.54</v>
      </c>
      <c r="I174" t="n">
        <v>15</v>
      </c>
      <c r="J174" t="n">
        <v>4.4</v>
      </c>
      <c r="K174" t="n">
        <v>143</v>
      </c>
      <c r="L174" t="n">
        <v>70.84999999999999</v>
      </c>
      <c r="M174" t="n">
        <v>4.35</v>
      </c>
      <c r="N174" t="n">
        <v>342</v>
      </c>
    </row>
    <row r="175">
      <c r="A175" t="inlineStr">
        <is>
          <t>878</t>
        </is>
      </c>
      <c r="B175" t="inlineStr">
        <is>
          <t>2RS</t>
        </is>
      </c>
      <c r="C175" t="n">
        <v>9</v>
      </c>
      <c r="D175" s="2" t="n">
        <v>45562</v>
      </c>
      <c r="E175" t="inlineStr">
        <is>
          <t>2RS-9</t>
        </is>
      </c>
      <c r="F175" t="n">
        <v>83.41</v>
      </c>
      <c r="G175" t="n">
        <v>89.3</v>
      </c>
      <c r="H175" t="n">
        <v>286.35</v>
      </c>
      <c r="I175" t="n">
        <v>10.7</v>
      </c>
      <c r="J175" t="n">
        <v>4.41</v>
      </c>
      <c r="K175" t="n">
        <v>146</v>
      </c>
      <c r="L175" t="n">
        <v>77.19</v>
      </c>
      <c r="M175" t="n">
        <v>4.15</v>
      </c>
      <c r="N175" t="n">
        <v>311</v>
      </c>
    </row>
    <row r="176">
      <c r="A176" t="inlineStr">
        <is>
          <t>879</t>
        </is>
      </c>
      <c r="B176" t="inlineStr">
        <is>
          <t>2RS</t>
        </is>
      </c>
      <c r="C176" t="n">
        <v>9</v>
      </c>
      <c r="D176" s="2" t="n">
        <v>45563</v>
      </c>
      <c r="E176" t="inlineStr">
        <is>
          <t>2RS-9</t>
        </is>
      </c>
      <c r="F176" t="n">
        <v>83.51000000000001</v>
      </c>
      <c r="G176" t="n">
        <v>93.8</v>
      </c>
      <c r="H176" t="n">
        <v>285.28</v>
      </c>
      <c r="I176" t="n">
        <v>15</v>
      </c>
      <c r="J176" t="n">
        <v>4.54</v>
      </c>
      <c r="K176" t="n">
        <v>137</v>
      </c>
      <c r="L176" t="n">
        <v>79.28</v>
      </c>
      <c r="M176" t="n">
        <v>4.1</v>
      </c>
      <c r="N176" t="n">
        <v>287</v>
      </c>
    </row>
    <row r="177">
      <c r="A177" t="inlineStr">
        <is>
          <t>880</t>
        </is>
      </c>
      <c r="B177" t="inlineStr">
        <is>
          <t>2RS</t>
        </is>
      </c>
      <c r="C177" t="n">
        <v>10</v>
      </c>
      <c r="D177" s="2" t="n">
        <v>45566</v>
      </c>
      <c r="E177" t="inlineStr">
        <is>
          <t>2RS-10</t>
        </is>
      </c>
      <c r="F177" t="n">
        <v>83.67</v>
      </c>
      <c r="G177" t="n">
        <v>93.8</v>
      </c>
      <c r="H177" t="n">
        <v>285.38</v>
      </c>
      <c r="I177" t="n">
        <v>14.8</v>
      </c>
      <c r="J177" t="n">
        <v>4.49</v>
      </c>
      <c r="K177" t="n">
        <v>134</v>
      </c>
      <c r="L177" t="n">
        <v>76.40000000000001</v>
      </c>
      <c r="M177" t="n">
        <v>4.4</v>
      </c>
      <c r="N177" t="n">
        <v>316</v>
      </c>
    </row>
    <row r="178">
      <c r="A178" t="inlineStr">
        <is>
          <t>881</t>
        </is>
      </c>
      <c r="B178" t="inlineStr">
        <is>
          <t>2RS</t>
        </is>
      </c>
      <c r="C178" t="n">
        <v>10</v>
      </c>
      <c r="D178" s="2" t="n">
        <v>45568</v>
      </c>
      <c r="E178" t="inlineStr">
        <is>
          <t>2RS-10</t>
        </is>
      </c>
      <c r="F178" t="n">
        <v>83.64</v>
      </c>
      <c r="G178" t="n">
        <v>94</v>
      </c>
      <c r="H178" t="n">
        <v>285.66</v>
      </c>
      <c r="I178" t="n">
        <v>14.9</v>
      </c>
      <c r="J178" t="n">
        <v>4.37</v>
      </c>
      <c r="K178" t="n">
        <v>120</v>
      </c>
      <c r="L178" t="n">
        <v>77.31</v>
      </c>
      <c r="M178" t="n">
        <v>3.93</v>
      </c>
      <c r="N178" t="n">
        <v>421</v>
      </c>
    </row>
    <row r="179">
      <c r="A179" t="inlineStr">
        <is>
          <t>882</t>
        </is>
      </c>
      <c r="B179" t="inlineStr">
        <is>
          <t>2RS</t>
        </is>
      </c>
      <c r="C179" t="n">
        <v>10</v>
      </c>
      <c r="D179" s="2" t="n">
        <v>45569</v>
      </c>
      <c r="E179" t="inlineStr">
        <is>
          <t>2RS-10</t>
        </is>
      </c>
      <c r="F179" t="n">
        <v>84.03</v>
      </c>
      <c r="G179" t="n">
        <v>93.8</v>
      </c>
      <c r="H179" t="n">
        <v>282.89</v>
      </c>
      <c r="I179" t="n">
        <v>14.6</v>
      </c>
      <c r="J179" t="n">
        <v>4.67</v>
      </c>
      <c r="K179" t="n">
        <v>127</v>
      </c>
      <c r="L179" t="n">
        <v>75.95999999999998</v>
      </c>
      <c r="M179" t="n">
        <v>3.93</v>
      </c>
      <c r="N179" t="n">
        <v>399</v>
      </c>
    </row>
    <row r="180">
      <c r="A180" t="inlineStr">
        <is>
          <t>883</t>
        </is>
      </c>
      <c r="B180" t="inlineStr">
        <is>
          <t>IBON</t>
        </is>
      </c>
      <c r="C180" t="n">
        <v>10</v>
      </c>
      <c r="D180" s="2" t="n">
        <v>45573</v>
      </c>
      <c r="E180" t="inlineStr">
        <is>
          <t>IBON-10</t>
        </is>
      </c>
      <c r="F180" t="n">
        <v>83.81</v>
      </c>
      <c r="G180" t="n">
        <v>93.59999999999999</v>
      </c>
      <c r="H180" t="n">
        <v>281.85</v>
      </c>
      <c r="I180" t="n">
        <v>14.9</v>
      </c>
      <c r="J180" t="n">
        <v>5.01</v>
      </c>
      <c r="K180" t="n">
        <v>129</v>
      </c>
      <c r="L180" t="n">
        <v>70.73999999999999</v>
      </c>
      <c r="M180" t="n">
        <v>4</v>
      </c>
      <c r="N180" t="inlineStr"/>
    </row>
    <row r="181">
      <c r="A181" t="inlineStr">
        <is>
          <t>884</t>
        </is>
      </c>
      <c r="B181" t="inlineStr">
        <is>
          <t>2RS</t>
        </is>
      </c>
      <c r="C181" t="n">
        <v>10</v>
      </c>
      <c r="D181" s="2" t="n">
        <v>45575</v>
      </c>
      <c r="E181" t="inlineStr">
        <is>
          <t>2RS-10</t>
        </is>
      </c>
      <c r="F181" t="n">
        <v>84.81999999999999</v>
      </c>
      <c r="G181" t="n">
        <v>94.5</v>
      </c>
      <c r="H181" t="n">
        <v>285.36</v>
      </c>
      <c r="I181" t="n">
        <v>14.5</v>
      </c>
      <c r="J181" t="n">
        <v>4.77</v>
      </c>
      <c r="K181" t="n">
        <v>127</v>
      </c>
      <c r="L181" t="n">
        <v>68.73999999999999</v>
      </c>
      <c r="M181" t="n">
        <v>4.3</v>
      </c>
      <c r="N181" t="inlineStr"/>
    </row>
    <row r="182">
      <c r="A182" t="inlineStr">
        <is>
          <t>885</t>
        </is>
      </c>
      <c r="B182" t="inlineStr">
        <is>
          <t>2RS</t>
        </is>
      </c>
      <c r="C182" t="n">
        <v>11</v>
      </c>
      <c r="D182" s="2" t="n">
        <v>45616</v>
      </c>
      <c r="E182" t="inlineStr">
        <is>
          <t>2RS-11</t>
        </is>
      </c>
      <c r="F182" t="n">
        <v>84.20999999999999</v>
      </c>
      <c r="G182" t="n">
        <v>90.90000000000001</v>
      </c>
      <c r="H182" t="n">
        <v>289.82</v>
      </c>
      <c r="I182" t="n">
        <v>12.9</v>
      </c>
      <c r="J182" t="n">
        <v>5.93</v>
      </c>
      <c r="K182" t="n">
        <v>126</v>
      </c>
      <c r="L182" t="n">
        <v>80.2</v>
      </c>
      <c r="M182" t="n">
        <v>3.9</v>
      </c>
      <c r="N182" t="n">
        <v>246</v>
      </c>
    </row>
    <row r="183">
      <c r="A183" t="inlineStr">
        <is>
          <t>886</t>
        </is>
      </c>
      <c r="B183" t="inlineStr">
        <is>
          <t>2RS</t>
        </is>
      </c>
      <c r="C183" t="n">
        <v>11</v>
      </c>
      <c r="D183" s="2" t="n">
        <v>45617</v>
      </c>
      <c r="E183" t="inlineStr">
        <is>
          <t>2RS-11</t>
        </is>
      </c>
      <c r="F183" t="n">
        <v>81.31</v>
      </c>
      <c r="G183" t="n">
        <v>89.59999999999999</v>
      </c>
      <c r="H183" t="n">
        <v>289.47</v>
      </c>
      <c r="I183" t="n">
        <v>13.2</v>
      </c>
      <c r="J183" t="n">
        <v>4.3</v>
      </c>
      <c r="K183" t="n">
        <v>152</v>
      </c>
      <c r="L183" t="n">
        <v>87.92</v>
      </c>
      <c r="M183" t="n">
        <v>3.33</v>
      </c>
      <c r="N183" t="n">
        <v>272</v>
      </c>
    </row>
    <row r="184">
      <c r="A184" t="inlineStr">
        <is>
          <t>887</t>
        </is>
      </c>
      <c r="B184" t="inlineStr">
        <is>
          <t>2RS</t>
        </is>
      </c>
      <c r="C184" t="n">
        <v>11</v>
      </c>
      <c r="D184" s="2" t="n">
        <v>45618</v>
      </c>
      <c r="E184" t="inlineStr">
        <is>
          <t>2RS-11</t>
        </is>
      </c>
      <c r="F184" t="n">
        <v>84.06</v>
      </c>
      <c r="G184" t="n">
        <v>92.3</v>
      </c>
      <c r="H184" t="n">
        <v>285.74</v>
      </c>
      <c r="I184" t="n">
        <v>12.8</v>
      </c>
      <c r="J184" t="n">
        <v>4.2</v>
      </c>
      <c r="K184" t="n">
        <v>156</v>
      </c>
      <c r="L184" t="n">
        <v>90.72</v>
      </c>
      <c r="M184" t="n">
        <v>3.38</v>
      </c>
      <c r="N184" t="n">
        <v>236</v>
      </c>
    </row>
    <row r="185">
      <c r="A185" t="inlineStr">
        <is>
          <t>888</t>
        </is>
      </c>
      <c r="B185" t="inlineStr">
        <is>
          <t>2RS</t>
        </is>
      </c>
      <c r="C185" t="n">
        <v>11</v>
      </c>
      <c r="D185" s="2" t="n">
        <v>45619</v>
      </c>
      <c r="E185" t="inlineStr">
        <is>
          <t>2RS-11</t>
        </is>
      </c>
      <c r="F185" t="n">
        <v>83.95</v>
      </c>
      <c r="G185" t="n">
        <v>91.90000000000001</v>
      </c>
      <c r="H185" t="n">
        <v>286.19</v>
      </c>
      <c r="I185" t="n">
        <v>12.8</v>
      </c>
      <c r="J185" t="n">
        <v>4.51</v>
      </c>
      <c r="K185" t="n">
        <v>152</v>
      </c>
      <c r="L185" t="n">
        <v>88.55</v>
      </c>
      <c r="M185" t="n">
        <v>3.34</v>
      </c>
      <c r="N185" t="n">
        <v>258</v>
      </c>
    </row>
    <row r="186">
      <c r="A186" t="inlineStr">
        <is>
          <t>889</t>
        </is>
      </c>
      <c r="B186" t="inlineStr">
        <is>
          <t>2RS</t>
        </is>
      </c>
      <c r="C186" t="n">
        <v>11</v>
      </c>
      <c r="D186" s="2" t="n">
        <v>45621</v>
      </c>
      <c r="E186" t="inlineStr">
        <is>
          <t>2RS-11</t>
        </is>
      </c>
      <c r="F186" t="n">
        <v>84.26000000000001</v>
      </c>
      <c r="G186" t="n">
        <v>92.7</v>
      </c>
      <c r="H186" t="n">
        <v>286.15</v>
      </c>
      <c r="I186" t="n">
        <v>13</v>
      </c>
      <c r="J186" t="n">
        <v>4.27</v>
      </c>
      <c r="K186" t="n">
        <v>133</v>
      </c>
      <c r="L186" t="n">
        <v>87.5</v>
      </c>
      <c r="M186" t="n">
        <v>3.1</v>
      </c>
      <c r="N186" t="n">
        <v>343</v>
      </c>
    </row>
    <row r="187">
      <c r="A187" t="inlineStr">
        <is>
          <t>890</t>
        </is>
      </c>
      <c r="B187" t="inlineStr">
        <is>
          <t>2RS</t>
        </is>
      </c>
      <c r="C187" t="n">
        <v>11</v>
      </c>
      <c r="D187" s="2" t="n">
        <v>45622</v>
      </c>
      <c r="E187" t="inlineStr">
        <is>
          <t>2RS-11</t>
        </is>
      </c>
      <c r="F187" t="n">
        <v>86.01000000000001</v>
      </c>
      <c r="G187" t="inlineStr"/>
      <c r="H187" t="n">
        <v>285.62</v>
      </c>
      <c r="I187" t="inlineStr"/>
      <c r="J187" t="n">
        <v>4.04</v>
      </c>
      <c r="K187" t="n">
        <v>148</v>
      </c>
      <c r="L187" t="n">
        <v>88.54000000000001</v>
      </c>
      <c r="M187" t="n">
        <v>3.4</v>
      </c>
      <c r="N187" t="n">
        <v>314</v>
      </c>
    </row>
    <row r="188">
      <c r="A188" t="inlineStr">
        <is>
          <t>891</t>
        </is>
      </c>
      <c r="B188" t="inlineStr">
        <is>
          <t>2RS</t>
        </is>
      </c>
      <c r="C188" t="n">
        <v>11</v>
      </c>
      <c r="D188" s="2" t="n">
        <v>45623</v>
      </c>
      <c r="E188" t="inlineStr">
        <is>
          <t>2RS-11</t>
        </is>
      </c>
      <c r="F188" t="n">
        <v>85.47</v>
      </c>
      <c r="G188" t="inlineStr"/>
      <c r="H188" t="n">
        <v>285.53</v>
      </c>
      <c r="I188" t="inlineStr"/>
      <c r="J188" t="n">
        <v>4.34</v>
      </c>
      <c r="K188" t="n">
        <v>137</v>
      </c>
      <c r="L188" t="n">
        <v>86.2</v>
      </c>
      <c r="M188" t="n">
        <v>3.2</v>
      </c>
      <c r="N188" t="n">
        <v>370</v>
      </c>
    </row>
    <row r="189">
      <c r="A189" t="inlineStr">
        <is>
          <t>892</t>
        </is>
      </c>
      <c r="B189" t="inlineStr">
        <is>
          <t>2RS</t>
        </is>
      </c>
      <c r="C189" t="n">
        <v>11</v>
      </c>
      <c r="D189" s="2" t="n">
        <v>45624</v>
      </c>
      <c r="E189" t="inlineStr">
        <is>
          <t>2RS-11</t>
        </is>
      </c>
      <c r="F189" t="n">
        <v>84.84</v>
      </c>
      <c r="G189" t="n">
        <v>93.09999999999999</v>
      </c>
      <c r="H189" t="n">
        <v>285.61</v>
      </c>
      <c r="I189" t="n">
        <v>13.1</v>
      </c>
      <c r="J189" t="n">
        <v>4.62</v>
      </c>
      <c r="K189" t="n">
        <v>128</v>
      </c>
      <c r="L189" t="n">
        <v>85.78</v>
      </c>
      <c r="M189" t="n">
        <v>3</v>
      </c>
      <c r="N189" t="n">
        <v>341</v>
      </c>
    </row>
    <row r="190">
      <c r="A190" t="inlineStr">
        <is>
          <t>893</t>
        </is>
      </c>
      <c r="B190" t="inlineStr">
        <is>
          <t>2RS</t>
        </is>
      </c>
      <c r="C190" t="n">
        <v>11</v>
      </c>
      <c r="D190" s="2" t="n">
        <v>45626</v>
      </c>
      <c r="E190" t="inlineStr">
        <is>
          <t>2RS-11</t>
        </is>
      </c>
      <c r="F190" t="n">
        <v>84.7</v>
      </c>
      <c r="G190" t="n">
        <v>93</v>
      </c>
      <c r="H190" t="n">
        <v>286.14</v>
      </c>
      <c r="I190" t="n">
        <v>13</v>
      </c>
      <c r="J190" t="n">
        <v>4.48</v>
      </c>
      <c r="K190" t="n">
        <v>128</v>
      </c>
      <c r="L190" t="n">
        <v>84.39</v>
      </c>
      <c r="M190" t="n">
        <v>3</v>
      </c>
      <c r="N190" t="n">
        <v>286</v>
      </c>
    </row>
    <row r="191">
      <c r="A191" t="inlineStr">
        <is>
          <t>894</t>
        </is>
      </c>
      <c r="B191" t="inlineStr">
        <is>
          <t>2RS</t>
        </is>
      </c>
      <c r="C191" t="n">
        <v>12</v>
      </c>
      <c r="D191" s="2" t="n">
        <v>45627</v>
      </c>
      <c r="E191" t="inlineStr">
        <is>
          <t>2RS-12</t>
        </is>
      </c>
      <c r="F191" t="n">
        <v>84.98999999999999</v>
      </c>
      <c r="G191" t="n">
        <v>93.2</v>
      </c>
      <c r="H191" t="n">
        <v>286</v>
      </c>
      <c r="I191" t="n">
        <v>13.1</v>
      </c>
      <c r="J191" t="n">
        <v>4.74</v>
      </c>
      <c r="K191" t="n">
        <v>152</v>
      </c>
      <c r="L191" t="n">
        <v>86.42</v>
      </c>
      <c r="M191" t="n">
        <v>3.3</v>
      </c>
      <c r="N191" t="n">
        <v>277</v>
      </c>
    </row>
    <row r="192">
      <c r="A192" t="inlineStr">
        <is>
          <t>895</t>
        </is>
      </c>
      <c r="B192" t="inlineStr">
        <is>
          <t>2RS</t>
        </is>
      </c>
      <c r="C192" t="n">
        <v>11</v>
      </c>
      <c r="D192" s="2" t="n">
        <v>45626</v>
      </c>
      <c r="E192" t="inlineStr">
        <is>
          <t>2RS-11</t>
        </is>
      </c>
      <c r="F192" t="n">
        <v>84.81</v>
      </c>
      <c r="G192" t="n">
        <v>93.09999999999999</v>
      </c>
      <c r="H192" t="n">
        <v>286.8</v>
      </c>
      <c r="I192" t="n">
        <v>12.9</v>
      </c>
      <c r="J192" t="n">
        <v>4.4</v>
      </c>
      <c r="K192" t="n">
        <v>141</v>
      </c>
      <c r="L192" t="n">
        <v>88.17</v>
      </c>
      <c r="M192" t="n">
        <v>3.2</v>
      </c>
      <c r="N192" t="n">
        <v>278</v>
      </c>
    </row>
    <row r="193">
      <c r="A193" t="inlineStr">
        <is>
          <t>896</t>
        </is>
      </c>
      <c r="B193" t="inlineStr">
        <is>
          <t>2RS</t>
        </is>
      </c>
      <c r="C193" t="n">
        <v>12</v>
      </c>
      <c r="D193" s="2" t="n">
        <v>45628</v>
      </c>
      <c r="E193" t="inlineStr">
        <is>
          <t>2RS-12</t>
        </is>
      </c>
      <c r="F193" t="n">
        <v>85.70999999999999</v>
      </c>
      <c r="G193" t="n">
        <v>94</v>
      </c>
      <c r="H193" t="n">
        <v>288.46</v>
      </c>
      <c r="I193" t="n">
        <v>12.8</v>
      </c>
      <c r="J193" t="n">
        <v>4.33</v>
      </c>
      <c r="K193" t="n">
        <v>138</v>
      </c>
      <c r="L193" t="n">
        <v>87.12</v>
      </c>
      <c r="M193" t="n">
        <v>2.8</v>
      </c>
      <c r="N193" t="n">
        <v>282</v>
      </c>
    </row>
    <row r="194">
      <c r="A194" t="inlineStr">
        <is>
          <t>897</t>
        </is>
      </c>
      <c r="B194" t="inlineStr">
        <is>
          <t>2RS</t>
        </is>
      </c>
      <c r="C194" t="n">
        <v>12</v>
      </c>
      <c r="D194" s="2" t="n">
        <v>45629</v>
      </c>
      <c r="E194" t="inlineStr">
        <is>
          <t>2RS-12</t>
        </is>
      </c>
      <c r="F194" t="n">
        <v>83.20999999999999</v>
      </c>
      <c r="G194" t="inlineStr"/>
      <c r="H194" t="n">
        <v>295.78</v>
      </c>
      <c r="I194" t="inlineStr"/>
      <c r="J194" t="n">
        <v>4.32</v>
      </c>
      <c r="K194" t="n">
        <v>132</v>
      </c>
      <c r="L194" t="n">
        <v>86.01000000000001</v>
      </c>
      <c r="M194" t="n">
        <v>4.3</v>
      </c>
      <c r="N194" t="n">
        <v>346</v>
      </c>
    </row>
    <row r="195">
      <c r="A195" t="inlineStr">
        <is>
          <t>898</t>
        </is>
      </c>
      <c r="B195" t="inlineStr">
        <is>
          <t>2RS</t>
        </is>
      </c>
      <c r="C195" t="n">
        <v>12</v>
      </c>
      <c r="D195" s="2" t="n">
        <v>45630</v>
      </c>
      <c r="E195" t="inlineStr">
        <is>
          <t>2RS-12</t>
        </is>
      </c>
      <c r="F195" t="n">
        <v>83.12</v>
      </c>
      <c r="G195" t="inlineStr"/>
      <c r="H195" t="n">
        <v>286.33</v>
      </c>
      <c r="I195" t="n">
        <v>12.9</v>
      </c>
      <c r="J195" t="inlineStr"/>
      <c r="K195" t="inlineStr"/>
      <c r="L195" t="inlineStr"/>
      <c r="M195" t="inlineStr"/>
      <c r="N195" t="inlineStr"/>
    </row>
    <row r="196">
      <c r="A196" t="inlineStr">
        <is>
          <t>899</t>
        </is>
      </c>
      <c r="B196" t="inlineStr">
        <is>
          <t>2RS</t>
        </is>
      </c>
      <c r="C196" t="n">
        <v>12</v>
      </c>
      <c r="D196" s="2" t="n">
        <v>45631</v>
      </c>
      <c r="E196" t="inlineStr">
        <is>
          <t>2RS-12</t>
        </is>
      </c>
      <c r="F196" t="n">
        <v>82.31999999999999</v>
      </c>
      <c r="G196" t="inlineStr"/>
      <c r="H196" t="n">
        <v>286.29</v>
      </c>
      <c r="I196" t="n">
        <v>13.1</v>
      </c>
      <c r="J196" t="inlineStr"/>
      <c r="K196" t="inlineStr"/>
      <c r="L196" t="inlineStr"/>
      <c r="M196" t="inlineStr"/>
      <c r="N196" t="inlineStr"/>
    </row>
    <row r="197">
      <c r="A197" t="inlineStr">
        <is>
          <t>900</t>
        </is>
      </c>
      <c r="B197" t="inlineStr">
        <is>
          <t>2RS</t>
        </is>
      </c>
      <c r="C197" t="n">
        <v>12</v>
      </c>
      <c r="D197" s="2" t="n">
        <v>45633</v>
      </c>
      <c r="E197" t="inlineStr">
        <is>
          <t>2RS-12</t>
        </is>
      </c>
      <c r="F197" t="n">
        <v>82.70999999999999</v>
      </c>
      <c r="G197" t="inlineStr"/>
      <c r="H197" t="n">
        <v>286.31</v>
      </c>
      <c r="I197" t="n">
        <v>13.2</v>
      </c>
      <c r="J197" t="inlineStr"/>
      <c r="K197" t="inlineStr"/>
      <c r="L197" t="inlineStr"/>
      <c r="M197" t="inlineStr"/>
      <c r="N197" t="inlineStr"/>
    </row>
    <row r="198">
      <c r="A198" t="inlineStr">
        <is>
          <t>901</t>
        </is>
      </c>
      <c r="B198" t="inlineStr">
        <is>
          <t>2RS</t>
        </is>
      </c>
      <c r="C198" t="n">
        <v>12</v>
      </c>
      <c r="D198" s="2" t="n">
        <v>45634</v>
      </c>
      <c r="E198" t="inlineStr">
        <is>
          <t>2RS-12</t>
        </is>
      </c>
      <c r="F198" t="n">
        <v>83.59999999999999</v>
      </c>
      <c r="G198" t="n">
        <v>91.59999999999999</v>
      </c>
      <c r="H198" t="n">
        <v>285.25</v>
      </c>
      <c r="I198" t="n">
        <v>12.6</v>
      </c>
      <c r="J198" t="n">
        <v>4.24</v>
      </c>
      <c r="K198" t="n">
        <v>160</v>
      </c>
      <c r="L198" t="n">
        <v>88.79000000000001</v>
      </c>
      <c r="M198" t="n">
        <v>3.5</v>
      </c>
      <c r="N198" t="n">
        <v>362</v>
      </c>
    </row>
    <row r="199">
      <c r="A199" t="inlineStr">
        <is>
          <t>902</t>
        </is>
      </c>
      <c r="B199" t="inlineStr">
        <is>
          <t>2RS</t>
        </is>
      </c>
      <c r="C199" t="n">
        <v>12</v>
      </c>
      <c r="D199" s="2" t="n">
        <v>45635</v>
      </c>
      <c r="E199" t="inlineStr">
        <is>
          <t>2RS-12</t>
        </is>
      </c>
      <c r="F199" t="n">
        <v>83.86</v>
      </c>
      <c r="G199" t="n">
        <v>92</v>
      </c>
      <c r="H199" t="n">
        <v>285.5</v>
      </c>
      <c r="I199" t="n">
        <v>12.9</v>
      </c>
      <c r="J199" t="n">
        <v>4.39</v>
      </c>
      <c r="K199" t="n">
        <v>134</v>
      </c>
      <c r="L199" t="n">
        <v>87.53</v>
      </c>
      <c r="M199" t="n">
        <v>2.9</v>
      </c>
      <c r="N199" t="n">
        <v>360</v>
      </c>
    </row>
    <row r="200">
      <c r="A200" t="inlineStr">
        <is>
          <t>903</t>
        </is>
      </c>
      <c r="B200" t="inlineStr">
        <is>
          <t>2RS</t>
        </is>
      </c>
      <c r="C200" t="n">
        <v>12</v>
      </c>
      <c r="D200" s="2" t="n">
        <v>45638</v>
      </c>
      <c r="E200" t="inlineStr">
        <is>
          <t>2RS-12</t>
        </is>
      </c>
      <c r="F200" t="n">
        <v>83.41</v>
      </c>
      <c r="G200" t="n">
        <v>91.5</v>
      </c>
      <c r="H200" t="n">
        <v>285.41</v>
      </c>
      <c r="I200" t="n">
        <v>12.7</v>
      </c>
      <c r="J200" t="n">
        <v>4.26</v>
      </c>
      <c r="K200" t="n">
        <v>163</v>
      </c>
      <c r="L200" t="n">
        <v>88.23999999999999</v>
      </c>
      <c r="M200" t="n">
        <v>3.7</v>
      </c>
      <c r="N200" t="n">
        <v>320</v>
      </c>
    </row>
    <row r="201">
      <c r="A201" t="inlineStr">
        <is>
          <t>904</t>
        </is>
      </c>
      <c r="B201" t="inlineStr">
        <is>
          <t>2RS</t>
        </is>
      </c>
      <c r="C201" t="n">
        <v>12</v>
      </c>
      <c r="D201" s="2" t="n">
        <v>45638</v>
      </c>
      <c r="E201" t="inlineStr">
        <is>
          <t>2RS-12</t>
        </is>
      </c>
      <c r="F201" t="n">
        <v>83.97</v>
      </c>
      <c r="G201" t="inlineStr"/>
      <c r="H201" t="n">
        <v>286.11</v>
      </c>
      <c r="I201" t="n">
        <v>12.9</v>
      </c>
      <c r="J201" t="inlineStr"/>
      <c r="K201" t="inlineStr"/>
      <c r="L201" t="inlineStr"/>
      <c r="M201" t="inlineStr"/>
      <c r="N201" t="inlineStr"/>
    </row>
    <row r="202">
      <c r="A202" t="inlineStr">
        <is>
          <t>905</t>
        </is>
      </c>
      <c r="B202" t="inlineStr">
        <is>
          <t>2RS</t>
        </is>
      </c>
      <c r="C202" t="n">
        <v>12</v>
      </c>
      <c r="D202" s="2" t="n">
        <v>45639</v>
      </c>
      <c r="E202" t="inlineStr">
        <is>
          <t>2RS-12</t>
        </is>
      </c>
      <c r="F202" t="n">
        <v>84.29000000000001</v>
      </c>
      <c r="G202" t="inlineStr"/>
      <c r="H202" t="n">
        <v>284.37</v>
      </c>
      <c r="I202" t="n">
        <v>13.1</v>
      </c>
      <c r="J202" t="inlineStr"/>
      <c r="K202" t="inlineStr"/>
      <c r="L202" t="inlineStr"/>
      <c r="M202" t="inlineStr"/>
      <c r="N202" t="inlineStr"/>
    </row>
    <row r="203">
      <c r="A203" t="inlineStr">
        <is>
          <t>906</t>
        </is>
      </c>
      <c r="B203" t="inlineStr">
        <is>
          <t>2RS</t>
        </is>
      </c>
      <c r="C203" t="n">
        <v>12</v>
      </c>
      <c r="D203" s="2" t="n">
        <v>45640</v>
      </c>
      <c r="E203" t="inlineStr">
        <is>
          <t>2RS-12</t>
        </is>
      </c>
      <c r="F203" t="n">
        <v>80.88</v>
      </c>
      <c r="G203" t="inlineStr"/>
      <c r="H203" t="n">
        <v>286.56</v>
      </c>
      <c r="I203" t="n">
        <v>12.8</v>
      </c>
      <c r="J203" t="inlineStr"/>
      <c r="K203" t="inlineStr"/>
      <c r="L203" t="inlineStr"/>
      <c r="M203" t="inlineStr"/>
      <c r="N203" t="inlineStr"/>
    </row>
    <row r="204">
      <c r="A204" t="inlineStr">
        <is>
          <t>907</t>
        </is>
      </c>
      <c r="B204" t="inlineStr">
        <is>
          <t>2RS</t>
        </is>
      </c>
      <c r="C204" t="n">
        <v>12</v>
      </c>
      <c r="D204" s="2" t="n">
        <v>45643</v>
      </c>
      <c r="E204" t="inlineStr">
        <is>
          <t>2RS-12</t>
        </is>
      </c>
      <c r="F204" t="n">
        <v>85.81999999999999</v>
      </c>
      <c r="G204" t="inlineStr"/>
      <c r="H204" t="n">
        <v>286.55</v>
      </c>
      <c r="I204" t="n">
        <v>12.8</v>
      </c>
      <c r="J204" t="inlineStr"/>
      <c r="K204" t="inlineStr"/>
      <c r="L204" t="inlineStr"/>
      <c r="M204" t="inlineStr"/>
      <c r="N204" t="inlineStr"/>
    </row>
    <row r="205">
      <c r="A205" t="inlineStr">
        <is>
          <t>908</t>
        </is>
      </c>
      <c r="B205" t="inlineStr">
        <is>
          <t>2RS</t>
        </is>
      </c>
      <c r="C205" t="n">
        <v>12</v>
      </c>
      <c r="D205" s="2" t="n">
        <v>45643</v>
      </c>
      <c r="E205" t="inlineStr">
        <is>
          <t>2RS-12</t>
        </is>
      </c>
      <c r="F205" t="n">
        <v>83.29000000000001</v>
      </c>
      <c r="G205" t="inlineStr"/>
      <c r="H205" t="n">
        <v>286.47</v>
      </c>
      <c r="I205" t="n">
        <v>12.7</v>
      </c>
      <c r="J205" t="inlineStr"/>
      <c r="K205" t="inlineStr"/>
      <c r="L205" t="inlineStr"/>
      <c r="M205" t="inlineStr"/>
      <c r="N205" t="inlineStr"/>
    </row>
    <row r="206">
      <c r="A206" t="inlineStr">
        <is>
          <t>909</t>
        </is>
      </c>
      <c r="B206" t="inlineStr">
        <is>
          <t>2RS</t>
        </is>
      </c>
      <c r="C206" t="n">
        <v>12</v>
      </c>
      <c r="D206" s="2" t="n">
        <v>45644</v>
      </c>
      <c r="E206" t="inlineStr">
        <is>
          <t>2RS-12</t>
        </is>
      </c>
      <c r="F206" t="n">
        <v>83.40000000000001</v>
      </c>
      <c r="G206" t="inlineStr"/>
      <c r="H206" t="n">
        <v>286.7</v>
      </c>
      <c r="I206" t="n">
        <v>12.7</v>
      </c>
      <c r="J206" t="inlineStr"/>
      <c r="K206" t="inlineStr"/>
      <c r="L206" t="inlineStr"/>
      <c r="M206" t="inlineStr"/>
      <c r="N206" t="inlineStr"/>
    </row>
    <row r="207">
      <c r="A207" t="inlineStr">
        <is>
          <t>910</t>
        </is>
      </c>
      <c r="B207" t="inlineStr">
        <is>
          <t>2RS</t>
        </is>
      </c>
      <c r="C207" t="n">
        <v>12</v>
      </c>
      <c r="D207" s="2" t="n">
        <v>45645</v>
      </c>
      <c r="E207" t="inlineStr">
        <is>
          <t>2RS-12</t>
        </is>
      </c>
      <c r="F207" t="n">
        <v>84.55</v>
      </c>
      <c r="G207" t="inlineStr"/>
      <c r="H207" t="n">
        <v>286.69</v>
      </c>
      <c r="I207" t="n">
        <v>12.7</v>
      </c>
      <c r="J207" t="inlineStr"/>
      <c r="K207" t="inlineStr"/>
      <c r="L207" t="inlineStr"/>
      <c r="M207" t="inlineStr"/>
      <c r="N207" t="inlineStr"/>
    </row>
    <row r="208">
      <c r="A208" t="inlineStr">
        <is>
          <t>911</t>
        </is>
      </c>
      <c r="B208" t="inlineStr">
        <is>
          <t>2RS</t>
        </is>
      </c>
      <c r="C208" t="n">
        <v>12</v>
      </c>
      <c r="D208" s="2" t="n">
        <v>45647</v>
      </c>
      <c r="E208" t="inlineStr">
        <is>
          <t>2RS-12</t>
        </is>
      </c>
      <c r="F208" t="n">
        <v>85.48</v>
      </c>
      <c r="G208" t="inlineStr"/>
      <c r="H208" t="n">
        <v>287.04</v>
      </c>
      <c r="I208" t="n">
        <v>12.8</v>
      </c>
      <c r="J208" t="inlineStr"/>
      <c r="K208" t="inlineStr"/>
      <c r="L208" t="inlineStr"/>
      <c r="M208" t="inlineStr"/>
      <c r="N208" t="inlineStr"/>
    </row>
    <row r="209">
      <c r="A209" t="inlineStr">
        <is>
          <t>912</t>
        </is>
      </c>
      <c r="B209" t="inlineStr">
        <is>
          <t>2RS</t>
        </is>
      </c>
      <c r="C209" t="n">
        <v>12</v>
      </c>
      <c r="D209" s="2" t="n">
        <v>45650</v>
      </c>
      <c r="E209" t="inlineStr">
        <is>
          <t>2RS-12</t>
        </is>
      </c>
      <c r="F209" t="n">
        <v>86.16</v>
      </c>
      <c r="G209" t="inlineStr"/>
      <c r="H209" t="n">
        <v>286.34</v>
      </c>
      <c r="I209" t="n">
        <v>12.7</v>
      </c>
      <c r="J209" t="inlineStr"/>
      <c r="K209" t="inlineStr"/>
      <c r="L209" t="inlineStr"/>
      <c r="M209" t="inlineStr"/>
      <c r="N209" t="inlineStr"/>
    </row>
    <row r="210">
      <c r="A210" t="inlineStr">
        <is>
          <t>913</t>
        </is>
      </c>
      <c r="B210" t="inlineStr">
        <is>
          <t>2RS</t>
        </is>
      </c>
      <c r="C210" t="n">
        <v>12</v>
      </c>
      <c r="D210" s="2" t="n">
        <v>45650</v>
      </c>
      <c r="E210" t="inlineStr">
        <is>
          <t>2RS-12</t>
        </is>
      </c>
      <c r="F210" t="n">
        <v>86.39</v>
      </c>
      <c r="G210" t="inlineStr"/>
      <c r="H210" t="n">
        <v>286.71</v>
      </c>
      <c r="I210" t="n">
        <v>12.7</v>
      </c>
      <c r="J210" t="inlineStr"/>
      <c r="K210" t="inlineStr"/>
      <c r="L210" t="inlineStr"/>
      <c r="M210" t="inlineStr"/>
      <c r="N210" t="inlineStr"/>
    </row>
    <row r="211">
      <c r="A211" t="inlineStr">
        <is>
          <t>914</t>
        </is>
      </c>
      <c r="B211" t="inlineStr">
        <is>
          <t>2RS</t>
        </is>
      </c>
      <c r="C211" t="n">
        <v>12</v>
      </c>
      <c r="D211" s="2" t="n">
        <v>45652</v>
      </c>
      <c r="E211" t="inlineStr">
        <is>
          <t>2RS-12</t>
        </is>
      </c>
      <c r="F211" t="n">
        <v>86.06</v>
      </c>
      <c r="G211" t="inlineStr"/>
      <c r="H211" t="n">
        <v>286.79</v>
      </c>
      <c r="I211" t="n">
        <v>12.4</v>
      </c>
      <c r="J211" t="inlineStr"/>
      <c r="K211" t="inlineStr"/>
      <c r="L211" t="inlineStr"/>
      <c r="M211" t="inlineStr"/>
      <c r="N211" t="inlineStr"/>
    </row>
    <row r="212">
      <c r="A212" t="inlineStr">
        <is>
          <t>915</t>
        </is>
      </c>
      <c r="B212" t="inlineStr">
        <is>
          <t>2RS</t>
        </is>
      </c>
      <c r="C212" t="n">
        <v>12</v>
      </c>
      <c r="D212" s="2" t="n">
        <v>45653</v>
      </c>
      <c r="E212" t="inlineStr">
        <is>
          <t>2RS-12</t>
        </is>
      </c>
      <c r="F212" t="n">
        <v>86.09999999999999</v>
      </c>
      <c r="G212" t="inlineStr"/>
      <c r="H212" t="n">
        <v>286.51</v>
      </c>
      <c r="I212" t="n">
        <v>12.6</v>
      </c>
      <c r="J212" t="inlineStr"/>
      <c r="K212" t="inlineStr"/>
      <c r="L212" t="inlineStr"/>
      <c r="M212" t="inlineStr"/>
      <c r="N212" t="inlineStr"/>
    </row>
    <row r="213">
      <c r="A213" t="inlineStr">
        <is>
          <t>916</t>
        </is>
      </c>
      <c r="B213" t="inlineStr">
        <is>
          <t>2RS</t>
        </is>
      </c>
      <c r="C213" t="n">
        <v>12</v>
      </c>
      <c r="D213" s="2" t="n">
        <v>45654</v>
      </c>
      <c r="E213" t="inlineStr">
        <is>
          <t>2RS-12</t>
        </is>
      </c>
      <c r="F213" t="n">
        <v>84.15000000000001</v>
      </c>
      <c r="G213" t="inlineStr"/>
      <c r="H213" t="n">
        <v>285.15</v>
      </c>
      <c r="I213" t="n">
        <v>12.8</v>
      </c>
      <c r="J213" t="inlineStr"/>
      <c r="K213" t="inlineStr"/>
      <c r="L213" t="inlineStr"/>
      <c r="M213" t="inlineStr"/>
      <c r="N213" t="inlineStr"/>
    </row>
    <row r="214">
      <c r="A214" t="inlineStr">
        <is>
          <t>917</t>
        </is>
      </c>
      <c r="B214" t="inlineStr">
        <is>
          <t>2RS</t>
        </is>
      </c>
      <c r="C214" t="n">
        <v>12</v>
      </c>
      <c r="D214" s="2" t="n">
        <v>45655</v>
      </c>
      <c r="E214" t="inlineStr">
        <is>
          <t>2RS-12</t>
        </is>
      </c>
      <c r="F214" t="n">
        <v>83.83</v>
      </c>
      <c r="G214" t="inlineStr"/>
      <c r="H214" t="n">
        <v>284.82</v>
      </c>
      <c r="I214" t="n">
        <v>12.7</v>
      </c>
      <c r="J214" t="inlineStr"/>
      <c r="K214" t="inlineStr"/>
      <c r="L214" t="inlineStr"/>
      <c r="M214" t="inlineStr"/>
      <c r="N214" t="inlineStr"/>
    </row>
    <row r="215">
      <c r="A215" t="inlineStr">
        <is>
          <t>918</t>
        </is>
      </c>
      <c r="B215" t="inlineStr">
        <is>
          <t>2RS</t>
        </is>
      </c>
      <c r="C215" t="n">
        <v>12</v>
      </c>
      <c r="D215" s="2" t="n">
        <v>45657</v>
      </c>
      <c r="E215" t="inlineStr">
        <is>
          <t>2RS-12</t>
        </is>
      </c>
      <c r="F215" t="n">
        <v>85.03</v>
      </c>
      <c r="G215" t="inlineStr"/>
      <c r="H215" t="n">
        <v>286.61</v>
      </c>
      <c r="I215" t="n">
        <v>12.8</v>
      </c>
      <c r="J215" t="inlineStr"/>
      <c r="K215" t="inlineStr"/>
      <c r="L215" t="inlineStr"/>
      <c r="M215" t="inlineStr"/>
      <c r="N215" t="inlineStr"/>
    </row>
    <row r="216">
      <c r="A216" t="inlineStr">
        <is>
          <t>919</t>
        </is>
      </c>
      <c r="B216" t="inlineStr">
        <is>
          <t>2RS</t>
        </is>
      </c>
      <c r="C216" t="n">
        <v>1</v>
      </c>
      <c r="D216" s="2" t="n">
        <v>45658</v>
      </c>
      <c r="E216" t="inlineStr">
        <is>
          <t>2RS-1</t>
        </is>
      </c>
      <c r="F216" t="n">
        <v>85.28</v>
      </c>
      <c r="G216" t="inlineStr"/>
      <c r="H216" t="n">
        <v>286.56</v>
      </c>
      <c r="I216" t="n">
        <v>12.8</v>
      </c>
      <c r="J216" t="inlineStr"/>
      <c r="K216" t="inlineStr"/>
      <c r="L216" t="inlineStr"/>
      <c r="M216" t="inlineStr"/>
      <c r="N216" t="inlineStr"/>
    </row>
    <row r="217">
      <c r="A217" t="inlineStr">
        <is>
          <t>920</t>
        </is>
      </c>
      <c r="B217" t="inlineStr">
        <is>
          <t>2RS</t>
        </is>
      </c>
      <c r="C217" t="n">
        <v>1</v>
      </c>
      <c r="D217" s="2" t="n">
        <v>45660</v>
      </c>
      <c r="E217" t="inlineStr">
        <is>
          <t>2RS-1</t>
        </is>
      </c>
      <c r="F217" t="n">
        <v>85.61</v>
      </c>
      <c r="G217" t="inlineStr"/>
      <c r="H217" t="n">
        <v>286.52</v>
      </c>
      <c r="I217" t="n">
        <v>12.8</v>
      </c>
      <c r="J217" t="inlineStr"/>
      <c r="K217" t="inlineStr"/>
      <c r="L217" t="inlineStr"/>
      <c r="M217" t="inlineStr"/>
      <c r="N217" t="inlineStr"/>
    </row>
    <row r="218">
      <c r="A218" t="inlineStr">
        <is>
          <t>921</t>
        </is>
      </c>
      <c r="B218" t="inlineStr">
        <is>
          <t>2RS</t>
        </is>
      </c>
      <c r="C218" t="n">
        <v>1</v>
      </c>
      <c r="D218" s="2" t="n">
        <v>45661</v>
      </c>
      <c r="E218" t="inlineStr">
        <is>
          <t>2RS-1</t>
        </is>
      </c>
      <c r="F218" t="n">
        <v>84.55</v>
      </c>
      <c r="G218" t="inlineStr"/>
      <c r="H218" t="n">
        <v>286.52</v>
      </c>
      <c r="I218" t="n">
        <v>12.7</v>
      </c>
      <c r="J218" t="inlineStr"/>
      <c r="K218" t="inlineStr"/>
      <c r="L218" t="inlineStr"/>
      <c r="M218" t="inlineStr"/>
      <c r="N218" t="inlineStr"/>
    </row>
    <row r="219">
      <c r="A219" t="inlineStr">
        <is>
          <t>922</t>
        </is>
      </c>
      <c r="B219" t="inlineStr">
        <is>
          <t>2RS</t>
        </is>
      </c>
      <c r="C219" t="n">
        <v>1</v>
      </c>
      <c r="D219" s="2" t="n">
        <v>45662</v>
      </c>
      <c r="E219" t="inlineStr">
        <is>
          <t>2RS-1</t>
        </is>
      </c>
      <c r="F219" t="n">
        <v>84.72</v>
      </c>
      <c r="G219" t="inlineStr"/>
      <c r="H219" t="n">
        <v>284.99</v>
      </c>
      <c r="I219" t="n">
        <v>12.7</v>
      </c>
      <c r="J219" t="inlineStr"/>
      <c r="K219" t="inlineStr"/>
      <c r="L219" t="inlineStr"/>
      <c r="M219" t="inlineStr"/>
      <c r="N219" t="inlineStr"/>
    </row>
    <row r="220">
      <c r="A220" t="inlineStr">
        <is>
          <t>923</t>
        </is>
      </c>
      <c r="B220" t="inlineStr">
        <is>
          <t>2RS</t>
        </is>
      </c>
      <c r="C220" t="n">
        <v>1</v>
      </c>
      <c r="D220" s="2" t="n">
        <v>45664</v>
      </c>
      <c r="E220" t="inlineStr">
        <is>
          <t>2RS-1</t>
        </is>
      </c>
      <c r="F220" t="n">
        <v>84.98</v>
      </c>
      <c r="G220" t="inlineStr"/>
      <c r="H220" t="n">
        <v>285.01</v>
      </c>
      <c r="I220" t="n">
        <v>12.6</v>
      </c>
      <c r="J220" t="inlineStr"/>
      <c r="K220" t="inlineStr"/>
      <c r="L220" t="inlineStr"/>
      <c r="M220" t="inlineStr"/>
      <c r="N220" t="inlineStr"/>
    </row>
    <row r="221">
      <c r="A221" t="inlineStr">
        <is>
          <t>924</t>
        </is>
      </c>
      <c r="B221" t="inlineStr">
        <is>
          <t>2RS</t>
        </is>
      </c>
      <c r="C221" t="n">
        <v>1</v>
      </c>
      <c r="D221" s="2" t="n">
        <v>45665</v>
      </c>
      <c r="E221" t="inlineStr">
        <is>
          <t>2RS-1</t>
        </is>
      </c>
      <c r="F221" t="n">
        <v>84.05</v>
      </c>
      <c r="G221" t="inlineStr"/>
      <c r="H221" t="n">
        <v>286.53</v>
      </c>
      <c r="I221" t="n">
        <v>12.5</v>
      </c>
      <c r="J221" t="inlineStr"/>
      <c r="K221" t="inlineStr"/>
      <c r="L221" t="inlineStr"/>
      <c r="M221" t="inlineStr"/>
      <c r="N221" t="inlineStr"/>
    </row>
    <row r="222">
      <c r="A222" t="inlineStr">
        <is>
          <t>925</t>
        </is>
      </c>
      <c r="B222" t="inlineStr">
        <is>
          <t>2RS</t>
        </is>
      </c>
      <c r="C222" t="n">
        <v>1</v>
      </c>
      <c r="D222" s="2" t="n">
        <v>45666</v>
      </c>
      <c r="E222" t="inlineStr">
        <is>
          <t>2RS-1</t>
        </is>
      </c>
      <c r="F222" t="n">
        <v>84.06</v>
      </c>
      <c r="G222" t="inlineStr"/>
      <c r="H222" t="n">
        <v>286.29</v>
      </c>
      <c r="I222" t="n">
        <v>12.6</v>
      </c>
      <c r="J222" t="inlineStr"/>
      <c r="K222" t="inlineStr"/>
      <c r="L222" t="inlineStr"/>
      <c r="M222" t="inlineStr"/>
      <c r="N222" t="inlineStr"/>
    </row>
    <row r="223">
      <c r="A223" t="inlineStr">
        <is>
          <t>926</t>
        </is>
      </c>
      <c r="B223" t="inlineStr">
        <is>
          <t>2RS</t>
        </is>
      </c>
      <c r="C223" t="n">
        <v>1</v>
      </c>
      <c r="D223" s="2" t="n">
        <v>45667</v>
      </c>
      <c r="E223" t="inlineStr">
        <is>
          <t>2RS-1</t>
        </is>
      </c>
      <c r="F223" t="n">
        <v>83.95999999999999</v>
      </c>
      <c r="G223" t="inlineStr"/>
      <c r="H223" t="n">
        <v>286.3</v>
      </c>
      <c r="I223" t="n">
        <v>12.6</v>
      </c>
      <c r="J223" t="inlineStr"/>
      <c r="K223" t="inlineStr"/>
      <c r="L223" t="inlineStr"/>
      <c r="M223" t="inlineStr"/>
      <c r="N223" t="inlineStr"/>
    </row>
    <row r="224">
      <c r="A224" t="inlineStr">
        <is>
          <t>927</t>
        </is>
      </c>
      <c r="B224" t="inlineStr">
        <is>
          <t>2RS</t>
        </is>
      </c>
      <c r="C224" t="n">
        <v>1</v>
      </c>
      <c r="D224" s="2" t="n">
        <v>45668</v>
      </c>
      <c r="E224" t="inlineStr">
        <is>
          <t>2RS-1</t>
        </is>
      </c>
      <c r="F224" t="n">
        <v>84.39</v>
      </c>
      <c r="G224" t="inlineStr"/>
      <c r="H224" t="n">
        <v>286.17</v>
      </c>
      <c r="I224" t="n">
        <v>12.4</v>
      </c>
      <c r="J224" t="inlineStr"/>
      <c r="K224" t="inlineStr"/>
      <c r="L224" t="inlineStr"/>
      <c r="M224" t="inlineStr"/>
      <c r="N224" t="inlineStr"/>
    </row>
    <row r="225">
      <c r="A225" t="inlineStr">
        <is>
          <t>928</t>
        </is>
      </c>
      <c r="B225" t="inlineStr">
        <is>
          <t>2RS</t>
        </is>
      </c>
      <c r="C225" t="n">
        <v>1</v>
      </c>
      <c r="D225" s="2" t="n">
        <v>45670</v>
      </c>
      <c r="E225" t="inlineStr">
        <is>
          <t>2RS-1</t>
        </is>
      </c>
      <c r="F225" t="n">
        <v>85.05</v>
      </c>
      <c r="G225" t="inlineStr"/>
      <c r="H225" t="n">
        <v>286.18</v>
      </c>
      <c r="I225" t="n">
        <v>12.7</v>
      </c>
      <c r="J225" t="inlineStr"/>
      <c r="K225" t="inlineStr"/>
      <c r="L225" t="inlineStr"/>
      <c r="M225" t="inlineStr"/>
      <c r="N225" t="inlineStr"/>
    </row>
    <row r="226">
      <c r="A226" t="inlineStr">
        <is>
          <t>929</t>
        </is>
      </c>
      <c r="B226" t="inlineStr">
        <is>
          <t>2RS</t>
        </is>
      </c>
      <c r="C226" t="n">
        <v>1</v>
      </c>
      <c r="D226" s="2" t="n">
        <v>45671</v>
      </c>
      <c r="E226" t="inlineStr">
        <is>
          <t>2RS-1</t>
        </is>
      </c>
      <c r="F226" t="n">
        <v>82.89</v>
      </c>
      <c r="G226" t="inlineStr"/>
      <c r="H226" t="n">
        <v>286.18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930</t>
        </is>
      </c>
      <c r="B227" t="inlineStr">
        <is>
          <t>2RS</t>
        </is>
      </c>
      <c r="C227" t="n">
        <v>1</v>
      </c>
      <c r="D227" s="2" t="n">
        <v>45672</v>
      </c>
      <c r="E227" t="inlineStr">
        <is>
          <t>2RS-1</t>
        </is>
      </c>
      <c r="F227" t="n">
        <v>84.34999999999999</v>
      </c>
      <c r="G227" t="inlineStr"/>
      <c r="H227" t="n">
        <v>286.14</v>
      </c>
      <c r="I227" t="n">
        <v>12.6</v>
      </c>
      <c r="J227" t="inlineStr"/>
      <c r="K227" t="inlineStr"/>
      <c r="L227" t="inlineStr"/>
      <c r="M227" t="inlineStr"/>
      <c r="N227" t="inlineStr"/>
    </row>
    <row r="228">
      <c r="A228" t="inlineStr">
        <is>
          <t>931</t>
        </is>
      </c>
      <c r="B228" t="inlineStr">
        <is>
          <t>2RS</t>
        </is>
      </c>
      <c r="C228" t="n">
        <v>1</v>
      </c>
      <c r="D228" s="2" t="n">
        <v>45673</v>
      </c>
      <c r="E228" t="inlineStr">
        <is>
          <t>2RS-1</t>
        </is>
      </c>
      <c r="F228" t="n">
        <v>85.16</v>
      </c>
      <c r="G228" t="inlineStr"/>
      <c r="H228" t="n">
        <v>284.68</v>
      </c>
      <c r="I228" t="n">
        <v>12.7</v>
      </c>
      <c r="J228" t="inlineStr"/>
      <c r="K228" t="inlineStr"/>
      <c r="L228" t="inlineStr"/>
      <c r="M228" t="inlineStr"/>
      <c r="N228" t="inlineStr"/>
    </row>
    <row r="229">
      <c r="A229" t="inlineStr">
        <is>
          <t>932</t>
        </is>
      </c>
      <c r="B229" t="inlineStr">
        <is>
          <t>2RS</t>
        </is>
      </c>
      <c r="C229" t="n">
        <v>1</v>
      </c>
      <c r="D229" s="2" t="n">
        <v>45676</v>
      </c>
      <c r="E229" t="inlineStr">
        <is>
          <t>2RS-1</t>
        </is>
      </c>
      <c r="F229" t="n">
        <v>85.18000000000001</v>
      </c>
      <c r="G229" t="inlineStr"/>
      <c r="H229" t="n">
        <v>286.19</v>
      </c>
      <c r="I229" t="n">
        <v>12.7</v>
      </c>
      <c r="J229" t="inlineStr"/>
      <c r="K229" t="inlineStr"/>
      <c r="L229" t="inlineStr"/>
      <c r="M229" t="inlineStr"/>
      <c r="N229" t="inlineStr"/>
    </row>
    <row r="230">
      <c r="A230" t="inlineStr">
        <is>
          <t>933</t>
        </is>
      </c>
      <c r="B230" t="inlineStr">
        <is>
          <t>2RS</t>
        </is>
      </c>
      <c r="C230" t="n">
        <v>1</v>
      </c>
      <c r="D230" s="2" t="n">
        <v>45675</v>
      </c>
      <c r="E230" t="inlineStr">
        <is>
          <t>2RS-1</t>
        </is>
      </c>
      <c r="F230" t="n">
        <v>85.26000000000001</v>
      </c>
      <c r="G230" t="inlineStr"/>
      <c r="H230" t="n">
        <v>286.22</v>
      </c>
      <c r="I230" t="n">
        <v>12.6</v>
      </c>
      <c r="J230" t="inlineStr"/>
      <c r="K230" t="inlineStr"/>
      <c r="L230" t="inlineStr"/>
      <c r="M230" t="inlineStr"/>
      <c r="N230" t="inlineStr"/>
    </row>
    <row r="231">
      <c r="A231" t="inlineStr">
        <is>
          <t>934</t>
        </is>
      </c>
      <c r="B231" t="inlineStr">
        <is>
          <t>2RS</t>
        </is>
      </c>
      <c r="C231" t="n">
        <v>1</v>
      </c>
      <c r="D231" s="2" t="n">
        <v>45677</v>
      </c>
      <c r="E231" t="inlineStr">
        <is>
          <t>2RS-1</t>
        </is>
      </c>
      <c r="F231" t="n">
        <v>84.59999999999999</v>
      </c>
      <c r="G231" t="inlineStr"/>
      <c r="H231" t="n">
        <v>285.96</v>
      </c>
      <c r="I231" t="n">
        <v>12.4</v>
      </c>
      <c r="J231" t="inlineStr"/>
      <c r="K231" t="inlineStr"/>
      <c r="L231" t="inlineStr"/>
      <c r="M231" t="inlineStr"/>
      <c r="N231" t="inlineStr"/>
    </row>
    <row r="232">
      <c r="A232" t="inlineStr">
        <is>
          <t>935</t>
        </is>
      </c>
      <c r="B232" t="inlineStr">
        <is>
          <t>2RS</t>
        </is>
      </c>
      <c r="C232" t="n">
        <v>1</v>
      </c>
      <c r="D232" s="2" t="n">
        <v>45678</v>
      </c>
      <c r="E232" t="inlineStr">
        <is>
          <t>2RS-1</t>
        </is>
      </c>
      <c r="F232" t="n">
        <v>84.31999999999999</v>
      </c>
      <c r="G232" t="inlineStr"/>
      <c r="H232" t="n">
        <v>285.73</v>
      </c>
      <c r="I232" t="n">
        <v>12.6</v>
      </c>
      <c r="J232" t="inlineStr"/>
      <c r="K232" t="inlineStr"/>
      <c r="L232" t="inlineStr"/>
      <c r="M232" t="inlineStr"/>
      <c r="N232" t="inlineStr"/>
    </row>
    <row r="233">
      <c r="A233" t="inlineStr">
        <is>
          <t>936</t>
        </is>
      </c>
      <c r="B233" t="inlineStr">
        <is>
          <t>2RS</t>
        </is>
      </c>
      <c r="C233" t="n">
        <v>1</v>
      </c>
      <c r="D233" s="2" t="n">
        <v>45679</v>
      </c>
      <c r="E233" t="inlineStr">
        <is>
          <t>2RS-1</t>
        </is>
      </c>
      <c r="F233" t="n">
        <v>84.70999999999999</v>
      </c>
      <c r="G233" t="inlineStr"/>
      <c r="H233" t="n">
        <v>286.27</v>
      </c>
      <c r="I233" t="n">
        <v>12.4</v>
      </c>
      <c r="J233" t="inlineStr"/>
      <c r="K233" t="inlineStr"/>
      <c r="L233" t="inlineStr"/>
      <c r="M233" t="inlineStr"/>
      <c r="N233" t="inlineStr"/>
    </row>
    <row r="234">
      <c r="A234" t="inlineStr">
        <is>
          <t>937</t>
        </is>
      </c>
      <c r="B234" t="inlineStr">
        <is>
          <t>2RS</t>
        </is>
      </c>
      <c r="C234" t="n">
        <v>1</v>
      </c>
      <c r="D234" s="2" t="n">
        <v>45681</v>
      </c>
      <c r="E234" t="inlineStr">
        <is>
          <t>2RS-1</t>
        </is>
      </c>
      <c r="F234" t="n">
        <v>84.63</v>
      </c>
      <c r="G234" t="inlineStr"/>
      <c r="H234" t="n">
        <v>285.06</v>
      </c>
      <c r="I234" t="n">
        <v>12.6</v>
      </c>
      <c r="J234" t="inlineStr"/>
      <c r="K234" t="inlineStr"/>
      <c r="L234" t="inlineStr"/>
      <c r="M234" t="inlineStr"/>
      <c r="N234" t="inlineStr"/>
    </row>
    <row r="235">
      <c r="A235" t="inlineStr">
        <is>
          <t>938</t>
        </is>
      </c>
      <c r="B235" t="inlineStr">
        <is>
          <t>2RS</t>
        </is>
      </c>
      <c r="C235" t="n">
        <v>1</v>
      </c>
      <c r="D235" s="2" t="n">
        <v>45682</v>
      </c>
      <c r="E235" t="inlineStr">
        <is>
          <t>2RS-1</t>
        </is>
      </c>
      <c r="F235" t="n">
        <v>84.51000000000001</v>
      </c>
      <c r="G235" t="inlineStr"/>
      <c r="H235" t="n">
        <v>287.15</v>
      </c>
      <c r="I235" t="n">
        <v>12.6</v>
      </c>
      <c r="J235" t="inlineStr"/>
      <c r="K235" t="inlineStr"/>
      <c r="L235" t="inlineStr"/>
      <c r="M235" t="inlineStr"/>
      <c r="N235" t="inlineStr"/>
    </row>
    <row r="236">
      <c r="A236" t="inlineStr">
        <is>
          <t>939</t>
        </is>
      </c>
      <c r="B236" t="inlineStr">
        <is>
          <t>2RS</t>
        </is>
      </c>
      <c r="C236" t="n">
        <v>1</v>
      </c>
      <c r="D236" s="2" t="n">
        <v>45683</v>
      </c>
      <c r="E236" t="inlineStr">
        <is>
          <t>2RS-1</t>
        </is>
      </c>
      <c r="F236" t="n">
        <v>84.52</v>
      </c>
      <c r="G236" t="inlineStr"/>
      <c r="H236" t="n">
        <v>286.93</v>
      </c>
      <c r="I236" t="n">
        <v>12.7</v>
      </c>
      <c r="J236" t="inlineStr"/>
      <c r="K236" t="inlineStr"/>
      <c r="L236" t="inlineStr"/>
      <c r="M236" t="inlineStr"/>
      <c r="N236" t="inlineStr"/>
    </row>
    <row r="237">
      <c r="A237" t="inlineStr">
        <is>
          <t>940</t>
        </is>
      </c>
      <c r="B237" t="inlineStr">
        <is>
          <t>2RS</t>
        </is>
      </c>
      <c r="C237" t="n">
        <v>1</v>
      </c>
      <c r="D237" s="2" t="n">
        <v>45684</v>
      </c>
      <c r="E237" t="inlineStr">
        <is>
          <t>2RS-1</t>
        </is>
      </c>
      <c r="F237" t="n">
        <v>85.08</v>
      </c>
      <c r="G237" t="inlineStr"/>
      <c r="H237" t="n">
        <v>287.04</v>
      </c>
      <c r="I237" t="n">
        <v>12.6</v>
      </c>
      <c r="J237" t="inlineStr"/>
      <c r="K237" t="inlineStr"/>
      <c r="L237" t="inlineStr"/>
      <c r="M237" t="inlineStr"/>
      <c r="N237" t="inlineStr"/>
    </row>
    <row r="238">
      <c r="A238" t="inlineStr">
        <is>
          <t>941</t>
        </is>
      </c>
      <c r="B238" t="inlineStr">
        <is>
          <t>2RS</t>
        </is>
      </c>
      <c r="C238" t="n">
        <v>1</v>
      </c>
      <c r="D238" s="2" t="n">
        <v>45685</v>
      </c>
      <c r="E238" t="inlineStr">
        <is>
          <t>2RS-1</t>
        </is>
      </c>
      <c r="F238" t="n">
        <v>84.69</v>
      </c>
      <c r="G238" t="inlineStr"/>
      <c r="H238" t="n">
        <v>286.96</v>
      </c>
      <c r="I238" t="n">
        <v>12.6</v>
      </c>
      <c r="J238" t="inlineStr"/>
      <c r="K238" t="inlineStr"/>
      <c r="L238" t="inlineStr"/>
      <c r="M238" t="inlineStr"/>
      <c r="N238" t="inlineStr"/>
    </row>
    <row r="239">
      <c r="A239" t="inlineStr">
        <is>
          <t>942</t>
        </is>
      </c>
      <c r="B239" t="inlineStr">
        <is>
          <t>2RS</t>
        </is>
      </c>
      <c r="C239" t="n">
        <v>1</v>
      </c>
      <c r="D239" s="2" t="n">
        <v>45686</v>
      </c>
      <c r="E239" t="inlineStr">
        <is>
          <t>2RS-1</t>
        </is>
      </c>
      <c r="F239" t="n">
        <v>86.06999999999999</v>
      </c>
      <c r="G239" t="inlineStr"/>
      <c r="H239" t="n">
        <v>287.04</v>
      </c>
      <c r="I239" t="n">
        <v>12.6</v>
      </c>
      <c r="J239" t="inlineStr"/>
      <c r="K239" t="inlineStr"/>
      <c r="L239" t="inlineStr"/>
      <c r="M239" t="inlineStr"/>
      <c r="N239" t="inlineStr"/>
    </row>
    <row r="240">
      <c r="A240" t="inlineStr">
        <is>
          <t>943</t>
        </is>
      </c>
      <c r="B240" t="inlineStr">
        <is>
          <t>2RS</t>
        </is>
      </c>
      <c r="C240" t="n">
        <v>1</v>
      </c>
      <c r="D240" s="2" t="n">
        <v>45688</v>
      </c>
      <c r="E240" t="inlineStr">
        <is>
          <t>2RS-1</t>
        </is>
      </c>
      <c r="F240" t="n">
        <v>85.19</v>
      </c>
      <c r="G240" t="inlineStr"/>
      <c r="H240" t="n">
        <v>287.06</v>
      </c>
      <c r="I240" t="n">
        <v>12.6</v>
      </c>
      <c r="J240" t="inlineStr"/>
      <c r="K240" t="inlineStr"/>
      <c r="L240" t="inlineStr"/>
      <c r="M240" t="inlineStr"/>
      <c r="N240" t="inlineStr"/>
    </row>
    <row r="241">
      <c r="A241" t="inlineStr">
        <is>
          <t>944</t>
        </is>
      </c>
      <c r="B241" t="inlineStr">
        <is>
          <t>2RS</t>
        </is>
      </c>
      <c r="C241" t="n">
        <v>2</v>
      </c>
      <c r="D241" s="2" t="n">
        <v>45689</v>
      </c>
      <c r="E241" t="inlineStr">
        <is>
          <t>2RS-2</t>
        </is>
      </c>
      <c r="F241" t="n">
        <v>84.84999999999999</v>
      </c>
      <c r="G241" t="inlineStr"/>
      <c r="H241" t="n">
        <v>287.24</v>
      </c>
      <c r="I241" t="n">
        <v>12.4</v>
      </c>
      <c r="J241" t="inlineStr"/>
      <c r="K241" t="inlineStr"/>
      <c r="L241" t="inlineStr"/>
      <c r="M241" t="inlineStr"/>
      <c r="N241" t="inlineStr"/>
    </row>
    <row r="242">
      <c r="A242" t="inlineStr">
        <is>
          <t>945</t>
        </is>
      </c>
      <c r="B242" t="inlineStr">
        <is>
          <t>2RS</t>
        </is>
      </c>
      <c r="C242" t="n">
        <v>2</v>
      </c>
      <c r="D242" s="2" t="n">
        <v>45691</v>
      </c>
      <c r="E242" t="inlineStr">
        <is>
          <t>2RS-2</t>
        </is>
      </c>
      <c r="F242" t="n">
        <v>83.86</v>
      </c>
      <c r="G242" t="inlineStr"/>
      <c r="H242" t="n">
        <v>285.29</v>
      </c>
      <c r="I242" t="n">
        <v>12.5</v>
      </c>
      <c r="J242" t="inlineStr"/>
      <c r="K242" t="inlineStr"/>
      <c r="L242" t="inlineStr"/>
      <c r="M242" t="inlineStr"/>
      <c r="N242" t="inlineStr"/>
    </row>
    <row r="243">
      <c r="A243" t="inlineStr">
        <is>
          <t>946</t>
        </is>
      </c>
      <c r="B243" t="inlineStr">
        <is>
          <t>2RS</t>
        </is>
      </c>
      <c r="C243" t="n">
        <v>2</v>
      </c>
      <c r="D243" s="2" t="n">
        <v>45693</v>
      </c>
      <c r="E243" t="inlineStr">
        <is>
          <t>2RS-2</t>
        </is>
      </c>
      <c r="F243" t="n">
        <v>84.93000000000001</v>
      </c>
      <c r="G243" t="inlineStr"/>
      <c r="H243" t="n">
        <v>285.28</v>
      </c>
      <c r="I243" t="n">
        <v>12.6</v>
      </c>
      <c r="J243" t="inlineStr"/>
      <c r="K243" t="inlineStr"/>
      <c r="L243" t="inlineStr"/>
      <c r="M243" t="inlineStr"/>
      <c r="N243" t="inlineStr"/>
    </row>
    <row r="244">
      <c r="A244" t="inlineStr">
        <is>
          <t>947</t>
        </is>
      </c>
      <c r="B244" t="inlineStr">
        <is>
          <t>2RS</t>
        </is>
      </c>
      <c r="C244" t="n">
        <v>2</v>
      </c>
      <c r="D244" s="2" t="n">
        <v>45696</v>
      </c>
      <c r="E244" t="inlineStr">
        <is>
          <t>2RS-2</t>
        </is>
      </c>
      <c r="F244" t="n">
        <v>85.18000000000001</v>
      </c>
      <c r="G244" t="inlineStr"/>
      <c r="H244" t="n">
        <v>286.31</v>
      </c>
      <c r="I244" t="n">
        <v>12.6</v>
      </c>
      <c r="J244" t="inlineStr"/>
      <c r="K244" t="inlineStr"/>
      <c r="L244" t="inlineStr"/>
      <c r="M244" t="inlineStr"/>
      <c r="N244" t="inlineStr"/>
    </row>
    <row r="245">
      <c r="A245" t="inlineStr">
        <is>
          <t>948</t>
        </is>
      </c>
      <c r="B245" t="inlineStr">
        <is>
          <t>2RS</t>
        </is>
      </c>
      <c r="C245" t="n">
        <v>2</v>
      </c>
      <c r="D245" s="2" t="n">
        <v>45698</v>
      </c>
      <c r="E245" t="inlineStr">
        <is>
          <t>2RS-2</t>
        </is>
      </c>
      <c r="F245" t="n">
        <v>84.64</v>
      </c>
      <c r="G245" t="inlineStr"/>
      <c r="H245" t="n">
        <v>286.35</v>
      </c>
      <c r="I245" t="n">
        <v>12.6</v>
      </c>
      <c r="J245" t="inlineStr"/>
      <c r="K245" t="inlineStr"/>
      <c r="L245" t="inlineStr"/>
      <c r="M245" t="inlineStr"/>
      <c r="N245" t="inlineStr"/>
    </row>
    <row r="246">
      <c r="A246" t="inlineStr">
        <is>
          <t>949</t>
        </is>
      </c>
      <c r="B246" t="inlineStr">
        <is>
          <t>2RS</t>
        </is>
      </c>
      <c r="C246" t="n">
        <v>2</v>
      </c>
      <c r="D246" s="2" t="n">
        <v>45700</v>
      </c>
      <c r="E246" t="inlineStr">
        <is>
          <t>2RS-2</t>
        </is>
      </c>
      <c r="F246" t="n">
        <v>83.68000000000001</v>
      </c>
      <c r="G246" t="inlineStr"/>
      <c r="H246" t="n">
        <v>286.69</v>
      </c>
      <c r="I246" t="n">
        <v>12.6</v>
      </c>
      <c r="J246" t="inlineStr"/>
      <c r="K246" t="inlineStr"/>
      <c r="L246" t="inlineStr"/>
      <c r="M246" t="inlineStr"/>
      <c r="N246" t="inlineStr"/>
    </row>
    <row r="247">
      <c r="A247" t="inlineStr">
        <is>
          <t>950</t>
        </is>
      </c>
      <c r="B247" t="inlineStr">
        <is>
          <t>2RS</t>
        </is>
      </c>
      <c r="C247" t="n">
        <v>2</v>
      </c>
      <c r="D247" s="2" t="n">
        <v>45702</v>
      </c>
      <c r="E247" t="inlineStr">
        <is>
          <t>2RS-2</t>
        </is>
      </c>
      <c r="F247" t="n">
        <v>84.31</v>
      </c>
      <c r="G247" t="inlineStr"/>
      <c r="H247" t="n">
        <v>286.7</v>
      </c>
      <c r="I247" t="n">
        <v>12.6</v>
      </c>
      <c r="J247" t="inlineStr"/>
      <c r="K247" t="inlineStr"/>
      <c r="L247" t="inlineStr"/>
      <c r="M247" t="inlineStr"/>
      <c r="N247" t="inlineStr"/>
    </row>
    <row r="248">
      <c r="A248" t="inlineStr">
        <is>
          <t>951</t>
        </is>
      </c>
      <c r="B248" t="inlineStr">
        <is>
          <t>2RS</t>
        </is>
      </c>
      <c r="C248" t="n">
        <v>2</v>
      </c>
      <c r="D248" s="2" t="n">
        <v>45703</v>
      </c>
      <c r="E248" t="inlineStr">
        <is>
          <t>2RS-2</t>
        </is>
      </c>
      <c r="F248" t="n">
        <v>83.40000000000001</v>
      </c>
      <c r="G248" t="inlineStr"/>
      <c r="H248" t="n">
        <v>286.88</v>
      </c>
      <c r="I248" t="n">
        <v>12.4</v>
      </c>
      <c r="J248" t="inlineStr"/>
      <c r="K248" t="inlineStr"/>
      <c r="L248" t="inlineStr"/>
      <c r="M248" t="inlineStr"/>
      <c r="N248" t="inlineStr"/>
    </row>
    <row r="249">
      <c r="A249" t="inlineStr">
        <is>
          <t>952</t>
        </is>
      </c>
      <c r="B249" t="inlineStr">
        <is>
          <t>2RS</t>
        </is>
      </c>
      <c r="C249" t="n">
        <v>2</v>
      </c>
      <c r="D249" s="2" t="n">
        <v>45705</v>
      </c>
      <c r="E249" t="inlineStr">
        <is>
          <t>2RS-2</t>
        </is>
      </c>
      <c r="F249" t="n">
        <v>84.45</v>
      </c>
      <c r="G249" t="inlineStr"/>
      <c r="H249" t="n">
        <v>286.27</v>
      </c>
      <c r="I249" t="n">
        <v>12.7</v>
      </c>
      <c r="J249" t="inlineStr"/>
      <c r="K249" t="inlineStr"/>
      <c r="L249" t="inlineStr"/>
      <c r="M249" t="inlineStr"/>
      <c r="N249" t="inlineStr"/>
    </row>
    <row r="250">
      <c r="A250" t="inlineStr">
        <is>
          <t>953</t>
        </is>
      </c>
      <c r="B250" t="inlineStr">
        <is>
          <t>2RS</t>
        </is>
      </c>
      <c r="C250" t="n">
        <v>2</v>
      </c>
      <c r="D250" s="2" t="n">
        <v>45707</v>
      </c>
      <c r="E250" t="inlineStr">
        <is>
          <t>2RS-2</t>
        </is>
      </c>
      <c r="F250" t="n">
        <v>83.75</v>
      </c>
      <c r="G250" t="inlineStr"/>
      <c r="H250" t="n">
        <v>285.85</v>
      </c>
      <c r="I250" t="n">
        <v>12.7</v>
      </c>
      <c r="J250" t="inlineStr"/>
      <c r="K250" t="inlineStr"/>
      <c r="L250" t="inlineStr"/>
      <c r="M250" t="inlineStr"/>
      <c r="N250" t="inlineStr"/>
    </row>
    <row r="251">
      <c r="A251" t="inlineStr">
        <is>
          <t>954</t>
        </is>
      </c>
      <c r="B251" t="inlineStr">
        <is>
          <t>2RS</t>
        </is>
      </c>
      <c r="C251" t="n">
        <v>2</v>
      </c>
      <c r="D251" s="2" t="n">
        <v>45709</v>
      </c>
      <c r="E251" t="inlineStr">
        <is>
          <t>2RS-2</t>
        </is>
      </c>
      <c r="F251" t="n">
        <v>84.3</v>
      </c>
      <c r="G251" t="inlineStr"/>
      <c r="H251" t="n">
        <v>286.09</v>
      </c>
      <c r="I251" t="n">
        <v>12.5</v>
      </c>
      <c r="J251" t="inlineStr"/>
      <c r="K251" t="inlineStr"/>
      <c r="L251" t="inlineStr"/>
      <c r="M251" t="inlineStr"/>
      <c r="N251" t="inlineStr"/>
    </row>
    <row r="252">
      <c r="A252" t="inlineStr">
        <is>
          <t>955</t>
        </is>
      </c>
      <c r="B252" t="inlineStr">
        <is>
          <t>2RS</t>
        </is>
      </c>
      <c r="C252" t="n">
        <v>2</v>
      </c>
      <c r="D252" s="2" t="n">
        <v>45710</v>
      </c>
      <c r="E252" t="inlineStr">
        <is>
          <t>2RS-2</t>
        </is>
      </c>
      <c r="F252" t="n">
        <v>83.87</v>
      </c>
      <c r="G252" t="inlineStr"/>
      <c r="H252" t="n">
        <v>286.11</v>
      </c>
      <c r="I252" t="n">
        <v>12.5</v>
      </c>
      <c r="J252" t="inlineStr"/>
      <c r="K252" t="inlineStr"/>
      <c r="L252" t="inlineStr"/>
      <c r="M252" t="inlineStr"/>
      <c r="N252" t="inlineStr"/>
    </row>
    <row r="253">
      <c r="A253" t="inlineStr">
        <is>
          <t>956</t>
        </is>
      </c>
      <c r="B253" t="inlineStr">
        <is>
          <t>2RS</t>
        </is>
      </c>
      <c r="C253" t="n">
        <v>2</v>
      </c>
      <c r="D253" s="2" t="n">
        <v>45712</v>
      </c>
      <c r="E253" t="inlineStr">
        <is>
          <t>2RS-2</t>
        </is>
      </c>
      <c r="F253" t="n">
        <v>84.70999999999999</v>
      </c>
      <c r="G253" t="inlineStr"/>
      <c r="H253" t="n">
        <v>286.27</v>
      </c>
      <c r="I253" t="n">
        <v>12.5</v>
      </c>
      <c r="J253" t="inlineStr"/>
      <c r="K253" t="inlineStr"/>
      <c r="L253" t="inlineStr"/>
      <c r="M253" t="inlineStr"/>
      <c r="N253" t="inlineStr"/>
    </row>
    <row r="254">
      <c r="A254" t="inlineStr">
        <is>
          <t>957</t>
        </is>
      </c>
      <c r="B254" t="inlineStr">
        <is>
          <t>2RS</t>
        </is>
      </c>
      <c r="C254" t="n">
        <v>2</v>
      </c>
      <c r="D254" s="2" t="n">
        <v>45713</v>
      </c>
      <c r="E254" t="inlineStr">
        <is>
          <t>2RS-2</t>
        </is>
      </c>
      <c r="F254" t="n">
        <v>84.73</v>
      </c>
      <c r="G254" t="inlineStr"/>
      <c r="H254" t="n">
        <v>286.08</v>
      </c>
      <c r="I254" t="n">
        <v>12.4</v>
      </c>
      <c r="J254" t="inlineStr"/>
      <c r="K254" t="inlineStr"/>
      <c r="L254" t="inlineStr"/>
      <c r="M254" t="inlineStr"/>
      <c r="N254" t="inlineStr"/>
    </row>
    <row r="255">
      <c r="A255" t="inlineStr">
        <is>
          <t>958</t>
        </is>
      </c>
      <c r="B255" t="inlineStr">
        <is>
          <t>2RS</t>
        </is>
      </c>
      <c r="C255" t="n">
        <v>2</v>
      </c>
      <c r="D255" s="2" t="n">
        <v>45715</v>
      </c>
      <c r="E255" t="inlineStr">
        <is>
          <t>2RS-2</t>
        </is>
      </c>
      <c r="F255" t="n">
        <v>85.23999999999999</v>
      </c>
      <c r="G255" t="inlineStr"/>
      <c r="H255" t="n">
        <v>286.13</v>
      </c>
      <c r="I255" t="n">
        <v>12.5</v>
      </c>
      <c r="J255" t="inlineStr"/>
      <c r="K255" t="inlineStr"/>
      <c r="L255" t="inlineStr"/>
      <c r="M255" t="inlineStr"/>
      <c r="N255" t="inlineStr"/>
    </row>
    <row r="256">
      <c r="A256" t="inlineStr">
        <is>
          <t>959</t>
        </is>
      </c>
      <c r="B256" t="inlineStr">
        <is>
          <t>IBON</t>
        </is>
      </c>
      <c r="C256" t="n">
        <v>2</v>
      </c>
      <c r="D256" s="2" t="n">
        <v>45716</v>
      </c>
      <c r="E256" t="inlineStr">
        <is>
          <t>IBON-2</t>
        </is>
      </c>
      <c r="F256" t="n">
        <v>83.87</v>
      </c>
      <c r="G256" t="n">
        <v>92.8</v>
      </c>
      <c r="H256" t="n">
        <v>282.32</v>
      </c>
      <c r="I256" t="n">
        <v>13.6</v>
      </c>
      <c r="J256" t="n">
        <v>4.38</v>
      </c>
      <c r="K256" t="n">
        <v>123</v>
      </c>
      <c r="L256" t="n">
        <v>63.25</v>
      </c>
      <c r="M256" t="n">
        <v>4.49</v>
      </c>
      <c r="N256" t="inlineStr"/>
    </row>
    <row r="257">
      <c r="A257" t="inlineStr">
        <is>
          <t>960</t>
        </is>
      </c>
      <c r="B257" t="inlineStr">
        <is>
          <t>2RS</t>
        </is>
      </c>
      <c r="C257" t="n">
        <v>3</v>
      </c>
      <c r="D257" s="2" t="n">
        <v>45718</v>
      </c>
      <c r="E257" t="inlineStr">
        <is>
          <t>2RS-3</t>
        </is>
      </c>
      <c r="F257" t="n">
        <v>85.3</v>
      </c>
      <c r="G257" t="inlineStr"/>
      <c r="H257" t="n">
        <v>287.44</v>
      </c>
      <c r="I257" t="n">
        <v>12.5</v>
      </c>
      <c r="J257" t="inlineStr"/>
      <c r="K257" t="inlineStr"/>
      <c r="L257" t="inlineStr"/>
      <c r="M257" t="inlineStr"/>
      <c r="N257" t="inlineStr"/>
    </row>
    <row r="258">
      <c r="A258" t="inlineStr">
        <is>
          <t>961</t>
        </is>
      </c>
      <c r="B258" t="inlineStr">
        <is>
          <t>2RS</t>
        </is>
      </c>
      <c r="C258" t="n">
        <v>3</v>
      </c>
      <c r="D258" s="2" t="n">
        <v>45719</v>
      </c>
      <c r="E258" t="inlineStr">
        <is>
          <t>2RS-3</t>
        </is>
      </c>
      <c r="F258" t="n">
        <v>84.34999999999999</v>
      </c>
      <c r="G258" t="n">
        <v>93.09999999999999</v>
      </c>
      <c r="H258" t="n">
        <v>286.68</v>
      </c>
      <c r="I258" t="n">
        <v>13.2</v>
      </c>
      <c r="J258" t="n">
        <v>4.21</v>
      </c>
      <c r="K258" t="n">
        <v>105</v>
      </c>
      <c r="L258" t="n">
        <v>78.86</v>
      </c>
      <c r="M258" t="n">
        <v>3.7</v>
      </c>
      <c r="N258" t="inlineStr"/>
    </row>
    <row r="259">
      <c r="A259" t="inlineStr">
        <is>
          <t>962</t>
        </is>
      </c>
      <c r="B259" t="inlineStr">
        <is>
          <t>2RS</t>
        </is>
      </c>
      <c r="C259" t="n">
        <v>3</v>
      </c>
      <c r="D259" s="2" t="n">
        <v>45720</v>
      </c>
      <c r="E259" t="inlineStr">
        <is>
          <t>2RS-3</t>
        </is>
      </c>
      <c r="F259" t="n">
        <v>84.89</v>
      </c>
      <c r="G259" t="n">
        <v>93.40000000000001</v>
      </c>
      <c r="H259" t="n">
        <v>286.14</v>
      </c>
      <c r="I259" t="n">
        <v>12.8</v>
      </c>
      <c r="J259" t="n">
        <v>4.11</v>
      </c>
      <c r="K259" t="n">
        <v>119</v>
      </c>
      <c r="L259" t="n">
        <v>80</v>
      </c>
      <c r="M259" t="n">
        <v>3.8</v>
      </c>
      <c r="N259" t="n">
        <v>360</v>
      </c>
    </row>
    <row r="260">
      <c r="A260" t="inlineStr">
        <is>
          <t>963</t>
        </is>
      </c>
      <c r="B260" t="inlineStr">
        <is>
          <t>2RS</t>
        </is>
      </c>
      <c r="C260" t="n">
        <v>3</v>
      </c>
      <c r="D260" s="2" t="n">
        <v>45722</v>
      </c>
      <c r="E260" t="inlineStr">
        <is>
          <t>2RS-3</t>
        </is>
      </c>
      <c r="F260" t="n">
        <v>83.90000000000001</v>
      </c>
      <c r="G260" t="n">
        <v>92.90000000000001</v>
      </c>
      <c r="H260" t="n">
        <v>285.64</v>
      </c>
      <c r="I260" t="n">
        <v>13.1</v>
      </c>
      <c r="J260" t="n">
        <v>3.76</v>
      </c>
      <c r="K260" t="n">
        <v>120</v>
      </c>
      <c r="L260" t="n">
        <v>81.72</v>
      </c>
      <c r="M260" t="n">
        <v>4.36</v>
      </c>
      <c r="N260" t="n">
        <v>270</v>
      </c>
    </row>
    <row r="261">
      <c r="A261" t="inlineStr">
        <is>
          <t>964</t>
        </is>
      </c>
      <c r="B261" t="inlineStr">
        <is>
          <t>IBON</t>
        </is>
      </c>
      <c r="C261" t="n">
        <v>3</v>
      </c>
      <c r="D261" s="2" t="n">
        <v>45724</v>
      </c>
      <c r="E261" t="inlineStr">
        <is>
          <t>IBON-3</t>
        </is>
      </c>
      <c r="F261" t="n">
        <v>83.72</v>
      </c>
      <c r="G261" t="n">
        <v>91.7</v>
      </c>
      <c r="H261" t="n">
        <v>282.21</v>
      </c>
      <c r="I261" t="n">
        <v>13.2</v>
      </c>
      <c r="J261" t="n">
        <v>4.91</v>
      </c>
      <c r="K261" t="n">
        <v>122</v>
      </c>
      <c r="L261" t="n">
        <v>65.55</v>
      </c>
      <c r="M261" t="n">
        <v>4.7</v>
      </c>
      <c r="N261" t="n">
        <v>281</v>
      </c>
    </row>
    <row r="262">
      <c r="A262" t="inlineStr">
        <is>
          <t>965</t>
        </is>
      </c>
      <c r="B262" t="inlineStr">
        <is>
          <t>2RS</t>
        </is>
      </c>
      <c r="C262" t="n">
        <v>3</v>
      </c>
      <c r="D262" s="2" t="n">
        <v>45725</v>
      </c>
      <c r="E262" t="inlineStr">
        <is>
          <t>2RS-3</t>
        </is>
      </c>
      <c r="F262" t="n">
        <v>84.39</v>
      </c>
      <c r="G262" t="n">
        <v>92.7</v>
      </c>
      <c r="H262" t="n">
        <v>287</v>
      </c>
      <c r="I262" t="n">
        <v>12.8</v>
      </c>
      <c r="J262" t="n">
        <v>4.26</v>
      </c>
      <c r="K262" t="n">
        <v>109</v>
      </c>
      <c r="L262" t="n">
        <v>83.5</v>
      </c>
      <c r="M262" t="n">
        <v>3.8</v>
      </c>
      <c r="N262" t="n">
        <v>245</v>
      </c>
    </row>
    <row r="263">
      <c r="A263" t="inlineStr">
        <is>
          <t>966</t>
        </is>
      </c>
      <c r="B263" t="inlineStr">
        <is>
          <t>2RS</t>
        </is>
      </c>
      <c r="C263" t="n">
        <v>3</v>
      </c>
      <c r="D263" s="2" t="n">
        <v>45727</v>
      </c>
      <c r="E263" t="inlineStr">
        <is>
          <t>2RS-3</t>
        </is>
      </c>
      <c r="F263" t="n">
        <v>84.16</v>
      </c>
      <c r="G263" t="n">
        <v>92.3</v>
      </c>
      <c r="H263" t="n">
        <v>286.98</v>
      </c>
      <c r="I263" t="n">
        <v>12.9</v>
      </c>
      <c r="J263" t="n">
        <v>4.49</v>
      </c>
      <c r="K263" t="n">
        <v>90</v>
      </c>
      <c r="L263" t="n">
        <v>82</v>
      </c>
      <c r="M263" t="n">
        <v>3.3</v>
      </c>
      <c r="N263" t="n">
        <v>255</v>
      </c>
    </row>
    <row r="264">
      <c r="A264" t="inlineStr">
        <is>
          <t>967</t>
        </is>
      </c>
      <c r="B264" t="inlineStr">
        <is>
          <t>IBON</t>
        </is>
      </c>
      <c r="C264" t="n">
        <v>3</v>
      </c>
      <c r="D264" s="2" t="n">
        <v>45728</v>
      </c>
      <c r="E264" t="inlineStr">
        <is>
          <t>IBON-3</t>
        </is>
      </c>
      <c r="F264" t="n">
        <v>83.14</v>
      </c>
      <c r="G264" t="n">
        <v>91.5</v>
      </c>
      <c r="H264" t="n">
        <v>282.14</v>
      </c>
      <c r="I264" t="n">
        <v>13.2</v>
      </c>
      <c r="J264" t="n">
        <v>4.44</v>
      </c>
      <c r="K264" t="n">
        <v>106</v>
      </c>
      <c r="L264" t="n">
        <v>58.91</v>
      </c>
      <c r="M264" t="n">
        <v>4.2</v>
      </c>
      <c r="N264" t="n">
        <v>326</v>
      </c>
    </row>
    <row r="265">
      <c r="A265" t="inlineStr">
        <is>
          <t>968</t>
        </is>
      </c>
      <c r="B265" t="inlineStr">
        <is>
          <t>2RS</t>
        </is>
      </c>
      <c r="C265" t="n">
        <v>3</v>
      </c>
      <c r="D265" s="2" t="n">
        <v>45730</v>
      </c>
      <c r="E265" t="inlineStr">
        <is>
          <t>2RS-3</t>
        </is>
      </c>
      <c r="F265" t="n">
        <v>83.84</v>
      </c>
      <c r="G265" t="n">
        <v>92.59999999999999</v>
      </c>
      <c r="H265" t="n">
        <v>286.44</v>
      </c>
      <c r="I265" t="n">
        <v>12.6</v>
      </c>
      <c r="J265" t="n">
        <v>3.44</v>
      </c>
      <c r="K265" t="n">
        <v>93</v>
      </c>
      <c r="L265" t="n">
        <v>84.15000000000001</v>
      </c>
      <c r="M265" t="n">
        <v>3.5</v>
      </c>
      <c r="N265" t="n">
        <v>291</v>
      </c>
    </row>
    <row r="266">
      <c r="A266" t="inlineStr">
        <is>
          <t>969</t>
        </is>
      </c>
      <c r="B266" t="inlineStr">
        <is>
          <t>2RS</t>
        </is>
      </c>
      <c r="C266" t="n">
        <v>3</v>
      </c>
      <c r="D266" s="2" t="n">
        <v>45731</v>
      </c>
      <c r="E266" t="inlineStr">
        <is>
          <t>2RS-3</t>
        </is>
      </c>
      <c r="F266" t="n">
        <v>83.09</v>
      </c>
      <c r="G266" t="n">
        <v>92.2</v>
      </c>
      <c r="H266" t="n">
        <v>286.63</v>
      </c>
      <c r="I266" t="n">
        <v>13.1</v>
      </c>
      <c r="J266" t="n">
        <v>3.52</v>
      </c>
      <c r="K266" t="n">
        <v>112</v>
      </c>
      <c r="L266" t="n">
        <v>87.55</v>
      </c>
      <c r="M266" t="n">
        <v>4.1</v>
      </c>
      <c r="N266" t="n">
        <v>191</v>
      </c>
    </row>
    <row r="267">
      <c r="A267" t="inlineStr">
        <is>
          <t>970</t>
        </is>
      </c>
      <c r="B267" t="inlineStr">
        <is>
          <t>2RS</t>
        </is>
      </c>
      <c r="C267" t="n">
        <v>3</v>
      </c>
      <c r="D267" s="2" t="n">
        <v>45733</v>
      </c>
      <c r="E267" t="inlineStr">
        <is>
          <t>2RS-3</t>
        </is>
      </c>
      <c r="F267" t="n">
        <v>84.54000000000001</v>
      </c>
      <c r="G267" t="n">
        <v>93.09999999999999</v>
      </c>
      <c r="H267" t="n">
        <v>285.87</v>
      </c>
      <c r="I267" t="n">
        <v>13</v>
      </c>
      <c r="J267" t="n">
        <v>4.18</v>
      </c>
      <c r="K267" t="n">
        <v>109</v>
      </c>
      <c r="L267" t="n">
        <v>87.39</v>
      </c>
      <c r="M267" t="n">
        <v>3.62</v>
      </c>
      <c r="N267" t="n">
        <v>214</v>
      </c>
    </row>
    <row r="268">
      <c r="A268" t="inlineStr">
        <is>
          <t>971</t>
        </is>
      </c>
      <c r="B268" t="inlineStr">
        <is>
          <t>2RS</t>
        </is>
      </c>
      <c r="C268" t="n">
        <v>3</v>
      </c>
      <c r="D268" s="2" t="n">
        <v>45734</v>
      </c>
      <c r="E268" t="inlineStr">
        <is>
          <t>2RS-3</t>
        </is>
      </c>
      <c r="F268" t="n">
        <v>84.40000000000001</v>
      </c>
      <c r="G268" t="n">
        <v>92.3</v>
      </c>
      <c r="H268" t="n">
        <v>288.54</v>
      </c>
      <c r="I268" t="n">
        <v>13</v>
      </c>
      <c r="J268" t="n">
        <v>4.84</v>
      </c>
      <c r="K268" t="n">
        <v>102</v>
      </c>
      <c r="L268" t="n">
        <v>70.37</v>
      </c>
      <c r="M268" t="n">
        <v>3.94</v>
      </c>
      <c r="N268" t="n">
        <v>305</v>
      </c>
    </row>
    <row r="269">
      <c r="A269" t="inlineStr">
        <is>
          <t>972</t>
        </is>
      </c>
      <c r="B269" t="inlineStr">
        <is>
          <t>2RS</t>
        </is>
      </c>
      <c r="C269" t="n">
        <v>3</v>
      </c>
      <c r="D269" s="2" t="n">
        <v>45736</v>
      </c>
      <c r="E269" t="inlineStr">
        <is>
          <t>2RS-3</t>
        </is>
      </c>
      <c r="F269" t="n">
        <v>81.94</v>
      </c>
      <c r="G269" t="n">
        <v>90.09999999999999</v>
      </c>
      <c r="H269" t="n">
        <v>286.11</v>
      </c>
      <c r="I269" t="n">
        <v>12.6</v>
      </c>
      <c r="J269" t="n">
        <v>3.93</v>
      </c>
      <c r="K269" t="n">
        <v>108</v>
      </c>
      <c r="L269" t="n">
        <v>81.87</v>
      </c>
      <c r="M269" t="n">
        <v>3.91</v>
      </c>
      <c r="N269" t="n">
        <v>274</v>
      </c>
    </row>
    <row r="270">
      <c r="A270" t="inlineStr">
        <is>
          <t>973</t>
        </is>
      </c>
      <c r="B270" t="inlineStr">
        <is>
          <t>2RS</t>
        </is>
      </c>
      <c r="C270" t="n">
        <v>3</v>
      </c>
      <c r="D270" s="2" t="n">
        <v>45737</v>
      </c>
      <c r="E270" t="inlineStr">
        <is>
          <t>2RS-3</t>
        </is>
      </c>
      <c r="F270" t="n">
        <v>86.13</v>
      </c>
      <c r="G270" t="n">
        <v>94.7</v>
      </c>
      <c r="H270" t="n">
        <v>286.33</v>
      </c>
      <c r="I270" t="n">
        <v>13.1</v>
      </c>
      <c r="J270" t="n">
        <v>4.5</v>
      </c>
      <c r="K270" t="n">
        <v>107</v>
      </c>
      <c r="L270" t="n">
        <v>82.53</v>
      </c>
      <c r="M270" t="n">
        <v>3.8</v>
      </c>
      <c r="N270" t="n">
        <v>209</v>
      </c>
    </row>
    <row r="271">
      <c r="A271" t="inlineStr">
        <is>
          <t>974</t>
        </is>
      </c>
      <c r="B271" t="inlineStr">
        <is>
          <t>2RS</t>
        </is>
      </c>
      <c r="C271" t="n">
        <v>3</v>
      </c>
      <c r="D271" s="2" t="n">
        <v>45738</v>
      </c>
      <c r="E271" t="inlineStr">
        <is>
          <t>2RS-3</t>
        </is>
      </c>
      <c r="F271" t="n">
        <v>84.22</v>
      </c>
      <c r="G271" t="n">
        <v>91.7</v>
      </c>
      <c r="H271" t="n">
        <v>286.36</v>
      </c>
      <c r="I271" t="n">
        <v>12.3</v>
      </c>
      <c r="J271" t="n">
        <v>4.5</v>
      </c>
      <c r="K271" t="n">
        <v>115</v>
      </c>
      <c r="L271" t="n">
        <v>85.28</v>
      </c>
      <c r="M271" t="n">
        <v>4</v>
      </c>
      <c r="N271" t="n">
        <v>180</v>
      </c>
    </row>
    <row r="272">
      <c r="A272" t="inlineStr">
        <is>
          <t>975</t>
        </is>
      </c>
      <c r="B272" t="inlineStr">
        <is>
          <t>2RS</t>
        </is>
      </c>
      <c r="C272" t="n">
        <v>3</v>
      </c>
      <c r="D272" s="2" t="n">
        <v>45740</v>
      </c>
      <c r="E272" t="inlineStr">
        <is>
          <t>2RS-3</t>
        </is>
      </c>
      <c r="F272" t="n">
        <v>84.68000000000001</v>
      </c>
      <c r="G272" t="n">
        <v>93.09999999999999</v>
      </c>
      <c r="H272" t="n">
        <v>286.51</v>
      </c>
      <c r="I272" t="n">
        <v>12.8</v>
      </c>
      <c r="J272" t="n">
        <v>4.1</v>
      </c>
      <c r="K272" t="n">
        <v>107</v>
      </c>
      <c r="L272" t="n">
        <v>82.3</v>
      </c>
      <c r="M272" t="n">
        <v>4.3</v>
      </c>
      <c r="N272" t="n">
        <v>235</v>
      </c>
    </row>
    <row r="273">
      <c r="A273" t="inlineStr">
        <is>
          <t>976</t>
        </is>
      </c>
      <c r="B273" t="inlineStr">
        <is>
          <t>2RS</t>
        </is>
      </c>
      <c r="C273" t="n">
        <v>3</v>
      </c>
      <c r="D273" s="2" t="n">
        <v>45741</v>
      </c>
      <c r="E273" t="inlineStr">
        <is>
          <t>2RS-3</t>
        </is>
      </c>
      <c r="F273" t="n">
        <v>83.92</v>
      </c>
      <c r="G273" t="n">
        <v>92</v>
      </c>
      <c r="H273" t="n">
        <v>286.45</v>
      </c>
      <c r="I273" t="n">
        <v>12.5</v>
      </c>
      <c r="J273" t="n">
        <v>4.03</v>
      </c>
      <c r="K273" t="n">
        <v>112</v>
      </c>
      <c r="L273" t="n">
        <v>87.45</v>
      </c>
      <c r="M273" t="n">
        <v>3.45</v>
      </c>
      <c r="N273" t="n">
        <v>191</v>
      </c>
    </row>
    <row r="274">
      <c r="A274" t="inlineStr">
        <is>
          <t>977</t>
        </is>
      </c>
      <c r="B274" t="inlineStr">
        <is>
          <t>2RS</t>
        </is>
      </c>
      <c r="C274" t="n">
        <v>3</v>
      </c>
      <c r="D274" s="2" t="n">
        <v>45743</v>
      </c>
      <c r="E274" t="inlineStr">
        <is>
          <t>2RS-3</t>
        </is>
      </c>
      <c r="F274" t="n">
        <v>84.11</v>
      </c>
      <c r="G274" t="n">
        <v>92.2</v>
      </c>
      <c r="H274" t="n">
        <v>287.02</v>
      </c>
      <c r="I274" t="n">
        <v>12.7</v>
      </c>
      <c r="J274" t="n">
        <v>4.29</v>
      </c>
      <c r="K274" t="n">
        <v>118</v>
      </c>
      <c r="L274" t="n">
        <v>79.23</v>
      </c>
      <c r="M274" t="n">
        <v>3.8</v>
      </c>
      <c r="N274" t="n">
        <v>328</v>
      </c>
    </row>
    <row r="275">
      <c r="A275" t="inlineStr">
        <is>
          <t>978</t>
        </is>
      </c>
      <c r="B275" t="inlineStr">
        <is>
          <t>IBON</t>
        </is>
      </c>
      <c r="C275" t="n">
        <v>3</v>
      </c>
      <c r="D275" s="2" t="n">
        <v>45744</v>
      </c>
      <c r="E275" t="inlineStr">
        <is>
          <t>IBON-3</t>
        </is>
      </c>
      <c r="F275" t="n">
        <v>83.62</v>
      </c>
      <c r="G275" t="n">
        <v>92.3</v>
      </c>
      <c r="H275" t="n">
        <v>281.25</v>
      </c>
      <c r="I275" t="n">
        <v>13.4</v>
      </c>
      <c r="J275" t="n">
        <v>4.42</v>
      </c>
      <c r="K275" t="n">
        <v>128</v>
      </c>
      <c r="L275" t="n">
        <v>59</v>
      </c>
      <c r="M275" t="n">
        <v>4.6</v>
      </c>
      <c r="N275" t="n">
        <v>407</v>
      </c>
    </row>
    <row r="276">
      <c r="A276" t="inlineStr">
        <is>
          <t>979</t>
        </is>
      </c>
      <c r="B276" t="inlineStr">
        <is>
          <t>IBON</t>
        </is>
      </c>
      <c r="C276" t="n">
        <v>3</v>
      </c>
      <c r="D276" s="2" t="n">
        <v>45745</v>
      </c>
      <c r="E276" t="inlineStr">
        <is>
          <t>IBON-3</t>
        </is>
      </c>
      <c r="F276" t="n">
        <v>83.95999999999999</v>
      </c>
      <c r="G276" t="n">
        <v>92.7</v>
      </c>
      <c r="H276" t="n">
        <v>281.31</v>
      </c>
      <c r="I276" t="n">
        <v>13.4</v>
      </c>
      <c r="J276" t="n">
        <v>4.39</v>
      </c>
      <c r="K276" t="n">
        <v>130</v>
      </c>
      <c r="L276" t="n">
        <v>56.1</v>
      </c>
      <c r="M276" t="n">
        <v>4.7</v>
      </c>
      <c r="N276" t="n">
        <v>390</v>
      </c>
    </row>
    <row r="277">
      <c r="A277" t="inlineStr">
        <is>
          <t>980</t>
        </is>
      </c>
      <c r="B277" t="inlineStr">
        <is>
          <t>IBON</t>
        </is>
      </c>
      <c r="C277" t="n">
        <v>3</v>
      </c>
      <c r="D277" s="2" t="n">
        <v>45747</v>
      </c>
      <c r="E277" t="inlineStr">
        <is>
          <t>IBON-3</t>
        </is>
      </c>
      <c r="F277" t="n">
        <v>83.05</v>
      </c>
      <c r="G277" t="n">
        <v>92.59999999999999</v>
      </c>
      <c r="H277" t="n">
        <v>281.02</v>
      </c>
      <c r="I277" t="n">
        <v>13.4</v>
      </c>
      <c r="J277" t="n">
        <v>3.49</v>
      </c>
      <c r="K277" t="n">
        <v>132</v>
      </c>
      <c r="L277" t="n">
        <v>56.89</v>
      </c>
      <c r="M277" t="n">
        <v>4.8</v>
      </c>
      <c r="N277" t="n">
        <v>332</v>
      </c>
    </row>
    <row r="278">
      <c r="A278" t="inlineStr">
        <is>
          <t>981</t>
        </is>
      </c>
      <c r="B278" t="inlineStr">
        <is>
          <t>2RS</t>
        </is>
      </c>
      <c r="C278" t="n">
        <v>4</v>
      </c>
      <c r="D278" s="2" t="n">
        <v>45748</v>
      </c>
      <c r="E278" t="inlineStr">
        <is>
          <t>2RS-4</t>
        </is>
      </c>
      <c r="F278" t="n">
        <v>84.01000000000001</v>
      </c>
      <c r="G278" t="n">
        <v>93.2</v>
      </c>
      <c r="H278" t="n">
        <v>285.89</v>
      </c>
      <c r="I278" t="n">
        <v>13.5</v>
      </c>
      <c r="J278" t="n">
        <v>4.02</v>
      </c>
      <c r="K278" t="n">
        <v>132</v>
      </c>
      <c r="L278" t="n">
        <v>85.19</v>
      </c>
      <c r="M278" t="n">
        <v>4.1</v>
      </c>
      <c r="N278" t="n">
        <v>174</v>
      </c>
    </row>
    <row r="279">
      <c r="A279" t="inlineStr">
        <is>
          <t>982</t>
        </is>
      </c>
      <c r="B279" t="inlineStr">
        <is>
          <t>2RS</t>
        </is>
      </c>
      <c r="C279" t="n">
        <v>4</v>
      </c>
      <c r="D279" s="2" t="n">
        <v>45749</v>
      </c>
      <c r="E279" t="inlineStr">
        <is>
          <t>2RS-4</t>
        </is>
      </c>
      <c r="F279" t="n">
        <v>85.05</v>
      </c>
      <c r="G279" t="n">
        <v>93.5</v>
      </c>
      <c r="H279" t="n">
        <v>282.07</v>
      </c>
      <c r="I279" t="n">
        <v>12.9</v>
      </c>
      <c r="J279" t="n">
        <v>4.2</v>
      </c>
      <c r="K279" t="n">
        <v>118</v>
      </c>
      <c r="L279" t="n">
        <v>82</v>
      </c>
      <c r="M279" t="n">
        <v>3.8</v>
      </c>
      <c r="N279" t="n">
        <v>232</v>
      </c>
    </row>
    <row r="280">
      <c r="A280" t="inlineStr">
        <is>
          <t>983</t>
        </is>
      </c>
      <c r="B280" t="inlineStr">
        <is>
          <t>2RS</t>
        </is>
      </c>
      <c r="C280" t="n">
        <v>4</v>
      </c>
      <c r="D280" s="2" t="n">
        <v>45751</v>
      </c>
      <c r="E280" t="inlineStr">
        <is>
          <t>2RS-4</t>
        </is>
      </c>
      <c r="F280" t="n">
        <v>84.73999999999999</v>
      </c>
      <c r="G280" t="n">
        <v>93.09999999999999</v>
      </c>
      <c r="H280" t="n">
        <v>285.82</v>
      </c>
      <c r="I280" t="n">
        <v>12.8</v>
      </c>
      <c r="J280" t="n">
        <v>4.19</v>
      </c>
      <c r="K280" t="n">
        <v>115</v>
      </c>
      <c r="L280" t="n">
        <v>82.01000000000001</v>
      </c>
      <c r="M280" t="n">
        <v>3.7</v>
      </c>
      <c r="N280" t="n">
        <v>302</v>
      </c>
    </row>
    <row r="281">
      <c r="A281" t="inlineStr">
        <is>
          <t>984</t>
        </is>
      </c>
      <c r="B281" t="inlineStr">
        <is>
          <t>2RS</t>
        </is>
      </c>
      <c r="C281" t="n">
        <v>4</v>
      </c>
      <c r="D281" s="2" t="n">
        <v>45752</v>
      </c>
      <c r="E281" t="inlineStr">
        <is>
          <t>2RS-4</t>
        </is>
      </c>
      <c r="F281" t="n">
        <v>85.59999999999999</v>
      </c>
      <c r="G281" t="n">
        <v>94.09999999999999</v>
      </c>
      <c r="H281" t="n">
        <v>286.48</v>
      </c>
      <c r="I281" t="n">
        <v>12.8</v>
      </c>
      <c r="J281" t="n">
        <v>4.18</v>
      </c>
      <c r="K281" t="n">
        <v>116</v>
      </c>
      <c r="L281" t="n">
        <v>80.44</v>
      </c>
      <c r="M281" t="n">
        <v>3.7</v>
      </c>
      <c r="N281" t="n">
        <v>383</v>
      </c>
    </row>
    <row r="282">
      <c r="A282" t="inlineStr">
        <is>
          <t>985</t>
        </is>
      </c>
      <c r="B282" t="inlineStr">
        <is>
          <t>2RS</t>
        </is>
      </c>
      <c r="C282" t="n">
        <v>4</v>
      </c>
      <c r="D282" s="2" t="n">
        <v>45753</v>
      </c>
      <c r="E282" t="inlineStr">
        <is>
          <t>2RS-4</t>
        </is>
      </c>
      <c r="F282" t="n">
        <v>84.39</v>
      </c>
      <c r="G282" t="n">
        <v>93</v>
      </c>
      <c r="H282" t="n">
        <v>286.01</v>
      </c>
      <c r="I282" t="n">
        <v>12.8</v>
      </c>
      <c r="J282" t="n">
        <v>3.94</v>
      </c>
      <c r="K282" t="n">
        <v>119</v>
      </c>
      <c r="L282" t="n">
        <v>83.27</v>
      </c>
      <c r="M282" t="n">
        <v>3.7</v>
      </c>
      <c r="N282" t="n">
        <v>296</v>
      </c>
    </row>
    <row r="283">
      <c r="A283" t="inlineStr">
        <is>
          <t>986</t>
        </is>
      </c>
      <c r="B283" t="inlineStr">
        <is>
          <t>2RS</t>
        </is>
      </c>
      <c r="C283" t="n">
        <v>4</v>
      </c>
      <c r="D283" s="2" t="n">
        <v>45755</v>
      </c>
      <c r="E283" t="inlineStr">
        <is>
          <t>2RS-4</t>
        </is>
      </c>
      <c r="F283" t="n">
        <v>84.45</v>
      </c>
      <c r="G283" t="n">
        <v>93.2</v>
      </c>
      <c r="H283" t="n">
        <v>287.19</v>
      </c>
      <c r="I283" t="n">
        <v>13.2</v>
      </c>
      <c r="J283" t="n">
        <v>4.17</v>
      </c>
      <c r="K283" t="n">
        <v>110</v>
      </c>
      <c r="L283" t="n">
        <v>82.73999999999999</v>
      </c>
      <c r="M283" t="n">
        <v>4.1</v>
      </c>
      <c r="N283" t="n">
        <v>358</v>
      </c>
    </row>
    <row r="284">
      <c r="A284" t="inlineStr">
        <is>
          <t>987</t>
        </is>
      </c>
      <c r="B284" t="inlineStr">
        <is>
          <t>2RS</t>
        </is>
      </c>
      <c r="C284" t="n">
        <v>4</v>
      </c>
      <c r="D284" s="2" t="n">
        <v>45756</v>
      </c>
      <c r="E284" t="inlineStr">
        <is>
          <t>2RS-4</t>
        </is>
      </c>
      <c r="F284" t="n">
        <v>83.68000000000001</v>
      </c>
      <c r="G284" t="n">
        <v>92.3</v>
      </c>
      <c r="H284" t="n">
        <v>288.66</v>
      </c>
      <c r="I284" t="n">
        <v>13</v>
      </c>
      <c r="J284" t="n">
        <v>3.99</v>
      </c>
      <c r="K284" t="n">
        <v>130</v>
      </c>
      <c r="L284" t="n">
        <v>88.78</v>
      </c>
      <c r="M284" t="n">
        <v>3.6</v>
      </c>
      <c r="N284" t="n">
        <v>227</v>
      </c>
    </row>
    <row r="285">
      <c r="A285" t="inlineStr">
        <is>
          <t>988</t>
        </is>
      </c>
      <c r="B285" t="inlineStr">
        <is>
          <t>2RS</t>
        </is>
      </c>
      <c r="C285" t="n">
        <v>4</v>
      </c>
      <c r="D285" s="2" t="n">
        <v>45758</v>
      </c>
      <c r="E285" t="inlineStr">
        <is>
          <t>2RS-4</t>
        </is>
      </c>
      <c r="F285" t="n">
        <v>84.5</v>
      </c>
      <c r="G285" t="n">
        <v>93.09999999999999</v>
      </c>
      <c r="H285" t="n">
        <v>288.81</v>
      </c>
      <c r="I285" t="n">
        <v>12.6</v>
      </c>
      <c r="J285" t="n">
        <v>3.68</v>
      </c>
      <c r="K285" t="n">
        <v>126</v>
      </c>
      <c r="L285" t="n">
        <v>85.28</v>
      </c>
      <c r="M285" t="n">
        <v>4</v>
      </c>
      <c r="N285" t="n">
        <v>300</v>
      </c>
    </row>
    <row r="286">
      <c r="A286" t="inlineStr">
        <is>
          <t>989</t>
        </is>
      </c>
      <c r="B286" t="inlineStr">
        <is>
          <t>2RS</t>
        </is>
      </c>
      <c r="C286" t="n">
        <v>4</v>
      </c>
      <c r="D286" s="2" t="n">
        <v>45759</v>
      </c>
      <c r="E286" t="inlineStr">
        <is>
          <t>2RS-4</t>
        </is>
      </c>
      <c r="F286" t="n">
        <v>84.16</v>
      </c>
      <c r="G286" t="n">
        <v>92.59999999999999</v>
      </c>
      <c r="H286" t="n">
        <v>286.29</v>
      </c>
      <c r="I286" t="n">
        <v>12.8</v>
      </c>
      <c r="J286" t="n">
        <v>4.04</v>
      </c>
      <c r="K286" t="n">
        <v>114</v>
      </c>
      <c r="L286" t="n">
        <v>83.90000000000001</v>
      </c>
      <c r="M286" t="n">
        <v>3.6</v>
      </c>
      <c r="N286" t="n">
        <v>326</v>
      </c>
    </row>
    <row r="287">
      <c r="A287" t="inlineStr">
        <is>
          <t>990</t>
        </is>
      </c>
      <c r="B287" t="inlineStr">
        <is>
          <t>2RS</t>
        </is>
      </c>
      <c r="C287" t="n">
        <v>4</v>
      </c>
      <c r="D287" s="2" t="n">
        <v>45760</v>
      </c>
      <c r="E287" t="inlineStr">
        <is>
          <t>2RS-4</t>
        </is>
      </c>
      <c r="F287" t="n">
        <v>82.89</v>
      </c>
      <c r="G287" t="n">
        <v>91</v>
      </c>
      <c r="H287" t="n">
        <v>286.45</v>
      </c>
      <c r="I287" t="n">
        <v>13</v>
      </c>
      <c r="J287" t="n">
        <v>4.46</v>
      </c>
      <c r="K287" t="n">
        <v>112</v>
      </c>
      <c r="L287" t="n">
        <v>80.44</v>
      </c>
      <c r="M287" t="n">
        <v>3.54</v>
      </c>
      <c r="N287" t="n">
        <v>302</v>
      </c>
    </row>
    <row r="288">
      <c r="A288" t="inlineStr">
        <is>
          <t>991</t>
        </is>
      </c>
      <c r="B288" t="inlineStr">
        <is>
          <t>2RS</t>
        </is>
      </c>
      <c r="C288" t="n">
        <v>4</v>
      </c>
      <c r="D288" s="2" t="n">
        <v>45762</v>
      </c>
      <c r="E288" t="inlineStr">
        <is>
          <t>2RS-4</t>
        </is>
      </c>
      <c r="F288" t="n">
        <v>86.47</v>
      </c>
      <c r="G288" t="n">
        <v>94.59999999999999</v>
      </c>
      <c r="H288" t="n">
        <v>287.03</v>
      </c>
      <c r="I288" t="n">
        <v>12.4</v>
      </c>
      <c r="J288" t="n">
        <v>4.16</v>
      </c>
      <c r="K288" t="n">
        <v>129</v>
      </c>
      <c r="L288" t="n">
        <v>85.73</v>
      </c>
      <c r="M288" t="n">
        <v>3.3</v>
      </c>
      <c r="N288" t="n">
        <v>263</v>
      </c>
    </row>
    <row r="289">
      <c r="A289" t="inlineStr">
        <is>
          <t>992</t>
        </is>
      </c>
      <c r="B289" t="inlineStr">
        <is>
          <t>IBON</t>
        </is>
      </c>
      <c r="C289" t="n">
        <v>4</v>
      </c>
      <c r="D289" s="2" t="n">
        <v>45764</v>
      </c>
      <c r="E289" t="inlineStr">
        <is>
          <t>IBON-4</t>
        </is>
      </c>
      <c r="F289" t="n">
        <v>83.77</v>
      </c>
      <c r="G289" t="n">
        <v>92.7</v>
      </c>
      <c r="H289" t="n">
        <v>282.6</v>
      </c>
      <c r="I289" t="n">
        <v>13.5</v>
      </c>
      <c r="J289" t="n">
        <v>4.3</v>
      </c>
      <c r="K289" t="n">
        <v>128</v>
      </c>
      <c r="L289" t="n">
        <v>61.7</v>
      </c>
      <c r="M289" t="n">
        <v>4.7</v>
      </c>
      <c r="N289" t="n">
        <v>363</v>
      </c>
    </row>
    <row r="290">
      <c r="A290" t="inlineStr">
        <is>
          <t>993</t>
        </is>
      </c>
      <c r="B290" t="inlineStr">
        <is>
          <t>IBON</t>
        </is>
      </c>
      <c r="C290" t="n">
        <v>4</v>
      </c>
      <c r="D290" s="2" t="n">
        <v>45765</v>
      </c>
      <c r="E290" t="inlineStr">
        <is>
          <t>IBON-4</t>
        </is>
      </c>
      <c r="F290" t="n">
        <v>83.05</v>
      </c>
      <c r="G290" t="n">
        <v>91.90000000000001</v>
      </c>
      <c r="H290" t="n">
        <v>282.59</v>
      </c>
      <c r="I290" t="n">
        <v>13.5</v>
      </c>
      <c r="J290" t="n">
        <v>4.25</v>
      </c>
      <c r="K290" t="n">
        <v>114</v>
      </c>
      <c r="L290" t="n">
        <v>60.2</v>
      </c>
      <c r="M290" t="n">
        <v>3.7</v>
      </c>
      <c r="N290" t="n">
        <v>392</v>
      </c>
    </row>
    <row r="291">
      <c r="A291" t="inlineStr">
        <is>
          <t>994</t>
        </is>
      </c>
      <c r="B291" t="inlineStr">
        <is>
          <t>IBON</t>
        </is>
      </c>
      <c r="C291" t="n">
        <v>4</v>
      </c>
      <c r="D291" s="2" t="n">
        <v>45767</v>
      </c>
      <c r="E291" t="inlineStr">
        <is>
          <t>IBON-4</t>
        </is>
      </c>
      <c r="F291" t="n">
        <v>83.86</v>
      </c>
      <c r="G291" t="n">
        <v>92</v>
      </c>
      <c r="H291" t="n">
        <v>283.08</v>
      </c>
      <c r="I291" t="n">
        <v>13.1</v>
      </c>
      <c r="J291" t="n">
        <v>4.64</v>
      </c>
      <c r="K291" t="n">
        <v>110</v>
      </c>
      <c r="L291" t="n">
        <v>59.16</v>
      </c>
      <c r="M291" t="n">
        <v>3.53</v>
      </c>
      <c r="N291" t="inlineStr"/>
    </row>
    <row r="292">
      <c r="A292" t="inlineStr">
        <is>
          <t>995</t>
        </is>
      </c>
      <c r="B292" t="inlineStr">
        <is>
          <t>2RS</t>
        </is>
      </c>
      <c r="C292" t="n">
        <v>4</v>
      </c>
      <c r="D292" s="2" t="n">
        <v>45768</v>
      </c>
      <c r="E292" t="inlineStr">
        <is>
          <t>2RS-4</t>
        </is>
      </c>
      <c r="F292" t="n">
        <v>84.2</v>
      </c>
      <c r="G292" t="n">
        <v>92.7</v>
      </c>
      <c r="H292" t="n">
        <v>286.61</v>
      </c>
      <c r="I292" t="n">
        <v>12.9</v>
      </c>
      <c r="J292" t="n">
        <v>4.14</v>
      </c>
      <c r="K292" t="n">
        <v>111</v>
      </c>
      <c r="L292" t="n">
        <v>85</v>
      </c>
      <c r="M292" t="n">
        <v>3.5</v>
      </c>
      <c r="N292" t="n">
        <v>305</v>
      </c>
    </row>
    <row r="293">
      <c r="A293" t="inlineStr">
        <is>
          <t>996</t>
        </is>
      </c>
      <c r="B293" t="inlineStr">
        <is>
          <t>2RS</t>
        </is>
      </c>
      <c r="C293" t="n">
        <v>4</v>
      </c>
      <c r="D293" s="2" t="n">
        <v>45769</v>
      </c>
      <c r="E293" t="inlineStr">
        <is>
          <t>2RS-4</t>
        </is>
      </c>
      <c r="F293" t="n">
        <v>83.94</v>
      </c>
      <c r="G293" t="n">
        <v>92</v>
      </c>
      <c r="H293" t="n">
        <v>286.75</v>
      </c>
      <c r="I293" t="n">
        <v>12.3</v>
      </c>
      <c r="J293" t="n">
        <v>3.92</v>
      </c>
      <c r="K293" t="n">
        <v>121</v>
      </c>
      <c r="L293" t="n">
        <v>84.8</v>
      </c>
      <c r="M293" t="n">
        <v>3.9</v>
      </c>
      <c r="N293" t="n">
        <v>273</v>
      </c>
    </row>
    <row r="294">
      <c r="A294" t="inlineStr">
        <is>
          <t>997</t>
        </is>
      </c>
      <c r="B294" t="inlineStr">
        <is>
          <t>2RS</t>
        </is>
      </c>
      <c r="C294" t="n">
        <v>4</v>
      </c>
      <c r="D294" s="2" t="n">
        <v>45770</v>
      </c>
      <c r="E294" t="inlineStr">
        <is>
          <t>2RS-4</t>
        </is>
      </c>
      <c r="F294" t="n">
        <v>84.36</v>
      </c>
      <c r="G294" t="n">
        <v>92.59999999999999</v>
      </c>
      <c r="H294" t="n">
        <v>286.06</v>
      </c>
      <c r="I294" t="n">
        <v>12.9</v>
      </c>
      <c r="J294" t="n">
        <v>4.42</v>
      </c>
      <c r="K294" t="n">
        <v>135</v>
      </c>
      <c r="L294" t="n">
        <v>85.2</v>
      </c>
      <c r="M294" t="n">
        <v>3.1</v>
      </c>
      <c r="N294" t="n">
        <v>412</v>
      </c>
    </row>
    <row r="295">
      <c r="A295" t="inlineStr">
        <is>
          <t>998</t>
        </is>
      </c>
      <c r="B295" t="inlineStr">
        <is>
          <t>2RS</t>
        </is>
      </c>
      <c r="C295" t="n">
        <v>4</v>
      </c>
      <c r="D295" s="2" t="n">
        <v>45772</v>
      </c>
      <c r="E295" t="inlineStr">
        <is>
          <t>2RS-4</t>
        </is>
      </c>
      <c r="F295" t="n">
        <v>85.05</v>
      </c>
      <c r="G295" t="inlineStr"/>
      <c r="H295" t="n">
        <v>286.25</v>
      </c>
      <c r="I295" t="inlineStr"/>
      <c r="J295" t="n">
        <v>4.02</v>
      </c>
      <c r="K295" t="n">
        <v>140</v>
      </c>
      <c r="L295" t="n">
        <v>86.06999999999999</v>
      </c>
      <c r="M295" t="n">
        <v>2.9</v>
      </c>
      <c r="N295" t="n">
        <v>375</v>
      </c>
    </row>
    <row r="296">
      <c r="A296" t="inlineStr">
        <is>
          <t>999</t>
        </is>
      </c>
      <c r="B296" t="inlineStr">
        <is>
          <t>2RS</t>
        </is>
      </c>
      <c r="C296" t="n">
        <v>4</v>
      </c>
      <c r="D296" s="2" t="n">
        <v>45773</v>
      </c>
      <c r="E296" t="inlineStr">
        <is>
          <t>2RS-4</t>
        </is>
      </c>
      <c r="F296" t="n">
        <v>85.25</v>
      </c>
      <c r="G296" t="inlineStr"/>
      <c r="H296" t="n">
        <v>287.27</v>
      </c>
      <c r="I296" t="n">
        <v>12.9</v>
      </c>
      <c r="J296" t="inlineStr"/>
      <c r="K296" t="inlineStr"/>
      <c r="L296" t="inlineStr"/>
      <c r="M296" t="inlineStr"/>
      <c r="N296" t="inlineStr"/>
    </row>
    <row r="297">
      <c r="A297" t="inlineStr">
        <is>
          <t>1000</t>
        </is>
      </c>
      <c r="B297" t="inlineStr">
        <is>
          <t>2RS</t>
        </is>
      </c>
      <c r="C297" t="n">
        <v>4</v>
      </c>
      <c r="D297" s="2" t="n">
        <v>45774</v>
      </c>
      <c r="E297" t="inlineStr">
        <is>
          <t>2RS-4</t>
        </is>
      </c>
      <c r="F297" t="n">
        <v>84.14</v>
      </c>
      <c r="G297" t="n">
        <v>92.59999999999999</v>
      </c>
      <c r="H297" t="n">
        <v>286.76</v>
      </c>
      <c r="I297" t="n">
        <v>12.8</v>
      </c>
      <c r="J297" t="n">
        <v>4.03</v>
      </c>
      <c r="K297" t="n">
        <v>118</v>
      </c>
      <c r="L297" t="n">
        <v>83.42</v>
      </c>
      <c r="M297" t="n">
        <v>3.3</v>
      </c>
      <c r="N297" t="n">
        <v>279</v>
      </c>
    </row>
    <row r="298">
      <c r="A298" t="inlineStr">
        <is>
          <t>1001</t>
        </is>
      </c>
      <c r="B298" t="inlineStr">
        <is>
          <t>2RS</t>
        </is>
      </c>
      <c r="C298" t="n">
        <v>4</v>
      </c>
      <c r="D298" s="2" t="n">
        <v>45776</v>
      </c>
      <c r="E298" t="inlineStr">
        <is>
          <t>2RS-4</t>
        </is>
      </c>
      <c r="F298" t="n">
        <v>85.06</v>
      </c>
      <c r="G298" t="inlineStr"/>
      <c r="H298" t="n">
        <v>282.49</v>
      </c>
      <c r="I298" t="n">
        <v>12</v>
      </c>
      <c r="J298" t="inlineStr"/>
      <c r="K298" t="inlineStr"/>
      <c r="L298" t="inlineStr"/>
      <c r="M298" t="inlineStr"/>
      <c r="N298" t="inlineStr"/>
    </row>
    <row r="299">
      <c r="A299" t="inlineStr">
        <is>
          <t>1002</t>
        </is>
      </c>
      <c r="B299" t="inlineStr">
        <is>
          <t>2RS</t>
        </is>
      </c>
      <c r="C299" t="n">
        <v>4</v>
      </c>
      <c r="D299" s="2" t="n">
        <v>45777</v>
      </c>
      <c r="E299" t="inlineStr">
        <is>
          <t>2RS-4</t>
        </is>
      </c>
      <c r="F299" t="n">
        <v>84.5</v>
      </c>
      <c r="G299" t="n">
        <v>92.8</v>
      </c>
      <c r="H299" t="n">
        <v>286.73</v>
      </c>
      <c r="I299" t="n">
        <v>12.9</v>
      </c>
      <c r="J299" t="n">
        <v>4.39</v>
      </c>
      <c r="K299" t="n">
        <v>110</v>
      </c>
      <c r="L299" t="n">
        <v>83.86</v>
      </c>
      <c r="M299" t="n">
        <v>3.4</v>
      </c>
      <c r="N299" t="n">
        <v>320</v>
      </c>
    </row>
    <row r="300">
      <c r="A300" t="inlineStr">
        <is>
          <t>1003</t>
        </is>
      </c>
      <c r="B300" t="inlineStr">
        <is>
          <t>IBON</t>
        </is>
      </c>
      <c r="C300" t="n">
        <v>5</v>
      </c>
      <c r="D300" s="2" t="n">
        <v>45778</v>
      </c>
      <c r="E300" t="inlineStr">
        <is>
          <t>IBON-5</t>
        </is>
      </c>
      <c r="F300" t="n">
        <v>86.38</v>
      </c>
      <c r="G300" t="n">
        <v>94.3</v>
      </c>
      <c r="H300" t="n">
        <v>282.68</v>
      </c>
      <c r="I300" t="n">
        <v>12.4</v>
      </c>
      <c r="J300" t="n">
        <v>4.41</v>
      </c>
      <c r="K300" t="n">
        <v>104</v>
      </c>
      <c r="L300" t="n">
        <v>32.93</v>
      </c>
      <c r="M300" t="n">
        <v>3.6</v>
      </c>
      <c r="N300" t="inlineStr"/>
    </row>
    <row r="301">
      <c r="A301" t="inlineStr">
        <is>
          <t>1004</t>
        </is>
      </c>
      <c r="B301" t="inlineStr">
        <is>
          <t>2RS</t>
        </is>
      </c>
      <c r="C301" t="n">
        <v>5</v>
      </c>
      <c r="D301" s="2" t="n">
        <v>45780</v>
      </c>
      <c r="E301" t="inlineStr">
        <is>
          <t>2RS-5</t>
        </is>
      </c>
      <c r="F301" t="n">
        <v>84.68000000000001</v>
      </c>
      <c r="G301" t="inlineStr"/>
      <c r="H301" t="n">
        <v>286.8</v>
      </c>
      <c r="I301" t="inlineStr"/>
      <c r="J301" t="n">
        <v>4.03</v>
      </c>
      <c r="K301" t="n">
        <v>102</v>
      </c>
      <c r="L301" t="n">
        <v>80.7</v>
      </c>
      <c r="M301" t="n">
        <v>3.7</v>
      </c>
      <c r="N301" t="n">
        <v>339</v>
      </c>
    </row>
    <row r="302">
      <c r="A302" t="inlineStr">
        <is>
          <t>1005</t>
        </is>
      </c>
      <c r="B302" t="inlineStr">
        <is>
          <t>2RS</t>
        </is>
      </c>
      <c r="C302" t="n">
        <v>5</v>
      </c>
      <c r="D302" s="2" t="n">
        <v>45781</v>
      </c>
      <c r="E302" t="inlineStr">
        <is>
          <t>2RS-5</t>
        </is>
      </c>
      <c r="F302" t="n">
        <v>84.02</v>
      </c>
      <c r="G302" t="n">
        <v>92.5</v>
      </c>
      <c r="H302" t="n">
        <v>286.8</v>
      </c>
      <c r="I302" t="n">
        <v>12.9</v>
      </c>
      <c r="J302" t="n">
        <v>4.1</v>
      </c>
      <c r="K302" t="n">
        <v>108</v>
      </c>
      <c r="L302" t="n">
        <v>82.17</v>
      </c>
      <c r="M302" t="n">
        <v>3.5</v>
      </c>
      <c r="N302" t="n">
        <v>258</v>
      </c>
    </row>
    <row r="303">
      <c r="A303" t="inlineStr">
        <is>
          <t>1006</t>
        </is>
      </c>
      <c r="B303" t="inlineStr">
        <is>
          <t>2RS</t>
        </is>
      </c>
      <c r="C303" t="n">
        <v>5</v>
      </c>
      <c r="D303" s="2" t="n">
        <v>45784</v>
      </c>
      <c r="E303" t="inlineStr">
        <is>
          <t>2RS-5</t>
        </is>
      </c>
      <c r="F303" t="n">
        <v>84.19</v>
      </c>
      <c r="G303" t="n">
        <v>92.40000000000001</v>
      </c>
      <c r="H303" t="n">
        <v>286.79</v>
      </c>
      <c r="I303" t="n">
        <v>12.7</v>
      </c>
      <c r="J303" t="n">
        <v>4.19</v>
      </c>
      <c r="K303" t="n">
        <v>115</v>
      </c>
      <c r="L303" t="n">
        <v>83.17</v>
      </c>
      <c r="M303" t="n">
        <v>3.5</v>
      </c>
      <c r="N303" t="n">
        <v>270</v>
      </c>
    </row>
    <row r="304">
      <c r="A304" t="inlineStr">
        <is>
          <t>1007</t>
        </is>
      </c>
      <c r="B304" t="inlineStr">
        <is>
          <t>2RS</t>
        </is>
      </c>
      <c r="C304" t="n">
        <v>5</v>
      </c>
      <c r="D304" s="2" t="n">
        <v>45785</v>
      </c>
      <c r="E304" t="inlineStr">
        <is>
          <t>2RS-5</t>
        </is>
      </c>
      <c r="F304" t="n">
        <v>84.23999999999999</v>
      </c>
      <c r="G304" t="n">
        <v>92</v>
      </c>
      <c r="H304" t="n">
        <v>286.79</v>
      </c>
      <c r="I304" t="n">
        <v>12.4</v>
      </c>
      <c r="J304" t="n">
        <v>4.33</v>
      </c>
      <c r="K304" t="n">
        <v>110</v>
      </c>
      <c r="L304" t="n">
        <v>82.38</v>
      </c>
      <c r="M304" t="n">
        <v>3.4</v>
      </c>
      <c r="N304" t="n">
        <v>276</v>
      </c>
    </row>
    <row r="305">
      <c r="A305" t="inlineStr">
        <is>
          <t>1008</t>
        </is>
      </c>
      <c r="B305" t="inlineStr">
        <is>
          <t>2RS</t>
        </is>
      </c>
      <c r="C305" t="n">
        <v>5</v>
      </c>
      <c r="D305" s="2" t="n">
        <v>45787</v>
      </c>
      <c r="E305" t="inlineStr">
        <is>
          <t>2RS-5</t>
        </is>
      </c>
      <c r="F305" t="n">
        <v>83.81999999999999</v>
      </c>
      <c r="G305" t="n">
        <v>92</v>
      </c>
      <c r="H305" t="n">
        <v>286.39</v>
      </c>
      <c r="I305" t="n">
        <v>12.5</v>
      </c>
      <c r="J305" t="n">
        <v>3.91</v>
      </c>
      <c r="K305" t="n">
        <v>111</v>
      </c>
      <c r="L305" t="n">
        <v>85.47</v>
      </c>
      <c r="M305" t="n">
        <v>3.6</v>
      </c>
      <c r="N305" t="n">
        <v>215</v>
      </c>
    </row>
    <row r="306">
      <c r="A306" t="inlineStr">
        <is>
          <t>1009</t>
        </is>
      </c>
      <c r="B306" t="inlineStr">
        <is>
          <t>2RS</t>
        </is>
      </c>
      <c r="C306" t="n">
        <v>5</v>
      </c>
      <c r="D306" s="2" t="n">
        <v>45788</v>
      </c>
      <c r="E306" t="inlineStr">
        <is>
          <t>2RS-5</t>
        </is>
      </c>
      <c r="F306" t="n">
        <v>84.14</v>
      </c>
      <c r="G306" t="n">
        <v>92.5</v>
      </c>
      <c r="H306" t="n">
        <v>286.93</v>
      </c>
      <c r="I306" t="n">
        <v>12.6</v>
      </c>
      <c r="J306" t="n">
        <v>3.9</v>
      </c>
      <c r="K306" t="n">
        <v>121</v>
      </c>
      <c r="L306" t="n">
        <v>79.95</v>
      </c>
      <c r="M306" t="n">
        <v>3.3</v>
      </c>
      <c r="N306" t="n">
        <v>376</v>
      </c>
    </row>
    <row r="307">
      <c r="A307" t="inlineStr">
        <is>
          <t>1010</t>
        </is>
      </c>
      <c r="B307" t="inlineStr">
        <is>
          <t>2RS</t>
        </is>
      </c>
      <c r="C307" t="n">
        <v>5</v>
      </c>
      <c r="D307" s="2" t="n">
        <v>45790</v>
      </c>
      <c r="E307" t="inlineStr">
        <is>
          <t>2RS-5</t>
        </is>
      </c>
      <c r="F307" t="n">
        <v>83.37</v>
      </c>
      <c r="G307" t="n">
        <v>91.5</v>
      </c>
      <c r="H307" t="n">
        <v>286.88</v>
      </c>
      <c r="I307" t="n">
        <v>12.6</v>
      </c>
      <c r="J307" t="n">
        <v>4.06</v>
      </c>
      <c r="K307" t="n">
        <v>109</v>
      </c>
      <c r="L307" t="n">
        <v>82.56999999999999</v>
      </c>
      <c r="M307" t="n">
        <v>3.3</v>
      </c>
      <c r="N307" t="n">
        <v>282</v>
      </c>
    </row>
    <row r="308">
      <c r="A308" t="inlineStr">
        <is>
          <t>1011</t>
        </is>
      </c>
      <c r="B308" t="inlineStr">
        <is>
          <t>2RS</t>
        </is>
      </c>
      <c r="C308" t="n">
        <v>5</v>
      </c>
      <c r="D308" s="2" t="n">
        <v>45791</v>
      </c>
      <c r="E308" t="inlineStr">
        <is>
          <t>2RS-5</t>
        </is>
      </c>
      <c r="F308" t="n">
        <v>84.15000000000001</v>
      </c>
      <c r="G308" t="n">
        <v>92.90000000000001</v>
      </c>
      <c r="H308" t="n">
        <v>286.67</v>
      </c>
      <c r="I308" t="n">
        <v>13.1</v>
      </c>
      <c r="J308" t="n">
        <v>4.06</v>
      </c>
      <c r="K308" t="n">
        <v>110</v>
      </c>
      <c r="L308" t="n">
        <v>81.40000000000001</v>
      </c>
      <c r="M308" t="n">
        <v>3.43</v>
      </c>
      <c r="N308" t="n">
        <v>335</v>
      </c>
    </row>
    <row r="309">
      <c r="A309" t="inlineStr">
        <is>
          <t>1012</t>
        </is>
      </c>
      <c r="B309" t="inlineStr">
        <is>
          <t>2RS</t>
        </is>
      </c>
      <c r="C309" t="n">
        <v>5</v>
      </c>
      <c r="D309" s="2" t="n">
        <v>45793</v>
      </c>
      <c r="E309" t="inlineStr">
        <is>
          <t>2RS-5</t>
        </is>
      </c>
      <c r="F309" t="n">
        <v>84.40000000000001</v>
      </c>
      <c r="G309" t="n">
        <v>92.90000000000001</v>
      </c>
      <c r="H309" t="n">
        <v>287.46</v>
      </c>
      <c r="I309" t="n">
        <v>12.9</v>
      </c>
      <c r="J309" t="n">
        <v>4.11</v>
      </c>
      <c r="K309" t="n">
        <v>119</v>
      </c>
      <c r="L309" t="n">
        <v>81.12</v>
      </c>
      <c r="M309" t="n">
        <v>3.26</v>
      </c>
      <c r="N309" t="n">
        <v>390</v>
      </c>
    </row>
    <row r="310">
      <c r="A310" t="inlineStr">
        <is>
          <t>1013</t>
        </is>
      </c>
      <c r="B310" t="inlineStr">
        <is>
          <t>2RS</t>
        </is>
      </c>
      <c r="C310" t="n">
        <v>5</v>
      </c>
      <c r="D310" s="2" t="n">
        <v>45795</v>
      </c>
      <c r="E310" t="inlineStr">
        <is>
          <t>2RS-5</t>
        </is>
      </c>
      <c r="F310" t="n">
        <v>83.7</v>
      </c>
      <c r="G310" t="n">
        <v>92.5</v>
      </c>
      <c r="H310" t="n">
        <v>288.36</v>
      </c>
      <c r="I310" t="n">
        <v>13.2</v>
      </c>
      <c r="J310" t="n">
        <v>4.06</v>
      </c>
      <c r="K310" t="n">
        <v>125</v>
      </c>
      <c r="L310" t="n">
        <v>83.31</v>
      </c>
      <c r="M310" t="n">
        <v>3.75</v>
      </c>
      <c r="N310" t="n">
        <v>255</v>
      </c>
    </row>
    <row r="311">
      <c r="A311" t="inlineStr">
        <is>
          <t>1014</t>
        </is>
      </c>
      <c r="B311" t="inlineStr">
        <is>
          <t>IBON</t>
        </is>
      </c>
      <c r="C311" t="n">
        <v>5</v>
      </c>
      <c r="D311" s="2" t="n">
        <v>45796</v>
      </c>
      <c r="E311" t="inlineStr">
        <is>
          <t>IBON-5</t>
        </is>
      </c>
      <c r="F311" t="n">
        <v>83.59999999999999</v>
      </c>
      <c r="G311" t="n">
        <v>91.8</v>
      </c>
      <c r="H311" t="n">
        <v>282.94</v>
      </c>
      <c r="I311" t="n">
        <v>12.9</v>
      </c>
      <c r="J311" t="n">
        <v>4.31</v>
      </c>
      <c r="K311" t="n">
        <v>113.57</v>
      </c>
      <c r="L311" t="n">
        <v>58.83</v>
      </c>
      <c r="M311" t="n">
        <v>3.43</v>
      </c>
      <c r="N311" t="n">
        <v>359</v>
      </c>
    </row>
    <row r="312">
      <c r="A312" t="inlineStr">
        <is>
          <t>1015</t>
        </is>
      </c>
      <c r="B312" t="inlineStr">
        <is>
          <t>IBON</t>
        </is>
      </c>
      <c r="C312" t="n">
        <v>5</v>
      </c>
      <c r="D312" s="2" t="n">
        <v>45798</v>
      </c>
      <c r="E312" t="inlineStr">
        <is>
          <t>IBON-5</t>
        </is>
      </c>
      <c r="F312" t="n">
        <v>84.22</v>
      </c>
      <c r="G312" t="n">
        <v>92.59999999999999</v>
      </c>
      <c r="H312" t="n">
        <v>282.91</v>
      </c>
      <c r="I312" t="n">
        <v>13</v>
      </c>
      <c r="J312" t="n">
        <v>4.3</v>
      </c>
      <c r="K312" t="n">
        <v>113</v>
      </c>
      <c r="L312" t="n">
        <v>59.6</v>
      </c>
      <c r="M312" t="n">
        <v>3.4</v>
      </c>
      <c r="N312" t="n">
        <v>383</v>
      </c>
    </row>
    <row r="313">
      <c r="A313" t="inlineStr">
        <is>
          <t>1016</t>
        </is>
      </c>
      <c r="B313" t="inlineStr">
        <is>
          <t>IBON</t>
        </is>
      </c>
      <c r="C313" t="n">
        <v>5</v>
      </c>
      <c r="D313" s="2" t="n">
        <v>45799</v>
      </c>
      <c r="E313" t="inlineStr">
        <is>
          <t>IBON-5</t>
        </is>
      </c>
      <c r="F313" t="n">
        <v>85.39</v>
      </c>
      <c r="G313" t="n">
        <v>93.8</v>
      </c>
      <c r="H313" t="n">
        <v>282.86</v>
      </c>
      <c r="I313" t="n">
        <v>13.1</v>
      </c>
      <c r="J313" t="n">
        <v>4.54</v>
      </c>
      <c r="K313" t="n">
        <v>118</v>
      </c>
      <c r="L313" t="n">
        <v>50.8</v>
      </c>
      <c r="M313" t="n">
        <v>3.4</v>
      </c>
      <c r="N313" t="inlineStr"/>
    </row>
    <row r="314">
      <c r="A314" t="inlineStr">
        <is>
          <t>1017</t>
        </is>
      </c>
      <c r="B314" t="inlineStr">
        <is>
          <t>2RS</t>
        </is>
      </c>
      <c r="C314" t="n">
        <v>5</v>
      </c>
      <c r="D314" s="2" t="n">
        <v>45800</v>
      </c>
      <c r="E314" t="inlineStr">
        <is>
          <t>2RS-5</t>
        </is>
      </c>
      <c r="F314" t="n">
        <v>83.70999999999999</v>
      </c>
      <c r="G314" t="n">
        <v>92.40000000000001</v>
      </c>
      <c r="H314" t="n">
        <v>288.16</v>
      </c>
      <c r="I314" t="n">
        <v>13.2</v>
      </c>
      <c r="J314" t="n">
        <v>4.14</v>
      </c>
      <c r="K314" t="n">
        <v>140</v>
      </c>
      <c r="L314" t="n">
        <v>89.56999999999999</v>
      </c>
      <c r="M314" t="n">
        <v>3.68</v>
      </c>
      <c r="N314" t="n">
        <v>176</v>
      </c>
    </row>
    <row r="315">
      <c r="A315" t="inlineStr">
        <is>
          <t>1018</t>
        </is>
      </c>
      <c r="B315" t="inlineStr">
        <is>
          <t>2RS</t>
        </is>
      </c>
      <c r="C315" t="n">
        <v>5</v>
      </c>
      <c r="D315" s="2" t="n">
        <v>45801</v>
      </c>
      <c r="E315" t="inlineStr">
        <is>
          <t>2RS-5</t>
        </is>
      </c>
      <c r="F315" t="n">
        <v>85.26000000000001</v>
      </c>
      <c r="G315" t="inlineStr"/>
      <c r="H315" t="n">
        <v>288.01</v>
      </c>
      <c r="I315" t="n">
        <v>12.3</v>
      </c>
      <c r="J315" t="inlineStr"/>
      <c r="K315" t="inlineStr"/>
      <c r="L315" t="inlineStr"/>
      <c r="M315" t="inlineStr"/>
      <c r="N315" t="inlineStr"/>
    </row>
    <row r="316">
      <c r="A316" t="inlineStr">
        <is>
          <t>1019</t>
        </is>
      </c>
      <c r="B316" t="inlineStr">
        <is>
          <t>2RS</t>
        </is>
      </c>
      <c r="C316" t="n">
        <v>5</v>
      </c>
      <c r="D316" s="2" t="n">
        <v>45802</v>
      </c>
      <c r="E316" t="inlineStr">
        <is>
          <t>2RS-5</t>
        </is>
      </c>
      <c r="F316" t="n">
        <v>84.64</v>
      </c>
      <c r="G316" t="inlineStr"/>
      <c r="H316" t="inlineStr"/>
      <c r="I316" t="n">
        <v>12.3</v>
      </c>
      <c r="J316" t="inlineStr"/>
      <c r="K316" t="inlineStr"/>
      <c r="L316" t="inlineStr"/>
      <c r="M316" t="inlineStr"/>
      <c r="N316" t="inlineStr"/>
    </row>
    <row r="317">
      <c r="A317" t="inlineStr">
        <is>
          <t>1020</t>
        </is>
      </c>
      <c r="B317" t="inlineStr">
        <is>
          <t>2RS</t>
        </is>
      </c>
      <c r="C317" t="n">
        <v>5</v>
      </c>
      <c r="D317" s="2" t="n">
        <v>45803</v>
      </c>
      <c r="E317" t="inlineStr">
        <is>
          <t>2RS-5</t>
        </is>
      </c>
      <c r="F317" t="n">
        <v>84.69</v>
      </c>
      <c r="G317" t="n">
        <v>93</v>
      </c>
      <c r="H317" t="n">
        <v>286.9</v>
      </c>
      <c r="I317" t="n">
        <v>12.9</v>
      </c>
      <c r="J317" t="n">
        <v>4.35</v>
      </c>
      <c r="K317" t="n">
        <v>132</v>
      </c>
      <c r="L317" t="n">
        <v>85.15000000000001</v>
      </c>
      <c r="M317" t="n">
        <v>3.6</v>
      </c>
      <c r="N317" t="n">
        <v>240</v>
      </c>
    </row>
    <row r="318">
      <c r="A318" t="inlineStr">
        <is>
          <t>1021</t>
        </is>
      </c>
      <c r="B318" t="inlineStr">
        <is>
          <t>2RS</t>
        </is>
      </c>
      <c r="C318" t="n">
        <v>5</v>
      </c>
      <c r="D318" s="2" t="n">
        <v>45805</v>
      </c>
      <c r="E318" t="inlineStr">
        <is>
          <t>2RS-5</t>
        </is>
      </c>
      <c r="F318" t="n">
        <v>83.98</v>
      </c>
      <c r="G318" t="n">
        <v>92.59999999999999</v>
      </c>
      <c r="H318" t="n">
        <v>286.87</v>
      </c>
      <c r="I318" t="n">
        <v>13.1</v>
      </c>
      <c r="J318" t="n">
        <v>4.2</v>
      </c>
      <c r="K318" t="n">
        <v>131</v>
      </c>
      <c r="L318" t="n">
        <v>84.56</v>
      </c>
      <c r="M318" t="n">
        <v>3.52</v>
      </c>
      <c r="N318" t="n">
        <v>213</v>
      </c>
    </row>
    <row r="319">
      <c r="A319" t="inlineStr">
        <is>
          <t>1022</t>
        </is>
      </c>
      <c r="B319" t="inlineStr">
        <is>
          <t>2RS</t>
        </is>
      </c>
      <c r="C319" t="n">
        <v>5</v>
      </c>
      <c r="D319" s="2" t="n">
        <v>45806</v>
      </c>
      <c r="E319" t="inlineStr">
        <is>
          <t>2RS-5</t>
        </is>
      </c>
      <c r="F319" t="n">
        <v>83.53</v>
      </c>
      <c r="G319" t="n">
        <v>92</v>
      </c>
      <c r="H319" t="n">
        <v>287.11</v>
      </c>
      <c r="I319" t="n">
        <v>13.2</v>
      </c>
      <c r="J319" t="n">
        <v>4.37</v>
      </c>
      <c r="K319" t="n">
        <v>122</v>
      </c>
      <c r="L319" t="n">
        <v>86.76000000000001</v>
      </c>
      <c r="M319" t="n">
        <v>3.37</v>
      </c>
      <c r="N319" t="n">
        <v>199</v>
      </c>
    </row>
    <row r="320">
      <c r="A320" t="inlineStr">
        <is>
          <t>1023</t>
        </is>
      </c>
      <c r="B320" t="inlineStr">
        <is>
          <t>2RS</t>
        </is>
      </c>
      <c r="C320" t="n">
        <v>5</v>
      </c>
      <c r="D320" s="2" t="n">
        <v>45807</v>
      </c>
      <c r="E320" t="inlineStr">
        <is>
          <t>2RS-5</t>
        </is>
      </c>
      <c r="F320" t="n">
        <v>84.06</v>
      </c>
      <c r="G320" t="n">
        <v>92.5</v>
      </c>
      <c r="H320" t="n">
        <v>287.07</v>
      </c>
      <c r="I320" t="n">
        <v>13.1</v>
      </c>
      <c r="J320" t="n">
        <v>4.41</v>
      </c>
      <c r="K320" t="n">
        <v>116</v>
      </c>
      <c r="L320" t="n">
        <v>84.5</v>
      </c>
      <c r="M320" t="n">
        <v>3.6</v>
      </c>
      <c r="N320" t="n">
        <v>205</v>
      </c>
    </row>
    <row r="321">
      <c r="A321" t="inlineStr">
        <is>
          <t>1024</t>
        </is>
      </c>
      <c r="B321" t="inlineStr">
        <is>
          <t>2RS</t>
        </is>
      </c>
      <c r="C321" t="n">
        <v>5</v>
      </c>
      <c r="D321" s="2" t="n">
        <v>45808</v>
      </c>
      <c r="E321" t="inlineStr">
        <is>
          <t>2RS-5</t>
        </is>
      </c>
      <c r="F321" t="n">
        <v>83.59999999999999</v>
      </c>
      <c r="G321" t="n">
        <v>91.5</v>
      </c>
      <c r="H321" t="n">
        <v>286.91</v>
      </c>
      <c r="I321" t="n">
        <v>12.9</v>
      </c>
      <c r="J321" t="n">
        <v>4.67</v>
      </c>
      <c r="K321" t="n">
        <v>125</v>
      </c>
      <c r="L321" t="n">
        <v>86.5</v>
      </c>
      <c r="M321" t="n">
        <v>3.7</v>
      </c>
      <c r="N321" t="n">
        <v>173</v>
      </c>
    </row>
    <row r="322">
      <c r="A322" t="inlineStr">
        <is>
          <t>1025</t>
        </is>
      </c>
      <c r="B322" t="inlineStr">
        <is>
          <t>2RS</t>
        </is>
      </c>
      <c r="C322" t="n">
        <v>6</v>
      </c>
      <c r="D322" s="2" t="n">
        <v>45810</v>
      </c>
      <c r="E322" t="inlineStr">
        <is>
          <t>2RS-6</t>
        </is>
      </c>
      <c r="F322" t="n">
        <v>83.34999999999999</v>
      </c>
      <c r="G322" t="n">
        <v>92.3</v>
      </c>
      <c r="H322" t="n">
        <v>286.77</v>
      </c>
      <c r="I322" t="n">
        <v>13.4</v>
      </c>
      <c r="J322" t="n">
        <v>4.07</v>
      </c>
      <c r="K322" t="n">
        <v>120</v>
      </c>
      <c r="L322" t="n">
        <v>82.90000000000001</v>
      </c>
      <c r="M322" t="n">
        <v>3.7</v>
      </c>
      <c r="N322" t="n">
        <v>241</v>
      </c>
    </row>
    <row r="323">
      <c r="A323" t="inlineStr">
        <is>
          <t>1026</t>
        </is>
      </c>
      <c r="B323" t="inlineStr">
        <is>
          <t>IBON</t>
        </is>
      </c>
      <c r="C323" t="n">
        <v>6</v>
      </c>
      <c r="D323" s="2" t="n">
        <v>45811</v>
      </c>
      <c r="E323" t="inlineStr">
        <is>
          <t>IBON-6</t>
        </is>
      </c>
      <c r="F323" t="n">
        <v>82.06999999999999</v>
      </c>
      <c r="G323" t="n">
        <v>90.59999999999999</v>
      </c>
      <c r="H323" t="n">
        <v>282.75</v>
      </c>
      <c r="I323" t="n">
        <v>12.9</v>
      </c>
      <c r="J323" t="n">
        <v>3.88</v>
      </c>
      <c r="K323" t="inlineStr"/>
      <c r="L323" t="n">
        <v>70.12</v>
      </c>
      <c r="M323" t="n">
        <v>5.3</v>
      </c>
      <c r="N323" t="n">
        <v>202</v>
      </c>
    </row>
    <row r="324">
      <c r="A324" t="inlineStr">
        <is>
          <t>1027</t>
        </is>
      </c>
      <c r="B324" t="inlineStr">
        <is>
          <t>IBON</t>
        </is>
      </c>
      <c r="C324" t="n">
        <v>6</v>
      </c>
      <c r="D324" s="2" t="n">
        <v>45813</v>
      </c>
      <c r="E324" t="inlineStr">
        <is>
          <t>IBON-6</t>
        </is>
      </c>
      <c r="F324" t="n">
        <v>83.14</v>
      </c>
      <c r="G324" t="n">
        <v>91.5</v>
      </c>
      <c r="H324" t="n">
        <v>282.84</v>
      </c>
      <c r="I324" t="n">
        <v>13</v>
      </c>
      <c r="J324" t="n">
        <v>4.2</v>
      </c>
      <c r="K324" t="n">
        <v>136</v>
      </c>
      <c r="L324" t="n">
        <v>61.2</v>
      </c>
      <c r="M324" t="n">
        <v>4.2</v>
      </c>
      <c r="N324" t="n">
        <v>329</v>
      </c>
    </row>
    <row r="325">
      <c r="A325" t="inlineStr">
        <is>
          <t>1028</t>
        </is>
      </c>
      <c r="B325" t="inlineStr">
        <is>
          <t>IBON</t>
        </is>
      </c>
      <c r="C325" t="n">
        <v>6</v>
      </c>
      <c r="D325" s="2" t="n">
        <v>45814</v>
      </c>
      <c r="E325" t="inlineStr">
        <is>
          <t>IBON-6</t>
        </is>
      </c>
      <c r="F325" t="n">
        <v>84.18000000000001</v>
      </c>
      <c r="G325" t="n">
        <v>92.90000000000001</v>
      </c>
      <c r="H325" t="n">
        <v>282.76</v>
      </c>
      <c r="I325" t="n">
        <v>12.9</v>
      </c>
      <c r="J325" t="n">
        <v>3.92</v>
      </c>
      <c r="K325" t="n">
        <v>140</v>
      </c>
      <c r="L325" t="n">
        <v>60.4</v>
      </c>
      <c r="M325" t="n">
        <v>4.2</v>
      </c>
      <c r="N325" t="n">
        <v>335</v>
      </c>
    </row>
    <row r="326">
      <c r="A326" t="inlineStr">
        <is>
          <t>1029</t>
        </is>
      </c>
      <c r="B326" t="inlineStr">
        <is>
          <t>2RS</t>
        </is>
      </c>
      <c r="C326" t="n">
        <v>6</v>
      </c>
      <c r="D326" s="2" t="n">
        <v>45815</v>
      </c>
      <c r="E326" t="inlineStr">
        <is>
          <t>2RS-6</t>
        </is>
      </c>
      <c r="F326" t="n">
        <v>84.88</v>
      </c>
      <c r="G326" t="inlineStr"/>
      <c r="H326" t="n">
        <v>287.38</v>
      </c>
      <c r="I326" t="n">
        <v>12.5</v>
      </c>
      <c r="J326" t="inlineStr"/>
      <c r="K326" t="inlineStr"/>
      <c r="L326" t="inlineStr"/>
      <c r="M326" t="inlineStr"/>
      <c r="N326" t="inlineStr"/>
    </row>
    <row r="327">
      <c r="A327" t="inlineStr">
        <is>
          <t>1030</t>
        </is>
      </c>
      <c r="B327" t="inlineStr">
        <is>
          <t>2RS</t>
        </is>
      </c>
      <c r="C327" t="n">
        <v>6</v>
      </c>
      <c r="D327" s="2" t="n">
        <v>45817</v>
      </c>
      <c r="E327" t="inlineStr">
        <is>
          <t>2RS-6</t>
        </is>
      </c>
      <c r="F327" t="n">
        <v>84.20999999999999</v>
      </c>
      <c r="G327" t="inlineStr"/>
      <c r="H327" t="n">
        <v>287.38</v>
      </c>
      <c r="I327" t="n">
        <v>12.1</v>
      </c>
      <c r="J327" t="inlineStr"/>
      <c r="K327" t="inlineStr"/>
      <c r="L327" t="inlineStr"/>
      <c r="M327" t="inlineStr"/>
      <c r="N327" t="inlineStr"/>
    </row>
    <row r="328">
      <c r="A328" t="inlineStr">
        <is>
          <t>1031</t>
        </is>
      </c>
      <c r="B328" t="inlineStr">
        <is>
          <t>2RS</t>
        </is>
      </c>
      <c r="C328" t="n">
        <v>6</v>
      </c>
      <c r="D328" s="2" t="n">
        <v>45818</v>
      </c>
      <c r="E328" t="inlineStr">
        <is>
          <t>2RS-6</t>
        </is>
      </c>
      <c r="F328" t="n">
        <v>85.02</v>
      </c>
      <c r="G328" t="inlineStr"/>
      <c r="H328" t="n">
        <v>287.33</v>
      </c>
      <c r="I328" t="n">
        <v>12</v>
      </c>
      <c r="J328" t="inlineStr"/>
      <c r="K328" t="inlineStr"/>
      <c r="L328" t="inlineStr"/>
      <c r="M328" t="inlineStr"/>
      <c r="N328" t="inlineStr"/>
    </row>
    <row r="329">
      <c r="A329" t="inlineStr">
        <is>
          <t>1032</t>
        </is>
      </c>
      <c r="B329" t="inlineStr">
        <is>
          <t>2RS</t>
        </is>
      </c>
      <c r="C329" t="n">
        <v>6</v>
      </c>
      <c r="D329" s="2" t="n">
        <v>45820</v>
      </c>
      <c r="E329" t="inlineStr">
        <is>
          <t>2RS-6</t>
        </is>
      </c>
      <c r="F329" t="n">
        <v>83.94</v>
      </c>
      <c r="G329" t="n">
        <v>92.7</v>
      </c>
      <c r="H329" t="n">
        <v>287.09</v>
      </c>
      <c r="I329" t="n">
        <v>13</v>
      </c>
      <c r="J329" t="n">
        <v>3.93</v>
      </c>
      <c r="K329" t="n">
        <v>118</v>
      </c>
      <c r="L329" t="n">
        <v>85.7</v>
      </c>
      <c r="M329" t="n">
        <v>3.54</v>
      </c>
      <c r="N329" t="n">
        <v>197</v>
      </c>
    </row>
    <row r="330">
      <c r="A330" t="inlineStr">
        <is>
          <t>1033</t>
        </is>
      </c>
      <c r="B330" t="inlineStr">
        <is>
          <t>2RS</t>
        </is>
      </c>
      <c r="C330" t="n">
        <v>6</v>
      </c>
      <c r="D330" s="2" t="n">
        <v>45821</v>
      </c>
      <c r="E330" t="inlineStr">
        <is>
          <t>2RS-6</t>
        </is>
      </c>
      <c r="F330" t="n">
        <v>84.08</v>
      </c>
      <c r="G330" t="n">
        <v>92.7</v>
      </c>
      <c r="H330" t="n">
        <v>286.84</v>
      </c>
      <c r="I330" t="n">
        <v>13.2</v>
      </c>
      <c r="J330" t="n">
        <v>4.27</v>
      </c>
      <c r="K330" t="n">
        <v>108</v>
      </c>
      <c r="L330" t="n">
        <v>84.7</v>
      </c>
      <c r="M330" t="n">
        <v>3.4</v>
      </c>
      <c r="N330" t="n">
        <v>217</v>
      </c>
    </row>
    <row r="331">
      <c r="A331" t="inlineStr">
        <is>
          <t>1034</t>
        </is>
      </c>
      <c r="B331" t="inlineStr">
        <is>
          <t>2RS</t>
        </is>
      </c>
      <c r="C331" t="n">
        <v>6</v>
      </c>
      <c r="D331" s="2" t="n">
        <v>45822</v>
      </c>
      <c r="E331" t="inlineStr">
        <is>
          <t>2RS-6</t>
        </is>
      </c>
      <c r="F331" t="n">
        <v>84.34999999999999</v>
      </c>
      <c r="G331" t="n">
        <v>92.09999999999999</v>
      </c>
      <c r="H331" t="n">
        <v>286.85</v>
      </c>
      <c r="I331" t="n">
        <v>12.7</v>
      </c>
      <c r="J331" t="n">
        <v>4.66</v>
      </c>
      <c r="K331" t="n">
        <v>124</v>
      </c>
      <c r="L331" t="n">
        <v>85.20999999999999</v>
      </c>
      <c r="M331" t="n">
        <v>3.7</v>
      </c>
      <c r="N331" t="n">
        <v>187</v>
      </c>
    </row>
    <row r="332">
      <c r="A332" t="inlineStr">
        <is>
          <t>1035</t>
        </is>
      </c>
      <c r="B332" t="inlineStr">
        <is>
          <t>2RS</t>
        </is>
      </c>
      <c r="C332" t="n">
        <v>6</v>
      </c>
      <c r="D332" s="2" t="n">
        <v>45824</v>
      </c>
      <c r="E332" t="inlineStr">
        <is>
          <t>2RS-6</t>
        </is>
      </c>
      <c r="F332" t="n">
        <v>83.70999999999999</v>
      </c>
      <c r="G332" t="n">
        <v>92.3</v>
      </c>
      <c r="H332" t="n">
        <v>286.84</v>
      </c>
      <c r="I332" t="n">
        <v>13</v>
      </c>
      <c r="J332" t="n">
        <v>4.02</v>
      </c>
      <c r="K332" t="n">
        <v>120</v>
      </c>
      <c r="L332" t="n">
        <v>86.8</v>
      </c>
      <c r="M332" t="n">
        <v>3.5</v>
      </c>
      <c r="N332" t="n">
        <v>162</v>
      </c>
    </row>
    <row r="333">
      <c r="A333" t="inlineStr">
        <is>
          <t>1036</t>
        </is>
      </c>
      <c r="B333" t="inlineStr">
        <is>
          <t>2RS</t>
        </is>
      </c>
      <c r="C333" t="n">
        <v>6</v>
      </c>
      <c r="D333" s="2" t="n">
        <v>45825</v>
      </c>
      <c r="E333" t="inlineStr">
        <is>
          <t>2RS-6</t>
        </is>
      </c>
      <c r="F333" t="n">
        <v>83.62</v>
      </c>
      <c r="G333" t="n">
        <v>92.09999999999999</v>
      </c>
      <c r="H333" t="n">
        <v>287.15</v>
      </c>
      <c r="I333" t="n">
        <v>13.2</v>
      </c>
      <c r="J333" t="n">
        <v>4.37</v>
      </c>
      <c r="K333" t="n">
        <v>122</v>
      </c>
      <c r="L333" t="n">
        <v>85.8</v>
      </c>
      <c r="M333" t="n">
        <v>3.8</v>
      </c>
      <c r="N333" t="n">
        <v>157</v>
      </c>
    </row>
    <row r="334">
      <c r="A334" t="inlineStr">
        <is>
          <t>1037</t>
        </is>
      </c>
      <c r="B334" t="inlineStr">
        <is>
          <t>2RS</t>
        </is>
      </c>
      <c r="C334" t="n">
        <v>6</v>
      </c>
      <c r="D334" s="2" t="n">
        <v>45826</v>
      </c>
      <c r="E334" t="inlineStr">
        <is>
          <t>2RS-6</t>
        </is>
      </c>
      <c r="F334" t="n">
        <v>83.64</v>
      </c>
      <c r="G334" t="n">
        <v>92</v>
      </c>
      <c r="H334" t="n">
        <v>287.13</v>
      </c>
      <c r="I334" t="n">
        <v>13</v>
      </c>
      <c r="J334" t="n">
        <v>4.33</v>
      </c>
      <c r="K334" t="n">
        <v>126</v>
      </c>
      <c r="L334" t="n">
        <v>86.90000000000001</v>
      </c>
      <c r="M334" t="n">
        <v>3.7</v>
      </c>
      <c r="N334" t="n">
        <v>176</v>
      </c>
    </row>
    <row r="335">
      <c r="A335" t="inlineStr">
        <is>
          <t>1038</t>
        </is>
      </c>
      <c r="B335" t="inlineStr">
        <is>
          <t>IBON</t>
        </is>
      </c>
      <c r="C335" t="n">
        <v>6</v>
      </c>
      <c r="D335" s="2" t="n">
        <v>45827</v>
      </c>
      <c r="E335" t="inlineStr">
        <is>
          <t>IBON-6</t>
        </is>
      </c>
      <c r="F335" t="n">
        <v>84.22</v>
      </c>
      <c r="G335" t="n">
        <v>92.3</v>
      </c>
      <c r="H335" t="n">
        <v>283.17</v>
      </c>
      <c r="I335" t="n">
        <v>12.9</v>
      </c>
      <c r="J335" t="n">
        <v>4.54</v>
      </c>
      <c r="K335" t="n">
        <v>144</v>
      </c>
      <c r="L335" t="n">
        <v>63.6</v>
      </c>
      <c r="M335" t="n">
        <v>4.23</v>
      </c>
      <c r="N335" t="n">
        <v>275</v>
      </c>
    </row>
    <row r="336">
      <c r="A336" t="inlineStr">
        <is>
          <t>1039</t>
        </is>
      </c>
      <c r="B336" t="inlineStr">
        <is>
          <t>IBON</t>
        </is>
      </c>
      <c r="C336" t="n">
        <v>6</v>
      </c>
      <c r="D336" s="2" t="n">
        <v>45828</v>
      </c>
      <c r="E336" t="inlineStr">
        <is>
          <t>IBON-6</t>
        </is>
      </c>
      <c r="F336" t="n">
        <v>83.91</v>
      </c>
      <c r="G336" t="n">
        <v>92</v>
      </c>
      <c r="H336" t="n">
        <v>282.66</v>
      </c>
      <c r="I336" t="n">
        <v>13</v>
      </c>
      <c r="J336" t="n">
        <v>4.57</v>
      </c>
      <c r="K336" t="n">
        <v>146</v>
      </c>
      <c r="L336" t="n">
        <v>63.2</v>
      </c>
      <c r="M336" t="n">
        <v>4.2</v>
      </c>
      <c r="N336" t="n">
        <v>242</v>
      </c>
    </row>
    <row r="337">
      <c r="A337" t="inlineStr">
        <is>
          <t>1040</t>
        </is>
      </c>
      <c r="B337" t="inlineStr">
        <is>
          <t>IBON</t>
        </is>
      </c>
      <c r="C337" t="n">
        <v>6</v>
      </c>
      <c r="D337" s="2" t="n">
        <v>45829</v>
      </c>
      <c r="E337" t="inlineStr">
        <is>
          <t>IBON-6</t>
        </is>
      </c>
      <c r="F337" t="n">
        <v>83.61</v>
      </c>
      <c r="G337" t="inlineStr"/>
      <c r="H337" t="n">
        <v>283.86</v>
      </c>
      <c r="I337" t="n">
        <v>12.6</v>
      </c>
      <c r="J337" t="inlineStr"/>
      <c r="K337" t="inlineStr"/>
      <c r="L337" t="inlineStr"/>
      <c r="M337" t="inlineStr"/>
      <c r="N337" t="inlineStr"/>
    </row>
    <row r="338">
      <c r="A338" t="inlineStr">
        <is>
          <t>1041</t>
        </is>
      </c>
      <c r="B338" t="inlineStr">
        <is>
          <t>IBON</t>
        </is>
      </c>
      <c r="C338" t="n">
        <v>6</v>
      </c>
      <c r="D338" s="2" t="n">
        <v>45837</v>
      </c>
      <c r="E338" t="inlineStr">
        <is>
          <t>IBON-6</t>
        </is>
      </c>
      <c r="F338" t="n">
        <v>84.68000000000001</v>
      </c>
      <c r="G338" t="inlineStr"/>
      <c r="H338" t="n">
        <v>282.15</v>
      </c>
      <c r="I338" t="n">
        <v>12.6</v>
      </c>
      <c r="J338" t="inlineStr"/>
      <c r="K338" t="inlineStr"/>
      <c r="L338" t="inlineStr"/>
      <c r="M338" t="inlineStr"/>
      <c r="N338" t="inlineStr"/>
    </row>
    <row r="339">
      <c r="A339" t="inlineStr">
        <is>
          <t>1042</t>
        </is>
      </c>
      <c r="B339" t="inlineStr">
        <is>
          <t>IBON</t>
        </is>
      </c>
      <c r="C339" t="n">
        <v>6</v>
      </c>
      <c r="D339" s="2" t="n">
        <v>45832</v>
      </c>
      <c r="E339" t="inlineStr">
        <is>
          <t>IBON-6</t>
        </is>
      </c>
      <c r="F339" t="n">
        <v>84.54000000000001</v>
      </c>
      <c r="G339" t="inlineStr"/>
      <c r="H339" t="n">
        <v>282.66</v>
      </c>
      <c r="I339" t="n">
        <v>12.6</v>
      </c>
      <c r="J339" t="inlineStr"/>
      <c r="K339" t="inlineStr"/>
      <c r="L339" t="inlineStr"/>
      <c r="M339" t="inlineStr"/>
      <c r="N339" t="inlineStr"/>
    </row>
    <row r="340">
      <c r="A340" t="inlineStr">
        <is>
          <t>1043</t>
        </is>
      </c>
      <c r="B340" t="inlineStr">
        <is>
          <t>IBON</t>
        </is>
      </c>
      <c r="C340" t="n">
        <v>6</v>
      </c>
      <c r="D340" s="2" t="n">
        <v>45833</v>
      </c>
      <c r="E340" t="inlineStr">
        <is>
          <t>IBON-6</t>
        </is>
      </c>
      <c r="F340" t="n">
        <v>84.59</v>
      </c>
      <c r="G340" t="n">
        <v>92.7</v>
      </c>
      <c r="H340" t="n">
        <v>283.36</v>
      </c>
      <c r="I340" t="n">
        <v>12.9</v>
      </c>
      <c r="J340" t="n">
        <v>4.59</v>
      </c>
      <c r="K340" t="n">
        <v>142</v>
      </c>
      <c r="L340" t="n">
        <v>60.58</v>
      </c>
      <c r="M340" t="n">
        <v>4.16</v>
      </c>
      <c r="N340" t="n">
        <v>272</v>
      </c>
    </row>
    <row r="341">
      <c r="A341" t="inlineStr">
        <is>
          <t>1044</t>
        </is>
      </c>
      <c r="B341" t="inlineStr">
        <is>
          <t>2RS</t>
        </is>
      </c>
      <c r="C341" t="n">
        <v>6</v>
      </c>
      <c r="D341" s="2" t="n">
        <v>45835</v>
      </c>
      <c r="E341" t="inlineStr">
        <is>
          <t>2RS-6</t>
        </is>
      </c>
      <c r="F341" t="n">
        <v>84.56999999999999</v>
      </c>
      <c r="G341" t="n">
        <v>92.90000000000001</v>
      </c>
      <c r="H341" t="n">
        <v>286.51</v>
      </c>
      <c r="I341" t="n">
        <v>12.8</v>
      </c>
      <c r="J341" t="n">
        <v>4.19</v>
      </c>
      <c r="K341" t="n">
        <v>125</v>
      </c>
      <c r="L341" t="n">
        <v>84.39</v>
      </c>
      <c r="M341" t="n">
        <v>3.6</v>
      </c>
      <c r="N341" t="n">
        <v>204</v>
      </c>
    </row>
    <row r="342">
      <c r="A342" t="inlineStr">
        <is>
          <t>1045</t>
        </is>
      </c>
      <c r="B342" t="inlineStr">
        <is>
          <t>2RS</t>
        </is>
      </c>
      <c r="C342" t="n">
        <v>6</v>
      </c>
      <c r="D342" s="2" t="n">
        <v>45836</v>
      </c>
      <c r="E342" t="inlineStr">
        <is>
          <t>2RS-6</t>
        </is>
      </c>
      <c r="F342" t="n">
        <v>84.14</v>
      </c>
      <c r="G342" t="n">
        <v>92.2</v>
      </c>
      <c r="H342" t="n">
        <v>286.92</v>
      </c>
      <c r="I342" t="n">
        <v>12.9</v>
      </c>
      <c r="J342" t="n">
        <v>4.52</v>
      </c>
      <c r="K342" t="n">
        <v>125</v>
      </c>
      <c r="L342" t="n">
        <v>83.09999999999999</v>
      </c>
      <c r="M342" t="n">
        <v>3.4</v>
      </c>
      <c r="N342" t="n">
        <v>222</v>
      </c>
    </row>
    <row r="343">
      <c r="A343" t="inlineStr">
        <is>
          <t>1046</t>
        </is>
      </c>
      <c r="B343" t="inlineStr">
        <is>
          <t>2RS</t>
        </is>
      </c>
      <c r="C343" t="n">
        <v>6</v>
      </c>
      <c r="D343" s="2" t="n">
        <v>45837</v>
      </c>
      <c r="E343" t="inlineStr">
        <is>
          <t>2RS-6</t>
        </is>
      </c>
      <c r="F343" t="n">
        <v>82.91</v>
      </c>
      <c r="G343" t="inlineStr"/>
      <c r="H343" t="inlineStr"/>
      <c r="I343" t="n">
        <v>11.7</v>
      </c>
      <c r="J343" t="inlineStr"/>
      <c r="K343" t="inlineStr"/>
      <c r="L343" t="inlineStr"/>
      <c r="M343" t="inlineStr"/>
      <c r="N343" t="inlineStr"/>
    </row>
    <row r="344">
      <c r="A344" t="inlineStr">
        <is>
          <t>1047</t>
        </is>
      </c>
      <c r="B344" t="inlineStr">
        <is>
          <t>2RS</t>
        </is>
      </c>
      <c r="C344" t="n">
        <v>6</v>
      </c>
      <c r="D344" s="2" t="n">
        <v>45838</v>
      </c>
      <c r="E344" t="inlineStr">
        <is>
          <t>2RS-6</t>
        </is>
      </c>
      <c r="F344" t="n">
        <v>85.26000000000001</v>
      </c>
      <c r="G344" t="inlineStr"/>
      <c r="H344" t="inlineStr"/>
      <c r="I344" t="n">
        <v>12.3</v>
      </c>
      <c r="J344" t="inlineStr"/>
      <c r="K344" t="inlineStr"/>
      <c r="L344" t="inlineStr"/>
      <c r="M344" t="inlineStr"/>
      <c r="N344" t="inlineStr"/>
    </row>
    <row r="345">
      <c r="A345" t="inlineStr">
        <is>
          <t>1048</t>
        </is>
      </c>
      <c r="B345" t="inlineStr">
        <is>
          <t>2RS</t>
        </is>
      </c>
      <c r="C345" t="n">
        <v>7</v>
      </c>
      <c r="D345" s="2" t="n">
        <v>45839</v>
      </c>
      <c r="E345" t="inlineStr">
        <is>
          <t>2RS-7</t>
        </is>
      </c>
      <c r="F345" t="n">
        <v>85.62</v>
      </c>
      <c r="G345" t="inlineStr"/>
      <c r="H345" t="inlineStr"/>
      <c r="I345" t="n">
        <v>12.4</v>
      </c>
      <c r="J345" t="inlineStr"/>
      <c r="K345" t="inlineStr"/>
      <c r="L345" t="inlineStr"/>
      <c r="M345" t="inlineStr"/>
      <c r="N345" t="inlineStr"/>
    </row>
    <row r="346">
      <c r="A346" t="inlineStr">
        <is>
          <t>1049</t>
        </is>
      </c>
      <c r="B346" t="inlineStr">
        <is>
          <t>2RS</t>
        </is>
      </c>
      <c r="C346" t="n">
        <v>7</v>
      </c>
      <c r="D346" s="2" t="n">
        <v>45840</v>
      </c>
      <c r="E346" t="inlineStr">
        <is>
          <t>2RS-7</t>
        </is>
      </c>
      <c r="F346" t="n">
        <v>84.41</v>
      </c>
      <c r="G346" t="n">
        <v>92.8</v>
      </c>
      <c r="H346" t="n">
        <v>287</v>
      </c>
      <c r="I346" t="n">
        <v>12.9</v>
      </c>
      <c r="J346" t="n">
        <v>4.24</v>
      </c>
      <c r="K346" t="n">
        <v>119</v>
      </c>
      <c r="L346" t="n">
        <v>84.59</v>
      </c>
      <c r="M346" t="n">
        <v>3.5</v>
      </c>
      <c r="N346" t="n">
        <v>257</v>
      </c>
    </row>
    <row r="347">
      <c r="A347" t="inlineStr">
        <is>
          <t>1050</t>
        </is>
      </c>
      <c r="B347" t="inlineStr">
        <is>
          <t>2RS</t>
        </is>
      </c>
      <c r="C347" t="n">
        <v>7</v>
      </c>
      <c r="D347" s="2" t="n">
        <v>45842</v>
      </c>
      <c r="E347" t="inlineStr">
        <is>
          <t>2RS-7</t>
        </is>
      </c>
      <c r="F347" t="n">
        <v>84.03</v>
      </c>
      <c r="G347" t="n">
        <v>92.2</v>
      </c>
      <c r="H347" t="n">
        <v>287</v>
      </c>
      <c r="I347" t="n">
        <v>12.8</v>
      </c>
      <c r="J347" t="n">
        <v>4.36</v>
      </c>
      <c r="K347" t="n">
        <v>150</v>
      </c>
      <c r="L347" t="n">
        <v>84.3</v>
      </c>
      <c r="M347" t="n">
        <v>3.8</v>
      </c>
      <c r="N347" t="n">
        <v>197</v>
      </c>
    </row>
    <row r="348">
      <c r="A348" t="inlineStr">
        <is>
          <t>1051</t>
        </is>
      </c>
      <c r="B348" t="inlineStr">
        <is>
          <t>2RS</t>
        </is>
      </c>
      <c r="C348" t="n">
        <v>7</v>
      </c>
      <c r="D348" s="2" t="n">
        <v>45843</v>
      </c>
      <c r="E348" t="inlineStr">
        <is>
          <t>2RS-7</t>
        </is>
      </c>
      <c r="F348" t="n">
        <v>84.12</v>
      </c>
      <c r="G348" t="n">
        <v>92.2</v>
      </c>
      <c r="H348" t="n">
        <v>287.07</v>
      </c>
      <c r="I348" t="n">
        <v>12.8</v>
      </c>
      <c r="J348" t="n">
        <v>4.4</v>
      </c>
      <c r="K348" t="n">
        <v>146</v>
      </c>
      <c r="L348" t="n">
        <v>83.55</v>
      </c>
      <c r="M348" t="n">
        <v>3.9</v>
      </c>
      <c r="N348" t="n">
        <v>213</v>
      </c>
    </row>
    <row r="349">
      <c r="A349" t="inlineStr">
        <is>
          <t>1052</t>
        </is>
      </c>
      <c r="B349" t="inlineStr">
        <is>
          <t>IBON</t>
        </is>
      </c>
      <c r="C349" t="n">
        <v>7</v>
      </c>
      <c r="D349" s="2" t="n">
        <v>45844</v>
      </c>
      <c r="E349" t="inlineStr">
        <is>
          <t>IBON-7</t>
        </is>
      </c>
      <c r="F349" t="n">
        <v>84.73999999999999</v>
      </c>
      <c r="G349" t="n">
        <v>92.7</v>
      </c>
      <c r="H349" t="n">
        <v>283.03</v>
      </c>
      <c r="I349" t="n">
        <v>13</v>
      </c>
      <c r="J349" t="n">
        <v>4.79</v>
      </c>
      <c r="K349" t="n">
        <v>134</v>
      </c>
      <c r="L349" t="n">
        <v>54.11</v>
      </c>
      <c r="M349" t="n">
        <v>3.7</v>
      </c>
      <c r="N349" t="inlineStr"/>
    </row>
    <row r="350">
      <c r="A350" t="inlineStr">
        <is>
          <t>1053</t>
        </is>
      </c>
      <c r="B350" t="inlineStr">
        <is>
          <t>2RS</t>
        </is>
      </c>
      <c r="C350" t="n">
        <v>7</v>
      </c>
      <c r="D350" s="2" t="n">
        <v>45845</v>
      </c>
      <c r="E350" t="inlineStr">
        <is>
          <t>2RS-7</t>
        </is>
      </c>
      <c r="F350" t="n">
        <v>85.05</v>
      </c>
      <c r="G350" t="n">
        <v>93.40000000000001</v>
      </c>
      <c r="H350" t="inlineStr"/>
      <c r="I350" t="n">
        <v>12.9</v>
      </c>
      <c r="J350" t="n">
        <v>4.38</v>
      </c>
      <c r="K350" t="n">
        <v>143</v>
      </c>
      <c r="L350" t="n">
        <v>80.98999999999998</v>
      </c>
      <c r="M350" t="n">
        <v>3.4</v>
      </c>
      <c r="N350" t="n">
        <v>262</v>
      </c>
    </row>
    <row r="351">
      <c r="A351" t="inlineStr">
        <is>
          <t>1054</t>
        </is>
      </c>
      <c r="B351" t="inlineStr">
        <is>
          <t>2RS</t>
        </is>
      </c>
      <c r="C351" t="n">
        <v>7</v>
      </c>
      <c r="D351" s="2" t="n">
        <v>45847</v>
      </c>
      <c r="E351" t="inlineStr">
        <is>
          <t>2RS-7</t>
        </is>
      </c>
      <c r="F351" t="n">
        <v>83.48999999999999</v>
      </c>
      <c r="G351" t="n">
        <v>91.5</v>
      </c>
      <c r="H351" t="n">
        <v>286.52</v>
      </c>
      <c r="I351" t="n">
        <v>12.9</v>
      </c>
      <c r="J351" t="n">
        <v>4.54</v>
      </c>
      <c r="K351" t="n">
        <v>130</v>
      </c>
      <c r="L351" t="n">
        <v>80.66</v>
      </c>
      <c r="M351" t="n">
        <v>3.68</v>
      </c>
      <c r="N351" t="n">
        <v>251</v>
      </c>
    </row>
    <row r="352">
      <c r="A352" t="inlineStr">
        <is>
          <t>1055</t>
        </is>
      </c>
      <c r="B352" t="inlineStr">
        <is>
          <t>2RS</t>
        </is>
      </c>
      <c r="C352" t="n">
        <v>7</v>
      </c>
      <c r="D352" s="2" t="n">
        <v>45848</v>
      </c>
      <c r="E352" t="inlineStr">
        <is>
          <t>2RS-7</t>
        </is>
      </c>
      <c r="F352" t="n">
        <v>84.31</v>
      </c>
      <c r="G352" t="inlineStr"/>
      <c r="H352" t="n">
        <v>298.17</v>
      </c>
      <c r="I352" t="n">
        <v>12.8</v>
      </c>
      <c r="J352" t="inlineStr"/>
      <c r="K352" t="inlineStr"/>
      <c r="L352" t="inlineStr"/>
      <c r="M352" t="inlineStr"/>
      <c r="N352" t="inlineStr"/>
    </row>
    <row r="353">
      <c r="A353" t="inlineStr">
        <is>
          <t>1056</t>
        </is>
      </c>
      <c r="B353" t="inlineStr">
        <is>
          <t>2RS</t>
        </is>
      </c>
      <c r="C353" t="n">
        <v>7</v>
      </c>
      <c r="D353" s="2" t="n">
        <v>45850</v>
      </c>
      <c r="E353" t="inlineStr">
        <is>
          <t>2RS-7</t>
        </is>
      </c>
      <c r="F353" t="n">
        <v>84.78</v>
      </c>
      <c r="G353" t="inlineStr"/>
      <c r="H353" t="inlineStr"/>
      <c r="I353" t="n">
        <v>12.6</v>
      </c>
      <c r="J353" t="inlineStr"/>
      <c r="K353" t="inlineStr"/>
      <c r="L353" t="inlineStr"/>
      <c r="M353" t="inlineStr"/>
      <c r="N353" t="inlineStr"/>
    </row>
    <row r="354">
      <c r="A354" t="inlineStr">
        <is>
          <t>1057</t>
        </is>
      </c>
      <c r="B354" t="inlineStr">
        <is>
          <t>2RS</t>
        </is>
      </c>
      <c r="C354" t="n">
        <v>7</v>
      </c>
      <c r="D354" s="2" t="n">
        <v>45851</v>
      </c>
      <c r="E354" t="inlineStr">
        <is>
          <t>2RS-7</t>
        </is>
      </c>
      <c r="F354" t="n">
        <v>83.22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1058</t>
        </is>
      </c>
      <c r="B355" t="inlineStr">
        <is>
          <t>2RS</t>
        </is>
      </c>
      <c r="C355" t="n">
        <v>7</v>
      </c>
      <c r="D355" s="2" t="n">
        <v>45852</v>
      </c>
      <c r="E355" t="inlineStr">
        <is>
          <t>2RS-7</t>
        </is>
      </c>
      <c r="F355" t="n">
        <v>83.19</v>
      </c>
      <c r="G355" t="n">
        <v>91.90000000000001</v>
      </c>
      <c r="H355" t="n">
        <v>286.69</v>
      </c>
      <c r="I355" t="n">
        <v>13.5</v>
      </c>
      <c r="J355" t="n">
        <v>4.41</v>
      </c>
      <c r="K355" t="n">
        <v>135</v>
      </c>
      <c r="L355" t="n">
        <v>86.19</v>
      </c>
      <c r="M355" t="n">
        <v>3.7</v>
      </c>
      <c r="N355" t="n">
        <v>178</v>
      </c>
    </row>
    <row r="356">
      <c r="A356" t="inlineStr">
        <is>
          <t>1059</t>
        </is>
      </c>
      <c r="B356" t="inlineStr">
        <is>
          <t>IBON</t>
        </is>
      </c>
      <c r="C356" t="n">
        <v>7</v>
      </c>
      <c r="D356" s="2" t="n">
        <v>45854</v>
      </c>
      <c r="E356" t="inlineStr">
        <is>
          <t>IBON-7</t>
        </is>
      </c>
      <c r="F356" t="n">
        <v>83.56</v>
      </c>
      <c r="G356" t="n">
        <v>92.40000000000001</v>
      </c>
      <c r="H356" t="n">
        <v>282.92</v>
      </c>
      <c r="I356" t="n">
        <v>13.2</v>
      </c>
      <c r="J356" t="n">
        <v>4.05</v>
      </c>
      <c r="K356" t="n">
        <v>145</v>
      </c>
      <c r="L356" t="n">
        <v>64.04000000000001</v>
      </c>
      <c r="M356" t="n">
        <v>4</v>
      </c>
      <c r="N356" t="n">
        <v>293</v>
      </c>
    </row>
    <row r="357">
      <c r="A357" t="inlineStr">
        <is>
          <t>1060</t>
        </is>
      </c>
      <c r="B357" t="inlineStr">
        <is>
          <t>2RS</t>
        </is>
      </c>
      <c r="C357" t="n">
        <v>7</v>
      </c>
      <c r="D357" s="2" t="n">
        <v>45855</v>
      </c>
      <c r="E357" t="inlineStr">
        <is>
          <t>2RS-7</t>
        </is>
      </c>
      <c r="F357" t="n">
        <v>84.37</v>
      </c>
      <c r="G357" t="n">
        <v>92.40000000000001</v>
      </c>
      <c r="H357" t="n">
        <v>286.15</v>
      </c>
      <c r="I357" t="n">
        <v>12.9</v>
      </c>
      <c r="J357" t="n">
        <v>4.58</v>
      </c>
      <c r="K357" t="n">
        <v>139</v>
      </c>
      <c r="L357" t="n">
        <v>84.25</v>
      </c>
      <c r="M357" t="n">
        <v>3.69</v>
      </c>
      <c r="N357" t="n">
        <v>185</v>
      </c>
    </row>
    <row r="358">
      <c r="A358" t="inlineStr">
        <is>
          <t>1061</t>
        </is>
      </c>
      <c r="B358" t="inlineStr">
        <is>
          <t>2RS</t>
        </is>
      </c>
      <c r="C358" t="n">
        <v>7</v>
      </c>
      <c r="D358" s="2" t="n">
        <v>45856</v>
      </c>
      <c r="E358" t="inlineStr">
        <is>
          <t>2RS-7</t>
        </is>
      </c>
      <c r="F358" t="n">
        <v>84.7</v>
      </c>
      <c r="G358" t="n">
        <v>93</v>
      </c>
      <c r="H358" t="n">
        <v>286.94</v>
      </c>
      <c r="I358" t="n">
        <v>13.1</v>
      </c>
      <c r="J358" t="n">
        <v>4.61</v>
      </c>
      <c r="K358" t="n">
        <v>131</v>
      </c>
      <c r="L358" t="n">
        <v>82</v>
      </c>
      <c r="M358" t="n">
        <v>3.7</v>
      </c>
      <c r="N358" t="n">
        <v>263</v>
      </c>
    </row>
    <row r="359">
      <c r="A359" t="inlineStr">
        <is>
          <t>1062</t>
        </is>
      </c>
      <c r="B359" t="inlineStr">
        <is>
          <t>IBON</t>
        </is>
      </c>
      <c r="C359" t="n">
        <v>7</v>
      </c>
      <c r="D359" s="2" t="n">
        <v>45857</v>
      </c>
      <c r="E359" t="inlineStr">
        <is>
          <t>IBON-7</t>
        </is>
      </c>
      <c r="F359" t="n">
        <v>83.15000000000001</v>
      </c>
      <c r="G359" t="n">
        <v>91.3</v>
      </c>
      <c r="H359" t="n">
        <v>283.43</v>
      </c>
      <c r="I359" t="n">
        <v>13.2</v>
      </c>
      <c r="J359" t="n">
        <v>4.64</v>
      </c>
      <c r="K359" t="n">
        <v>151</v>
      </c>
      <c r="L359" t="n">
        <v>61.05</v>
      </c>
      <c r="M359" t="n">
        <v>4.1</v>
      </c>
      <c r="N359" t="n">
        <v>403</v>
      </c>
    </row>
    <row r="360">
      <c r="A360" t="inlineStr">
        <is>
          <t>1063</t>
        </is>
      </c>
      <c r="B360" t="inlineStr">
        <is>
          <t>IBON</t>
        </is>
      </c>
      <c r="C360" t="n">
        <v>7</v>
      </c>
      <c r="D360" s="2" t="n">
        <v>45859</v>
      </c>
      <c r="E360" t="inlineStr">
        <is>
          <t>IBON-7</t>
        </is>
      </c>
      <c r="F360" t="n">
        <v>84.18000000000001</v>
      </c>
      <c r="G360" t="n">
        <v>92.5</v>
      </c>
      <c r="H360" t="n">
        <v>282.82</v>
      </c>
      <c r="I360" t="n">
        <v>13.4</v>
      </c>
      <c r="J360" t="n">
        <v>4.8</v>
      </c>
      <c r="K360" t="n">
        <v>138</v>
      </c>
      <c r="L360" t="n">
        <v>58.2</v>
      </c>
      <c r="M360" t="n">
        <v>3.6</v>
      </c>
      <c r="N360" t="n">
        <v>375</v>
      </c>
    </row>
    <row r="361">
      <c r="A361" t="inlineStr">
        <is>
          <t>1064</t>
        </is>
      </c>
      <c r="B361" t="inlineStr">
        <is>
          <t>2RS</t>
        </is>
      </c>
      <c r="C361" t="n">
        <v>7</v>
      </c>
      <c r="D361" s="2" t="n">
        <v>45863</v>
      </c>
      <c r="E361" t="inlineStr">
        <is>
          <t>2RS-7</t>
        </is>
      </c>
      <c r="F361" t="n">
        <v>83.48</v>
      </c>
      <c r="G361" t="n">
        <v>92.2</v>
      </c>
      <c r="H361" t="n">
        <v>287.99</v>
      </c>
      <c r="I361" t="n">
        <v>13.3</v>
      </c>
      <c r="J361" t="n">
        <v>4.29</v>
      </c>
      <c r="K361" t="n">
        <v>124</v>
      </c>
      <c r="L361" t="n">
        <v>85.09999999999999</v>
      </c>
      <c r="M361" t="n">
        <v>4.1</v>
      </c>
      <c r="N361" t="n">
        <v>185</v>
      </c>
    </row>
    <row r="362">
      <c r="A362" t="inlineStr">
        <is>
          <t>1065</t>
        </is>
      </c>
      <c r="B362" t="inlineStr">
        <is>
          <t>2RS</t>
        </is>
      </c>
      <c r="C362" t="n">
        <v>7</v>
      </c>
      <c r="D362" s="2" t="n">
        <v>45864</v>
      </c>
      <c r="E362" t="inlineStr">
        <is>
          <t>2RS-7</t>
        </is>
      </c>
      <c r="F362" t="n">
        <v>83.06999999999999</v>
      </c>
      <c r="G362" t="n">
        <v>91.59999999999999</v>
      </c>
      <c r="H362" t="n">
        <v>287.8</v>
      </c>
      <c r="I362" t="n">
        <v>13.7</v>
      </c>
      <c r="J362" t="n">
        <v>4.86</v>
      </c>
      <c r="K362" t="n">
        <v>127</v>
      </c>
      <c r="L362" t="n">
        <v>82.8</v>
      </c>
      <c r="M362" t="n">
        <v>4.1</v>
      </c>
      <c r="N362" t="n">
        <v>175</v>
      </c>
    </row>
    <row r="363">
      <c r="A363" t="inlineStr">
        <is>
          <t>1066</t>
        </is>
      </c>
      <c r="B363" t="inlineStr">
        <is>
          <t>2RS</t>
        </is>
      </c>
      <c r="C363" t="n">
        <v>7</v>
      </c>
      <c r="D363" s="2" t="n">
        <v>45865</v>
      </c>
      <c r="E363" t="inlineStr">
        <is>
          <t>2RS-7</t>
        </is>
      </c>
      <c r="F363" t="n">
        <v>83.23</v>
      </c>
      <c r="G363" t="n">
        <v>92.40000000000001</v>
      </c>
      <c r="H363" t="n">
        <v>287.79</v>
      </c>
      <c r="I363" t="n">
        <v>13.7</v>
      </c>
      <c r="J363" t="n">
        <v>4.19</v>
      </c>
      <c r="K363" t="n">
        <v>126</v>
      </c>
      <c r="L363" t="n">
        <v>85.98999999999999</v>
      </c>
      <c r="M363" t="n">
        <v>4</v>
      </c>
      <c r="N363" t="n">
        <v>178</v>
      </c>
    </row>
    <row r="364">
      <c r="A364" t="inlineStr">
        <is>
          <t>1067</t>
        </is>
      </c>
      <c r="B364" t="inlineStr">
        <is>
          <t>2RS</t>
        </is>
      </c>
      <c r="C364" t="n">
        <v>7</v>
      </c>
      <c r="D364" s="2" t="n">
        <v>45868</v>
      </c>
      <c r="E364" t="inlineStr">
        <is>
          <t>2RS-7</t>
        </is>
      </c>
      <c r="F364" t="n">
        <v>84.23999999999999</v>
      </c>
      <c r="G364" t="n">
        <v>93.5</v>
      </c>
      <c r="H364" t="n">
        <v>287.43</v>
      </c>
      <c r="I364" t="n">
        <v>13.6</v>
      </c>
      <c r="J364" t="n">
        <v>4.13</v>
      </c>
      <c r="K364" t="n">
        <v>132</v>
      </c>
      <c r="L364" t="n">
        <v>82.59999999999999</v>
      </c>
      <c r="M364" t="n">
        <v>3.7</v>
      </c>
      <c r="N364" t="n">
        <v>250</v>
      </c>
    </row>
    <row r="365">
      <c r="A365" t="inlineStr">
        <is>
          <t>1068</t>
        </is>
      </c>
      <c r="B365" t="inlineStr">
        <is>
          <t>2RS</t>
        </is>
      </c>
      <c r="C365" t="n">
        <v>7</v>
      </c>
      <c r="D365" s="2" t="n">
        <v>45869</v>
      </c>
      <c r="E365" t="inlineStr">
        <is>
          <t>2RS-7</t>
        </is>
      </c>
      <c r="F365" t="n">
        <v>84.12</v>
      </c>
      <c r="G365" t="n">
        <v>93.40000000000001</v>
      </c>
      <c r="H365" t="n">
        <v>287.91</v>
      </c>
      <c r="I365" t="n">
        <v>13.6</v>
      </c>
      <c r="J365" t="n">
        <v>4.1</v>
      </c>
      <c r="K365" t="n">
        <v>151</v>
      </c>
      <c r="L365" t="n">
        <v>85.93000000000001</v>
      </c>
      <c r="M365" t="n">
        <v>4</v>
      </c>
      <c r="N365" t="n">
        <v>210</v>
      </c>
    </row>
    <row r="366">
      <c r="A366" t="inlineStr">
        <is>
          <t>1069</t>
        </is>
      </c>
      <c r="B366" t="inlineStr">
        <is>
          <t>2RS</t>
        </is>
      </c>
      <c r="C366" t="n">
        <v>8</v>
      </c>
      <c r="D366" s="2" t="n">
        <v>45870</v>
      </c>
      <c r="E366" t="inlineStr">
        <is>
          <t>2RS-8</t>
        </is>
      </c>
      <c r="F366" t="n">
        <v>84.88</v>
      </c>
      <c r="G366" t="n">
        <v>93.5</v>
      </c>
      <c r="H366" t="n">
        <v>286.82</v>
      </c>
      <c r="I366" t="n">
        <v>13.1</v>
      </c>
      <c r="J366" t="n">
        <v>4.26</v>
      </c>
      <c r="K366" t="n">
        <v>137</v>
      </c>
      <c r="L366" t="n">
        <v>84.90000000000001</v>
      </c>
      <c r="M366" t="n">
        <v>3.8</v>
      </c>
      <c r="N366" t="n">
        <v>237</v>
      </c>
    </row>
    <row r="367">
      <c r="A367" t="inlineStr">
        <is>
          <t>1070</t>
        </is>
      </c>
      <c r="B367" t="inlineStr">
        <is>
          <t>2RS</t>
        </is>
      </c>
      <c r="C367" t="n">
        <v>8</v>
      </c>
      <c r="D367" s="2" t="n">
        <v>45871</v>
      </c>
      <c r="E367" t="inlineStr">
        <is>
          <t>2RS-8</t>
        </is>
      </c>
      <c r="F367" t="n">
        <v>84.93000000000001</v>
      </c>
      <c r="G367" t="n">
        <v>93.59999999999999</v>
      </c>
      <c r="H367" t="n">
        <v>288.12</v>
      </c>
      <c r="I367" t="n">
        <v>13.6</v>
      </c>
      <c r="J367" t="n">
        <v>4.83</v>
      </c>
      <c r="K367" t="n">
        <v>137</v>
      </c>
      <c r="L367" t="n">
        <v>81.3</v>
      </c>
      <c r="M367" t="n">
        <v>3.8</v>
      </c>
      <c r="N367" t="n">
        <v>242</v>
      </c>
    </row>
    <row r="368">
      <c r="A368" t="inlineStr">
        <is>
          <t>1071</t>
        </is>
      </c>
      <c r="B368" t="inlineStr">
        <is>
          <t>IBON</t>
        </is>
      </c>
      <c r="C368" t="n">
        <v>8</v>
      </c>
      <c r="D368" s="2" t="n">
        <v>45873</v>
      </c>
      <c r="E368" t="inlineStr">
        <is>
          <t>IBON-8</t>
        </is>
      </c>
      <c r="F368" t="n">
        <v>85.25</v>
      </c>
      <c r="G368" t="n">
        <v>93.90000000000001</v>
      </c>
      <c r="H368" t="n">
        <v>282.78</v>
      </c>
      <c r="I368" t="n">
        <v>13.2</v>
      </c>
      <c r="J368" t="n">
        <v>4.41</v>
      </c>
      <c r="K368" t="n">
        <v>126</v>
      </c>
      <c r="L368" t="n">
        <v>62.71</v>
      </c>
      <c r="M368" t="n">
        <v>3.8</v>
      </c>
      <c r="N368" t="n">
        <v>416</v>
      </c>
    </row>
    <row r="369">
      <c r="A369" t="inlineStr">
        <is>
          <t>1072</t>
        </is>
      </c>
      <c r="B369" t="inlineStr">
        <is>
          <t>IBON</t>
        </is>
      </c>
      <c r="C369" t="n">
        <v>8</v>
      </c>
      <c r="D369" s="2" t="n">
        <v>45874</v>
      </c>
      <c r="E369" t="inlineStr">
        <is>
          <t>IBON-8</t>
        </is>
      </c>
      <c r="F369" t="n">
        <v>85.8</v>
      </c>
      <c r="G369" t="n">
        <v>94.7</v>
      </c>
      <c r="H369" t="n">
        <v>282.82</v>
      </c>
      <c r="I369" t="n">
        <v>13.3</v>
      </c>
      <c r="J369" t="n">
        <v>4.32</v>
      </c>
      <c r="K369" t="n">
        <v>167</v>
      </c>
      <c r="L369" t="n">
        <v>62.28</v>
      </c>
      <c r="M369" t="n">
        <v>4.9</v>
      </c>
      <c r="N369" t="n">
        <v>307</v>
      </c>
    </row>
    <row r="370">
      <c r="A370" t="inlineStr">
        <is>
          <t>1073</t>
        </is>
      </c>
      <c r="B370" t="inlineStr">
        <is>
          <t>IBON</t>
        </is>
      </c>
      <c r="C370" t="n">
        <v>8</v>
      </c>
      <c r="D370" s="2" t="n">
        <v>45875</v>
      </c>
      <c r="E370" t="inlineStr">
        <is>
          <t>IBON-8</t>
        </is>
      </c>
      <c r="F370" t="n">
        <v>84.81</v>
      </c>
      <c r="G370" t="n">
        <v>93.59999999999999</v>
      </c>
      <c r="H370" t="n">
        <v>282.72</v>
      </c>
      <c r="I370" t="n">
        <v>13.2</v>
      </c>
      <c r="J370" t="n">
        <v>4.15</v>
      </c>
      <c r="K370" t="n">
        <v>149</v>
      </c>
      <c r="L370" t="n">
        <v>61.7</v>
      </c>
      <c r="M370" t="n">
        <v>4.88</v>
      </c>
      <c r="N370" t="n">
        <v>295</v>
      </c>
    </row>
    <row r="371">
      <c r="A371" t="inlineStr">
        <is>
          <t>1074</t>
        </is>
      </c>
      <c r="B371" t="inlineStr">
        <is>
          <t>2RS</t>
        </is>
      </c>
      <c r="C371" t="n">
        <v>8</v>
      </c>
      <c r="D371" s="2" t="n">
        <v>45876</v>
      </c>
      <c r="E371" t="inlineStr">
        <is>
          <t>2RS-8</t>
        </is>
      </c>
      <c r="F371" t="n">
        <v>84.23999999999999</v>
      </c>
      <c r="G371" t="n">
        <v>92.59999999999999</v>
      </c>
      <c r="H371" t="n">
        <v>287.8</v>
      </c>
      <c r="I371" t="n">
        <v>13.3</v>
      </c>
      <c r="J371" t="n">
        <v>4.73</v>
      </c>
      <c r="K371" t="n">
        <v>134</v>
      </c>
      <c r="L371" t="n">
        <v>82.34999999999999</v>
      </c>
      <c r="M371" t="n">
        <v>3.5</v>
      </c>
      <c r="N371" t="n">
        <v>220</v>
      </c>
    </row>
    <row r="372">
      <c r="A372" t="inlineStr">
        <is>
          <t>1075</t>
        </is>
      </c>
      <c r="B372" t="inlineStr">
        <is>
          <t>2RS</t>
        </is>
      </c>
      <c r="C372" t="n">
        <v>8</v>
      </c>
      <c r="D372" s="2" t="n">
        <v>45877</v>
      </c>
      <c r="E372" t="inlineStr">
        <is>
          <t>2RS-8</t>
        </is>
      </c>
      <c r="F372" t="n">
        <v>83.95</v>
      </c>
      <c r="G372" t="n">
        <v>92.8</v>
      </c>
      <c r="H372" t="n">
        <v>287.54</v>
      </c>
      <c r="I372" t="n">
        <v>13.4</v>
      </c>
      <c r="J372" t="n">
        <v>4.23</v>
      </c>
      <c r="K372" t="n">
        <v>134</v>
      </c>
      <c r="L372" t="n">
        <v>83.26000000000001</v>
      </c>
      <c r="M372" t="n">
        <v>3.6</v>
      </c>
      <c r="N372" t="n">
        <v>146</v>
      </c>
    </row>
    <row r="373">
      <c r="A373" t="inlineStr">
        <is>
          <t>1076</t>
        </is>
      </c>
      <c r="B373" t="inlineStr">
        <is>
          <t>2RS</t>
        </is>
      </c>
      <c r="C373" t="n">
        <v>8</v>
      </c>
      <c r="D373" s="2" t="n">
        <v>45879</v>
      </c>
      <c r="E373" t="inlineStr">
        <is>
          <t>2RS-8</t>
        </is>
      </c>
      <c r="F373" t="n">
        <v>83.92</v>
      </c>
      <c r="G373" t="n">
        <v>92.90000000000001</v>
      </c>
      <c r="H373" t="n">
        <v>287.46</v>
      </c>
      <c r="I373" t="n">
        <v>13.4</v>
      </c>
      <c r="J373" t="n">
        <v>4.17</v>
      </c>
      <c r="K373" t="n">
        <v>130</v>
      </c>
      <c r="L373" t="n">
        <v>81.81</v>
      </c>
      <c r="M373" t="n">
        <v>3.6</v>
      </c>
      <c r="N373" t="n">
        <v>278</v>
      </c>
    </row>
    <row r="374">
      <c r="A374" t="inlineStr">
        <is>
          <t>1077</t>
        </is>
      </c>
      <c r="B374" t="inlineStr">
        <is>
          <t>2RS</t>
        </is>
      </c>
      <c r="C374" t="n">
        <v>8</v>
      </c>
      <c r="D374" s="2" t="n">
        <v>45880</v>
      </c>
      <c r="E374" t="inlineStr">
        <is>
          <t>2RS-8</t>
        </is>
      </c>
      <c r="F374" t="n">
        <v>83.75</v>
      </c>
      <c r="G374" t="n">
        <v>92.7</v>
      </c>
      <c r="H374" t="n">
        <v>287.73</v>
      </c>
      <c r="I374" t="n">
        <v>13.4</v>
      </c>
      <c r="J374" t="n">
        <v>4.1</v>
      </c>
      <c r="K374" t="n">
        <v>130</v>
      </c>
      <c r="L374" t="n">
        <v>83.39</v>
      </c>
      <c r="M374" t="n">
        <v>3.8</v>
      </c>
      <c r="N374" t="n">
        <v>249</v>
      </c>
    </row>
    <row r="375">
      <c r="A375" t="inlineStr">
        <is>
          <t>1078</t>
        </is>
      </c>
      <c r="B375" t="inlineStr">
        <is>
          <t>2RS</t>
        </is>
      </c>
      <c r="C375" t="n">
        <v>8</v>
      </c>
      <c r="D375" s="2" t="n">
        <v>45881</v>
      </c>
      <c r="E375" t="inlineStr">
        <is>
          <t>2RS-8</t>
        </is>
      </c>
      <c r="F375" t="n">
        <v>83.76000000000001</v>
      </c>
      <c r="G375" t="n">
        <v>92.40000000000001</v>
      </c>
      <c r="H375" t="n">
        <v>287.62</v>
      </c>
      <c r="I375" t="n">
        <v>13.3</v>
      </c>
      <c r="J375" t="n">
        <v>4.32</v>
      </c>
      <c r="K375" t="n">
        <v>143</v>
      </c>
      <c r="L375" t="n">
        <v>84.63</v>
      </c>
      <c r="M375" t="n">
        <v>4.1</v>
      </c>
      <c r="N375" t="n">
        <v>196</v>
      </c>
    </row>
    <row r="376">
      <c r="A376" t="inlineStr">
        <is>
          <t>1079</t>
        </is>
      </c>
      <c r="B376" t="inlineStr">
        <is>
          <t>2RS</t>
        </is>
      </c>
      <c r="C376" t="n">
        <v>8</v>
      </c>
      <c r="D376" s="2" t="n">
        <v>45882</v>
      </c>
      <c r="E376" t="inlineStr">
        <is>
          <t>2RS-8</t>
        </is>
      </c>
      <c r="F376" t="n">
        <v>84.61</v>
      </c>
      <c r="G376" t="n">
        <v>93</v>
      </c>
      <c r="H376" t="n">
        <v>286.35</v>
      </c>
      <c r="I376" t="n">
        <v>13</v>
      </c>
      <c r="J376" t="n">
        <v>4.35</v>
      </c>
      <c r="K376" t="n">
        <v>147</v>
      </c>
      <c r="L376" t="n">
        <v>83.17</v>
      </c>
      <c r="M376" t="n">
        <v>4</v>
      </c>
      <c r="N376" t="n">
        <v>203</v>
      </c>
    </row>
    <row r="377">
      <c r="A377" t="inlineStr">
        <is>
          <t>1080</t>
        </is>
      </c>
      <c r="B377" t="inlineStr">
        <is>
          <t>IBON</t>
        </is>
      </c>
      <c r="C377" t="n">
        <v>8</v>
      </c>
      <c r="D377" s="2" t="n">
        <v>45884</v>
      </c>
      <c r="E377" t="inlineStr">
        <is>
          <t>IBON-8</t>
        </is>
      </c>
      <c r="F377" t="n">
        <v>84.65000000000001</v>
      </c>
      <c r="G377" t="n">
        <v>92.7</v>
      </c>
      <c r="H377" t="n">
        <v>283.21</v>
      </c>
      <c r="I377" t="n">
        <v>12.9</v>
      </c>
      <c r="J377" t="n">
        <v>4.65</v>
      </c>
      <c r="K377" t="n">
        <v>145</v>
      </c>
      <c r="L377" t="n">
        <v>59.71</v>
      </c>
      <c r="M377" t="n">
        <v>4.1</v>
      </c>
      <c r="N377" t="n">
        <v>312</v>
      </c>
    </row>
    <row r="378">
      <c r="A378" t="inlineStr">
        <is>
          <t>1081</t>
        </is>
      </c>
      <c r="B378" t="inlineStr">
        <is>
          <t>IBON</t>
        </is>
      </c>
      <c r="C378" t="n">
        <v>8</v>
      </c>
      <c r="D378" s="2" t="n">
        <v>45885</v>
      </c>
      <c r="E378" t="inlineStr">
        <is>
          <t>IBON-8</t>
        </is>
      </c>
      <c r="F378" t="n">
        <v>84.53</v>
      </c>
      <c r="G378" t="n">
        <v>92.8</v>
      </c>
      <c r="H378" t="n">
        <v>283.2</v>
      </c>
      <c r="I378" t="n">
        <v>13.3</v>
      </c>
      <c r="J378" t="n">
        <v>4.84</v>
      </c>
      <c r="K378" t="n">
        <v>141</v>
      </c>
      <c r="L378" t="n">
        <v>54.41</v>
      </c>
      <c r="M378" t="n">
        <v>3.9</v>
      </c>
      <c r="N378" t="inlineStr"/>
    </row>
    <row r="379">
      <c r="A379" t="inlineStr">
        <is>
          <t>1082</t>
        </is>
      </c>
      <c r="B379" t="inlineStr">
        <is>
          <t>IBON</t>
        </is>
      </c>
      <c r="C379" t="n">
        <v>8</v>
      </c>
      <c r="D379" s="2" t="n">
        <v>45886</v>
      </c>
      <c r="E379" t="inlineStr">
        <is>
          <t>IBON-8</t>
        </is>
      </c>
      <c r="F379" t="n">
        <v>84.47</v>
      </c>
      <c r="G379" t="n">
        <v>92.90000000000001</v>
      </c>
      <c r="H379" t="n">
        <v>282.8</v>
      </c>
      <c r="I379" t="n">
        <v>13.3</v>
      </c>
      <c r="J379" t="n">
        <v>4.63</v>
      </c>
      <c r="K379" t="n">
        <v>146</v>
      </c>
      <c r="L379" t="n">
        <v>54.94</v>
      </c>
      <c r="M379" t="n">
        <v>4.1</v>
      </c>
      <c r="N379" t="n">
        <v>350</v>
      </c>
    </row>
    <row r="380">
      <c r="A380" t="inlineStr">
        <is>
          <t>1083</t>
        </is>
      </c>
      <c r="B380" t="inlineStr">
        <is>
          <t>2RS</t>
        </is>
      </c>
      <c r="C380" t="n">
        <v>8</v>
      </c>
      <c r="D380" s="2" t="n">
        <v>45887</v>
      </c>
      <c r="E380" t="inlineStr">
        <is>
          <t>2RS-8</t>
        </is>
      </c>
      <c r="F380" t="n">
        <v>84.89</v>
      </c>
      <c r="G380" t="n">
        <v>93.09999999999999</v>
      </c>
      <c r="H380" t="n">
        <v>286.77</v>
      </c>
      <c r="I380" t="n">
        <v>13</v>
      </c>
      <c r="J380" t="n">
        <v>4.56</v>
      </c>
      <c r="K380" t="n">
        <v>139</v>
      </c>
      <c r="L380" t="n">
        <v>82.3</v>
      </c>
      <c r="M380" t="n">
        <v>4.3</v>
      </c>
      <c r="N380" t="n">
        <v>230</v>
      </c>
    </row>
    <row r="381">
      <c r="A381" t="inlineStr">
        <is>
          <t>1084</t>
        </is>
      </c>
      <c r="B381" t="inlineStr">
        <is>
          <t>2RS</t>
        </is>
      </c>
      <c r="C381" t="n">
        <v>8</v>
      </c>
      <c r="D381" s="2" t="n">
        <v>45889</v>
      </c>
      <c r="E381" t="inlineStr">
        <is>
          <t>2RS-8</t>
        </is>
      </c>
      <c r="F381" t="n">
        <v>84.61</v>
      </c>
      <c r="G381" t="n">
        <v>92.8</v>
      </c>
      <c r="H381" t="n">
        <v>286.6</v>
      </c>
      <c r="I381" t="n">
        <v>13</v>
      </c>
      <c r="J381" t="n">
        <v>4.57</v>
      </c>
      <c r="K381" t="n">
        <v>136</v>
      </c>
      <c r="L381" t="n">
        <v>82.66</v>
      </c>
      <c r="M381" t="n">
        <v>3.73</v>
      </c>
      <c r="N381" t="n">
        <v>253</v>
      </c>
    </row>
    <row r="382">
      <c r="A382" t="inlineStr">
        <is>
          <t>1085</t>
        </is>
      </c>
      <c r="B382" t="inlineStr">
        <is>
          <t>2RS</t>
        </is>
      </c>
      <c r="C382" t="n">
        <v>8</v>
      </c>
      <c r="D382" s="2" t="n">
        <v>45890</v>
      </c>
      <c r="E382" t="inlineStr">
        <is>
          <t>2RS-8</t>
        </is>
      </c>
      <c r="F382" t="n">
        <v>84.43000000000001</v>
      </c>
      <c r="G382" t="n">
        <v>92.3</v>
      </c>
      <c r="H382" t="n">
        <v>286.94</v>
      </c>
      <c r="I382" t="n">
        <v>12.6</v>
      </c>
      <c r="J382" t="n">
        <v>4.43</v>
      </c>
      <c r="K382" t="n">
        <v>150</v>
      </c>
      <c r="L382" t="n">
        <v>83.73</v>
      </c>
      <c r="M382" t="n">
        <v>3.6</v>
      </c>
      <c r="N382" t="n">
        <v>207</v>
      </c>
    </row>
    <row r="383">
      <c r="A383" t="inlineStr">
        <is>
          <t>1086</t>
        </is>
      </c>
      <c r="B383" t="inlineStr">
        <is>
          <t>2RS</t>
        </is>
      </c>
      <c r="C383" t="n">
        <v>8</v>
      </c>
      <c r="D383" s="2" t="n">
        <v>45891</v>
      </c>
      <c r="E383" t="inlineStr">
        <is>
          <t>2RS-8</t>
        </is>
      </c>
      <c r="F383" t="n">
        <v>84.76000000000001</v>
      </c>
      <c r="G383" t="n">
        <v>92.40000000000001</v>
      </c>
      <c r="H383" t="n">
        <v>286.97</v>
      </c>
      <c r="I383" t="n">
        <v>12.4</v>
      </c>
      <c r="J383" t="n">
        <v>4.5</v>
      </c>
      <c r="K383" t="n">
        <v>143</v>
      </c>
      <c r="L383" t="n">
        <v>81.31</v>
      </c>
      <c r="M383" t="n">
        <v>3.88</v>
      </c>
      <c r="N383" t="n">
        <v>251</v>
      </c>
    </row>
    <row r="384">
      <c r="A384" t="inlineStr">
        <is>
          <t>1087</t>
        </is>
      </c>
      <c r="B384" t="inlineStr">
        <is>
          <t>IBON</t>
        </is>
      </c>
      <c r="C384" t="n">
        <v>8</v>
      </c>
      <c r="D384" s="2" t="n">
        <v>45892</v>
      </c>
      <c r="E384" t="inlineStr">
        <is>
          <t>IBON-8</t>
        </is>
      </c>
      <c r="F384" t="n">
        <v>84.42</v>
      </c>
      <c r="G384" t="n">
        <v>92.5</v>
      </c>
      <c r="H384" t="n">
        <v>282.56</v>
      </c>
      <c r="I384" t="n">
        <v>13.3</v>
      </c>
      <c r="J384" t="n">
        <v>5.03</v>
      </c>
      <c r="K384" t="n">
        <v>149</v>
      </c>
      <c r="L384" t="n">
        <v>52.7</v>
      </c>
      <c r="M384" t="n">
        <v>3.67</v>
      </c>
      <c r="N384" t="n">
        <v>339</v>
      </c>
    </row>
    <row r="385">
      <c r="A385" t="inlineStr">
        <is>
          <t>1088</t>
        </is>
      </c>
      <c r="B385" t="inlineStr">
        <is>
          <t>IBON</t>
        </is>
      </c>
      <c r="C385" t="n">
        <v>8</v>
      </c>
      <c r="D385" s="2" t="n">
        <v>45894</v>
      </c>
      <c r="E385" t="inlineStr">
        <is>
          <t>IBON-8</t>
        </is>
      </c>
      <c r="F385" t="n">
        <v>84.44</v>
      </c>
      <c r="G385" t="n">
        <v>92.90000000000001</v>
      </c>
      <c r="H385" t="n">
        <v>282.63</v>
      </c>
      <c r="I385" t="n">
        <v>13.3</v>
      </c>
      <c r="J385" t="n">
        <v>4.63</v>
      </c>
      <c r="K385" t="n">
        <v>150</v>
      </c>
      <c r="L385" t="n">
        <v>54.52</v>
      </c>
      <c r="M385" t="n">
        <v>4.51</v>
      </c>
      <c r="N385" t="n">
        <v>325</v>
      </c>
    </row>
    <row r="386">
      <c r="A386" t="inlineStr">
        <is>
          <t>1089</t>
        </is>
      </c>
      <c r="B386" t="inlineStr">
        <is>
          <t>2RS</t>
        </is>
      </c>
      <c r="C386" t="n">
        <v>8</v>
      </c>
      <c r="D386" s="2" t="n">
        <v>45895</v>
      </c>
      <c r="E386" t="inlineStr">
        <is>
          <t>2RS-8</t>
        </is>
      </c>
      <c r="F386" t="n">
        <v>83.84</v>
      </c>
      <c r="G386" t="n">
        <v>92.7</v>
      </c>
      <c r="H386" t="n">
        <v>286.76</v>
      </c>
      <c r="I386" t="n">
        <v>13.5</v>
      </c>
      <c r="J386" t="n">
        <v>4.34</v>
      </c>
      <c r="K386" t="n">
        <v>136</v>
      </c>
      <c r="L386" t="n">
        <v>82.03</v>
      </c>
      <c r="M386" t="n">
        <v>3.59</v>
      </c>
      <c r="N386" t="n">
        <v>237</v>
      </c>
    </row>
    <row r="387">
      <c r="A387" t="inlineStr">
        <is>
          <t>1090</t>
        </is>
      </c>
      <c r="B387" t="inlineStr">
        <is>
          <t>2RS</t>
        </is>
      </c>
      <c r="C387" t="n">
        <v>8</v>
      </c>
      <c r="D387" s="2" t="n">
        <v>45896</v>
      </c>
      <c r="E387" t="inlineStr">
        <is>
          <t>2RS-8</t>
        </is>
      </c>
      <c r="F387" t="n">
        <v>83.61</v>
      </c>
      <c r="G387" t="n">
        <v>92.59999999999999</v>
      </c>
      <c r="H387" t="n">
        <v>286.88</v>
      </c>
      <c r="I387" t="n">
        <v>13.8</v>
      </c>
      <c r="J387" t="n">
        <v>4.51</v>
      </c>
      <c r="K387" t="n">
        <v>138</v>
      </c>
      <c r="L387" t="n">
        <v>84.3</v>
      </c>
      <c r="M387" t="n">
        <v>3.8</v>
      </c>
      <c r="N387" t="n">
        <v>186</v>
      </c>
    </row>
    <row r="388">
      <c r="A388" t="inlineStr">
        <is>
          <t>1091</t>
        </is>
      </c>
      <c r="B388" t="inlineStr">
        <is>
          <t>2RS</t>
        </is>
      </c>
      <c r="C388" t="n">
        <v>8</v>
      </c>
      <c r="D388" s="2" t="n">
        <v>45898</v>
      </c>
      <c r="E388" t="inlineStr">
        <is>
          <t>2RS-8</t>
        </is>
      </c>
      <c r="F388" t="n">
        <v>83.81</v>
      </c>
      <c r="G388" t="n">
        <v>92.8</v>
      </c>
      <c r="H388" t="n">
        <v>286.69</v>
      </c>
      <c r="I388" t="n">
        <v>13.7</v>
      </c>
      <c r="J388" t="n">
        <v>4.42</v>
      </c>
      <c r="K388" t="n">
        <v>140</v>
      </c>
      <c r="L388" t="n">
        <v>82.06999999999999</v>
      </c>
      <c r="M388" t="n">
        <v>3.8</v>
      </c>
      <c r="N388" t="n">
        <v>239</v>
      </c>
    </row>
    <row r="389">
      <c r="A389" t="inlineStr">
        <is>
          <t>1092</t>
        </is>
      </c>
      <c r="B389" t="inlineStr">
        <is>
          <t>2RS</t>
        </is>
      </c>
      <c r="C389" t="n">
        <v>8</v>
      </c>
      <c r="D389" s="2" t="n">
        <v>45899</v>
      </c>
      <c r="E389" t="inlineStr">
        <is>
          <t>2RS-8</t>
        </is>
      </c>
      <c r="F389" t="n">
        <v>83.98999999999999</v>
      </c>
      <c r="G389" t="n">
        <v>93</v>
      </c>
      <c r="H389" t="n">
        <v>286.75</v>
      </c>
      <c r="I389" t="n">
        <v>13.9</v>
      </c>
      <c r="J389" t="n">
        <v>4.65</v>
      </c>
      <c r="K389" t="n">
        <v>139.8</v>
      </c>
      <c r="L389" t="n">
        <v>83.55</v>
      </c>
      <c r="M389" t="n">
        <v>3.74</v>
      </c>
      <c r="N389" t="n">
        <v>242</v>
      </c>
    </row>
    <row r="390">
      <c r="A390" t="inlineStr">
        <is>
          <t>1093</t>
        </is>
      </c>
      <c r="B390" t="inlineStr">
        <is>
          <t>IBON</t>
        </is>
      </c>
      <c r="C390" t="n">
        <v>8</v>
      </c>
      <c r="D390" s="2" t="n">
        <v>45900</v>
      </c>
      <c r="E390" t="inlineStr">
        <is>
          <t>IBON-8</t>
        </is>
      </c>
      <c r="F390" t="n">
        <v>84.19</v>
      </c>
      <c r="G390" t="n">
        <v>91.7</v>
      </c>
      <c r="H390" t="n">
        <v>282.86</v>
      </c>
      <c r="I390" t="n">
        <v>13.2</v>
      </c>
      <c r="J390" t="n">
        <v>5.47</v>
      </c>
      <c r="K390" t="n">
        <v>161</v>
      </c>
      <c r="L390" t="n">
        <v>52.27</v>
      </c>
      <c r="M390" t="n">
        <v>4.5</v>
      </c>
      <c r="N390" t="n">
        <v>339</v>
      </c>
    </row>
    <row r="391">
      <c r="A391" t="inlineStr">
        <is>
          <t>1094</t>
        </is>
      </c>
      <c r="B391" t="inlineStr">
        <is>
          <t>IBON</t>
        </is>
      </c>
      <c r="C391" t="n">
        <v>9</v>
      </c>
      <c r="D391" s="2" t="n">
        <v>45902</v>
      </c>
      <c r="E391" t="inlineStr">
        <is>
          <t>IBON-9</t>
        </is>
      </c>
      <c r="F391" t="n">
        <v>85.04000000000001</v>
      </c>
      <c r="G391" t="n">
        <v>93</v>
      </c>
      <c r="H391" t="n">
        <v>289.2</v>
      </c>
      <c r="I391" t="n">
        <v>13.1</v>
      </c>
      <c r="J391" t="n">
        <v>4.99</v>
      </c>
      <c r="K391" t="n">
        <v>142</v>
      </c>
      <c r="L391" t="n">
        <v>53.82</v>
      </c>
      <c r="M391" t="n">
        <v>4.1</v>
      </c>
      <c r="N391" t="n">
        <v>360</v>
      </c>
    </row>
    <row r="392">
      <c r="A392" t="inlineStr">
        <is>
          <t>1095</t>
        </is>
      </c>
      <c r="B392" t="inlineStr">
        <is>
          <t>IBON</t>
        </is>
      </c>
      <c r="C392" t="n">
        <v>9</v>
      </c>
      <c r="D392" s="2" t="n">
        <v>45904</v>
      </c>
      <c r="E392" t="inlineStr">
        <is>
          <t>IBON-9</t>
        </is>
      </c>
      <c r="F392" t="n">
        <v>83.84</v>
      </c>
      <c r="G392" t="n">
        <v>92.09999999999999</v>
      </c>
      <c r="H392" t="n">
        <v>281.47</v>
      </c>
      <c r="I392" t="n">
        <v>13.2</v>
      </c>
      <c r="J392" t="n">
        <v>4.69</v>
      </c>
      <c r="K392" t="n">
        <v>155</v>
      </c>
      <c r="L392" t="n">
        <v>59.12</v>
      </c>
      <c r="M392" t="n">
        <v>4.4</v>
      </c>
      <c r="N392" t="n">
        <v>261</v>
      </c>
    </row>
    <row r="393">
      <c r="A393" t="inlineStr">
        <is>
          <t>1096</t>
        </is>
      </c>
      <c r="B393" t="inlineStr">
        <is>
          <t>IBON</t>
        </is>
      </c>
      <c r="C393" t="n">
        <v>9</v>
      </c>
      <c r="D393" s="2" t="n">
        <v>45905</v>
      </c>
      <c r="E393" t="inlineStr">
        <is>
          <t>IBON-9</t>
        </is>
      </c>
      <c r="F393" t="n">
        <v>83.95</v>
      </c>
      <c r="G393" t="n">
        <v>92.40000000000001</v>
      </c>
      <c r="H393" t="n">
        <v>282.82</v>
      </c>
      <c r="I393" t="n">
        <v>13.4</v>
      </c>
      <c r="J393" t="n">
        <v>4.73</v>
      </c>
      <c r="K393" t="n">
        <v>159</v>
      </c>
      <c r="L393" t="n">
        <v>59.38</v>
      </c>
      <c r="M393" t="n">
        <v>5.3</v>
      </c>
      <c r="N393" t="n">
        <v>272</v>
      </c>
    </row>
    <row r="394">
      <c r="A394" t="inlineStr">
        <is>
          <t>1097</t>
        </is>
      </c>
      <c r="B394" t="inlineStr">
        <is>
          <t>2RS</t>
        </is>
      </c>
      <c r="C394" t="n">
        <v>9</v>
      </c>
      <c r="D394" s="2" t="n">
        <v>45907</v>
      </c>
      <c r="E394" t="inlineStr">
        <is>
          <t>2RS-9</t>
        </is>
      </c>
      <c r="F394" t="n">
        <v>83.65000000000001</v>
      </c>
      <c r="G394" t="n">
        <v>92.5</v>
      </c>
      <c r="H394" t="n">
        <v>286.47</v>
      </c>
      <c r="I394" t="n">
        <v>13.7</v>
      </c>
      <c r="J394" t="n">
        <v>4.62</v>
      </c>
      <c r="K394" t="n">
        <v>144</v>
      </c>
      <c r="L394" t="n">
        <v>84.2</v>
      </c>
      <c r="M394" t="n">
        <v>4.1</v>
      </c>
      <c r="N394" t="n">
        <v>200</v>
      </c>
    </row>
    <row r="395">
      <c r="A395" t="inlineStr">
        <is>
          <t>1098</t>
        </is>
      </c>
      <c r="B395" t="inlineStr">
        <is>
          <t>2RS</t>
        </is>
      </c>
      <c r="C395" t="n">
        <v>9</v>
      </c>
      <c r="D395" s="2" t="n">
        <v>45908</v>
      </c>
      <c r="E395" t="inlineStr">
        <is>
          <t>2RS-9</t>
        </is>
      </c>
      <c r="F395" t="n">
        <v>83.79000000000001</v>
      </c>
      <c r="G395" t="n">
        <v>93.09999999999999</v>
      </c>
      <c r="H395" t="n">
        <v>286.59</v>
      </c>
      <c r="I395" t="n">
        <v>14</v>
      </c>
      <c r="J395" t="n">
        <v>4.48</v>
      </c>
      <c r="K395" t="n">
        <v>125</v>
      </c>
      <c r="L395" t="n">
        <v>81.33</v>
      </c>
      <c r="M395" t="n">
        <v>4.2</v>
      </c>
      <c r="N395" t="n">
        <v>299</v>
      </c>
    </row>
    <row r="396">
      <c r="A396" t="inlineStr">
        <is>
          <t>1099</t>
        </is>
      </c>
      <c r="B396" t="inlineStr">
        <is>
          <t>2RS</t>
        </is>
      </c>
      <c r="C396" t="n">
        <v>9</v>
      </c>
      <c r="D396" s="2" t="n">
        <v>45910</v>
      </c>
      <c r="E396" t="inlineStr">
        <is>
          <t>2RS-9</t>
        </is>
      </c>
      <c r="F396" t="n">
        <v>83.69</v>
      </c>
      <c r="G396" t="n">
        <v>93</v>
      </c>
      <c r="H396" t="n">
        <v>286.75</v>
      </c>
      <c r="I396" t="n">
        <v>14.1</v>
      </c>
      <c r="J396" t="n">
        <v>4.57</v>
      </c>
      <c r="K396" t="n">
        <v>142</v>
      </c>
      <c r="L396" t="n">
        <v>82.44</v>
      </c>
      <c r="M396" t="n">
        <v>3.92</v>
      </c>
      <c r="N396" t="n">
        <v>261</v>
      </c>
    </row>
    <row r="397">
      <c r="A397" t="inlineStr">
        <is>
          <t>1100</t>
        </is>
      </c>
      <c r="B397" t="inlineStr">
        <is>
          <t>2RS</t>
        </is>
      </c>
      <c r="C397" t="n">
        <v>9</v>
      </c>
      <c r="D397" s="2" t="n">
        <v>45911</v>
      </c>
      <c r="E397" t="inlineStr">
        <is>
          <t>2RS-9</t>
        </is>
      </c>
      <c r="F397" t="n">
        <v>83.72</v>
      </c>
      <c r="G397" t="n">
        <v>92.5</v>
      </c>
      <c r="H397" t="n">
        <v>286.43</v>
      </c>
      <c r="I397" t="n">
        <v>13.6</v>
      </c>
      <c r="J397" t="n">
        <v>4.57</v>
      </c>
      <c r="K397" t="n">
        <v>145</v>
      </c>
      <c r="L397" t="n">
        <v>81.48999999999998</v>
      </c>
      <c r="M397" t="n">
        <v>3.85</v>
      </c>
      <c r="N397" t="n">
        <v>250</v>
      </c>
    </row>
    <row r="398">
      <c r="A398" t="inlineStr">
        <is>
          <t>1101</t>
        </is>
      </c>
      <c r="B398" t="inlineStr">
        <is>
          <t>2RS</t>
        </is>
      </c>
      <c r="C398" t="n">
        <v>9</v>
      </c>
      <c r="D398" s="2" t="n">
        <v>45912</v>
      </c>
      <c r="E398" t="inlineStr">
        <is>
          <t>2RS-9</t>
        </is>
      </c>
      <c r="F398" t="n">
        <v>84.45</v>
      </c>
      <c r="G398" t="n">
        <v>93.09999999999999</v>
      </c>
      <c r="H398" t="n">
        <v>286.91</v>
      </c>
      <c r="I398" t="n">
        <v>13.4</v>
      </c>
      <c r="J398" t="n">
        <v>4.54</v>
      </c>
      <c r="K398" t="n">
        <v>157</v>
      </c>
      <c r="L398" t="n">
        <v>84.72</v>
      </c>
      <c r="M398" t="n">
        <v>3.8</v>
      </c>
      <c r="N398" t="n">
        <v>185</v>
      </c>
    </row>
    <row r="399">
      <c r="A399" t="inlineStr">
        <is>
          <t>1102</t>
        </is>
      </c>
      <c r="B399" t="inlineStr">
        <is>
          <t>2RS</t>
        </is>
      </c>
      <c r="C399" t="n">
        <v>9</v>
      </c>
      <c r="D399" s="2" t="n">
        <v>45913</v>
      </c>
      <c r="E399" t="inlineStr">
        <is>
          <t>2RS-9</t>
        </is>
      </c>
      <c r="F399" t="n">
        <v>84.14</v>
      </c>
      <c r="G399" t="n">
        <v>92.90000000000001</v>
      </c>
      <c r="H399" t="n">
        <v>286.52</v>
      </c>
      <c r="I399" t="n">
        <v>13.6</v>
      </c>
      <c r="J399" t="n">
        <v>4.61</v>
      </c>
      <c r="K399" t="n">
        <v>141</v>
      </c>
      <c r="L399" t="n">
        <v>84.33</v>
      </c>
      <c r="M399" t="n">
        <v>3.7</v>
      </c>
      <c r="N399" t="n">
        <v>213</v>
      </c>
    </row>
    <row r="400">
      <c r="A400" t="inlineStr">
        <is>
          <t>1103</t>
        </is>
      </c>
      <c r="B400" t="inlineStr">
        <is>
          <t>2RS</t>
        </is>
      </c>
      <c r="C400" t="n">
        <v>9</v>
      </c>
      <c r="D400" s="2" t="n">
        <v>45914</v>
      </c>
      <c r="E400" t="inlineStr">
        <is>
          <t>2RS-9</t>
        </is>
      </c>
      <c r="F400" t="n">
        <v>84.22</v>
      </c>
      <c r="G400" t="inlineStr"/>
      <c r="H400" t="n">
        <v>286.88</v>
      </c>
      <c r="I400" t="n">
        <v>13.2</v>
      </c>
      <c r="J400" t="inlineStr"/>
      <c r="K400" t="inlineStr"/>
      <c r="L400" t="inlineStr"/>
      <c r="M400" t="inlineStr"/>
      <c r="N400" t="inlineStr"/>
    </row>
    <row r="401">
      <c r="A401" t="inlineStr">
        <is>
          <t>1104</t>
        </is>
      </c>
      <c r="B401" t="inlineStr">
        <is>
          <t>2RS</t>
        </is>
      </c>
      <c r="C401" t="n">
        <v>9</v>
      </c>
      <c r="D401" s="2" t="n">
        <v>45915</v>
      </c>
      <c r="E401" t="inlineStr">
        <is>
          <t>2RS-9</t>
        </is>
      </c>
      <c r="F401" t="n">
        <v>84.48</v>
      </c>
      <c r="G401" t="inlineStr"/>
      <c r="H401" t="n">
        <v>286.95</v>
      </c>
      <c r="I401" t="n">
        <v>12.9</v>
      </c>
      <c r="J401" t="inlineStr"/>
      <c r="K401" t="inlineStr"/>
      <c r="L401" t="inlineStr"/>
      <c r="M401" t="inlineStr"/>
      <c r="N401" t="inlineStr"/>
    </row>
    <row r="402">
      <c r="A402" t="inlineStr">
        <is>
          <t>1105</t>
        </is>
      </c>
      <c r="B402" t="inlineStr">
        <is>
          <t>2RS</t>
        </is>
      </c>
      <c r="C402" t="n">
        <v>9</v>
      </c>
      <c r="D402" s="2" t="n">
        <v>45917</v>
      </c>
      <c r="E402" t="inlineStr">
        <is>
          <t>2RS-9</t>
        </is>
      </c>
      <c r="F402" t="n">
        <v>84.47</v>
      </c>
      <c r="G402" t="inlineStr"/>
      <c r="H402" t="n">
        <v>286.94</v>
      </c>
      <c r="I402" t="n">
        <v>12.7</v>
      </c>
      <c r="J402" t="inlineStr"/>
      <c r="K402" t="inlineStr"/>
      <c r="L402" t="inlineStr"/>
      <c r="M402" t="inlineStr"/>
      <c r="N402" t="inlineStr"/>
    </row>
    <row r="403">
      <c r="A403" t="inlineStr">
        <is>
          <t>1106</t>
        </is>
      </c>
      <c r="B403" t="inlineStr">
        <is>
          <t>2RS</t>
        </is>
      </c>
      <c r="C403" t="n">
        <v>9</v>
      </c>
      <c r="D403" s="2" t="n">
        <v>45918</v>
      </c>
      <c r="E403" t="inlineStr">
        <is>
          <t>2RS-9</t>
        </is>
      </c>
      <c r="F403" t="n">
        <v>84.01000000000001</v>
      </c>
      <c r="G403" t="n">
        <v>93.2</v>
      </c>
      <c r="H403" t="n">
        <v>286.7</v>
      </c>
      <c r="I403" t="n">
        <v>13.9</v>
      </c>
      <c r="J403" t="n">
        <v>4.45</v>
      </c>
      <c r="K403" t="n">
        <v>143</v>
      </c>
      <c r="L403" t="n">
        <v>80</v>
      </c>
      <c r="M403" t="n">
        <v>3.9</v>
      </c>
      <c r="N403" t="n">
        <v>251</v>
      </c>
    </row>
    <row r="404">
      <c r="A404" t="inlineStr">
        <is>
          <t>1107</t>
        </is>
      </c>
      <c r="B404" t="inlineStr">
        <is>
          <t>2RS</t>
        </is>
      </c>
      <c r="C404" t="n">
        <v>9</v>
      </c>
      <c r="D404" s="2" t="n">
        <v>45919</v>
      </c>
      <c r="E404" t="inlineStr">
        <is>
          <t>2RS-9</t>
        </is>
      </c>
      <c r="F404" t="n">
        <v>84.19</v>
      </c>
      <c r="G404" t="n">
        <v>93.40000000000001</v>
      </c>
      <c r="H404" t="n">
        <v>286.72</v>
      </c>
      <c r="I404" t="n">
        <v>13.8</v>
      </c>
      <c r="J404" t="n">
        <v>4.41</v>
      </c>
      <c r="K404" t="n">
        <v>128</v>
      </c>
      <c r="L404" t="n">
        <v>78.56999999999998</v>
      </c>
      <c r="M404" t="n">
        <v>3.5</v>
      </c>
      <c r="N404" t="n">
        <v>330</v>
      </c>
    </row>
    <row r="405">
      <c r="A405" t="inlineStr">
        <is>
          <t>1108</t>
        </is>
      </c>
      <c r="B405" t="inlineStr">
        <is>
          <t>2RS</t>
        </is>
      </c>
      <c r="C405" t="n">
        <v>9</v>
      </c>
      <c r="D405" s="2" t="n">
        <v>45920</v>
      </c>
      <c r="E405" t="inlineStr">
        <is>
          <t>2RS-9</t>
        </is>
      </c>
      <c r="F405" t="n">
        <v>82.04000000000001</v>
      </c>
      <c r="G405" t="n">
        <v>91</v>
      </c>
      <c r="H405" t="n">
        <v>288.26</v>
      </c>
      <c r="I405" t="n">
        <v>13.5</v>
      </c>
      <c r="J405" t="n">
        <v>4.07</v>
      </c>
      <c r="K405" t="n">
        <v>142</v>
      </c>
      <c r="L405" t="n">
        <v>87.59999999999999</v>
      </c>
      <c r="M405" t="n">
        <v>4.3</v>
      </c>
      <c r="N405" t="n">
        <v>179</v>
      </c>
    </row>
    <row r="406">
      <c r="A406" t="inlineStr">
        <is>
          <t>1109</t>
        </is>
      </c>
      <c r="B406" t="inlineStr">
        <is>
          <t>2RS</t>
        </is>
      </c>
      <c r="C406" t="n">
        <v>9</v>
      </c>
      <c r="D406" s="2" t="n">
        <v>45921</v>
      </c>
      <c r="E406" t="inlineStr">
        <is>
          <t>2RS-9</t>
        </is>
      </c>
      <c r="F406" t="n">
        <v>84.25</v>
      </c>
      <c r="G406" t="n">
        <v>93</v>
      </c>
      <c r="H406" t="n">
        <v>286.74</v>
      </c>
      <c r="I406" t="n">
        <v>13.4</v>
      </c>
      <c r="J406" t="n">
        <v>4.39</v>
      </c>
      <c r="K406" t="n">
        <v>141</v>
      </c>
      <c r="L406" t="n">
        <v>82.06999999999999</v>
      </c>
      <c r="M406" t="n">
        <v>3.99</v>
      </c>
      <c r="N406" t="n">
        <v>229</v>
      </c>
    </row>
    <row r="407">
      <c r="A407" t="inlineStr">
        <is>
          <t>1110</t>
        </is>
      </c>
      <c r="B407" t="inlineStr">
        <is>
          <t>IBON</t>
        </is>
      </c>
      <c r="C407" t="n">
        <v>9</v>
      </c>
      <c r="D407" s="2" t="n">
        <v>45923</v>
      </c>
      <c r="E407" t="inlineStr">
        <is>
          <t>IBON-9</t>
        </is>
      </c>
      <c r="F407" t="n">
        <v>83.62</v>
      </c>
      <c r="G407" t="n">
        <v>93.3</v>
      </c>
      <c r="H407" t="n">
        <v>282.99</v>
      </c>
      <c r="I407" t="n">
        <v>14.5</v>
      </c>
      <c r="J407" t="n">
        <v>4.64</v>
      </c>
      <c r="K407" t="n">
        <v>145</v>
      </c>
      <c r="L407" t="n">
        <v>59.9</v>
      </c>
      <c r="M407" t="n">
        <v>4</v>
      </c>
      <c r="N407" t="n">
        <v>312</v>
      </c>
    </row>
    <row r="408">
      <c r="A408" t="inlineStr">
        <is>
          <t>1111</t>
        </is>
      </c>
      <c r="B408" t="inlineStr">
        <is>
          <t>IBON</t>
        </is>
      </c>
      <c r="C408" t="n">
        <v>9</v>
      </c>
      <c r="D408" s="2" t="n">
        <v>45924</v>
      </c>
      <c r="E408" t="inlineStr">
        <is>
          <t>IBON-9</t>
        </is>
      </c>
      <c r="F408" t="n">
        <v>83.86</v>
      </c>
      <c r="G408" t="n">
        <v>93.59999999999999</v>
      </c>
      <c r="H408" t="n">
        <v>283.03</v>
      </c>
      <c r="I408" t="n">
        <v>14.6</v>
      </c>
      <c r="J408" t="n">
        <v>4.72</v>
      </c>
      <c r="K408" t="n">
        <v>147</v>
      </c>
      <c r="L408" t="n">
        <v>58.8</v>
      </c>
      <c r="M408" t="n">
        <v>4.2</v>
      </c>
      <c r="N408" t="n">
        <v>402</v>
      </c>
    </row>
    <row r="409">
      <c r="A409" t="inlineStr">
        <is>
          <t>1112</t>
        </is>
      </c>
      <c r="B409" t="inlineStr">
        <is>
          <t>IBON</t>
        </is>
      </c>
      <c r="C409" t="n">
        <v>9</v>
      </c>
      <c r="D409" s="2" t="n">
        <v>45926</v>
      </c>
      <c r="E409" t="inlineStr">
        <is>
          <t>IBON-9</t>
        </is>
      </c>
      <c r="F409" t="n">
        <v>83.08</v>
      </c>
      <c r="G409" t="n">
        <v>92.59999999999999</v>
      </c>
      <c r="H409" t="n">
        <v>283.15</v>
      </c>
      <c r="I409" t="n">
        <v>14.5</v>
      </c>
      <c r="J409" t="n">
        <v>4.74</v>
      </c>
      <c r="K409" t="n">
        <v>150</v>
      </c>
      <c r="L409" t="n">
        <v>59.8</v>
      </c>
      <c r="M409" t="n">
        <v>4.6</v>
      </c>
      <c r="N409" t="n">
        <v>321</v>
      </c>
    </row>
    <row r="410">
      <c r="A410" t="inlineStr">
        <is>
          <t>1113</t>
        </is>
      </c>
      <c r="B410" t="inlineStr">
        <is>
          <t>2RS</t>
        </is>
      </c>
      <c r="C410" t="n">
        <v>9</v>
      </c>
      <c r="D410" s="2" t="n">
        <v>45927</v>
      </c>
      <c r="E410" t="inlineStr">
        <is>
          <t>2RS-9</t>
        </is>
      </c>
      <c r="F410" t="n">
        <v>82.69</v>
      </c>
      <c r="G410" t="n">
        <v>91.7</v>
      </c>
      <c r="H410" t="n">
        <v>292.87</v>
      </c>
      <c r="I410" t="n">
        <v>13.7</v>
      </c>
      <c r="J410" t="n">
        <v>4.3</v>
      </c>
      <c r="K410" t="n">
        <v>129</v>
      </c>
      <c r="L410" t="n">
        <v>89.7</v>
      </c>
      <c r="M410" t="n">
        <v>3.8</v>
      </c>
      <c r="N410" t="n">
        <v>150</v>
      </c>
    </row>
    <row r="411">
      <c r="A411" t="inlineStr">
        <is>
          <t>1114</t>
        </is>
      </c>
      <c r="B411" t="inlineStr">
        <is>
          <t>2RS</t>
        </is>
      </c>
      <c r="C411" t="n">
        <v>9</v>
      </c>
      <c r="D411" s="2" t="n">
        <v>45928</v>
      </c>
      <c r="E411" t="inlineStr">
        <is>
          <t>2RS-9</t>
        </is>
      </c>
      <c r="F411" t="n">
        <v>83</v>
      </c>
      <c r="G411" t="n">
        <v>92.5</v>
      </c>
      <c r="H411" t="n">
        <v>286.93</v>
      </c>
      <c r="I411" t="n">
        <v>14.3</v>
      </c>
      <c r="J411" t="n">
        <v>4.46</v>
      </c>
      <c r="K411" t="n">
        <v>122</v>
      </c>
      <c r="L411" t="n">
        <v>81.13</v>
      </c>
      <c r="M411" t="n">
        <v>3.8</v>
      </c>
      <c r="N411" t="n">
        <v>296</v>
      </c>
    </row>
    <row r="412">
      <c r="A412" t="inlineStr">
        <is>
          <t>1115</t>
        </is>
      </c>
      <c r="B412" t="inlineStr">
        <is>
          <t>2RS</t>
        </is>
      </c>
      <c r="C412" t="n">
        <v>9</v>
      </c>
      <c r="D412" s="2" t="n">
        <v>45929</v>
      </c>
      <c r="E412" t="inlineStr">
        <is>
          <t>2RS-9</t>
        </is>
      </c>
      <c r="F412" t="n">
        <v>83.45999999999999</v>
      </c>
      <c r="G412" t="n">
        <v>92.40000000000001</v>
      </c>
      <c r="H412" t="n">
        <v>286.78</v>
      </c>
      <c r="I412" t="n">
        <v>13.5</v>
      </c>
      <c r="J412" t="n">
        <v>4.25</v>
      </c>
      <c r="K412" t="n">
        <v>123</v>
      </c>
      <c r="L412" t="n">
        <v>81.01000000000001</v>
      </c>
      <c r="M412" t="n">
        <v>3.7</v>
      </c>
      <c r="N412" t="n">
        <v>318</v>
      </c>
    </row>
    <row r="413">
      <c r="A413" t="inlineStr">
        <is>
          <t>1116</t>
        </is>
      </c>
      <c r="B413" t="inlineStr">
        <is>
          <t>2RS</t>
        </is>
      </c>
      <c r="C413" t="n">
        <v>9</v>
      </c>
      <c r="D413" s="2" t="n">
        <v>45930</v>
      </c>
      <c r="E413" t="inlineStr">
        <is>
          <t>2RS-9</t>
        </is>
      </c>
      <c r="F413" t="n">
        <v>83.69</v>
      </c>
      <c r="G413" t="n">
        <v>93.3</v>
      </c>
      <c r="H413" t="n">
        <v>286.49</v>
      </c>
      <c r="I413" t="n">
        <v>14.2</v>
      </c>
      <c r="J413" t="n">
        <v>4.37</v>
      </c>
      <c r="K413" t="n">
        <v>138</v>
      </c>
      <c r="L413" t="n">
        <v>83.81</v>
      </c>
      <c r="M413" t="n">
        <v>4.5</v>
      </c>
      <c r="N413" t="n">
        <v>217</v>
      </c>
    </row>
    <row r="414">
      <c r="A414" t="inlineStr">
        <is>
          <t>1117</t>
        </is>
      </c>
      <c r="B414" t="inlineStr">
        <is>
          <t>2RS</t>
        </is>
      </c>
      <c r="C414" t="n">
        <v>10</v>
      </c>
      <c r="D414" s="2" t="n">
        <v>45932</v>
      </c>
      <c r="E414" t="inlineStr">
        <is>
          <t>2RS-10</t>
        </is>
      </c>
      <c r="F414" t="n">
        <v>84.04000000000001</v>
      </c>
      <c r="G414" t="n">
        <v>93.5</v>
      </c>
      <c r="H414" t="n">
        <v>286.26</v>
      </c>
      <c r="I414" t="n">
        <v>14.1</v>
      </c>
      <c r="J414" t="n">
        <v>4.46</v>
      </c>
      <c r="K414" t="n">
        <v>141</v>
      </c>
      <c r="L414" t="n">
        <v>80.25</v>
      </c>
      <c r="M414" t="n">
        <v>3.6</v>
      </c>
      <c r="N414" t="n">
        <v>238</v>
      </c>
    </row>
    <row r="415">
      <c r="A415" t="inlineStr">
        <is>
          <t>1118</t>
        </is>
      </c>
      <c r="B415" t="inlineStr">
        <is>
          <t>2RS</t>
        </is>
      </c>
      <c r="C415" t="n">
        <v>10</v>
      </c>
      <c r="D415" s="2" t="n">
        <v>45933</v>
      </c>
      <c r="E415" t="inlineStr">
        <is>
          <t>2RS-10</t>
        </is>
      </c>
      <c r="F415" t="n">
        <v>83.3</v>
      </c>
      <c r="G415" t="n">
        <v>93.09999999999999</v>
      </c>
      <c r="H415" t="n">
        <v>291.06</v>
      </c>
      <c r="I415" t="n">
        <v>14.1</v>
      </c>
      <c r="J415" t="n">
        <v>4.01</v>
      </c>
      <c r="K415" t="n">
        <v>140</v>
      </c>
      <c r="L415" t="n">
        <v>91.37</v>
      </c>
      <c r="M415" t="n">
        <v>4.17</v>
      </c>
      <c r="N415" t="n">
        <v>145</v>
      </c>
    </row>
    <row r="416">
      <c r="A416" t="inlineStr">
        <is>
          <t>1119</t>
        </is>
      </c>
      <c r="B416" t="inlineStr">
        <is>
          <t>2RS</t>
        </is>
      </c>
      <c r="C416" t="n">
        <v>10</v>
      </c>
      <c r="D416" s="2" t="n">
        <v>45934</v>
      </c>
      <c r="E416" t="inlineStr">
        <is>
          <t>2RS-10</t>
        </is>
      </c>
      <c r="F416" t="n">
        <v>83.55</v>
      </c>
      <c r="G416" t="n">
        <v>91.7</v>
      </c>
      <c r="H416" t="n">
        <v>286.38</v>
      </c>
      <c r="I416" t="n">
        <v>12.9</v>
      </c>
      <c r="J416" t="n">
        <v>4.37</v>
      </c>
      <c r="K416" t="n">
        <v>145.8</v>
      </c>
      <c r="L416" t="n">
        <v>84.11</v>
      </c>
      <c r="M416" t="n">
        <v>3.77</v>
      </c>
      <c r="N416" t="n">
        <v>224</v>
      </c>
    </row>
    <row r="417">
      <c r="A417" t="inlineStr">
        <is>
          <t>1120</t>
        </is>
      </c>
      <c r="B417" t="inlineStr">
        <is>
          <t>2RS</t>
        </is>
      </c>
      <c r="C417" t="n">
        <v>10</v>
      </c>
      <c r="D417" s="2" t="n">
        <v>45935</v>
      </c>
      <c r="E417" t="inlineStr">
        <is>
          <t>2RS-10</t>
        </is>
      </c>
      <c r="F417" t="n">
        <v>83.94</v>
      </c>
      <c r="G417" t="n">
        <v>94.8</v>
      </c>
      <c r="H417" t="n">
        <v>286.64</v>
      </c>
      <c r="I417" t="n">
        <v>15.1</v>
      </c>
      <c r="J417" t="n">
        <v>4.15</v>
      </c>
      <c r="K417" t="n">
        <v>157</v>
      </c>
      <c r="L417" t="n">
        <v>84.41</v>
      </c>
      <c r="M417" t="n">
        <v>4.16</v>
      </c>
      <c r="N417" t="n">
        <v>236</v>
      </c>
    </row>
    <row r="418">
      <c r="A418" t="inlineStr">
        <is>
          <t>1121</t>
        </is>
      </c>
      <c r="B418" t="inlineStr">
        <is>
          <t>IBON</t>
        </is>
      </c>
      <c r="C418" t="n">
        <v>10</v>
      </c>
      <c r="D418" s="2" t="n">
        <v>45936</v>
      </c>
      <c r="E418" t="inlineStr">
        <is>
          <t>IBON-10</t>
        </is>
      </c>
      <c r="F418" t="n">
        <v>83.40000000000001</v>
      </c>
      <c r="G418" t="n">
        <v>93.90000000000001</v>
      </c>
      <c r="H418" t="n">
        <v>283.12</v>
      </c>
      <c r="I418" t="n">
        <v>15.1</v>
      </c>
      <c r="J418" t="n">
        <v>4.37</v>
      </c>
      <c r="K418" t="n">
        <v>138</v>
      </c>
      <c r="L418" t="n">
        <v>54.87</v>
      </c>
      <c r="M418" t="n">
        <v>3.8</v>
      </c>
      <c r="N418" t="inlineStr"/>
    </row>
    <row r="419">
      <c r="A419" t="inlineStr">
        <is>
          <t>1122</t>
        </is>
      </c>
      <c r="B419" t="inlineStr">
        <is>
          <t>IBON</t>
        </is>
      </c>
      <c r="C419" t="n">
        <v>10</v>
      </c>
      <c r="D419" s="2" t="n">
        <v>45937</v>
      </c>
      <c r="E419" t="inlineStr">
        <is>
          <t>IBON-10</t>
        </is>
      </c>
      <c r="F419" t="n">
        <v>83.72</v>
      </c>
      <c r="G419" t="n">
        <v>93.5</v>
      </c>
      <c r="H419" t="n">
        <v>281.58</v>
      </c>
      <c r="I419" t="n">
        <v>14.5</v>
      </c>
      <c r="J419" t="n">
        <v>4.49</v>
      </c>
      <c r="K419" t="n">
        <v>133</v>
      </c>
      <c r="L419" t="n">
        <v>52.22</v>
      </c>
      <c r="M419" t="n">
        <v>3.6</v>
      </c>
      <c r="N419" t="inlineStr"/>
    </row>
    <row r="420">
      <c r="A420" t="inlineStr">
        <is>
          <t>1123</t>
        </is>
      </c>
      <c r="B420" t="inlineStr">
        <is>
          <t>IBON</t>
        </is>
      </c>
      <c r="C420" t="n">
        <v>10</v>
      </c>
      <c r="D420" s="2" t="n">
        <v>45939</v>
      </c>
      <c r="E420" t="inlineStr">
        <is>
          <t>IBON-10</t>
        </is>
      </c>
      <c r="F420" t="n">
        <v>83.70999999999999</v>
      </c>
      <c r="G420" t="n">
        <v>93.3</v>
      </c>
      <c r="H420" t="n">
        <v>282.54</v>
      </c>
      <c r="I420" t="n">
        <v>14.4</v>
      </c>
      <c r="J420" t="n">
        <v>4.55</v>
      </c>
      <c r="K420" t="n">
        <v>146</v>
      </c>
      <c r="L420" t="n">
        <v>55.93</v>
      </c>
      <c r="M420" t="n">
        <v>4</v>
      </c>
      <c r="N420" t="inlineStr"/>
    </row>
    <row r="421">
      <c r="A421" t="inlineStr">
        <is>
          <t>1124</t>
        </is>
      </c>
      <c r="B421" t="inlineStr">
        <is>
          <t>IBON</t>
        </is>
      </c>
      <c r="C421" t="n">
        <v>10</v>
      </c>
      <c r="D421" s="2" t="n">
        <v>45940</v>
      </c>
      <c r="E421" t="inlineStr">
        <is>
          <t>IBON-10</t>
        </is>
      </c>
      <c r="F421" t="n">
        <v>84.08</v>
      </c>
      <c r="G421" t="n">
        <v>93.8</v>
      </c>
      <c r="H421" t="n">
        <v>285.39</v>
      </c>
      <c r="I421" t="n">
        <v>14.4</v>
      </c>
      <c r="J421" t="n">
        <v>4.52</v>
      </c>
      <c r="K421" t="n">
        <v>152</v>
      </c>
      <c r="L421" t="n">
        <v>55.61</v>
      </c>
      <c r="M421" t="n">
        <v>4.2</v>
      </c>
      <c r="N421" t="inlineStr"/>
    </row>
    <row r="422">
      <c r="A422" t="inlineStr">
        <is>
          <t>1125</t>
        </is>
      </c>
      <c r="B422" t="inlineStr">
        <is>
          <t>2RS</t>
        </is>
      </c>
      <c r="C422" t="n">
        <v>10</v>
      </c>
      <c r="D422" s="2" t="n">
        <v>45941</v>
      </c>
      <c r="E422" t="inlineStr">
        <is>
          <t>2RS-10</t>
        </is>
      </c>
      <c r="F422" t="n">
        <v>83.41</v>
      </c>
      <c r="G422" t="n">
        <v>93.09999999999999</v>
      </c>
      <c r="H422" t="n">
        <v>286.7</v>
      </c>
      <c r="I422" t="n">
        <v>14</v>
      </c>
      <c r="J422" t="n">
        <v>3.98</v>
      </c>
      <c r="K422" t="n">
        <v>145</v>
      </c>
      <c r="L422" t="n">
        <v>84.84999999999999</v>
      </c>
      <c r="M422" t="n">
        <v>4.2</v>
      </c>
      <c r="N422" t="n">
        <v>242</v>
      </c>
    </row>
    <row r="423">
      <c r="A423" t="inlineStr">
        <is>
          <t>1126</t>
        </is>
      </c>
      <c r="B423" t="inlineStr">
        <is>
          <t>2RS</t>
        </is>
      </c>
      <c r="C423" t="n">
        <v>10</v>
      </c>
      <c r="D423" s="2" t="n">
        <v>45942</v>
      </c>
      <c r="E423" t="inlineStr">
        <is>
          <t>2RS-10</t>
        </is>
      </c>
      <c r="F423" t="n">
        <v>85.11</v>
      </c>
      <c r="G423" t="n">
        <v>92.8</v>
      </c>
      <c r="H423" t="n">
        <v>286.32</v>
      </c>
      <c r="I423" t="n">
        <v>12.1</v>
      </c>
      <c r="J423" t="n">
        <v>4.16</v>
      </c>
      <c r="K423" t="n">
        <v>158</v>
      </c>
      <c r="L423" t="n">
        <v>81.7</v>
      </c>
      <c r="M423" t="n">
        <v>4.3</v>
      </c>
      <c r="N423" t="n">
        <v>285</v>
      </c>
    </row>
    <row r="424">
      <c r="A424" t="inlineStr">
        <is>
          <t>1127</t>
        </is>
      </c>
      <c r="B424" t="inlineStr">
        <is>
          <t>2RS</t>
        </is>
      </c>
      <c r="C424" t="n">
        <v>10</v>
      </c>
      <c r="D424" s="2" t="n">
        <v>45944</v>
      </c>
      <c r="E424" t="inlineStr">
        <is>
          <t>2RS-10</t>
        </is>
      </c>
      <c r="F424" t="n">
        <v>85.45</v>
      </c>
      <c r="G424" t="n">
        <v>92.59999999999999</v>
      </c>
      <c r="H424" t="n">
        <v>286.34</v>
      </c>
      <c r="I424" t="n">
        <v>12</v>
      </c>
      <c r="J424" t="n">
        <v>4.59</v>
      </c>
      <c r="K424" t="n">
        <v>153</v>
      </c>
      <c r="L424" t="n">
        <v>81.34999999999998</v>
      </c>
      <c r="M424" t="n">
        <v>4.2</v>
      </c>
      <c r="N424" t="n">
        <v>247</v>
      </c>
    </row>
    <row r="425">
      <c r="A425" t="inlineStr">
        <is>
          <t>1128</t>
        </is>
      </c>
      <c r="B425" t="inlineStr">
        <is>
          <t>2RS</t>
        </is>
      </c>
      <c r="C425" t="n">
        <v>10</v>
      </c>
      <c r="D425" s="2" t="n">
        <v>45946</v>
      </c>
      <c r="E425" t="inlineStr">
        <is>
          <t>2RS-10</t>
        </is>
      </c>
      <c r="F425" t="n">
        <v>84.73</v>
      </c>
      <c r="G425" t="n">
        <v>93.09999999999999</v>
      </c>
      <c r="H425" t="n">
        <v>287.31</v>
      </c>
      <c r="I425" t="n">
        <v>12.7</v>
      </c>
      <c r="J425" t="n">
        <v>4.05</v>
      </c>
      <c r="K425" t="n">
        <v>153</v>
      </c>
      <c r="L425" t="n">
        <v>83.03</v>
      </c>
      <c r="M425" t="n">
        <v>4</v>
      </c>
      <c r="N425" t="n">
        <v>263</v>
      </c>
    </row>
    <row r="426">
      <c r="A426" t="inlineStr">
        <is>
          <t>1129</t>
        </is>
      </c>
      <c r="B426" t="inlineStr">
        <is>
          <t>2RS</t>
        </is>
      </c>
      <c r="C426" t="n">
        <v>10</v>
      </c>
      <c r="D426" s="2" t="n">
        <v>45948</v>
      </c>
      <c r="E426" t="inlineStr">
        <is>
          <t>2RS-10</t>
        </is>
      </c>
      <c r="F426" t="n">
        <v>85.04000000000001</v>
      </c>
      <c r="G426" t="n">
        <v>93</v>
      </c>
      <c r="H426" t="n">
        <v>286.62</v>
      </c>
      <c r="I426" t="n">
        <v>12.7</v>
      </c>
      <c r="J426" t="n">
        <v>4.48</v>
      </c>
      <c r="K426" t="n">
        <v>135</v>
      </c>
      <c r="L426" t="n">
        <v>82.81</v>
      </c>
      <c r="M426" t="n">
        <v>3.5</v>
      </c>
      <c r="N426" t="n">
        <v>283</v>
      </c>
    </row>
    <row r="427">
      <c r="A427" t="inlineStr">
        <is>
          <t>1130</t>
        </is>
      </c>
      <c r="B427" t="inlineStr">
        <is>
          <t>2RS</t>
        </is>
      </c>
      <c r="C427" t="n">
        <v>10</v>
      </c>
      <c r="D427" s="2" t="n">
        <v>45949</v>
      </c>
      <c r="E427" t="inlineStr">
        <is>
          <t>2RS-10</t>
        </is>
      </c>
      <c r="F427" t="n">
        <v>84.97</v>
      </c>
      <c r="G427" t="n">
        <v>93.2</v>
      </c>
      <c r="H427" t="n">
        <v>286.27</v>
      </c>
      <c r="I427" t="n">
        <v>12.6</v>
      </c>
      <c r="J427" t="n">
        <v>4.15</v>
      </c>
      <c r="K427" t="n">
        <v>140</v>
      </c>
      <c r="L427" t="n">
        <v>81.55</v>
      </c>
      <c r="M427" t="n">
        <v>3.9</v>
      </c>
      <c r="N427" t="n">
        <v>323</v>
      </c>
    </row>
    <row r="428">
      <c r="A428" t="inlineStr">
        <is>
          <t>1131</t>
        </is>
      </c>
      <c r="B428" t="inlineStr">
        <is>
          <t>2RS</t>
        </is>
      </c>
      <c r="C428" t="n">
        <v>10</v>
      </c>
      <c r="D428" s="2" t="n">
        <v>45949</v>
      </c>
      <c r="E428" t="inlineStr">
        <is>
          <t>2RS-10</t>
        </is>
      </c>
      <c r="F428" t="n">
        <v>85.89</v>
      </c>
      <c r="G428" t="n">
        <v>93.40000000000001</v>
      </c>
      <c r="H428" t="n">
        <v>286.58</v>
      </c>
      <c r="I428" t="n">
        <v>11.7</v>
      </c>
      <c r="J428" t="n">
        <v>4</v>
      </c>
      <c r="K428" t="n">
        <v>154</v>
      </c>
      <c r="L428" t="n">
        <v>85.72</v>
      </c>
      <c r="M428" t="n">
        <v>4.1</v>
      </c>
      <c r="N428" t="n">
        <v>312</v>
      </c>
    </row>
    <row r="429">
      <c r="A429" t="inlineStr">
        <is>
          <t>1132</t>
        </is>
      </c>
      <c r="B429" t="inlineStr">
        <is>
          <t>2RS</t>
        </is>
      </c>
      <c r="C429" t="n">
        <v>10</v>
      </c>
      <c r="D429" s="2" t="n">
        <v>45950</v>
      </c>
      <c r="E429" t="inlineStr">
        <is>
          <t>2RS-10</t>
        </is>
      </c>
      <c r="F429" t="n">
        <v>83.59</v>
      </c>
      <c r="G429" t="n">
        <v>92.3</v>
      </c>
      <c r="H429" t="n">
        <v>287.1</v>
      </c>
      <c r="I429" t="n">
        <v>12.9</v>
      </c>
      <c r="J429" t="n">
        <v>3.87</v>
      </c>
      <c r="K429" t="n">
        <v>134</v>
      </c>
      <c r="L429" t="n">
        <v>89.09999999999999</v>
      </c>
      <c r="M429" t="n">
        <v>3.8</v>
      </c>
      <c r="N429" t="n">
        <v>242</v>
      </c>
    </row>
    <row r="430">
      <c r="A430" t="inlineStr">
        <is>
          <t>1133</t>
        </is>
      </c>
      <c r="B430" t="inlineStr">
        <is>
          <t>2RS</t>
        </is>
      </c>
      <c r="C430" t="n">
        <v>10</v>
      </c>
      <c r="D430" s="2" t="n">
        <v>45951</v>
      </c>
      <c r="E430" t="inlineStr">
        <is>
          <t>2RS-10</t>
        </is>
      </c>
      <c r="F430" t="n">
        <v>85.5</v>
      </c>
      <c r="G430" t="n">
        <v>92.90000000000001</v>
      </c>
      <c r="H430" t="n">
        <v>288.49</v>
      </c>
      <c r="I430" t="n">
        <v>12</v>
      </c>
      <c r="J430" t="n">
        <v>4.41</v>
      </c>
      <c r="K430" t="n">
        <v>153</v>
      </c>
      <c r="L430" t="n">
        <v>85.03</v>
      </c>
      <c r="M430" t="n">
        <v>4</v>
      </c>
      <c r="N430" t="n">
        <v>230</v>
      </c>
    </row>
    <row r="431">
      <c r="A431" t="inlineStr">
        <is>
          <t>1134</t>
        </is>
      </c>
      <c r="B431" t="inlineStr">
        <is>
          <t>2RS</t>
        </is>
      </c>
      <c r="C431" t="n">
        <v>10</v>
      </c>
      <c r="D431" s="2" t="n">
        <v>45953</v>
      </c>
      <c r="E431" t="inlineStr">
        <is>
          <t>2RS-10</t>
        </is>
      </c>
      <c r="F431" t="n">
        <v>84.75</v>
      </c>
      <c r="G431" t="n">
        <v>92.5</v>
      </c>
      <c r="H431" t="n">
        <v>286.71</v>
      </c>
      <c r="I431" t="n">
        <v>12.2</v>
      </c>
      <c r="J431" t="n">
        <v>4.22</v>
      </c>
      <c r="K431" t="n">
        <v>156</v>
      </c>
      <c r="L431" t="n">
        <v>87.51000000000001</v>
      </c>
      <c r="M431" t="n">
        <v>4</v>
      </c>
      <c r="N431" t="n">
        <v>224</v>
      </c>
    </row>
    <row r="432">
      <c r="A432" t="inlineStr">
        <is>
          <t>1135</t>
        </is>
      </c>
      <c r="B432" t="inlineStr">
        <is>
          <t>2RS</t>
        </is>
      </c>
      <c r="C432" t="n">
        <v>10</v>
      </c>
      <c r="D432" s="2" t="n">
        <v>45954</v>
      </c>
      <c r="E432" t="inlineStr">
        <is>
          <t>2RS-10</t>
        </is>
      </c>
      <c r="F432" t="n">
        <v>85.18000000000001</v>
      </c>
      <c r="G432" t="n">
        <v>93.40000000000001</v>
      </c>
      <c r="H432" t="n">
        <v>286.03</v>
      </c>
      <c r="I432" t="n">
        <v>12.5</v>
      </c>
      <c r="J432" t="n">
        <v>4.06</v>
      </c>
      <c r="K432" t="n">
        <v>150</v>
      </c>
      <c r="L432" t="n">
        <v>87.31999999999999</v>
      </c>
      <c r="M432" t="n">
        <v>3.9</v>
      </c>
      <c r="N432" t="n">
        <v>233</v>
      </c>
    </row>
    <row r="433">
      <c r="A433" t="inlineStr">
        <is>
          <t>1136</t>
        </is>
      </c>
      <c r="B433" t="inlineStr">
        <is>
          <t>2RS</t>
        </is>
      </c>
      <c r="C433" t="n">
        <v>10</v>
      </c>
      <c r="D433" s="2" t="n">
        <v>45955</v>
      </c>
      <c r="E433" t="inlineStr">
        <is>
          <t>2RS-10</t>
        </is>
      </c>
      <c r="F433" t="n">
        <v>84.59</v>
      </c>
      <c r="G433" t="n">
        <v>93.40000000000001</v>
      </c>
      <c r="H433" t="n">
        <v>286.32</v>
      </c>
      <c r="I433" t="n">
        <v>13.1</v>
      </c>
      <c r="J433" t="n">
        <v>4.08</v>
      </c>
      <c r="K433" t="n">
        <v>150</v>
      </c>
      <c r="L433" t="n">
        <v>86.23</v>
      </c>
      <c r="M433" t="n">
        <v>4</v>
      </c>
      <c r="N433" t="n">
        <v>285</v>
      </c>
    </row>
    <row r="434">
      <c r="A434" t="inlineStr">
        <is>
          <t>1137</t>
        </is>
      </c>
      <c r="B434" t="inlineStr">
        <is>
          <t>2RS</t>
        </is>
      </c>
      <c r="C434" t="n">
        <v>10</v>
      </c>
      <c r="D434" s="2" t="n">
        <v>45956</v>
      </c>
      <c r="E434" t="inlineStr">
        <is>
          <t>2RS-10</t>
        </is>
      </c>
      <c r="F434" t="n">
        <v>85.89</v>
      </c>
      <c r="G434" t="n">
        <v>93.09999999999999</v>
      </c>
      <c r="H434" t="n">
        <v>286.22</v>
      </c>
      <c r="I434" t="n">
        <v>11.6</v>
      </c>
      <c r="J434" t="n">
        <v>4.15</v>
      </c>
      <c r="K434" t="n">
        <v>161</v>
      </c>
      <c r="L434" t="n">
        <v>86.40000000000001</v>
      </c>
      <c r="M434" t="n">
        <v>4.1</v>
      </c>
      <c r="N434" t="n">
        <v>287</v>
      </c>
    </row>
    <row r="435">
      <c r="A435" t="inlineStr">
        <is>
          <t>1138</t>
        </is>
      </c>
      <c r="B435" t="inlineStr">
        <is>
          <t>IBON</t>
        </is>
      </c>
      <c r="C435" t="n">
        <v>10</v>
      </c>
      <c r="D435" s="2" t="n">
        <v>45957</v>
      </c>
      <c r="E435" t="inlineStr">
        <is>
          <t>IBON-10</t>
        </is>
      </c>
      <c r="F435" t="n">
        <v>85.51000000000001</v>
      </c>
      <c r="G435" t="n">
        <v>93.7</v>
      </c>
      <c r="H435" t="n">
        <v>282.57</v>
      </c>
      <c r="I435" t="n">
        <v>12.8</v>
      </c>
      <c r="J435" t="n">
        <v>4.42</v>
      </c>
      <c r="K435" t="n">
        <v>151</v>
      </c>
      <c r="L435" t="n">
        <v>57.9</v>
      </c>
      <c r="M435" t="n">
        <v>4.3</v>
      </c>
      <c r="N435" t="inlineStr"/>
    </row>
    <row r="436">
      <c r="A436" t="inlineStr">
        <is>
          <t>1139</t>
        </is>
      </c>
      <c r="B436" t="inlineStr">
        <is>
          <t>IBON</t>
        </is>
      </c>
      <c r="C436" t="n">
        <v>10</v>
      </c>
      <c r="D436" s="2" t="n">
        <v>45959</v>
      </c>
      <c r="E436" t="inlineStr">
        <is>
          <t>IBON-10</t>
        </is>
      </c>
      <c r="F436" t="n">
        <v>84.51000000000001</v>
      </c>
      <c r="G436" t="n">
        <v>93.2</v>
      </c>
      <c r="H436" t="n">
        <v>282.43</v>
      </c>
      <c r="I436" t="n">
        <v>13.5</v>
      </c>
      <c r="J436" t="n">
        <v>4.62</v>
      </c>
      <c r="K436" t="n">
        <v>151</v>
      </c>
      <c r="L436" t="n">
        <v>66.45</v>
      </c>
      <c r="M436" t="n">
        <v>4.4</v>
      </c>
      <c r="N436" t="n">
        <v>407</v>
      </c>
    </row>
    <row r="437">
      <c r="A437" t="inlineStr">
        <is>
          <t>1140</t>
        </is>
      </c>
      <c r="B437" t="inlineStr">
        <is>
          <t>IBON</t>
        </is>
      </c>
      <c r="C437" t="n">
        <v>10</v>
      </c>
      <c r="D437" s="2" t="n">
        <v>45960</v>
      </c>
      <c r="E437" t="inlineStr">
        <is>
          <t>IBON-10</t>
        </is>
      </c>
      <c r="F437" t="n">
        <v>84.78</v>
      </c>
      <c r="G437" t="n">
        <v>93.8</v>
      </c>
      <c r="H437" t="n">
        <v>283</v>
      </c>
      <c r="I437" t="n">
        <v>13.7</v>
      </c>
      <c r="J437" t="n">
        <v>4.47</v>
      </c>
      <c r="K437" t="n">
        <v>136</v>
      </c>
      <c r="L437" t="n">
        <v>54.72</v>
      </c>
      <c r="M437" t="n">
        <v>3.6</v>
      </c>
      <c r="N437" t="inlineStr"/>
    </row>
    <row r="438">
      <c r="A438" t="inlineStr">
        <is>
          <t>1141</t>
        </is>
      </c>
      <c r="B438" t="inlineStr">
        <is>
          <t>2RS</t>
        </is>
      </c>
      <c r="C438" t="n">
        <v>10</v>
      </c>
      <c r="D438" s="2" t="n">
        <v>45961</v>
      </c>
      <c r="E438" t="inlineStr">
        <is>
          <t>2RS-10</t>
        </is>
      </c>
      <c r="F438" t="n">
        <v>83.56999999999999</v>
      </c>
      <c r="G438" t="n">
        <v>92.09999999999999</v>
      </c>
      <c r="H438" t="n">
        <v>289.01</v>
      </c>
      <c r="I438" t="n">
        <v>13</v>
      </c>
      <c r="J438" t="n">
        <v>4.09</v>
      </c>
      <c r="K438" t="n">
        <v>154</v>
      </c>
      <c r="L438" t="n">
        <v>85.97</v>
      </c>
      <c r="M438" t="n">
        <v>3.9</v>
      </c>
      <c r="N438" t="n">
        <v>254</v>
      </c>
    </row>
    <row r="439">
      <c r="A439" t="inlineStr">
        <is>
          <t>1142</t>
        </is>
      </c>
      <c r="B439" t="inlineStr">
        <is>
          <t>2RS</t>
        </is>
      </c>
      <c r="C439" t="n">
        <v>11</v>
      </c>
      <c r="D439" s="2" t="n">
        <v>45962</v>
      </c>
      <c r="E439" t="inlineStr">
        <is>
          <t>2RS-11</t>
        </is>
      </c>
      <c r="F439" t="n">
        <v>84.81999999999999</v>
      </c>
      <c r="G439" t="n">
        <v>93.3</v>
      </c>
      <c r="H439" t="n">
        <v>285.46</v>
      </c>
      <c r="I439" t="n">
        <v>12.9</v>
      </c>
      <c r="J439" t="n">
        <v>4.17</v>
      </c>
      <c r="K439" t="n">
        <v>143</v>
      </c>
      <c r="L439" t="n">
        <v>84.86</v>
      </c>
      <c r="M439" t="n">
        <v>3.8</v>
      </c>
      <c r="N439" t="n">
        <v>326</v>
      </c>
    </row>
    <row r="440">
      <c r="A440" t="inlineStr">
        <is>
          <t>1143</t>
        </is>
      </c>
      <c r="B440" t="inlineStr">
        <is>
          <t>2RS</t>
        </is>
      </c>
      <c r="C440" t="n">
        <v>11</v>
      </c>
      <c r="D440" s="2" t="n">
        <v>45963</v>
      </c>
      <c r="E440" t="inlineStr">
        <is>
          <t>2RS-11</t>
        </is>
      </c>
      <c r="F440" t="n">
        <v>83.67</v>
      </c>
      <c r="G440" t="n">
        <v>92.59999999999999</v>
      </c>
      <c r="H440" t="n">
        <v>284.91</v>
      </c>
      <c r="I440" t="n">
        <v>13.4</v>
      </c>
      <c r="J440" t="n">
        <v>4.18</v>
      </c>
      <c r="K440" t="n">
        <v>148</v>
      </c>
      <c r="L440" t="n">
        <v>87.25</v>
      </c>
      <c r="M440" t="n">
        <v>4.2</v>
      </c>
      <c r="N440" t="n">
        <v>202</v>
      </c>
    </row>
    <row r="441">
      <c r="A441" t="inlineStr">
        <is>
          <t>1144</t>
        </is>
      </c>
      <c r="B441" t="inlineStr">
        <is>
          <t>2RS</t>
        </is>
      </c>
      <c r="C441" t="n">
        <v>11</v>
      </c>
      <c r="D441" s="2" t="n">
        <v>45964</v>
      </c>
      <c r="E441" t="inlineStr">
        <is>
          <t>2RS-11</t>
        </is>
      </c>
      <c r="F441" t="n">
        <v>84.53</v>
      </c>
      <c r="G441" t="n">
        <v>93.40000000000001</v>
      </c>
      <c r="H441" t="n">
        <v>285.69</v>
      </c>
      <c r="I441" t="n">
        <v>13.6</v>
      </c>
      <c r="J441" t="n">
        <v>4.57</v>
      </c>
      <c r="K441" t="n">
        <v>140</v>
      </c>
      <c r="L441" t="n">
        <v>84.40000000000001</v>
      </c>
      <c r="M441" t="n">
        <v>4</v>
      </c>
      <c r="N441" t="n">
        <v>260</v>
      </c>
    </row>
    <row r="442">
      <c r="A442" t="inlineStr">
        <is>
          <t>1145</t>
        </is>
      </c>
      <c r="B442" t="inlineStr">
        <is>
          <t>IBON</t>
        </is>
      </c>
      <c r="C442" t="n">
        <v>11</v>
      </c>
      <c r="D442" s="2" t="n">
        <v>45965</v>
      </c>
      <c r="E442" t="inlineStr">
        <is>
          <t>IBON-11</t>
        </is>
      </c>
      <c r="F442" t="n">
        <v>85.91</v>
      </c>
      <c r="G442" t="n">
        <v>93.59999999999999</v>
      </c>
      <c r="H442" t="n">
        <v>282.83</v>
      </c>
      <c r="I442" t="n">
        <v>12.2</v>
      </c>
      <c r="J442" t="n">
        <v>4.34</v>
      </c>
      <c r="K442" t="n">
        <v>159.4</v>
      </c>
      <c r="L442" t="n">
        <v>59.85</v>
      </c>
      <c r="M442" t="n">
        <v>4.2</v>
      </c>
      <c r="N442" t="inlineStr"/>
    </row>
    <row r="443">
      <c r="A443" t="inlineStr">
        <is>
          <t>1146</t>
        </is>
      </c>
      <c r="B443" t="inlineStr">
        <is>
          <t>IBON</t>
        </is>
      </c>
      <c r="C443" t="n">
        <v>11</v>
      </c>
      <c r="D443" s="2" t="n">
        <v>45967</v>
      </c>
      <c r="E443" t="inlineStr">
        <is>
          <t>IBON-11</t>
        </is>
      </c>
      <c r="F443" t="n">
        <v>85.95999999999999</v>
      </c>
      <c r="G443" t="n">
        <v>93.5</v>
      </c>
      <c r="H443" t="n">
        <v>282.23</v>
      </c>
      <c r="I443" t="n">
        <v>12</v>
      </c>
      <c r="J443" t="n">
        <v>4.29</v>
      </c>
      <c r="K443" t="n">
        <v>154</v>
      </c>
      <c r="L443" t="n">
        <v>60.64</v>
      </c>
      <c r="M443" t="n">
        <v>4.07</v>
      </c>
      <c r="N443" t="inlineStr"/>
    </row>
    <row r="444">
      <c r="A444" t="inlineStr">
        <is>
          <t>1147</t>
        </is>
      </c>
      <c r="B444" t="inlineStr">
        <is>
          <t>IBON</t>
        </is>
      </c>
      <c r="C444" t="n">
        <v>11</v>
      </c>
      <c r="D444" s="2" t="n">
        <v>45968</v>
      </c>
      <c r="E444" t="inlineStr">
        <is>
          <t>IBON-11</t>
        </is>
      </c>
      <c r="F444" t="n">
        <v>84.98</v>
      </c>
      <c r="G444" t="n">
        <v>93.59999999999999</v>
      </c>
      <c r="H444" t="n">
        <v>283.09</v>
      </c>
      <c r="I444" t="n">
        <v>13.3</v>
      </c>
      <c r="J444" t="n">
        <v>4.49</v>
      </c>
      <c r="K444" t="n">
        <v>157.3</v>
      </c>
      <c r="L444" t="n">
        <v>60.02</v>
      </c>
      <c r="M444" t="n">
        <v>4.09</v>
      </c>
      <c r="N444" t="inlineStr"/>
    </row>
    <row r="445">
      <c r="A445" t="inlineStr">
        <is>
          <t>1148</t>
        </is>
      </c>
      <c r="B445" t="inlineStr">
        <is>
          <t>2RS</t>
        </is>
      </c>
      <c r="C445" t="n">
        <v>11</v>
      </c>
      <c r="D445" s="2" t="n">
        <v>45969</v>
      </c>
      <c r="E445" t="inlineStr">
        <is>
          <t>2RS-11</t>
        </is>
      </c>
      <c r="F445" t="n">
        <v>83.95999999999999</v>
      </c>
      <c r="G445" t="n">
        <v>91.8</v>
      </c>
      <c r="H445" t="n">
        <v>285.42</v>
      </c>
      <c r="I445" t="n">
        <v>12.3</v>
      </c>
      <c r="J445" t="n">
        <v>4.07</v>
      </c>
      <c r="K445" t="n">
        <v>151</v>
      </c>
      <c r="L445" t="n">
        <v>87.54000000000001</v>
      </c>
      <c r="M445" t="n">
        <v>4.76</v>
      </c>
      <c r="N445" t="n">
        <v>226</v>
      </c>
    </row>
    <row r="446">
      <c r="A446" t="inlineStr">
        <is>
          <t>1149</t>
        </is>
      </c>
      <c r="B446" t="inlineStr">
        <is>
          <t>2RS</t>
        </is>
      </c>
      <c r="C446" t="n">
        <v>11</v>
      </c>
      <c r="D446" s="2" t="n">
        <v>45970</v>
      </c>
      <c r="E446" t="inlineStr">
        <is>
          <t>2RS-11</t>
        </is>
      </c>
      <c r="F446" t="n">
        <v>84.34</v>
      </c>
      <c r="G446" t="n">
        <v>93.3</v>
      </c>
      <c r="H446" t="n">
        <v>286.61</v>
      </c>
      <c r="I446" t="n">
        <v>13.3</v>
      </c>
      <c r="J446" t="n">
        <v>4.12</v>
      </c>
      <c r="K446" t="n">
        <v>170</v>
      </c>
      <c r="L446" t="n">
        <v>88.84999999999999</v>
      </c>
      <c r="M446" t="n">
        <v>4.91</v>
      </c>
      <c r="N446" t="n">
        <v>215</v>
      </c>
    </row>
    <row r="447">
      <c r="A447" t="inlineStr">
        <is>
          <t>1150</t>
        </is>
      </c>
      <c r="B447" t="inlineStr">
        <is>
          <t>2RS</t>
        </is>
      </c>
      <c r="C447" t="n">
        <v>11</v>
      </c>
      <c r="D447" s="2" t="n">
        <v>45971</v>
      </c>
      <c r="E447" t="inlineStr">
        <is>
          <t>2RS-11</t>
        </is>
      </c>
      <c r="F447" t="n">
        <v>85.98999999999999</v>
      </c>
      <c r="G447" t="n">
        <v>93.90000000000001</v>
      </c>
      <c r="H447" t="n">
        <v>286.4</v>
      </c>
      <c r="I447" t="n">
        <v>12.3</v>
      </c>
      <c r="J447" t="n">
        <v>4.2</v>
      </c>
      <c r="K447" t="n">
        <v>144</v>
      </c>
      <c r="L447" t="n">
        <v>86.90000000000001</v>
      </c>
      <c r="M447" t="n">
        <v>3.8</v>
      </c>
      <c r="N447" t="n">
        <v>310</v>
      </c>
    </row>
    <row r="448">
      <c r="A448" t="inlineStr">
        <is>
          <t>1151</t>
        </is>
      </c>
      <c r="B448" t="inlineStr">
        <is>
          <t>2RS</t>
        </is>
      </c>
      <c r="C448" t="n">
        <v>11</v>
      </c>
      <c r="D448" s="2" t="n">
        <v>45972</v>
      </c>
      <c r="E448" t="inlineStr">
        <is>
          <t>2RS-11</t>
        </is>
      </c>
      <c r="F448" t="n">
        <v>85.68000000000001</v>
      </c>
      <c r="G448" t="n">
        <v>93</v>
      </c>
      <c r="H448" t="n">
        <v>286.95</v>
      </c>
      <c r="I448" t="n">
        <v>11.7</v>
      </c>
      <c r="J448" t="n">
        <v>4.13</v>
      </c>
      <c r="K448" t="n">
        <v>159</v>
      </c>
      <c r="L448" t="n">
        <v>87.09999999999999</v>
      </c>
      <c r="M448" t="n">
        <v>4.3</v>
      </c>
      <c r="N448" t="n">
        <v>233</v>
      </c>
    </row>
    <row r="449">
      <c r="A449" t="inlineStr">
        <is>
          <t>1152</t>
        </is>
      </c>
      <c r="B449" t="inlineStr">
        <is>
          <t>2RS</t>
        </is>
      </c>
      <c r="C449" t="n">
        <v>11</v>
      </c>
      <c r="D449" s="2" t="n">
        <v>45974</v>
      </c>
      <c r="E449" t="inlineStr">
        <is>
          <t>2RS-11</t>
        </is>
      </c>
      <c r="F449" t="n">
        <v>85.17</v>
      </c>
      <c r="G449" t="n">
        <v>93.5</v>
      </c>
      <c r="H449" t="n">
        <v>286.72</v>
      </c>
      <c r="I449" t="n">
        <v>12.9</v>
      </c>
      <c r="J449" t="n">
        <v>4.42</v>
      </c>
      <c r="K449" t="n">
        <v>138</v>
      </c>
      <c r="L449" t="n">
        <v>84.8</v>
      </c>
      <c r="M449" t="n">
        <v>3.7</v>
      </c>
      <c r="N449" t="n">
        <v>314</v>
      </c>
    </row>
    <row r="450">
      <c r="A450" t="inlineStr">
        <is>
          <t>1153</t>
        </is>
      </c>
      <c r="B450" t="inlineStr">
        <is>
          <t>2RS</t>
        </is>
      </c>
      <c r="C450" t="n">
        <v>11</v>
      </c>
      <c r="D450" s="2" t="n">
        <v>45975</v>
      </c>
      <c r="E450" t="inlineStr">
        <is>
          <t>2RS-11</t>
        </is>
      </c>
      <c r="F450" t="n">
        <v>84.37</v>
      </c>
      <c r="G450" t="n">
        <v>93.09999999999999</v>
      </c>
      <c r="H450" t="n">
        <v>287.59</v>
      </c>
      <c r="I450" t="n">
        <v>13.1</v>
      </c>
      <c r="J450" t="n">
        <v>4.12</v>
      </c>
      <c r="K450" t="n">
        <v>137</v>
      </c>
      <c r="L450" t="n">
        <v>83.8</v>
      </c>
      <c r="M450" t="n">
        <v>3.7</v>
      </c>
      <c r="N450" t="n">
        <v>301</v>
      </c>
    </row>
    <row r="451">
      <c r="A451" t="inlineStr">
        <is>
          <t>1154</t>
        </is>
      </c>
      <c r="B451" t="inlineStr">
        <is>
          <t>2RS</t>
        </is>
      </c>
      <c r="C451" t="n">
        <v>11</v>
      </c>
      <c r="D451" s="2" t="n">
        <v>45976</v>
      </c>
      <c r="E451" t="inlineStr">
        <is>
          <t>2RS-11</t>
        </is>
      </c>
      <c r="F451" t="n">
        <v>84.20999999999999</v>
      </c>
      <c r="G451" t="n">
        <v>92.90000000000001</v>
      </c>
      <c r="H451" t="n">
        <v>286.99</v>
      </c>
      <c r="I451" t="n">
        <v>13.2</v>
      </c>
      <c r="J451" t="n">
        <v>4.19</v>
      </c>
      <c r="K451" t="n">
        <v>133</v>
      </c>
      <c r="L451" t="n">
        <v>84.78</v>
      </c>
      <c r="M451" t="n">
        <v>3.9</v>
      </c>
      <c r="N451" t="n">
        <v>282</v>
      </c>
    </row>
    <row r="452">
      <c r="A452" t="inlineStr">
        <is>
          <t>1155</t>
        </is>
      </c>
      <c r="B452" t="inlineStr">
        <is>
          <t>2RS</t>
        </is>
      </c>
      <c r="C452" t="n">
        <v>11</v>
      </c>
      <c r="D452" s="2" t="n">
        <v>45978</v>
      </c>
      <c r="E452" t="inlineStr">
        <is>
          <t>2RS-11</t>
        </is>
      </c>
      <c r="F452" t="n">
        <v>84.44</v>
      </c>
      <c r="G452" t="n">
        <v>92.40000000000001</v>
      </c>
      <c r="H452" t="n">
        <v>286.75</v>
      </c>
      <c r="I452" t="n">
        <v>12.3</v>
      </c>
      <c r="J452" t="n">
        <v>4.08</v>
      </c>
      <c r="K452" t="n">
        <v>160</v>
      </c>
      <c r="L452" t="n">
        <v>88.75</v>
      </c>
      <c r="M452" t="n">
        <v>4.2</v>
      </c>
      <c r="N452" t="n">
        <v>213</v>
      </c>
    </row>
    <row r="453">
      <c r="A453" t="inlineStr">
        <is>
          <t>1156</t>
        </is>
      </c>
      <c r="B453" t="inlineStr">
        <is>
          <t>2RS</t>
        </is>
      </c>
      <c r="C453" t="n">
        <v>11</v>
      </c>
      <c r="D453" s="2" t="n">
        <v>45980</v>
      </c>
      <c r="E453" t="inlineStr">
        <is>
          <t>2RS-11</t>
        </is>
      </c>
      <c r="F453" t="n">
        <v>83.01000000000001</v>
      </c>
      <c r="G453" t="n">
        <v>91.40000000000001</v>
      </c>
      <c r="H453" t="n">
        <v>286.68</v>
      </c>
      <c r="I453" t="n">
        <v>13.2</v>
      </c>
      <c r="J453" t="n">
        <v>4.42</v>
      </c>
      <c r="K453" t="n">
        <v>150</v>
      </c>
      <c r="L453" t="n">
        <v>84.03</v>
      </c>
      <c r="M453" t="n">
        <v>4.08</v>
      </c>
      <c r="N453" t="n">
        <v>249</v>
      </c>
    </row>
    <row r="454">
      <c r="A454" t="inlineStr">
        <is>
          <t>1157</t>
        </is>
      </c>
      <c r="B454" t="inlineStr">
        <is>
          <t>2RS</t>
        </is>
      </c>
      <c r="C454" t="n">
        <v>11</v>
      </c>
      <c r="D454" s="2" t="n">
        <v>45980</v>
      </c>
      <c r="E454" t="inlineStr">
        <is>
          <t>2RS-11</t>
        </is>
      </c>
      <c r="F454" t="n">
        <v>84.98999999999999</v>
      </c>
      <c r="G454" t="n">
        <v>92.90000000000001</v>
      </c>
      <c r="H454" t="n">
        <v>286.79</v>
      </c>
      <c r="I454" t="n">
        <v>12.5</v>
      </c>
      <c r="J454" t="n">
        <v>4.35</v>
      </c>
      <c r="K454" t="n">
        <v>139</v>
      </c>
      <c r="L454" t="n">
        <v>84.59999999999999</v>
      </c>
      <c r="M454" t="n">
        <v>3.83</v>
      </c>
      <c r="N454" t="n">
        <v>227</v>
      </c>
    </row>
    <row r="455">
      <c r="A455" t="inlineStr">
        <is>
          <t>1158</t>
        </is>
      </c>
      <c r="B455" t="inlineStr">
        <is>
          <t>2RS</t>
        </is>
      </c>
      <c r="C455" t="n">
        <v>11</v>
      </c>
      <c r="D455" s="2" t="n">
        <v>45981</v>
      </c>
      <c r="E455" t="inlineStr">
        <is>
          <t>2RS-11</t>
        </is>
      </c>
      <c r="F455" t="n">
        <v>85.05</v>
      </c>
      <c r="G455" t="n">
        <v>93</v>
      </c>
      <c r="H455" t="n">
        <v>286.6</v>
      </c>
      <c r="I455" t="n">
        <v>12.5</v>
      </c>
      <c r="J455" t="n">
        <v>4.27</v>
      </c>
      <c r="K455" t="n">
        <v>136</v>
      </c>
      <c r="L455" t="n">
        <v>86</v>
      </c>
      <c r="M455" t="n">
        <v>3.6</v>
      </c>
      <c r="N455" t="n">
        <v>251</v>
      </c>
    </row>
    <row r="456">
      <c r="A456" t="inlineStr">
        <is>
          <t>1159</t>
        </is>
      </c>
      <c r="B456" t="inlineStr">
        <is>
          <t>2RS</t>
        </is>
      </c>
      <c r="C456" t="n">
        <v>11</v>
      </c>
      <c r="D456" s="2" t="n">
        <v>45982</v>
      </c>
      <c r="E456" t="inlineStr">
        <is>
          <t>2RS-11</t>
        </is>
      </c>
      <c r="F456" t="n">
        <v>84.77</v>
      </c>
      <c r="G456" t="n">
        <v>93.40000000000001</v>
      </c>
      <c r="H456" t="n">
        <v>287.71</v>
      </c>
      <c r="I456" t="n">
        <v>13.2</v>
      </c>
      <c r="J456" t="n">
        <v>4.34</v>
      </c>
      <c r="K456" t="n">
        <v>131</v>
      </c>
      <c r="L456" t="n">
        <v>83.40000000000001</v>
      </c>
      <c r="M456" t="n">
        <v>3.8</v>
      </c>
      <c r="N456" t="n">
        <v>307</v>
      </c>
    </row>
    <row r="457">
      <c r="A457" t="inlineStr">
        <is>
          <t>1160</t>
        </is>
      </c>
      <c r="B457" t="inlineStr">
        <is>
          <t>2RS</t>
        </is>
      </c>
      <c r="C457" t="n">
        <v>11</v>
      </c>
      <c r="D457" s="2" t="n">
        <v>45983</v>
      </c>
      <c r="E457" t="inlineStr">
        <is>
          <t>2RS-11</t>
        </is>
      </c>
      <c r="F457" t="n">
        <v>85.67</v>
      </c>
      <c r="G457" t="n">
        <v>94</v>
      </c>
      <c r="H457" t="n">
        <v>285.86</v>
      </c>
      <c r="I457" t="n">
        <v>12.8</v>
      </c>
      <c r="J457" t="n">
        <v>4.34</v>
      </c>
      <c r="K457" t="n">
        <v>143</v>
      </c>
      <c r="L457" t="n">
        <v>88.04000000000001</v>
      </c>
      <c r="M457" t="n">
        <v>3.6</v>
      </c>
      <c r="N457" t="n">
        <v>235</v>
      </c>
    </row>
    <row r="458">
      <c r="A458" t="inlineStr">
        <is>
          <t>1161</t>
        </is>
      </c>
      <c r="B458" t="inlineStr">
        <is>
          <t>2RS</t>
        </is>
      </c>
      <c r="C458" t="n">
        <v>11</v>
      </c>
      <c r="D458" s="2" t="n">
        <v>45984</v>
      </c>
      <c r="E458" t="inlineStr">
        <is>
          <t>2RS-11</t>
        </is>
      </c>
      <c r="F458" t="n">
        <v>84.59999999999999</v>
      </c>
      <c r="G458" t="n">
        <v>92.90000000000001</v>
      </c>
      <c r="H458" t="n">
        <v>286.92</v>
      </c>
      <c r="I458" t="n">
        <v>12.6</v>
      </c>
      <c r="J458" t="n">
        <v>4.02</v>
      </c>
      <c r="K458" t="n">
        <v>146</v>
      </c>
      <c r="L458" t="n">
        <v>87.93000000000001</v>
      </c>
      <c r="M458" t="n">
        <v>3.7</v>
      </c>
      <c r="N458" t="n">
        <v>240</v>
      </c>
    </row>
    <row r="459">
      <c r="A459" t="inlineStr">
        <is>
          <t>1162</t>
        </is>
      </c>
      <c r="B459" t="inlineStr">
        <is>
          <t>2RS</t>
        </is>
      </c>
      <c r="C459" t="n">
        <v>11</v>
      </c>
      <c r="D459" s="2" t="n">
        <v>45985</v>
      </c>
      <c r="E459" t="inlineStr">
        <is>
          <t>2RS-11</t>
        </is>
      </c>
      <c r="F459" t="n">
        <v>84.31</v>
      </c>
      <c r="G459" t="n">
        <v>91.09999999999999</v>
      </c>
      <c r="H459" t="n">
        <v>286.49</v>
      </c>
      <c r="I459" t="n">
        <v>11.3</v>
      </c>
      <c r="J459" t="n">
        <v>4.14</v>
      </c>
      <c r="K459" t="n">
        <v>156</v>
      </c>
      <c r="L459" t="n">
        <v>87.23999999999999</v>
      </c>
      <c r="M459" t="n">
        <v>4.35</v>
      </c>
      <c r="N459" t="n">
        <v>259</v>
      </c>
    </row>
    <row r="460">
      <c r="A460" t="inlineStr">
        <is>
          <t>1163</t>
        </is>
      </c>
      <c r="B460" t="inlineStr">
        <is>
          <t>2RS</t>
        </is>
      </c>
      <c r="C460" t="n">
        <v>11</v>
      </c>
      <c r="D460" s="2" t="n">
        <v>45988</v>
      </c>
      <c r="E460" t="inlineStr">
        <is>
          <t>2RS-11</t>
        </is>
      </c>
      <c r="F460" t="n">
        <v>84.65000000000001</v>
      </c>
      <c r="G460" t="n">
        <v>89.90000000000001</v>
      </c>
      <c r="H460" t="n">
        <v>287.08</v>
      </c>
      <c r="I460" t="n">
        <v>10.2</v>
      </c>
      <c r="J460" t="n">
        <v>4.63</v>
      </c>
      <c r="K460" t="n">
        <v>128</v>
      </c>
      <c r="L460" t="n">
        <v>68.95</v>
      </c>
      <c r="M460" t="n">
        <v>3</v>
      </c>
      <c r="N460" t="inlineStr"/>
    </row>
    <row r="461">
      <c r="A461" t="inlineStr">
        <is>
          <t>1164</t>
        </is>
      </c>
      <c r="B461" t="inlineStr">
        <is>
          <t>2RS</t>
        </is>
      </c>
      <c r="C461" t="n">
        <v>11</v>
      </c>
      <c r="D461" s="2" t="n">
        <v>45989</v>
      </c>
      <c r="E461" t="inlineStr">
        <is>
          <t>2RS-11</t>
        </is>
      </c>
      <c r="F461" t="n">
        <v>85.81</v>
      </c>
      <c r="G461" t="n">
        <v>92.90000000000001</v>
      </c>
      <c r="H461" t="n">
        <v>286.75</v>
      </c>
      <c r="I461" t="n">
        <v>11.7</v>
      </c>
      <c r="J461" t="n">
        <v>4.4</v>
      </c>
      <c r="K461" t="n">
        <v>151</v>
      </c>
      <c r="L461" t="n">
        <v>85.73</v>
      </c>
      <c r="M461" t="n">
        <v>4.3</v>
      </c>
      <c r="N461" t="n">
        <v>268</v>
      </c>
    </row>
    <row r="462">
      <c r="A462" t="inlineStr">
        <is>
          <t>1165</t>
        </is>
      </c>
      <c r="B462" t="inlineStr">
        <is>
          <t>2RS</t>
        </is>
      </c>
      <c r="C462" t="n">
        <v>11</v>
      </c>
      <c r="D462" s="2" t="n">
        <v>45990</v>
      </c>
      <c r="E462" t="inlineStr">
        <is>
          <t>2RS-11</t>
        </is>
      </c>
      <c r="F462" t="n">
        <v>84.72</v>
      </c>
      <c r="G462" t="n">
        <v>92.7</v>
      </c>
      <c r="H462" t="n">
        <v>286.05</v>
      </c>
      <c r="I462" t="n">
        <v>12.7</v>
      </c>
      <c r="J462" t="n">
        <v>4.43</v>
      </c>
      <c r="K462" t="n">
        <v>131</v>
      </c>
      <c r="L462" t="n">
        <v>85.44</v>
      </c>
      <c r="M462" t="n">
        <v>3.55</v>
      </c>
      <c r="N462" t="n">
        <v>232</v>
      </c>
    </row>
    <row r="463">
      <c r="A463" t="inlineStr">
        <is>
          <t>1166</t>
        </is>
      </c>
      <c r="B463" t="inlineStr">
        <is>
          <t>2RS</t>
        </is>
      </c>
      <c r="C463" t="n">
        <v>12</v>
      </c>
      <c r="D463" s="2" t="n">
        <v>45993</v>
      </c>
      <c r="E463" t="inlineStr">
        <is>
          <t>2RS-12</t>
        </is>
      </c>
      <c r="F463" t="n">
        <v>84.8</v>
      </c>
      <c r="G463" t="n">
        <v>93.2</v>
      </c>
      <c r="H463" t="n">
        <v>286.36</v>
      </c>
      <c r="I463" t="n">
        <v>12.8</v>
      </c>
      <c r="J463" t="n">
        <v>4.15</v>
      </c>
      <c r="K463" t="n">
        <v>138</v>
      </c>
      <c r="L463" t="n">
        <v>85.65000000000001</v>
      </c>
      <c r="M463" t="n">
        <v>3.74</v>
      </c>
      <c r="N463" t="n">
        <v>263</v>
      </c>
    </row>
    <row r="464">
      <c r="A464" t="inlineStr">
        <is>
          <t>1167</t>
        </is>
      </c>
      <c r="B464" t="inlineStr">
        <is>
          <t>2RS</t>
        </is>
      </c>
      <c r="C464" t="n">
        <v>12</v>
      </c>
      <c r="D464" s="2" t="n">
        <v>45993</v>
      </c>
      <c r="E464" t="inlineStr">
        <is>
          <t>2RS-12</t>
        </is>
      </c>
      <c r="F464" t="n">
        <v>85.16</v>
      </c>
      <c r="G464" t="n">
        <v>93</v>
      </c>
      <c r="H464" t="n">
        <v>286.4</v>
      </c>
      <c r="I464" t="n">
        <v>12.5</v>
      </c>
      <c r="J464" t="n">
        <v>4.43</v>
      </c>
      <c r="K464" t="n">
        <v>139</v>
      </c>
      <c r="L464" t="n">
        <v>84.06999999999999</v>
      </c>
      <c r="M464" t="n">
        <v>3.59</v>
      </c>
      <c r="N464" t="n">
        <v>333</v>
      </c>
    </row>
    <row r="465">
      <c r="A465" t="inlineStr">
        <is>
          <t>1168</t>
        </is>
      </c>
      <c r="B465" t="inlineStr">
        <is>
          <t>2RS</t>
        </is>
      </c>
      <c r="C465" t="n">
        <v>12</v>
      </c>
      <c r="D465" s="2" t="n">
        <v>45994</v>
      </c>
      <c r="E465" t="inlineStr">
        <is>
          <t>2RS-12</t>
        </is>
      </c>
      <c r="F465" t="n">
        <v>84.61</v>
      </c>
      <c r="G465" t="n">
        <v>93</v>
      </c>
      <c r="H465" t="n">
        <v>287.18</v>
      </c>
      <c r="I465" t="n">
        <v>12.9</v>
      </c>
      <c r="J465" t="n">
        <v>4.27</v>
      </c>
      <c r="K465" t="n">
        <v>137</v>
      </c>
      <c r="L465" t="n">
        <v>86.81</v>
      </c>
      <c r="M465" t="n">
        <v>3.6</v>
      </c>
      <c r="N465" t="n">
        <v>224</v>
      </c>
    </row>
    <row r="466">
      <c r="A466" t="inlineStr">
        <is>
          <t>1169</t>
        </is>
      </c>
      <c r="B466" t="inlineStr">
        <is>
          <t>2RS</t>
        </is>
      </c>
      <c r="C466" t="n">
        <v>12</v>
      </c>
      <c r="D466" s="2" t="n">
        <v>45995</v>
      </c>
      <c r="E466" t="inlineStr">
        <is>
          <t>2RS-12</t>
        </is>
      </c>
      <c r="F466" t="n">
        <v>84.72</v>
      </c>
      <c r="G466" t="n">
        <v>93.09999999999999</v>
      </c>
      <c r="H466" t="n">
        <v>286.56</v>
      </c>
      <c r="I466" t="n">
        <v>12.8</v>
      </c>
      <c r="J466" t="n">
        <v>4.16</v>
      </c>
      <c r="K466" t="n">
        <v>137</v>
      </c>
      <c r="L466" t="n">
        <v>85.91</v>
      </c>
      <c r="M466" t="n">
        <v>3.6</v>
      </c>
      <c r="N466" t="n">
        <v>250</v>
      </c>
    </row>
    <row r="467">
      <c r="A467" t="inlineStr">
        <is>
          <t>1170</t>
        </is>
      </c>
      <c r="B467" t="inlineStr">
        <is>
          <t>2RS</t>
        </is>
      </c>
      <c r="C467" t="n">
        <v>12</v>
      </c>
      <c r="D467" s="2" t="n">
        <v>45996</v>
      </c>
      <c r="E467" t="inlineStr">
        <is>
          <t>2RS-12</t>
        </is>
      </c>
      <c r="F467" t="n">
        <v>84.90000000000001</v>
      </c>
      <c r="G467" t="n">
        <v>92.7</v>
      </c>
      <c r="H467" t="n">
        <v>287.18</v>
      </c>
      <c r="I467" t="n">
        <v>12.2</v>
      </c>
      <c r="J467" t="n">
        <v>4.13</v>
      </c>
      <c r="K467" t="n">
        <v>159</v>
      </c>
      <c r="L467" t="n">
        <v>86.84</v>
      </c>
      <c r="M467" t="n">
        <v>4.3</v>
      </c>
      <c r="N467" t="n">
        <v>240</v>
      </c>
    </row>
    <row r="468">
      <c r="A468" t="inlineStr">
        <is>
          <t>1171</t>
        </is>
      </c>
      <c r="B468" t="inlineStr">
        <is>
          <t>IBON</t>
        </is>
      </c>
      <c r="C468" t="n">
        <v>12</v>
      </c>
      <c r="D468" s="2" t="n">
        <v>45997</v>
      </c>
      <c r="E468" t="inlineStr">
        <is>
          <t>IBON-12</t>
        </is>
      </c>
      <c r="F468" t="n">
        <v>85.52</v>
      </c>
      <c r="G468" t="n">
        <v>93</v>
      </c>
      <c r="H468" t="n">
        <v>282.25</v>
      </c>
      <c r="I468" t="n">
        <v>12.1</v>
      </c>
      <c r="J468" t="n">
        <v>4.4</v>
      </c>
      <c r="K468" t="n">
        <v>150</v>
      </c>
      <c r="L468" t="n">
        <v>59.1</v>
      </c>
      <c r="M468" t="n">
        <v>4.4</v>
      </c>
      <c r="N468" t="inlineStr"/>
    </row>
    <row r="469">
      <c r="A469" t="inlineStr">
        <is>
          <t>1172</t>
        </is>
      </c>
      <c r="B469" t="inlineStr">
        <is>
          <t>IBON</t>
        </is>
      </c>
      <c r="C469" t="n">
        <v>12</v>
      </c>
      <c r="D469" s="2" t="n">
        <v>45998</v>
      </c>
      <c r="E469" t="inlineStr">
        <is>
          <t>IBON-12</t>
        </is>
      </c>
      <c r="F469" t="n">
        <v>86.06</v>
      </c>
      <c r="G469" t="n">
        <v>93.2</v>
      </c>
      <c r="H469" t="n">
        <v>283.1</v>
      </c>
      <c r="I469" t="n">
        <v>11.9</v>
      </c>
      <c r="J469" t="n">
        <v>4.59</v>
      </c>
      <c r="K469" t="n">
        <v>142</v>
      </c>
      <c r="L469" t="n">
        <v>53.16</v>
      </c>
      <c r="M469" t="n">
        <v>4</v>
      </c>
      <c r="N469" t="inlineStr"/>
    </row>
    <row r="470">
      <c r="A470" t="inlineStr">
        <is>
          <t>1173</t>
        </is>
      </c>
      <c r="B470" t="inlineStr">
        <is>
          <t>IBON</t>
        </is>
      </c>
      <c r="C470" t="n">
        <v>12</v>
      </c>
      <c r="D470" s="2" t="n">
        <v>45999</v>
      </c>
      <c r="E470" t="inlineStr">
        <is>
          <t>IBON-12</t>
        </is>
      </c>
      <c r="F470" t="n">
        <v>84.48999999999999</v>
      </c>
      <c r="G470" t="n">
        <v>93.09999999999999</v>
      </c>
      <c r="H470" t="n">
        <v>283.18</v>
      </c>
      <c r="I470" t="n">
        <v>13.4</v>
      </c>
      <c r="J470" t="n">
        <v>4.54</v>
      </c>
      <c r="K470" t="n">
        <v>168</v>
      </c>
      <c r="L470" t="n">
        <v>63.43</v>
      </c>
      <c r="M470" t="n">
        <v>4.5</v>
      </c>
      <c r="N470" t="n">
        <v>400</v>
      </c>
    </row>
    <row r="471">
      <c r="A471" t="inlineStr">
        <is>
          <t>1174</t>
        </is>
      </c>
      <c r="B471" t="inlineStr">
        <is>
          <t>IBON</t>
        </is>
      </c>
      <c r="C471" t="n">
        <v>12</v>
      </c>
      <c r="D471" s="2" t="n">
        <v>46001</v>
      </c>
      <c r="E471" t="inlineStr">
        <is>
          <t>IBON-12</t>
        </is>
      </c>
      <c r="F471" t="n">
        <v>85.25</v>
      </c>
      <c r="G471" t="n">
        <v>93.5</v>
      </c>
      <c r="H471" t="n">
        <v>282.23</v>
      </c>
      <c r="I471" t="n">
        <v>12.9</v>
      </c>
      <c r="J471" t="n">
        <v>4.43</v>
      </c>
      <c r="K471" t="n">
        <v>155</v>
      </c>
      <c r="L471" t="n">
        <v>59.43</v>
      </c>
      <c r="M471" t="n">
        <v>4.26</v>
      </c>
      <c r="N471" t="inlineStr"/>
    </row>
    <row r="472">
      <c r="A472" t="inlineStr">
        <is>
          <t>1175</t>
        </is>
      </c>
      <c r="B472" t="inlineStr">
        <is>
          <t>IBON</t>
        </is>
      </c>
      <c r="C472" t="n">
        <v>12</v>
      </c>
      <c r="D472" s="2" t="n">
        <v>46002</v>
      </c>
      <c r="E472" t="inlineStr">
        <is>
          <t>IBON-12</t>
        </is>
      </c>
      <c r="F472" t="n">
        <v>85.44</v>
      </c>
      <c r="G472" t="n">
        <v>94.09999999999999</v>
      </c>
      <c r="H472" t="n">
        <v>282.09</v>
      </c>
      <c r="I472" t="n">
        <v>13.3</v>
      </c>
      <c r="J472" t="n">
        <v>4.53</v>
      </c>
      <c r="K472" t="n">
        <v>147</v>
      </c>
      <c r="L472" t="n">
        <v>57.87</v>
      </c>
      <c r="M472" t="n">
        <v>3.99</v>
      </c>
      <c r="N472" t="inlineStr"/>
    </row>
    <row r="473">
      <c r="A473" t="inlineStr">
        <is>
          <t>1176</t>
        </is>
      </c>
      <c r="B473" t="inlineStr">
        <is>
          <t>2RS</t>
        </is>
      </c>
      <c r="C473" t="n">
        <v>12</v>
      </c>
      <c r="D473" s="2" t="n">
        <v>46003</v>
      </c>
      <c r="E473" t="inlineStr">
        <is>
          <t>2RS-12</t>
        </is>
      </c>
      <c r="F473" t="n">
        <v>84.98</v>
      </c>
      <c r="G473" t="n">
        <v>93.90000000000001</v>
      </c>
      <c r="H473" t="n">
        <v>285.23</v>
      </c>
      <c r="I473" t="n">
        <v>13.6</v>
      </c>
      <c r="J473" t="n">
        <v>4.52</v>
      </c>
      <c r="K473" t="n">
        <v>137</v>
      </c>
      <c r="L473" t="n">
        <v>86.8</v>
      </c>
      <c r="M473" t="n">
        <v>3.6</v>
      </c>
      <c r="N473" t="n">
        <v>372</v>
      </c>
    </row>
    <row r="474">
      <c r="A474" t="inlineStr">
        <is>
          <t>1177</t>
        </is>
      </c>
      <c r="B474" t="inlineStr">
        <is>
          <t>IBON</t>
        </is>
      </c>
      <c r="C474" t="n">
        <v>12</v>
      </c>
      <c r="D474" s="2" t="n">
        <v>46004</v>
      </c>
      <c r="E474" t="inlineStr">
        <is>
          <t>IBON-12</t>
        </is>
      </c>
      <c r="F474" t="n">
        <v>85.14</v>
      </c>
      <c r="G474" t="n">
        <v>93.8</v>
      </c>
      <c r="H474" t="n">
        <v>282.08</v>
      </c>
      <c r="I474" t="n">
        <v>13.4</v>
      </c>
      <c r="J474" t="n">
        <v>4.56</v>
      </c>
      <c r="K474" t="n">
        <v>149</v>
      </c>
      <c r="L474" t="n">
        <v>53.24</v>
      </c>
      <c r="M474" t="n">
        <v>3.8</v>
      </c>
      <c r="N474" t="inlineStr"/>
    </row>
    <row r="475">
      <c r="A475" t="inlineStr">
        <is>
          <t>1178</t>
        </is>
      </c>
      <c r="B475" t="inlineStr">
        <is>
          <t>2RS</t>
        </is>
      </c>
      <c r="C475" t="n">
        <v>12</v>
      </c>
      <c r="D475" s="2" t="n">
        <v>46005</v>
      </c>
      <c r="E475" t="inlineStr">
        <is>
          <t>2RS-12</t>
        </is>
      </c>
      <c r="F475" t="n">
        <v>84.94</v>
      </c>
      <c r="G475" t="n">
        <v>92.8</v>
      </c>
      <c r="H475" t="n">
        <v>287.06</v>
      </c>
      <c r="I475" t="n">
        <v>12.2</v>
      </c>
      <c r="J475" t="n">
        <v>4.06</v>
      </c>
      <c r="K475" t="n">
        <v>157</v>
      </c>
      <c r="L475" t="n">
        <v>86.44</v>
      </c>
      <c r="M475" t="n">
        <v>4.17</v>
      </c>
      <c r="N475" t="n">
        <v>224</v>
      </c>
    </row>
    <row r="476">
      <c r="A476" t="inlineStr">
        <is>
          <t>1179</t>
        </is>
      </c>
      <c r="B476" t="inlineStr">
        <is>
          <t>2RS</t>
        </is>
      </c>
      <c r="C476" t="n">
        <v>12</v>
      </c>
      <c r="D476" s="2" t="n">
        <v>46006</v>
      </c>
      <c r="E476" t="inlineStr">
        <is>
          <t>2RS-12</t>
        </is>
      </c>
      <c r="F476" t="n">
        <v>84.58</v>
      </c>
      <c r="G476" t="n">
        <v>93.2</v>
      </c>
      <c r="H476" t="n">
        <v>287.05</v>
      </c>
      <c r="I476" t="n">
        <v>13</v>
      </c>
      <c r="J476" t="n">
        <v>4.16</v>
      </c>
      <c r="K476" t="n">
        <v>151</v>
      </c>
      <c r="L476" t="n">
        <v>85.70999999999999</v>
      </c>
      <c r="M476" t="n">
        <v>4.32</v>
      </c>
      <c r="N476" t="n">
        <v>279</v>
      </c>
    </row>
    <row r="477">
      <c r="A477" t="inlineStr">
        <is>
          <t>1180</t>
        </is>
      </c>
      <c r="B477" t="inlineStr">
        <is>
          <t>2RS</t>
        </is>
      </c>
      <c r="C477" t="n">
        <v>12</v>
      </c>
      <c r="D477" s="2" t="n">
        <v>46007</v>
      </c>
      <c r="E477" t="inlineStr">
        <is>
          <t>2RS-12</t>
        </is>
      </c>
      <c r="F477" t="n">
        <v>85.41</v>
      </c>
      <c r="G477" t="n">
        <v>93.40000000000001</v>
      </c>
      <c r="H477" t="n">
        <v>287.46</v>
      </c>
      <c r="I477" t="n">
        <v>12.5</v>
      </c>
      <c r="J477" t="n">
        <v>4.31</v>
      </c>
      <c r="K477" t="n">
        <v>154</v>
      </c>
      <c r="L477" t="n">
        <v>85.43000000000001</v>
      </c>
      <c r="M477" t="n">
        <v>4.16</v>
      </c>
      <c r="N477" t="n">
        <v>220</v>
      </c>
    </row>
    <row r="478">
      <c r="A478" t="inlineStr">
        <is>
          <t>1181</t>
        </is>
      </c>
      <c r="B478" t="inlineStr">
        <is>
          <t>2RS</t>
        </is>
      </c>
      <c r="C478" t="n">
        <v>12</v>
      </c>
      <c r="D478" s="2" t="n">
        <v>46009</v>
      </c>
      <c r="E478" t="inlineStr">
        <is>
          <t>2RS-12</t>
        </is>
      </c>
      <c r="F478" t="n">
        <v>85.16</v>
      </c>
      <c r="G478" t="n">
        <v>93</v>
      </c>
      <c r="H478" t="n">
        <v>287.33</v>
      </c>
      <c r="I478" t="n">
        <v>12.4</v>
      </c>
      <c r="J478" t="n">
        <v>4.35</v>
      </c>
      <c r="K478" t="n">
        <v>150</v>
      </c>
      <c r="L478" t="n">
        <v>84.09999999999999</v>
      </c>
      <c r="M478" t="n">
        <v>4.05</v>
      </c>
      <c r="N478" t="n">
        <v>210</v>
      </c>
    </row>
    <row r="479">
      <c r="A479" t="inlineStr">
        <is>
          <t>1182</t>
        </is>
      </c>
      <c r="B479" t="inlineStr">
        <is>
          <t>2RS</t>
        </is>
      </c>
      <c r="C479" t="n">
        <v>12</v>
      </c>
      <c r="D479" s="2" t="n">
        <v>46010</v>
      </c>
      <c r="E479" t="inlineStr">
        <is>
          <t>2RS-12</t>
        </is>
      </c>
      <c r="F479" t="n">
        <v>84.86</v>
      </c>
      <c r="G479" t="n">
        <v>92.8</v>
      </c>
      <c r="H479" t="n">
        <v>286.26</v>
      </c>
      <c r="I479" t="n">
        <v>12.6</v>
      </c>
      <c r="J479" t="n">
        <v>4.44</v>
      </c>
      <c r="K479" t="n">
        <v>144</v>
      </c>
      <c r="L479" t="n">
        <v>83.37</v>
      </c>
      <c r="M479" t="n">
        <v>4</v>
      </c>
      <c r="N479" t="n">
        <v>225</v>
      </c>
    </row>
    <row r="480">
      <c r="A480" t="inlineStr">
        <is>
          <t>1183</t>
        </is>
      </c>
      <c r="B480" t="inlineStr">
        <is>
          <t>2RS</t>
        </is>
      </c>
      <c r="C480" t="n">
        <v>12</v>
      </c>
      <c r="D480" s="2" t="n">
        <v>46011</v>
      </c>
      <c r="E480" t="inlineStr">
        <is>
          <t>2RS-12</t>
        </is>
      </c>
      <c r="F480" t="n">
        <v>83.95999999999999</v>
      </c>
      <c r="G480" t="n">
        <v>92.59999999999999</v>
      </c>
      <c r="H480" t="n">
        <v>284.13</v>
      </c>
      <c r="I480" t="n">
        <v>13.4</v>
      </c>
      <c r="J480" t="n">
        <v>4.52</v>
      </c>
      <c r="K480" t="n">
        <v>153</v>
      </c>
      <c r="L480" t="n">
        <v>94.59</v>
      </c>
      <c r="M480" t="n">
        <v>3</v>
      </c>
      <c r="N480" t="n">
        <v>130</v>
      </c>
    </row>
    <row r="481">
      <c r="A481" t="inlineStr">
        <is>
          <t>1184</t>
        </is>
      </c>
      <c r="B481" t="inlineStr">
        <is>
          <t>2RS</t>
        </is>
      </c>
      <c r="C481" t="n">
        <v>12</v>
      </c>
      <c r="D481" s="2" t="n">
        <v>46012</v>
      </c>
      <c r="E481" t="inlineStr">
        <is>
          <t>2RS-12</t>
        </is>
      </c>
      <c r="F481" t="n">
        <v>84.95</v>
      </c>
      <c r="G481" t="n">
        <v>93.09999999999999</v>
      </c>
      <c r="H481" t="n">
        <v>286.26</v>
      </c>
      <c r="I481" t="n">
        <v>12.7</v>
      </c>
      <c r="J481" t="n">
        <v>4.29</v>
      </c>
      <c r="K481" t="n">
        <v>138</v>
      </c>
      <c r="L481" t="n">
        <v>82.93000000000001</v>
      </c>
      <c r="M481" t="n">
        <v>3.8</v>
      </c>
      <c r="N481" t="n">
        <v>240</v>
      </c>
    </row>
    <row r="482">
      <c r="A482" t="inlineStr">
        <is>
          <t>1185</t>
        </is>
      </c>
      <c r="B482" t="inlineStr">
        <is>
          <t>2RS</t>
        </is>
      </c>
      <c r="C482" t="n">
        <v>12</v>
      </c>
      <c r="D482" s="2" t="n">
        <v>46013</v>
      </c>
      <c r="E482" t="inlineStr">
        <is>
          <t>2RS-12</t>
        </is>
      </c>
      <c r="F482" t="n">
        <v>85.02</v>
      </c>
      <c r="G482" t="n">
        <v>93</v>
      </c>
      <c r="H482" t="n">
        <v>287.5</v>
      </c>
      <c r="I482" t="n">
        <v>12.7</v>
      </c>
      <c r="J482" t="n">
        <v>4.48</v>
      </c>
      <c r="K482" t="n">
        <v>129</v>
      </c>
      <c r="L482" t="n">
        <v>81.91</v>
      </c>
      <c r="M482" t="n">
        <v>4.17</v>
      </c>
      <c r="N482" t="n">
        <v>233</v>
      </c>
    </row>
    <row r="483">
      <c r="A483" t="inlineStr">
        <is>
          <t>1186</t>
        </is>
      </c>
      <c r="B483" t="inlineStr">
        <is>
          <t>2RS</t>
        </is>
      </c>
      <c r="C483" t="n">
        <v>12</v>
      </c>
      <c r="D483" s="2" t="n">
        <v>46014</v>
      </c>
      <c r="E483" t="inlineStr">
        <is>
          <t>2RS-12</t>
        </is>
      </c>
      <c r="F483" t="n">
        <v>85.12</v>
      </c>
      <c r="G483" t="n">
        <v>93.2</v>
      </c>
      <c r="H483" t="n">
        <v>287.64</v>
      </c>
      <c r="I483" t="n">
        <v>12.7</v>
      </c>
      <c r="J483" t="n">
        <v>4.4</v>
      </c>
      <c r="K483" t="n">
        <v>148</v>
      </c>
      <c r="L483" t="n">
        <v>85.62</v>
      </c>
      <c r="M483" t="n">
        <v>3.9</v>
      </c>
      <c r="N483" t="n">
        <v>227</v>
      </c>
    </row>
    <row r="484">
      <c r="A484" t="inlineStr">
        <is>
          <t>1187</t>
        </is>
      </c>
      <c r="B484" t="inlineStr">
        <is>
          <t>2RS</t>
        </is>
      </c>
      <c r="C484" t="n">
        <v>12</v>
      </c>
      <c r="D484" s="2" t="n">
        <v>46015</v>
      </c>
      <c r="E484" t="inlineStr">
        <is>
          <t>2RS-12</t>
        </is>
      </c>
      <c r="F484" t="n">
        <v>82.62</v>
      </c>
      <c r="G484" t="n">
        <v>91</v>
      </c>
      <c r="H484" t="n">
        <v>283.29</v>
      </c>
      <c r="I484" t="n">
        <v>13.4</v>
      </c>
      <c r="J484" t="n">
        <v>4.66</v>
      </c>
      <c r="K484" t="n">
        <v>141</v>
      </c>
      <c r="L484" t="n">
        <v>92.64</v>
      </c>
      <c r="M484" t="n">
        <v>2.73</v>
      </c>
      <c r="N484" t="n">
        <v>214</v>
      </c>
    </row>
    <row r="485">
      <c r="A485" t="inlineStr">
        <is>
          <t>1188</t>
        </is>
      </c>
      <c r="B485" t="inlineStr">
        <is>
          <t>2RS</t>
        </is>
      </c>
      <c r="C485" t="n">
        <v>12</v>
      </c>
      <c r="D485" s="2" t="n">
        <v>46016</v>
      </c>
      <c r="E485" t="inlineStr">
        <is>
          <t>2RS-12</t>
        </is>
      </c>
      <c r="F485" t="n">
        <v>85.56999999999999</v>
      </c>
      <c r="G485" t="inlineStr"/>
      <c r="H485" t="n">
        <v>287.02</v>
      </c>
      <c r="I485" t="n">
        <v>11.6</v>
      </c>
      <c r="J485" t="inlineStr"/>
      <c r="K485" t="inlineStr"/>
      <c r="L485" t="inlineStr"/>
      <c r="M485" t="inlineStr"/>
      <c r="N485" t="inlineStr"/>
    </row>
    <row r="486">
      <c r="A486" t="inlineStr">
        <is>
          <t>1189</t>
        </is>
      </c>
      <c r="B486" t="inlineStr">
        <is>
          <t>2RS</t>
        </is>
      </c>
      <c r="C486" t="n">
        <v>12</v>
      </c>
      <c r="D486" s="2" t="n">
        <v>46018</v>
      </c>
      <c r="E486" t="inlineStr">
        <is>
          <t>2RS-12</t>
        </is>
      </c>
      <c r="F486" t="n">
        <v>84.72</v>
      </c>
      <c r="G486" t="n">
        <v>92.90000000000001</v>
      </c>
      <c r="H486" t="n">
        <v>287.42</v>
      </c>
      <c r="I486" t="n">
        <v>12.7</v>
      </c>
      <c r="J486" t="n">
        <v>4.22</v>
      </c>
      <c r="K486" t="n">
        <v>149</v>
      </c>
      <c r="L486" t="n">
        <v>85.62</v>
      </c>
      <c r="M486" t="n">
        <v>3.8</v>
      </c>
      <c r="N486" t="n">
        <v>200</v>
      </c>
    </row>
    <row r="487">
      <c r="A487" t="inlineStr">
        <is>
          <t>1190</t>
        </is>
      </c>
      <c r="B487" t="inlineStr">
        <is>
          <t>IBON</t>
        </is>
      </c>
      <c r="C487" t="n">
        <v>12</v>
      </c>
      <c r="D487" s="2" t="n">
        <v>46019</v>
      </c>
      <c r="E487" t="inlineStr">
        <is>
          <t>IBON-12</t>
        </is>
      </c>
      <c r="F487" t="n">
        <v>84.67</v>
      </c>
      <c r="G487" t="n">
        <v>93.09999999999999</v>
      </c>
      <c r="H487" t="n">
        <v>282.63</v>
      </c>
      <c r="I487" t="n">
        <v>13.3</v>
      </c>
      <c r="J487" t="n">
        <v>4.69</v>
      </c>
      <c r="K487" t="n">
        <v>139</v>
      </c>
      <c r="L487" t="n">
        <v>52.82</v>
      </c>
      <c r="M487" t="n">
        <v>3.4</v>
      </c>
      <c r="N487" t="inlineStr"/>
    </row>
    <row r="488">
      <c r="A488" t="inlineStr">
        <is>
          <t>1191</t>
        </is>
      </c>
      <c r="B488" t="inlineStr">
        <is>
          <t>IBON</t>
        </is>
      </c>
      <c r="C488" t="n">
        <v>12</v>
      </c>
      <c r="D488" s="2" t="n">
        <v>46020</v>
      </c>
      <c r="E488" t="inlineStr">
        <is>
          <t>IBON-12</t>
        </is>
      </c>
      <c r="F488" t="inlineStr"/>
      <c r="G488" t="n">
        <v>96</v>
      </c>
      <c r="H488" t="n">
        <v>281.57</v>
      </c>
      <c r="I488" t="n">
        <v>13.3</v>
      </c>
      <c r="J488" t="n">
        <v>4.57</v>
      </c>
      <c r="K488" t="n">
        <v>133</v>
      </c>
      <c r="L488" t="n">
        <v>53.91</v>
      </c>
      <c r="M488" t="n">
        <v>3.95</v>
      </c>
      <c r="N488" t="inlineStr"/>
    </row>
    <row r="489">
      <c r="A489" t="inlineStr">
        <is>
          <t>1192</t>
        </is>
      </c>
      <c r="B489" t="inlineStr">
        <is>
          <t>2RS</t>
        </is>
      </c>
      <c r="C489" t="n">
        <v>12</v>
      </c>
      <c r="D489" s="2" t="n">
        <v>46021</v>
      </c>
      <c r="E489" t="inlineStr">
        <is>
          <t>2RS-12</t>
        </is>
      </c>
      <c r="F489" t="n">
        <v>83.31999999999999</v>
      </c>
      <c r="G489" t="n">
        <v>92.5</v>
      </c>
      <c r="H489" t="n">
        <v>283.89</v>
      </c>
      <c r="I489" t="n">
        <v>13.8</v>
      </c>
      <c r="J489" t="n">
        <v>4.35</v>
      </c>
      <c r="K489" t="n">
        <v>139</v>
      </c>
      <c r="L489" t="n">
        <v>88.91</v>
      </c>
      <c r="M489" t="n">
        <v>2.9</v>
      </c>
      <c r="N489" t="n">
        <v>243</v>
      </c>
    </row>
    <row r="490">
      <c r="A490" t="inlineStr">
        <is>
          <t>1193</t>
        </is>
      </c>
      <c r="B490" t="inlineStr">
        <is>
          <t>IBON</t>
        </is>
      </c>
      <c r="C490" t="n">
        <v>12</v>
      </c>
      <c r="D490" s="2" t="n">
        <v>46022</v>
      </c>
      <c r="E490" t="inlineStr">
        <is>
          <t>IBON-12</t>
        </is>
      </c>
      <c r="F490" t="n">
        <v>85.08</v>
      </c>
      <c r="G490" t="n">
        <v>93.5</v>
      </c>
      <c r="H490" t="n">
        <v>282.92</v>
      </c>
      <c r="I490" t="n">
        <v>13</v>
      </c>
      <c r="J490" t="n">
        <v>4.37</v>
      </c>
      <c r="K490" t="n">
        <v>138</v>
      </c>
      <c r="L490" t="n">
        <v>55.2</v>
      </c>
      <c r="M490" t="n">
        <v>3.7</v>
      </c>
      <c r="N490" t="inlineStr"/>
    </row>
    <row r="491">
      <c r="A491" t="inlineStr">
        <is>
          <t>1194</t>
        </is>
      </c>
      <c r="B491" t="inlineStr">
        <is>
          <t>2RS</t>
        </is>
      </c>
      <c r="C491" t="n">
        <v>1</v>
      </c>
      <c r="D491" s="2" t="n">
        <v>46023</v>
      </c>
      <c r="E491" t="inlineStr">
        <is>
          <t>2RS-1</t>
        </is>
      </c>
      <c r="F491" t="n">
        <v>84.91</v>
      </c>
      <c r="G491" t="n">
        <v>93.40000000000001</v>
      </c>
      <c r="H491" t="n">
        <v>287.6</v>
      </c>
      <c r="I491" t="n">
        <v>12.9</v>
      </c>
      <c r="J491" t="n">
        <v>4.19</v>
      </c>
      <c r="K491" t="n">
        <v>138</v>
      </c>
      <c r="L491" t="n">
        <v>85.03</v>
      </c>
      <c r="M491" t="n">
        <v>3.9</v>
      </c>
      <c r="N491" t="n">
        <v>250</v>
      </c>
    </row>
    <row r="492">
      <c r="A492" t="inlineStr">
        <is>
          <t>1195</t>
        </is>
      </c>
      <c r="B492" t="inlineStr">
        <is>
          <t>2RS</t>
        </is>
      </c>
      <c r="C492" t="n">
        <v>1</v>
      </c>
      <c r="D492" s="2" t="n">
        <v>46025</v>
      </c>
      <c r="E492" t="inlineStr">
        <is>
          <t>2RS-1</t>
        </is>
      </c>
      <c r="F492" t="n">
        <v>84.75</v>
      </c>
      <c r="G492" t="n">
        <v>92.90000000000001</v>
      </c>
      <c r="H492" t="n">
        <v>287.46</v>
      </c>
      <c r="I492" t="n">
        <v>12.9</v>
      </c>
      <c r="J492" t="n">
        <v>4.55</v>
      </c>
      <c r="K492" t="n">
        <v>152</v>
      </c>
      <c r="L492" t="n">
        <v>87.5</v>
      </c>
      <c r="M492" t="n">
        <v>3.85</v>
      </c>
      <c r="N492" t="n">
        <v>190</v>
      </c>
    </row>
    <row r="493">
      <c r="A493" t="inlineStr">
        <is>
          <t>1196</t>
        </is>
      </c>
      <c r="B493" t="inlineStr">
        <is>
          <t>2RS</t>
        </is>
      </c>
      <c r="C493" t="n">
        <v>1</v>
      </c>
      <c r="D493" s="2" t="n">
        <v>46026</v>
      </c>
      <c r="E493" t="inlineStr">
        <is>
          <t>2RS-1</t>
        </is>
      </c>
      <c r="F493" t="n">
        <v>84.48999999999999</v>
      </c>
      <c r="G493" t="n">
        <v>93</v>
      </c>
      <c r="H493" t="n">
        <v>287.1</v>
      </c>
      <c r="I493" t="n">
        <v>12.9</v>
      </c>
      <c r="J493" t="n">
        <v>4.14</v>
      </c>
      <c r="K493" t="n">
        <v>151</v>
      </c>
      <c r="L493" t="n">
        <v>87.69</v>
      </c>
      <c r="M493" t="n">
        <v>3.6</v>
      </c>
      <c r="N493" t="n">
        <v>185</v>
      </c>
    </row>
    <row r="494">
      <c r="A494" t="inlineStr">
        <is>
          <t>1197</t>
        </is>
      </c>
      <c r="B494" t="inlineStr">
        <is>
          <t>2RS</t>
        </is>
      </c>
      <c r="C494" t="n">
        <v>1</v>
      </c>
      <c r="D494" s="2" t="n">
        <v>46027</v>
      </c>
      <c r="E494" t="inlineStr">
        <is>
          <t>2RS-1</t>
        </is>
      </c>
      <c r="F494" t="n">
        <v>84.95999999999999</v>
      </c>
      <c r="G494" t="inlineStr"/>
      <c r="H494" t="n">
        <v>286.8</v>
      </c>
      <c r="I494" t="n">
        <v>11.1</v>
      </c>
      <c r="J494" t="inlineStr"/>
      <c r="K494" t="inlineStr"/>
      <c r="L494" t="inlineStr"/>
      <c r="M494" t="inlineStr"/>
      <c r="N494" t="inlineStr"/>
    </row>
    <row r="495">
      <c r="A495" t="inlineStr">
        <is>
          <t>1198</t>
        </is>
      </c>
      <c r="B495" t="inlineStr">
        <is>
          <t>2RS</t>
        </is>
      </c>
      <c r="C495" t="n">
        <v>1</v>
      </c>
      <c r="D495" s="2" t="n">
        <v>46029</v>
      </c>
      <c r="E495" t="inlineStr">
        <is>
          <t>2RS-1</t>
        </is>
      </c>
      <c r="F495" t="n">
        <v>85.54000000000001</v>
      </c>
      <c r="G495" t="inlineStr"/>
      <c r="H495" t="n">
        <v>286.81</v>
      </c>
      <c r="I495" t="n">
        <v>11.1</v>
      </c>
      <c r="J495" t="inlineStr"/>
      <c r="K495" t="inlineStr"/>
      <c r="L495" t="inlineStr"/>
      <c r="M495" t="inlineStr"/>
      <c r="N495" t="inlineStr"/>
    </row>
    <row r="496">
      <c r="A496" t="inlineStr">
        <is>
          <t>1199</t>
        </is>
      </c>
      <c r="B496" t="inlineStr">
        <is>
          <t>2RS</t>
        </is>
      </c>
      <c r="C496" t="n">
        <v>1</v>
      </c>
      <c r="D496" s="2" t="n">
        <v>46030</v>
      </c>
      <c r="E496" t="inlineStr">
        <is>
          <t>2RS-1</t>
        </is>
      </c>
      <c r="F496" t="n">
        <v>85.81999999999999</v>
      </c>
      <c r="G496" t="inlineStr"/>
      <c r="H496" t="n">
        <v>287.01</v>
      </c>
      <c r="I496" t="n">
        <v>11.3</v>
      </c>
      <c r="J496" t="inlineStr"/>
      <c r="K496" t="inlineStr"/>
      <c r="L496" t="inlineStr"/>
      <c r="M496" t="inlineStr"/>
      <c r="N496" t="inlineStr"/>
    </row>
    <row r="497">
      <c r="A497" t="inlineStr">
        <is>
          <t>1200</t>
        </is>
      </c>
      <c r="B497" t="inlineStr">
        <is>
          <t>IBON</t>
        </is>
      </c>
      <c r="C497" t="n">
        <v>1</v>
      </c>
      <c r="D497" s="2" t="n">
        <v>46031</v>
      </c>
      <c r="E497" t="inlineStr">
        <is>
          <t>IBON-1</t>
        </is>
      </c>
      <c r="F497" t="n">
        <v>85.77</v>
      </c>
      <c r="G497" t="n">
        <v>94.09999999999999</v>
      </c>
      <c r="H497" t="n">
        <v>282.99</v>
      </c>
      <c r="I497" t="n">
        <v>12.9</v>
      </c>
      <c r="J497" t="n">
        <v>4.43</v>
      </c>
      <c r="K497" t="n">
        <v>149</v>
      </c>
      <c r="L497" t="n">
        <v>60</v>
      </c>
      <c r="M497" t="n">
        <v>4.1</v>
      </c>
      <c r="N497" t="inlineStr"/>
    </row>
    <row r="498">
      <c r="A498" t="inlineStr">
        <is>
          <t>1201</t>
        </is>
      </c>
      <c r="B498" t="inlineStr">
        <is>
          <t>2RS</t>
        </is>
      </c>
      <c r="C498" t="n">
        <v>1</v>
      </c>
      <c r="D498" s="2" t="n">
        <v>46033</v>
      </c>
      <c r="E498" t="inlineStr">
        <is>
          <t>2RS-1</t>
        </is>
      </c>
      <c r="F498" t="n">
        <v>85.39</v>
      </c>
      <c r="G498" t="n">
        <v>93.90000000000001</v>
      </c>
      <c r="H498" t="n">
        <v>287.4</v>
      </c>
      <c r="I498" t="n">
        <v>12.8</v>
      </c>
      <c r="J498" t="n">
        <v>4.13</v>
      </c>
      <c r="K498" t="n">
        <v>148</v>
      </c>
      <c r="L498" t="n">
        <v>87.89</v>
      </c>
      <c r="M498" t="n">
        <v>4.2</v>
      </c>
      <c r="N498" t="n">
        <v>209</v>
      </c>
    </row>
    <row r="499">
      <c r="A499" t="inlineStr">
        <is>
          <t>1202</t>
        </is>
      </c>
      <c r="B499" t="inlineStr">
        <is>
          <t>IBON</t>
        </is>
      </c>
      <c r="C499" t="n">
        <v>1</v>
      </c>
      <c r="D499" s="2" t="n">
        <v>46034</v>
      </c>
      <c r="E499" t="inlineStr">
        <is>
          <t>IBON-1</t>
        </is>
      </c>
      <c r="F499" t="n">
        <v>84.64</v>
      </c>
      <c r="G499" t="n">
        <v>93.7</v>
      </c>
      <c r="H499" t="n">
        <v>283.65</v>
      </c>
      <c r="I499" t="n">
        <v>13.5</v>
      </c>
      <c r="J499" t="n">
        <v>4.24</v>
      </c>
      <c r="K499" t="n">
        <v>154</v>
      </c>
      <c r="L499" t="n">
        <v>63.9</v>
      </c>
      <c r="M499" t="n">
        <v>4.3</v>
      </c>
      <c r="N499" t="inlineStr"/>
    </row>
    <row r="500">
      <c r="A500" t="inlineStr">
        <is>
          <t>1203</t>
        </is>
      </c>
      <c r="B500" t="inlineStr">
        <is>
          <t>2RS</t>
        </is>
      </c>
      <c r="C500" t="n">
        <v>1</v>
      </c>
      <c r="D500" s="2" t="n">
        <v>46037</v>
      </c>
      <c r="E500" t="inlineStr">
        <is>
          <t>2RS-1</t>
        </is>
      </c>
      <c r="F500" t="n">
        <v>83.56999999999999</v>
      </c>
      <c r="G500" t="n">
        <v>92.59999999999999</v>
      </c>
      <c r="H500" t="n">
        <v>283.91</v>
      </c>
      <c r="I500" t="n">
        <v>13.5</v>
      </c>
      <c r="J500" t="n">
        <v>4.14</v>
      </c>
      <c r="K500" t="n">
        <v>132</v>
      </c>
      <c r="L500" t="n">
        <v>93.22</v>
      </c>
      <c r="M500" t="n">
        <v>2.7</v>
      </c>
      <c r="N500" t="n">
        <v>176</v>
      </c>
    </row>
    <row r="501">
      <c r="A501" t="inlineStr">
        <is>
          <t>1204</t>
        </is>
      </c>
      <c r="B501" t="inlineStr">
        <is>
          <t>2RS</t>
        </is>
      </c>
      <c r="C501" t="n">
        <v>1</v>
      </c>
      <c r="D501" s="2" t="n">
        <v>46041</v>
      </c>
      <c r="E501" t="inlineStr">
        <is>
          <t>2RS-1</t>
        </is>
      </c>
      <c r="F501" t="n">
        <v>86.48999999999999</v>
      </c>
      <c r="G501" t="inlineStr"/>
      <c r="H501" t="n">
        <v>287</v>
      </c>
      <c r="I501" t="n">
        <v>11.9</v>
      </c>
      <c r="J501" t="inlineStr"/>
      <c r="K501" t="inlineStr"/>
      <c r="L501" t="inlineStr"/>
      <c r="M501" t="inlineStr"/>
      <c r="N501" t="inlineStr"/>
    </row>
    <row r="502">
      <c r="A502" t="inlineStr">
        <is>
          <t>1205</t>
        </is>
      </c>
      <c r="B502" t="inlineStr">
        <is>
          <t>2RS</t>
        </is>
      </c>
      <c r="C502" t="n">
        <v>1</v>
      </c>
      <c r="D502" s="2" t="n">
        <v>46043</v>
      </c>
      <c r="E502" t="inlineStr">
        <is>
          <t>2RS-1</t>
        </is>
      </c>
      <c r="F502" t="n">
        <v>83.67</v>
      </c>
      <c r="G502" t="n">
        <v>92.2</v>
      </c>
      <c r="H502" t="n">
        <v>283.87</v>
      </c>
      <c r="I502" t="n">
        <v>13.3</v>
      </c>
      <c r="J502" t="n">
        <v>4.47</v>
      </c>
      <c r="K502" t="n">
        <v>166</v>
      </c>
      <c r="L502" t="n">
        <v>97.88</v>
      </c>
      <c r="M502" t="n">
        <v>2.94</v>
      </c>
      <c r="N502" t="inlineStr"/>
    </row>
    <row r="503">
      <c r="A503" t="inlineStr">
        <is>
          <t>1206</t>
        </is>
      </c>
      <c r="B503" t="inlineStr">
        <is>
          <t>2RS</t>
        </is>
      </c>
      <c r="C503" t="n">
        <v>1</v>
      </c>
      <c r="D503" s="2" t="n">
        <v>46044</v>
      </c>
      <c r="E503" t="inlineStr">
        <is>
          <t>2RS-1</t>
        </is>
      </c>
      <c r="F503" t="n">
        <v>85.59</v>
      </c>
      <c r="G503" t="inlineStr"/>
      <c r="H503" t="n">
        <v>286.39</v>
      </c>
      <c r="I503" t="n">
        <v>11.8</v>
      </c>
      <c r="J503" t="inlineStr"/>
      <c r="K503" t="inlineStr"/>
      <c r="L503" t="inlineStr"/>
      <c r="M503" t="inlineStr"/>
      <c r="N503" t="inlineStr"/>
    </row>
    <row r="504">
      <c r="A504" t="inlineStr">
        <is>
          <t>1207</t>
        </is>
      </c>
      <c r="B504" t="inlineStr">
        <is>
          <t>2RS</t>
        </is>
      </c>
      <c r="C504" t="n">
        <v>1</v>
      </c>
      <c r="D504" s="2" t="n">
        <v>46045</v>
      </c>
      <c r="E504" t="inlineStr">
        <is>
          <t>2RS-1</t>
        </is>
      </c>
      <c r="F504" t="n">
        <v>83.81</v>
      </c>
      <c r="G504" t="n">
        <v>92.59999999999999</v>
      </c>
      <c r="H504" t="n">
        <v>283.38</v>
      </c>
      <c r="I504" t="n">
        <v>13.5</v>
      </c>
      <c r="J504" t="n">
        <v>4.38</v>
      </c>
      <c r="K504" t="n">
        <v>162</v>
      </c>
      <c r="L504" t="n">
        <v>97.92</v>
      </c>
      <c r="M504" t="n">
        <v>2.8</v>
      </c>
      <c r="N504" t="inlineStr"/>
    </row>
    <row r="505">
      <c r="A505" t="inlineStr">
        <is>
          <t>1208</t>
        </is>
      </c>
      <c r="B505" t="inlineStr">
        <is>
          <t>2RS</t>
        </is>
      </c>
      <c r="C505" t="n">
        <v>1</v>
      </c>
      <c r="D505" s="2" t="n">
        <v>46047</v>
      </c>
      <c r="E505" t="inlineStr">
        <is>
          <t>2RS-1</t>
        </is>
      </c>
      <c r="F505" t="n">
        <v>83.36</v>
      </c>
      <c r="G505" t="n">
        <v>91.7</v>
      </c>
      <c r="H505" t="n">
        <v>283.33</v>
      </c>
      <c r="I505" t="n">
        <v>13</v>
      </c>
      <c r="J505" t="n">
        <v>4.25</v>
      </c>
      <c r="K505" t="inlineStr"/>
      <c r="L505" t="n">
        <v>98.14</v>
      </c>
      <c r="M505" t="n">
        <v>3.1</v>
      </c>
      <c r="N505" t="inlineStr"/>
    </row>
    <row r="506">
      <c r="A506" t="inlineStr">
        <is>
          <t>1209</t>
        </is>
      </c>
      <c r="B506" t="inlineStr">
        <is>
          <t>2RS</t>
        </is>
      </c>
      <c r="C506" t="n">
        <v>1</v>
      </c>
      <c r="D506" s="2" t="n">
        <v>46048</v>
      </c>
      <c r="E506" t="inlineStr">
        <is>
          <t>2RS-1</t>
        </is>
      </c>
      <c r="F506" t="n">
        <v>85.51000000000001</v>
      </c>
      <c r="G506" t="n">
        <v>94.2</v>
      </c>
      <c r="H506" t="n">
        <v>286.67</v>
      </c>
      <c r="I506" t="n">
        <v>12.8</v>
      </c>
      <c r="J506" t="n">
        <v>3.9</v>
      </c>
      <c r="K506" t="n">
        <v>151</v>
      </c>
      <c r="L506" t="n">
        <v>87.59999999999999</v>
      </c>
      <c r="M506" t="n">
        <v>4.04</v>
      </c>
      <c r="N506" t="n">
        <v>201</v>
      </c>
    </row>
    <row r="507">
      <c r="A507" t="inlineStr">
        <is>
          <t>1210</t>
        </is>
      </c>
      <c r="B507" t="inlineStr">
        <is>
          <t>2RS</t>
        </is>
      </c>
      <c r="C507" t="n">
        <v>1</v>
      </c>
      <c r="D507" s="2" t="n">
        <v>46049</v>
      </c>
      <c r="E507" t="inlineStr">
        <is>
          <t>2RS-1</t>
        </is>
      </c>
      <c r="F507" t="n">
        <v>85.45</v>
      </c>
      <c r="G507" t="n">
        <v>93.2</v>
      </c>
      <c r="H507" t="n">
        <v>287.81</v>
      </c>
      <c r="I507" t="n">
        <v>12</v>
      </c>
      <c r="J507" t="n">
        <v>4.02</v>
      </c>
      <c r="K507" t="n">
        <v>159</v>
      </c>
      <c r="L507" t="n">
        <v>85.34</v>
      </c>
      <c r="M507" t="n">
        <v>4.26</v>
      </c>
      <c r="N507" t="n">
        <v>223</v>
      </c>
    </row>
    <row r="508">
      <c r="A508" t="inlineStr">
        <is>
          <t>1211</t>
        </is>
      </c>
      <c r="B508" t="inlineStr">
        <is>
          <t>2RS</t>
        </is>
      </c>
      <c r="C508" t="n">
        <v>1</v>
      </c>
      <c r="D508" s="2" t="n">
        <v>46051</v>
      </c>
      <c r="E508" t="inlineStr">
        <is>
          <t>2RS-1</t>
        </is>
      </c>
      <c r="F508" t="n">
        <v>83.97</v>
      </c>
      <c r="G508" t="n">
        <v>92.5</v>
      </c>
      <c r="H508" t="n">
        <v>284.14</v>
      </c>
      <c r="I508" t="n">
        <v>13.2</v>
      </c>
      <c r="J508" t="n">
        <v>4.35</v>
      </c>
      <c r="K508" t="n">
        <v>164</v>
      </c>
      <c r="L508" t="n">
        <v>97.19</v>
      </c>
      <c r="M508" t="n">
        <v>3.2</v>
      </c>
      <c r="N508" t="inlineStr"/>
    </row>
    <row r="509">
      <c r="A509" t="inlineStr">
        <is>
          <t>1212</t>
        </is>
      </c>
      <c r="B509" t="inlineStr">
        <is>
          <t>2RS</t>
        </is>
      </c>
      <c r="C509" t="n">
        <v>1</v>
      </c>
      <c r="D509" s="2" t="n">
        <v>46052</v>
      </c>
      <c r="E509" t="inlineStr">
        <is>
          <t>2RS-1</t>
        </is>
      </c>
      <c r="F509" t="n">
        <v>85.01000000000001</v>
      </c>
      <c r="G509" t="n">
        <v>93.7</v>
      </c>
      <c r="H509" t="n">
        <v>287.44</v>
      </c>
      <c r="I509" t="n">
        <v>12.9</v>
      </c>
      <c r="J509" t="n">
        <v>4.03</v>
      </c>
      <c r="K509" t="n">
        <v>137</v>
      </c>
      <c r="L509" t="n">
        <v>85.81999999999999</v>
      </c>
      <c r="M509" t="n">
        <v>4</v>
      </c>
      <c r="N509" t="n">
        <v>237</v>
      </c>
    </row>
    <row r="510">
      <c r="A510" t="inlineStr">
        <is>
          <t>1213</t>
        </is>
      </c>
      <c r="B510" t="inlineStr">
        <is>
          <t>IBON</t>
        </is>
      </c>
      <c r="C510" t="n">
        <v>2</v>
      </c>
      <c r="D510" s="2" t="n">
        <v>46054</v>
      </c>
      <c r="E510" t="inlineStr">
        <is>
          <t>IBON-2</t>
        </is>
      </c>
      <c r="F510" t="n">
        <v>84.63</v>
      </c>
      <c r="G510" t="n">
        <v>92.90000000000001</v>
      </c>
      <c r="H510" t="n">
        <v>281.95</v>
      </c>
      <c r="I510" t="n">
        <v>12.9</v>
      </c>
      <c r="J510" t="n">
        <v>4.37</v>
      </c>
      <c r="K510" t="n">
        <v>149</v>
      </c>
      <c r="L510" t="n">
        <v>66.93000000000001</v>
      </c>
      <c r="M510" t="n">
        <v>4.9</v>
      </c>
      <c r="N510" t="n">
        <v>270</v>
      </c>
    </row>
    <row r="511">
      <c r="A511" t="inlineStr">
        <is>
          <t>1214</t>
        </is>
      </c>
      <c r="B511" t="inlineStr">
        <is>
          <t>IBON</t>
        </is>
      </c>
      <c r="C511" t="n">
        <v>2</v>
      </c>
      <c r="D511" s="2" t="n">
        <v>46055</v>
      </c>
      <c r="E511" t="inlineStr">
        <is>
          <t>IBON-2</t>
        </is>
      </c>
      <c r="F511" t="n">
        <v>83.66</v>
      </c>
      <c r="G511" t="n">
        <v>92</v>
      </c>
      <c r="H511" t="n">
        <v>282.64</v>
      </c>
      <c r="I511" t="n">
        <v>12.7</v>
      </c>
      <c r="J511" t="n">
        <v>4.05</v>
      </c>
      <c r="K511" t="n">
        <v>171</v>
      </c>
      <c r="L511" t="n">
        <v>67.38</v>
      </c>
      <c r="M511" t="n">
        <v>5.6</v>
      </c>
      <c r="N511" t="n">
        <v>170</v>
      </c>
    </row>
    <row r="512">
      <c r="A512" t="inlineStr">
        <is>
          <t>1215</t>
        </is>
      </c>
      <c r="B512" t="inlineStr">
        <is>
          <t>IBON</t>
        </is>
      </c>
      <c r="C512" t="n">
        <v>2</v>
      </c>
      <c r="D512" s="2" t="n">
        <v>46057</v>
      </c>
      <c r="E512" t="inlineStr">
        <is>
          <t>IBON-2</t>
        </is>
      </c>
      <c r="F512" t="n">
        <v>83.73999999999999</v>
      </c>
      <c r="G512" t="n">
        <v>91.8</v>
      </c>
      <c r="H512" t="n">
        <v>281.07</v>
      </c>
      <c r="I512" t="n">
        <v>12.7</v>
      </c>
      <c r="J512" t="n">
        <v>4.34</v>
      </c>
      <c r="K512" t="n">
        <v>167</v>
      </c>
      <c r="L512" t="n">
        <v>70.91</v>
      </c>
      <c r="M512" t="n">
        <v>6</v>
      </c>
      <c r="N512" t="n">
        <v>226</v>
      </c>
    </row>
    <row r="513">
      <c r="A513" t="inlineStr">
        <is>
          <t>1216</t>
        </is>
      </c>
      <c r="B513" t="inlineStr">
        <is>
          <t>IBON</t>
        </is>
      </c>
      <c r="C513" t="n">
        <v>2</v>
      </c>
      <c r="D513" s="2" t="n">
        <v>46058</v>
      </c>
      <c r="E513" t="inlineStr">
        <is>
          <t>IBON-2</t>
        </is>
      </c>
      <c r="F513" t="n">
        <v>81.81</v>
      </c>
      <c r="G513" t="n">
        <v>90.40000000000001</v>
      </c>
      <c r="H513" t="n">
        <v>282.62</v>
      </c>
      <c r="I513" t="n">
        <v>13</v>
      </c>
      <c r="J513" t="n">
        <v>3.9</v>
      </c>
      <c r="K513" t="inlineStr"/>
      <c r="L513" t="n">
        <v>70.12</v>
      </c>
      <c r="M513" t="n">
        <v>5.7</v>
      </c>
      <c r="N513" t="n">
        <v>268</v>
      </c>
    </row>
    <row r="514">
      <c r="A514" t="inlineStr">
        <is>
          <t>1217</t>
        </is>
      </c>
      <c r="B514" t="inlineStr">
        <is>
          <t>2RS</t>
        </is>
      </c>
      <c r="C514" t="n">
        <v>2</v>
      </c>
      <c r="D514" s="2" t="n">
        <v>46059</v>
      </c>
      <c r="E514" t="inlineStr">
        <is>
          <t>2RS-2</t>
        </is>
      </c>
      <c r="F514" t="n">
        <v>84.8</v>
      </c>
      <c r="G514" t="inlineStr"/>
      <c r="H514" t="n">
        <v>284.12</v>
      </c>
      <c r="I514" t="n">
        <v>13.6</v>
      </c>
      <c r="J514" t="inlineStr"/>
      <c r="K514" t="inlineStr"/>
      <c r="L514" t="inlineStr"/>
      <c r="M514" t="inlineStr"/>
      <c r="N514" t="inlineStr"/>
    </row>
    <row r="515">
      <c r="A515" t="inlineStr">
        <is>
          <t>1218</t>
        </is>
      </c>
      <c r="B515" t="inlineStr">
        <is>
          <t>2RS</t>
        </is>
      </c>
      <c r="C515" t="n">
        <v>2</v>
      </c>
      <c r="D515" s="2" t="n">
        <v>46061</v>
      </c>
      <c r="E515" t="inlineStr">
        <is>
          <t>2RS-2</t>
        </is>
      </c>
      <c r="F515" t="n">
        <v>85.84</v>
      </c>
      <c r="G515" t="n">
        <v>94.3</v>
      </c>
      <c r="H515" t="n">
        <v>287.81</v>
      </c>
      <c r="I515" t="n">
        <v>12.7</v>
      </c>
      <c r="J515" t="n">
        <v>4.1</v>
      </c>
      <c r="K515" t="n">
        <v>154</v>
      </c>
      <c r="L515" t="n">
        <v>87.92</v>
      </c>
      <c r="M515" t="n">
        <v>4.3</v>
      </c>
      <c r="N515" t="n">
        <v>190</v>
      </c>
    </row>
    <row r="516">
      <c r="A516" t="inlineStr">
        <is>
          <t>1219</t>
        </is>
      </c>
      <c r="B516" t="inlineStr">
        <is>
          <t>2RS</t>
        </is>
      </c>
      <c r="C516" t="n">
        <v>2</v>
      </c>
      <c r="D516" s="2" t="n">
        <v>46062</v>
      </c>
      <c r="E516" t="inlineStr">
        <is>
          <t>2RS-2</t>
        </is>
      </c>
      <c r="F516" t="n">
        <v>84.84</v>
      </c>
      <c r="G516" t="inlineStr"/>
      <c r="H516" t="n">
        <v>284.2</v>
      </c>
      <c r="I516" t="n">
        <v>13.6</v>
      </c>
      <c r="J516" t="inlineStr"/>
      <c r="K516" t="inlineStr"/>
      <c r="L516" t="inlineStr"/>
      <c r="M516" t="inlineStr"/>
      <c r="N516" t="inlineStr"/>
    </row>
    <row r="517">
      <c r="A517" t="inlineStr">
        <is>
          <t>1220</t>
        </is>
      </c>
      <c r="B517" t="inlineStr">
        <is>
          <t>2RS</t>
        </is>
      </c>
      <c r="C517" t="n">
        <v>2</v>
      </c>
      <c r="D517" s="2" t="n">
        <v>46063</v>
      </c>
      <c r="E517" t="inlineStr">
        <is>
          <t>2RS-2</t>
        </is>
      </c>
      <c r="F517" t="n">
        <v>85.25</v>
      </c>
      <c r="G517" t="n">
        <v>93.7</v>
      </c>
      <c r="H517" t="n">
        <v>287.94</v>
      </c>
      <c r="I517" t="n">
        <v>12.6</v>
      </c>
      <c r="J517" t="n">
        <v>3.99</v>
      </c>
      <c r="K517" t="n">
        <v>138</v>
      </c>
      <c r="L517" t="n">
        <v>87</v>
      </c>
      <c r="M517" t="n">
        <v>3.83</v>
      </c>
      <c r="N517" t="n">
        <v>230</v>
      </c>
    </row>
    <row r="518">
      <c r="A518" t="inlineStr">
        <is>
          <t>1221</t>
        </is>
      </c>
      <c r="B518" t="inlineStr">
        <is>
          <t>IBON</t>
        </is>
      </c>
      <c r="C518" t="n">
        <v>2</v>
      </c>
      <c r="D518" s="2" t="n">
        <v>46065</v>
      </c>
      <c r="E518" t="inlineStr">
        <is>
          <t>IBON-2</t>
        </is>
      </c>
      <c r="F518" t="n">
        <v>82.8</v>
      </c>
      <c r="G518" t="inlineStr"/>
      <c r="H518" t="n">
        <v>282.02</v>
      </c>
      <c r="I518" t="n">
        <v>12.7</v>
      </c>
      <c r="J518" t="inlineStr"/>
      <c r="K518" t="inlineStr"/>
      <c r="L518" t="inlineStr"/>
      <c r="M518" t="inlineStr"/>
      <c r="N518" t="inlineStr"/>
    </row>
    <row r="519">
      <c r="A519" t="inlineStr">
        <is>
          <t>1222</t>
        </is>
      </c>
      <c r="B519" t="inlineStr">
        <is>
          <t>IBON</t>
        </is>
      </c>
      <c r="C519" t="n">
        <v>2</v>
      </c>
      <c r="D519" s="2" t="n">
        <v>46066</v>
      </c>
      <c r="E519" t="inlineStr">
        <is>
          <t>IBON-2</t>
        </is>
      </c>
      <c r="F519" t="n">
        <v>82.75</v>
      </c>
      <c r="G519" t="n">
        <v>91</v>
      </c>
      <c r="H519" t="n">
        <v>283.33</v>
      </c>
      <c r="I519" t="n">
        <v>12.9</v>
      </c>
      <c r="J519" t="n">
        <v>4.17</v>
      </c>
      <c r="K519" t="inlineStr"/>
      <c r="L519" t="n">
        <v>77.73</v>
      </c>
      <c r="M519" t="n">
        <v>4.6</v>
      </c>
      <c r="N519" t="n">
        <v>163</v>
      </c>
    </row>
    <row r="520">
      <c r="A520" t="inlineStr">
        <is>
          <t>1223</t>
        </is>
      </c>
      <c r="B520" t="inlineStr">
        <is>
          <t>IBON</t>
        </is>
      </c>
      <c r="C520" t="n">
        <v>2</v>
      </c>
      <c r="D520" s="2" t="n">
        <v>46070</v>
      </c>
      <c r="E520" t="inlineStr">
        <is>
          <t>IBON-2</t>
        </is>
      </c>
      <c r="F520" t="inlineStr"/>
      <c r="G520" t="inlineStr"/>
      <c r="H520" t="n">
        <v>281.26</v>
      </c>
      <c r="I520" t="n">
        <v>12.6</v>
      </c>
      <c r="J520" t="n">
        <v>4.24</v>
      </c>
      <c r="K520" t="n">
        <v>174</v>
      </c>
      <c r="L520" t="n">
        <v>69.92</v>
      </c>
      <c r="M520" t="n">
        <v>3.83</v>
      </c>
      <c r="N520" t="n">
        <v>217</v>
      </c>
    </row>
    <row r="521">
      <c r="A521" t="inlineStr">
        <is>
          <t>1224</t>
        </is>
      </c>
      <c r="B521" t="inlineStr">
        <is>
          <t>IBON</t>
        </is>
      </c>
      <c r="C521" t="n">
        <v>2</v>
      </c>
      <c r="D521" s="2" t="n">
        <v>46073</v>
      </c>
      <c r="E521" t="inlineStr">
        <is>
          <t>IBON-2</t>
        </is>
      </c>
      <c r="F521" t="inlineStr"/>
      <c r="G521" t="inlineStr"/>
      <c r="H521" t="n">
        <v>281.37</v>
      </c>
      <c r="I521" t="n">
        <v>12.4</v>
      </c>
      <c r="J521" t="n">
        <v>4.35</v>
      </c>
      <c r="K521" t="n">
        <v>166</v>
      </c>
      <c r="L521" t="n">
        <v>67.34</v>
      </c>
      <c r="M521" t="n">
        <v>3.8</v>
      </c>
      <c r="N521" t="n">
        <v>374</v>
      </c>
    </row>
    <row r="522">
      <c r="A522" t="inlineStr">
        <is>
          <t>1225</t>
        </is>
      </c>
      <c r="B522" t="inlineStr">
        <is>
          <t>IBON</t>
        </is>
      </c>
      <c r="C522" t="n">
        <v>2</v>
      </c>
      <c r="D522" s="2" t="n">
        <v>46074</v>
      </c>
      <c r="E522" t="inlineStr">
        <is>
          <t>IBON-2</t>
        </is>
      </c>
      <c r="F522" t="n">
        <v>84.92</v>
      </c>
      <c r="G522" t="n">
        <v>92.7</v>
      </c>
      <c r="H522" t="n">
        <v>281.14</v>
      </c>
      <c r="I522" t="n">
        <v>12.3</v>
      </c>
      <c r="J522" t="n">
        <v>4.28</v>
      </c>
      <c r="K522" t="inlineStr"/>
      <c r="L522" t="n">
        <v>66.23</v>
      </c>
      <c r="M522" t="n">
        <v>3.88</v>
      </c>
      <c r="N522" t="n">
        <v>275</v>
      </c>
    </row>
    <row r="523">
      <c r="A523" t="inlineStr">
        <is>
          <t>1226</t>
        </is>
      </c>
      <c r="B523" t="inlineStr">
        <is>
          <t>IBON</t>
        </is>
      </c>
      <c r="C523" t="n">
        <v>2</v>
      </c>
      <c r="D523" s="2" t="n">
        <v>46077</v>
      </c>
      <c r="E523" t="inlineStr">
        <is>
          <t>IBON-2</t>
        </is>
      </c>
      <c r="F523" t="n">
        <v>84.76000000000001</v>
      </c>
      <c r="G523" t="n">
        <v>92.40000000000001</v>
      </c>
      <c r="H523" t="n">
        <v>281.33</v>
      </c>
      <c r="I523" t="n">
        <v>12</v>
      </c>
      <c r="J523" t="n">
        <v>4.04</v>
      </c>
      <c r="K523" t="inlineStr"/>
      <c r="L523" t="n">
        <v>70.52</v>
      </c>
      <c r="M523" t="n">
        <v>4.17</v>
      </c>
      <c r="N523" t="n">
        <v>241</v>
      </c>
    </row>
    <row r="524">
      <c r="A524" t="inlineStr">
        <is>
          <t>1227</t>
        </is>
      </c>
      <c r="B524" t="inlineStr">
        <is>
          <t>IBON</t>
        </is>
      </c>
      <c r="C524" t="n">
        <v>2</v>
      </c>
      <c r="D524" s="2" t="n">
        <v>46079</v>
      </c>
      <c r="E524" t="inlineStr">
        <is>
          <t>IBON-2</t>
        </is>
      </c>
      <c r="F524" t="n">
        <v>86.31999999999999</v>
      </c>
      <c r="G524" t="n">
        <v>93.8</v>
      </c>
      <c r="H524" t="n">
        <v>280.89</v>
      </c>
      <c r="I524" t="n">
        <v>11.9</v>
      </c>
      <c r="J524" t="n">
        <v>4.22</v>
      </c>
      <c r="K524" t="n">
        <v>164</v>
      </c>
      <c r="L524" t="n">
        <v>62.22</v>
      </c>
      <c r="M524" t="n">
        <v>4.45</v>
      </c>
      <c r="N524" t="n">
        <v>423</v>
      </c>
    </row>
    <row r="525">
      <c r="A525" t="inlineStr">
        <is>
          <t>1228</t>
        </is>
      </c>
      <c r="B525" t="inlineStr">
        <is>
          <t>IBON</t>
        </is>
      </c>
      <c r="C525" t="n">
        <v>2</v>
      </c>
      <c r="D525" s="2" t="n">
        <v>46081</v>
      </c>
      <c r="E525" t="inlineStr">
        <is>
          <t>IBON-2</t>
        </is>
      </c>
      <c r="F525" t="n">
        <v>85.84999999999999</v>
      </c>
      <c r="G525" t="n">
        <v>93.5</v>
      </c>
      <c r="H525" t="n">
        <v>280.99</v>
      </c>
      <c r="I525" t="n">
        <v>11.9</v>
      </c>
      <c r="J525" t="n">
        <v>4.07</v>
      </c>
      <c r="K525" t="n">
        <v>159</v>
      </c>
      <c r="L525" t="n">
        <v>62.91</v>
      </c>
      <c r="M525" t="n">
        <v>4.47</v>
      </c>
      <c r="N525" t="n">
        <v>389</v>
      </c>
    </row>
    <row r="526">
      <c r="A526" t="inlineStr">
        <is>
          <t>1229</t>
        </is>
      </c>
      <c r="B526" t="inlineStr">
        <is>
          <t>2RS</t>
        </is>
      </c>
      <c r="C526" t="n">
        <v>3</v>
      </c>
      <c r="D526" s="2" t="n">
        <v>46083</v>
      </c>
      <c r="E526" t="inlineStr">
        <is>
          <t>2RS-3</t>
        </is>
      </c>
      <c r="F526" t="n">
        <v>83.97</v>
      </c>
      <c r="G526" t="inlineStr"/>
      <c r="H526" t="n">
        <v>284.11</v>
      </c>
      <c r="I526" t="n">
        <v>13.6</v>
      </c>
      <c r="J526" t="inlineStr"/>
      <c r="K526" t="inlineStr"/>
      <c r="L526" t="inlineStr"/>
      <c r="M526" t="inlineStr"/>
      <c r="N526" t="inlineStr"/>
    </row>
    <row r="527">
      <c r="A527" t="inlineStr">
        <is>
          <t>1230</t>
        </is>
      </c>
      <c r="B527" t="inlineStr">
        <is>
          <t>2RS</t>
        </is>
      </c>
      <c r="C527" t="n">
        <v>3</v>
      </c>
      <c r="D527" s="2" t="n">
        <v>46084</v>
      </c>
      <c r="E527" t="inlineStr">
        <is>
          <t>2RS-3</t>
        </is>
      </c>
      <c r="F527" t="n">
        <v>84.42</v>
      </c>
      <c r="G527" t="n">
        <v>92.40000000000001</v>
      </c>
      <c r="H527" t="n">
        <v>287.6</v>
      </c>
      <c r="I527" t="n">
        <v>12.6</v>
      </c>
      <c r="J527" t="n">
        <v>4.34</v>
      </c>
      <c r="K527" t="n">
        <v>153</v>
      </c>
      <c r="L527" t="n">
        <v>87.67</v>
      </c>
      <c r="M527" t="n">
        <v>4.08</v>
      </c>
      <c r="N527" t="n">
        <v>138</v>
      </c>
    </row>
    <row r="528">
      <c r="A528" t="inlineStr">
        <is>
          <t>1231</t>
        </is>
      </c>
      <c r="B528" t="inlineStr">
        <is>
          <t>2RS</t>
        </is>
      </c>
      <c r="C528" t="n">
        <v>3</v>
      </c>
      <c r="D528" s="2" t="n">
        <v>46086</v>
      </c>
      <c r="E528" t="inlineStr">
        <is>
          <t>2RS-3</t>
        </is>
      </c>
      <c r="F528" t="n">
        <v>84.63</v>
      </c>
      <c r="G528" t="inlineStr"/>
      <c r="H528" t="n">
        <v>284.2</v>
      </c>
      <c r="I528" t="n">
        <v>13.4</v>
      </c>
      <c r="J528" t="inlineStr"/>
      <c r="K528" t="inlineStr"/>
      <c r="L528" t="inlineStr"/>
      <c r="M528" t="inlineStr"/>
      <c r="N528" t="inlineStr"/>
    </row>
    <row r="529">
      <c r="A529" t="inlineStr">
        <is>
          <t>1232</t>
        </is>
      </c>
      <c r="B529" t="inlineStr">
        <is>
          <t>2RS</t>
        </is>
      </c>
      <c r="C529" t="n">
        <v>3</v>
      </c>
      <c r="D529" s="2" t="n">
        <v>46088</v>
      </c>
      <c r="E529" t="inlineStr">
        <is>
          <t>2RS-3</t>
        </is>
      </c>
      <c r="F529" t="n">
        <v>84.19</v>
      </c>
      <c r="G529" t="n">
        <v>92.40000000000001</v>
      </c>
      <c r="H529" t="n">
        <v>287.75</v>
      </c>
      <c r="I529" t="n">
        <v>12.6</v>
      </c>
      <c r="J529" t="n">
        <v>4.12</v>
      </c>
      <c r="K529" t="n">
        <v>156</v>
      </c>
      <c r="L529" t="n">
        <v>90.06999999999999</v>
      </c>
      <c r="M529" t="n">
        <v>4.1</v>
      </c>
      <c r="N529" t="n">
        <v>126</v>
      </c>
    </row>
    <row r="530">
      <c r="A530" t="inlineStr">
        <is>
          <t>1233</t>
        </is>
      </c>
      <c r="B530" t="inlineStr">
        <is>
          <t>2RS</t>
        </is>
      </c>
      <c r="C530" t="n">
        <v>3</v>
      </c>
      <c r="D530" s="2" t="n">
        <v>46092</v>
      </c>
      <c r="E530" t="inlineStr">
        <is>
          <t>2RS-3</t>
        </is>
      </c>
      <c r="F530" t="n">
        <v>85.27</v>
      </c>
      <c r="G530" t="inlineStr"/>
      <c r="H530" t="n">
        <v>284.17</v>
      </c>
      <c r="I530" t="n">
        <v>13.8</v>
      </c>
      <c r="J530" t="inlineStr"/>
      <c r="K530" t="inlineStr"/>
      <c r="L530" t="inlineStr"/>
      <c r="M530" t="inlineStr"/>
      <c r="N530" t="inlineStr"/>
    </row>
    <row r="531">
      <c r="A531" t="inlineStr">
        <is>
          <t>1234</t>
        </is>
      </c>
      <c r="B531" t="inlineStr">
        <is>
          <t>2RS</t>
        </is>
      </c>
      <c r="C531" t="n">
        <v>3</v>
      </c>
      <c r="D531" s="2" t="n">
        <v>46095</v>
      </c>
      <c r="E531" t="inlineStr">
        <is>
          <t>2RS-3</t>
        </is>
      </c>
      <c r="F531" t="n">
        <v>83.56</v>
      </c>
      <c r="G531" t="inlineStr"/>
      <c r="H531" t="n">
        <v>284.16</v>
      </c>
      <c r="I531" t="n">
        <v>13.6</v>
      </c>
      <c r="J531" t="inlineStr"/>
      <c r="K531" t="inlineStr"/>
      <c r="L531" t="inlineStr"/>
      <c r="M531" t="inlineStr"/>
      <c r="N531" t="inlineStr"/>
    </row>
    <row r="532">
      <c r="A532" t="inlineStr">
        <is>
          <t>1235</t>
        </is>
      </c>
      <c r="B532" t="inlineStr">
        <is>
          <t>2RS</t>
        </is>
      </c>
      <c r="C532" t="n">
        <v>3</v>
      </c>
      <c r="D532" s="2" t="n">
        <v>46096</v>
      </c>
      <c r="E532" t="inlineStr">
        <is>
          <t>2RS-3</t>
        </is>
      </c>
      <c r="F532" t="n">
        <v>83.54000000000001</v>
      </c>
      <c r="G532" t="inlineStr"/>
      <c r="H532" t="n">
        <v>283.09</v>
      </c>
      <c r="I532" t="n">
        <v>13.6</v>
      </c>
      <c r="J532" t="inlineStr"/>
      <c r="K532" t="inlineStr"/>
      <c r="L532" t="inlineStr"/>
      <c r="M532" t="inlineStr"/>
      <c r="N532" t="inlineStr"/>
    </row>
    <row r="533">
      <c r="A533" t="inlineStr">
        <is>
          <t>1236</t>
        </is>
      </c>
      <c r="B533" t="inlineStr">
        <is>
          <t>2RS</t>
        </is>
      </c>
      <c r="C533" t="n">
        <v>3</v>
      </c>
      <c r="D533" s="2" t="n">
        <v>46098</v>
      </c>
      <c r="E533" t="inlineStr">
        <is>
          <t>2RS-3</t>
        </is>
      </c>
      <c r="F533" t="n">
        <v>83.90000000000001</v>
      </c>
      <c r="G533" t="inlineStr"/>
      <c r="H533" t="n">
        <v>283.06</v>
      </c>
      <c r="I533" t="n">
        <v>13.6</v>
      </c>
      <c r="J533" t="inlineStr"/>
      <c r="K533" t="inlineStr"/>
      <c r="L533" t="inlineStr"/>
      <c r="M533" t="inlineStr"/>
      <c r="N533" t="inlineStr"/>
    </row>
    <row r="534">
      <c r="A534" t="inlineStr">
        <is>
          <t>1237</t>
        </is>
      </c>
      <c r="B534" t="inlineStr">
        <is>
          <t>2RS</t>
        </is>
      </c>
      <c r="C534" t="n">
        <v>3</v>
      </c>
      <c r="D534" s="2" t="n">
        <v>46099</v>
      </c>
      <c r="E534" t="inlineStr">
        <is>
          <t>2RS-3</t>
        </is>
      </c>
      <c r="F534" t="n">
        <v>83.51000000000001</v>
      </c>
      <c r="G534" t="inlineStr"/>
      <c r="H534" t="n">
        <v>283.12</v>
      </c>
      <c r="I534" t="n">
        <v>13.6</v>
      </c>
      <c r="J534" t="inlineStr"/>
      <c r="K534" t="inlineStr"/>
      <c r="L534" t="inlineStr"/>
      <c r="M534" t="inlineStr"/>
      <c r="N534" t="inlineStr"/>
    </row>
    <row r="535">
      <c r="A535" t="inlineStr">
        <is>
          <t>1238</t>
        </is>
      </c>
      <c r="B535" t="inlineStr">
        <is>
          <t>2RS</t>
        </is>
      </c>
      <c r="C535" t="n">
        <v>3</v>
      </c>
      <c r="D535" s="2" t="n">
        <v>46101</v>
      </c>
      <c r="E535" t="inlineStr">
        <is>
          <t>2RS-3</t>
        </is>
      </c>
      <c r="F535" t="n">
        <v>84.84999999999999</v>
      </c>
      <c r="G535" t="inlineStr"/>
      <c r="H535" t="n">
        <v>283.09</v>
      </c>
      <c r="I535" t="n">
        <v>13.8</v>
      </c>
      <c r="J535" t="inlineStr"/>
      <c r="K535" t="inlineStr"/>
      <c r="L535" t="inlineStr"/>
      <c r="M535" t="inlineStr"/>
      <c r="N535" t="inlineStr"/>
    </row>
    <row r="536">
      <c r="A536" t="inlineStr">
        <is>
          <t>1239</t>
        </is>
      </c>
      <c r="B536" t="inlineStr">
        <is>
          <t>2RS</t>
        </is>
      </c>
      <c r="C536" t="n">
        <v>3</v>
      </c>
      <c r="D536" s="2" t="n">
        <v>46102</v>
      </c>
      <c r="E536" t="inlineStr">
        <is>
          <t>2RS-3</t>
        </is>
      </c>
      <c r="F536" t="n">
        <v>85.19</v>
      </c>
      <c r="G536" t="n">
        <v>93.2</v>
      </c>
      <c r="H536" t="n">
        <v>287.22</v>
      </c>
      <c r="I536" t="n">
        <v>12.3</v>
      </c>
      <c r="J536" t="n">
        <v>4.11</v>
      </c>
      <c r="K536" t="n">
        <v>151</v>
      </c>
      <c r="L536" t="n">
        <v>81.67</v>
      </c>
      <c r="M536" t="n">
        <v>4.5</v>
      </c>
      <c r="N536" t="n">
        <v>201</v>
      </c>
    </row>
    <row r="537">
      <c r="A537" t="inlineStr">
        <is>
          <t>1240</t>
        </is>
      </c>
      <c r="B537" t="inlineStr">
        <is>
          <t>2RS</t>
        </is>
      </c>
      <c r="C537" t="n">
        <v>3</v>
      </c>
      <c r="D537" s="2" t="n">
        <v>46105</v>
      </c>
      <c r="E537" t="inlineStr">
        <is>
          <t>2RS-3</t>
        </is>
      </c>
      <c r="F537" t="n">
        <v>83.63</v>
      </c>
      <c r="G537" t="n">
        <v>92.09999999999999</v>
      </c>
      <c r="H537" t="n">
        <v>287.91</v>
      </c>
      <c r="I537" t="n">
        <v>12.8</v>
      </c>
      <c r="J537" t="n">
        <v>4.01</v>
      </c>
      <c r="K537" t="n">
        <v>160</v>
      </c>
      <c r="L537" t="n">
        <v>86.68000000000001</v>
      </c>
      <c r="M537" t="n">
        <v>4.5</v>
      </c>
      <c r="N537" t="n">
        <v>140</v>
      </c>
    </row>
    <row r="538">
      <c r="A538" t="inlineStr">
        <is>
          <t>1241</t>
        </is>
      </c>
      <c r="B538" t="inlineStr">
        <is>
          <t>2RS</t>
        </is>
      </c>
      <c r="C538" t="n">
        <v>3</v>
      </c>
      <c r="D538" s="2" t="n">
        <v>46106</v>
      </c>
      <c r="E538" t="inlineStr">
        <is>
          <t>2RS-3</t>
        </is>
      </c>
      <c r="F538" t="n">
        <v>85.2</v>
      </c>
      <c r="G538" t="inlineStr"/>
      <c r="H538" t="n">
        <v>284.07</v>
      </c>
      <c r="I538" t="n">
        <v>13.7</v>
      </c>
      <c r="J538" t="inlineStr"/>
      <c r="K538" t="inlineStr"/>
      <c r="L538" t="inlineStr"/>
      <c r="M538" t="inlineStr"/>
      <c r="N538" t="inlineStr"/>
    </row>
    <row r="539">
      <c r="A539" t="inlineStr">
        <is>
          <t>1242</t>
        </is>
      </c>
      <c r="B539" t="inlineStr">
        <is>
          <t>2RS</t>
        </is>
      </c>
      <c r="C539" t="n">
        <v>3</v>
      </c>
      <c r="D539" s="2" t="n">
        <v>46108</v>
      </c>
      <c r="E539" t="inlineStr">
        <is>
          <t>2RS-3</t>
        </is>
      </c>
      <c r="F539" t="n">
        <v>84.39</v>
      </c>
      <c r="G539" t="inlineStr"/>
      <c r="H539" t="n">
        <v>280.03</v>
      </c>
      <c r="I539" t="n">
        <v>13.9</v>
      </c>
      <c r="J539" t="inlineStr"/>
      <c r="K539" t="inlineStr"/>
      <c r="L539" t="inlineStr"/>
      <c r="M539" t="inlineStr"/>
      <c r="N539" t="inlineStr"/>
    </row>
    <row r="540">
      <c r="A540" t="inlineStr">
        <is>
          <t>1243</t>
        </is>
      </c>
      <c r="B540" t="inlineStr">
        <is>
          <t>IBON</t>
        </is>
      </c>
      <c r="C540" t="n">
        <v>3</v>
      </c>
      <c r="D540" s="2" t="n">
        <v>46112</v>
      </c>
      <c r="E540" t="inlineStr">
        <is>
          <t>IBON-3</t>
        </is>
      </c>
      <c r="F540" t="n">
        <v>84.26000000000001</v>
      </c>
      <c r="G540" t="n">
        <v>92.40000000000001</v>
      </c>
      <c r="H540" t="n">
        <v>282.71</v>
      </c>
      <c r="I540" t="n">
        <v>13.4</v>
      </c>
      <c r="J540" t="n">
        <v>5.03</v>
      </c>
      <c r="K540" t="n">
        <v>148</v>
      </c>
      <c r="L540" t="n">
        <v>62.68</v>
      </c>
      <c r="M540" t="n">
        <v>3.76</v>
      </c>
      <c r="N540" t="n">
        <v>259</v>
      </c>
    </row>
    <row r="541">
      <c r="A541" t="inlineStr">
        <is>
          <t>1244</t>
        </is>
      </c>
      <c r="B541" t="inlineStr">
        <is>
          <t>2RS</t>
        </is>
      </c>
      <c r="C541" t="n">
        <v>4</v>
      </c>
      <c r="D541" s="2" t="n">
        <v>46119</v>
      </c>
      <c r="E541" t="inlineStr">
        <is>
          <t>2RS-4</t>
        </is>
      </c>
      <c r="F541" t="n">
        <v>84.37</v>
      </c>
      <c r="G541" t="n">
        <v>92.90000000000001</v>
      </c>
      <c r="H541" t="n">
        <v>284.43</v>
      </c>
      <c r="I541" t="n">
        <v>13</v>
      </c>
      <c r="J541" t="n">
        <v>4.23</v>
      </c>
      <c r="K541" t="n">
        <v>134</v>
      </c>
      <c r="L541" t="n">
        <v>91.09999999999999</v>
      </c>
      <c r="M541" t="n">
        <v>3</v>
      </c>
      <c r="N541" t="inlineStr"/>
    </row>
    <row r="542">
      <c r="A542" t="inlineStr">
        <is>
          <t>1245</t>
        </is>
      </c>
      <c r="B542" t="inlineStr">
        <is>
          <t>IBON</t>
        </is>
      </c>
      <c r="C542" t="n">
        <v>4</v>
      </c>
      <c r="D542" s="2" t="n">
        <v>46120</v>
      </c>
      <c r="E542" t="inlineStr">
        <is>
          <t>IBON-4</t>
        </is>
      </c>
      <c r="F542" t="n">
        <v>83.39</v>
      </c>
      <c r="G542" t="n">
        <v>92.5</v>
      </c>
      <c r="H542" t="n">
        <v>282.99</v>
      </c>
      <c r="I542" t="n">
        <v>14.1</v>
      </c>
      <c r="J542" t="n">
        <v>4.72</v>
      </c>
      <c r="K542" t="n">
        <v>147</v>
      </c>
      <c r="L542" t="n">
        <v>62.35</v>
      </c>
      <c r="M542" t="n">
        <v>3.2</v>
      </c>
      <c r="N542" t="n">
        <v>214</v>
      </c>
    </row>
    <row r="543">
      <c r="A543" t="inlineStr">
        <is>
          <t>1246</t>
        </is>
      </c>
      <c r="B543" t="inlineStr">
        <is>
          <t>2RS</t>
        </is>
      </c>
      <c r="C543" t="n">
        <v>4</v>
      </c>
      <c r="D543" s="2" t="n">
        <v>46122</v>
      </c>
      <c r="E543" t="inlineStr">
        <is>
          <t>2RS-4</t>
        </is>
      </c>
      <c r="F543" t="n">
        <v>82.17</v>
      </c>
      <c r="G543" t="n">
        <v>91.40000000000001</v>
      </c>
      <c r="H543" t="n">
        <v>285.21</v>
      </c>
      <c r="I543" t="n">
        <v>13.7</v>
      </c>
      <c r="J543" t="n">
        <v>4.01</v>
      </c>
      <c r="K543" t="n">
        <v>124</v>
      </c>
      <c r="L543" t="n">
        <v>87.7</v>
      </c>
      <c r="M543" t="n">
        <v>3.5</v>
      </c>
      <c r="N543" t="n">
        <v>179</v>
      </c>
    </row>
    <row r="544">
      <c r="A544" t="inlineStr">
        <is>
          <t>1247</t>
        </is>
      </c>
      <c r="B544" t="inlineStr">
        <is>
          <t>IBON</t>
        </is>
      </c>
      <c r="C544" t="n">
        <v>4</v>
      </c>
      <c r="D544" s="2" t="n">
        <v>46123</v>
      </c>
      <c r="E544" t="inlineStr">
        <is>
          <t>IBON-4</t>
        </is>
      </c>
      <c r="F544" t="n">
        <v>83.16</v>
      </c>
      <c r="G544" t="n">
        <v>92.59999999999999</v>
      </c>
      <c r="H544" t="n">
        <v>282.56</v>
      </c>
      <c r="I544" t="n">
        <v>14.2</v>
      </c>
      <c r="J544" t="n">
        <v>4.41</v>
      </c>
      <c r="K544" t="n">
        <v>143</v>
      </c>
      <c r="L544" t="n">
        <v>68.78</v>
      </c>
      <c r="M544" t="n">
        <v>4.07</v>
      </c>
      <c r="N544" t="n">
        <v>238</v>
      </c>
    </row>
    <row r="545">
      <c r="A545" t="inlineStr">
        <is>
          <t>1248</t>
        </is>
      </c>
      <c r="B545" t="inlineStr">
        <is>
          <t>2RS</t>
        </is>
      </c>
      <c r="C545" t="n">
        <v>4</v>
      </c>
      <c r="D545" s="2" t="n">
        <v>46129</v>
      </c>
      <c r="E545" t="inlineStr">
        <is>
          <t>2RS-4</t>
        </is>
      </c>
      <c r="F545" t="n">
        <v>84.29000000000001</v>
      </c>
      <c r="G545" t="n">
        <v>92.5</v>
      </c>
      <c r="H545" t="n">
        <v>284.67</v>
      </c>
      <c r="I545" t="n">
        <v>12.9</v>
      </c>
      <c r="J545" t="n">
        <v>4.42</v>
      </c>
      <c r="K545" t="n">
        <v>140</v>
      </c>
      <c r="L545" t="n">
        <v>88.45</v>
      </c>
      <c r="M545" t="n">
        <v>3.2</v>
      </c>
      <c r="N545" t="n">
        <v>158</v>
      </c>
    </row>
    <row r="546">
      <c r="A546" t="inlineStr">
        <is>
          <t>1249</t>
        </is>
      </c>
      <c r="B546" t="inlineStr">
        <is>
          <t>2RS</t>
        </is>
      </c>
      <c r="C546" t="n">
        <v>4</v>
      </c>
      <c r="D546" s="2" t="n">
        <v>46133</v>
      </c>
      <c r="E546" t="inlineStr">
        <is>
          <t>2RS-4</t>
        </is>
      </c>
      <c r="F546" t="n">
        <v>84.22</v>
      </c>
      <c r="G546" t="n">
        <v>92.90000000000001</v>
      </c>
      <c r="H546" t="n">
        <v>285.18</v>
      </c>
      <c r="I546" t="n">
        <v>13.5</v>
      </c>
      <c r="J546" t="n">
        <v>4.54</v>
      </c>
      <c r="K546" t="n">
        <v>135</v>
      </c>
      <c r="L546" t="n">
        <v>91.2</v>
      </c>
      <c r="M546" t="n">
        <v>3.4</v>
      </c>
      <c r="N546" t="inlineStr"/>
    </row>
    <row r="547">
      <c r="A547" t="inlineStr">
        <is>
          <t>1250</t>
        </is>
      </c>
      <c r="B547" t="inlineStr">
        <is>
          <t>IBON</t>
        </is>
      </c>
      <c r="C547" t="n">
        <v>5</v>
      </c>
      <c r="D547" s="2" t="n">
        <v>46148</v>
      </c>
      <c r="E547" t="inlineStr">
        <is>
          <t>IBON-5</t>
        </is>
      </c>
      <c r="F547" t="n">
        <v>83.51000000000001</v>
      </c>
      <c r="G547" t="n">
        <v>92.40000000000001</v>
      </c>
      <c r="H547" t="n">
        <v>282.9</v>
      </c>
      <c r="I547" t="n">
        <v>13.6</v>
      </c>
      <c r="J547" t="n">
        <v>4.39</v>
      </c>
      <c r="K547" t="n">
        <v>151</v>
      </c>
      <c r="L547" t="n">
        <v>68.22</v>
      </c>
      <c r="M547" t="n">
        <v>3.65</v>
      </c>
      <c r="N547" t="n">
        <v>234</v>
      </c>
    </row>
    <row r="548">
      <c r="A548" t="inlineStr">
        <is>
          <t>1251</t>
        </is>
      </c>
      <c r="B548" t="inlineStr">
        <is>
          <t>2RS</t>
        </is>
      </c>
      <c r="C548" t="n">
        <v>5</v>
      </c>
      <c r="D548" s="2" t="n">
        <v>46150</v>
      </c>
      <c r="E548" t="inlineStr">
        <is>
          <t>2RS-5</t>
        </is>
      </c>
      <c r="F548" t="n">
        <v>83.81</v>
      </c>
      <c r="G548" t="n">
        <v>91.8</v>
      </c>
      <c r="H548" t="n">
        <v>285.83</v>
      </c>
      <c r="I548" t="n">
        <v>12.7</v>
      </c>
      <c r="J548" t="n">
        <v>4.39</v>
      </c>
      <c r="K548" t="n">
        <v>140</v>
      </c>
      <c r="L548" t="n">
        <v>88.39</v>
      </c>
      <c r="M548" t="n">
        <v>3.9</v>
      </c>
      <c r="N548" t="n">
        <v>161</v>
      </c>
    </row>
    <row r="549">
      <c r="A549" t="inlineStr">
        <is>
          <t>1252</t>
        </is>
      </c>
      <c r="B549" t="inlineStr">
        <is>
          <t>2RS</t>
        </is>
      </c>
      <c r="C549" t="n">
        <v>5</v>
      </c>
      <c r="D549" s="2" t="n">
        <v>46151</v>
      </c>
      <c r="E549" t="inlineStr">
        <is>
          <t>2RS-5</t>
        </is>
      </c>
      <c r="F549" t="n">
        <v>83.98999999999999</v>
      </c>
      <c r="G549" t="n">
        <v>92.2</v>
      </c>
      <c r="H549" t="n">
        <v>285.94</v>
      </c>
      <c r="I549" t="n">
        <v>12.8</v>
      </c>
      <c r="J549" t="n">
        <v>4.31</v>
      </c>
      <c r="K549" t="n">
        <v>147</v>
      </c>
      <c r="L549" t="n">
        <v>87.78</v>
      </c>
      <c r="M549" t="n">
        <v>4</v>
      </c>
      <c r="N549" t="n">
        <v>157</v>
      </c>
    </row>
    <row r="550">
      <c r="A550" t="inlineStr">
        <is>
          <t>1253</t>
        </is>
      </c>
      <c r="B550" t="inlineStr">
        <is>
          <t>2RS</t>
        </is>
      </c>
      <c r="C550" t="n">
        <v>5</v>
      </c>
      <c r="D550" s="2" t="n">
        <v>46156</v>
      </c>
      <c r="E550" t="inlineStr">
        <is>
          <t>2RS-5</t>
        </is>
      </c>
      <c r="F550" t="n">
        <v>84.19</v>
      </c>
      <c r="G550" t="n">
        <v>92.59999999999999</v>
      </c>
      <c r="H550" t="n">
        <v>286.09</v>
      </c>
      <c r="I550" t="n">
        <v>12.8</v>
      </c>
      <c r="J550" t="n">
        <v>4.1</v>
      </c>
      <c r="K550" t="n">
        <v>157</v>
      </c>
      <c r="L550" t="n">
        <v>89.3</v>
      </c>
      <c r="M550" t="n">
        <v>4</v>
      </c>
      <c r="N550" t="n">
        <v>137</v>
      </c>
    </row>
    <row r="551">
      <c r="A551" t="inlineStr">
        <is>
          <t>1254</t>
        </is>
      </c>
      <c r="B551" t="inlineStr">
        <is>
          <t>2RS</t>
        </is>
      </c>
      <c r="C551" t="n">
        <v>5</v>
      </c>
      <c r="D551" s="2" t="n">
        <v>46158</v>
      </c>
      <c r="E551" t="inlineStr">
        <is>
          <t>2RS-5</t>
        </is>
      </c>
      <c r="F551" t="n">
        <v>83.81</v>
      </c>
      <c r="G551" t="n">
        <v>92.90000000000001</v>
      </c>
      <c r="H551" t="n">
        <v>284.58</v>
      </c>
      <c r="I551" t="n">
        <v>13.1</v>
      </c>
      <c r="J551" t="n">
        <v>3.64</v>
      </c>
      <c r="K551" t="n">
        <v>142</v>
      </c>
      <c r="L551" t="n">
        <v>88.53</v>
      </c>
      <c r="M551" t="n">
        <v>3.7</v>
      </c>
      <c r="N551" t="n">
        <v>205</v>
      </c>
    </row>
    <row r="552">
      <c r="A552" t="inlineStr">
        <is>
          <t>1255</t>
        </is>
      </c>
      <c r="B552" t="inlineStr">
        <is>
          <t>2RS</t>
        </is>
      </c>
      <c r="C552" t="n">
        <v>5</v>
      </c>
      <c r="D552" s="2" t="n">
        <v>46159</v>
      </c>
      <c r="E552" t="inlineStr">
        <is>
          <t>2RS-5</t>
        </is>
      </c>
      <c r="F552" t="n">
        <v>83.93000000000001</v>
      </c>
      <c r="G552" t="inlineStr"/>
      <c r="H552" t="n">
        <v>279.91</v>
      </c>
      <c r="I552" t="n">
        <v>13.6</v>
      </c>
      <c r="J552" t="inlineStr"/>
      <c r="K552" t="inlineStr"/>
      <c r="L552" t="inlineStr"/>
      <c r="M552" t="inlineStr"/>
      <c r="N552" t="inlineStr"/>
    </row>
    <row r="553">
      <c r="A553" t="inlineStr">
        <is>
          <t>1256</t>
        </is>
      </c>
      <c r="B553" t="inlineStr">
        <is>
          <t>2RS</t>
        </is>
      </c>
      <c r="C553" t="n">
        <v>5</v>
      </c>
      <c r="D553" s="2" t="n">
        <v>46161</v>
      </c>
      <c r="E553" t="inlineStr">
        <is>
          <t>2RS-5</t>
        </is>
      </c>
      <c r="F553" t="n">
        <v>84.68000000000001</v>
      </c>
      <c r="G553" t="n">
        <v>93.2</v>
      </c>
      <c r="H553" t="n">
        <v>283.79</v>
      </c>
      <c r="I553" t="n">
        <v>12.8</v>
      </c>
      <c r="J553" t="n">
        <v>4.08</v>
      </c>
      <c r="K553" t="n">
        <v>157</v>
      </c>
      <c r="L553" t="n">
        <v>88.83</v>
      </c>
      <c r="M553" t="n">
        <v>4.2</v>
      </c>
      <c r="N553" t="n">
        <v>178</v>
      </c>
    </row>
    <row r="554">
      <c r="A554" t="inlineStr">
        <is>
          <t>1257</t>
        </is>
      </c>
      <c r="B554" t="inlineStr">
        <is>
          <t>2RS</t>
        </is>
      </c>
      <c r="C554" t="n">
        <v>5</v>
      </c>
      <c r="D554" s="2" t="n">
        <v>46162</v>
      </c>
      <c r="E554" t="inlineStr">
        <is>
          <t>2RS-5</t>
        </is>
      </c>
      <c r="F554" t="n">
        <v>84.81</v>
      </c>
      <c r="G554" t="n">
        <v>93.40000000000001</v>
      </c>
      <c r="H554" t="n">
        <v>288.4</v>
      </c>
      <c r="I554" t="n">
        <v>12.9</v>
      </c>
      <c r="J554" t="n">
        <v>4.09</v>
      </c>
      <c r="K554" t="n">
        <v>153</v>
      </c>
      <c r="L554" t="n">
        <v>89.31</v>
      </c>
      <c r="M554" t="n">
        <v>4.38</v>
      </c>
      <c r="N554" t="n">
        <v>152</v>
      </c>
    </row>
    <row r="555">
      <c r="A555" t="inlineStr">
        <is>
          <t>1258</t>
        </is>
      </c>
      <c r="B555" t="inlineStr">
        <is>
          <t>2RS</t>
        </is>
      </c>
      <c r="C555" t="n">
        <v>5</v>
      </c>
      <c r="D555" s="2" t="n">
        <v>46164</v>
      </c>
      <c r="E555" t="inlineStr">
        <is>
          <t>2RS-5</t>
        </is>
      </c>
      <c r="F555" t="n">
        <v>84.09999999999999</v>
      </c>
      <c r="G555" t="n">
        <v>92.7</v>
      </c>
      <c r="H555" t="n">
        <v>290.24</v>
      </c>
      <c r="I555" t="n">
        <v>12.9</v>
      </c>
      <c r="J555" t="n">
        <v>3.94</v>
      </c>
      <c r="K555" t="n">
        <v>159</v>
      </c>
      <c r="L555" t="n">
        <v>89.62</v>
      </c>
      <c r="M555" t="n">
        <v>4.4</v>
      </c>
      <c r="N555" t="n">
        <v>156</v>
      </c>
    </row>
    <row r="556">
      <c r="A556" t="inlineStr">
        <is>
          <t>1259</t>
        </is>
      </c>
      <c r="B556" t="inlineStr">
        <is>
          <t>2RS</t>
        </is>
      </c>
      <c r="C556" t="n">
        <v>5</v>
      </c>
      <c r="D556" s="2" t="n">
        <v>46166</v>
      </c>
      <c r="E556" t="inlineStr">
        <is>
          <t>2RS-5</t>
        </is>
      </c>
      <c r="F556" t="n">
        <v>84.04000000000001</v>
      </c>
      <c r="G556" t="n">
        <v>93</v>
      </c>
      <c r="H556" t="n">
        <v>286.19</v>
      </c>
      <c r="I556" t="n">
        <v>13.1</v>
      </c>
      <c r="J556" t="n">
        <v>3.85</v>
      </c>
      <c r="K556" t="n">
        <v>132</v>
      </c>
      <c r="L556" t="n">
        <v>90.47</v>
      </c>
      <c r="M556" t="n">
        <v>3.7</v>
      </c>
      <c r="N556" t="n">
        <v>177</v>
      </c>
    </row>
    <row r="557">
      <c r="A557" t="inlineStr">
        <is>
          <t>1260</t>
        </is>
      </c>
      <c r="B557" t="inlineStr">
        <is>
          <t>2RS</t>
        </is>
      </c>
      <c r="C557" t="n">
        <v>5</v>
      </c>
      <c r="D557" s="2" t="n">
        <v>46167</v>
      </c>
      <c r="E557" t="inlineStr">
        <is>
          <t>2RS-5</t>
        </is>
      </c>
      <c r="F557" t="n">
        <v>84.06999999999999</v>
      </c>
      <c r="G557" t="n">
        <v>92.90000000000001</v>
      </c>
      <c r="H557" t="n">
        <v>284.92</v>
      </c>
      <c r="I557" t="n">
        <v>13.1</v>
      </c>
      <c r="J557" t="n">
        <v>4</v>
      </c>
      <c r="K557" t="n">
        <v>138</v>
      </c>
      <c r="L557" t="n">
        <v>88.09999999999999</v>
      </c>
      <c r="M557" t="n">
        <v>3.4</v>
      </c>
      <c r="N557" t="n">
        <v>178</v>
      </c>
    </row>
    <row r="558">
      <c r="A558" t="inlineStr">
        <is>
          <t>1261</t>
        </is>
      </c>
      <c r="B558" t="inlineStr">
        <is>
          <t>IBON</t>
        </is>
      </c>
      <c r="C558" t="n">
        <v>5</v>
      </c>
      <c r="D558" s="2" t="n">
        <v>46169</v>
      </c>
      <c r="E558" t="inlineStr">
        <is>
          <t>IBON-5</t>
        </is>
      </c>
      <c r="F558" t="n">
        <v>84.45</v>
      </c>
      <c r="G558" t="n">
        <v>93.7</v>
      </c>
      <c r="H558" t="n">
        <v>282.73</v>
      </c>
      <c r="I558" t="n">
        <v>13.7</v>
      </c>
      <c r="J558" t="n">
        <v>4.24</v>
      </c>
      <c r="K558" t="n">
        <v>139</v>
      </c>
      <c r="L558" t="n">
        <v>63.43</v>
      </c>
      <c r="M558" t="n">
        <v>3.4</v>
      </c>
      <c r="N558" t="n">
        <v>199</v>
      </c>
    </row>
    <row r="559">
      <c r="A559" t="inlineStr">
        <is>
          <t>1262</t>
        </is>
      </c>
      <c r="B559" t="inlineStr">
        <is>
          <t>2RS</t>
        </is>
      </c>
      <c r="C559" t="n">
        <v>5</v>
      </c>
      <c r="D559" s="2" t="n">
        <v>46170</v>
      </c>
      <c r="E559" t="inlineStr">
        <is>
          <t>2RS-5</t>
        </is>
      </c>
      <c r="F559" t="n">
        <v>85.02</v>
      </c>
      <c r="G559" t="n">
        <v>93.8</v>
      </c>
      <c r="H559" t="n">
        <v>284.98</v>
      </c>
      <c r="I559" t="n">
        <v>13.2</v>
      </c>
      <c r="J559" t="n">
        <v>4.2</v>
      </c>
      <c r="K559" t="n">
        <v>121</v>
      </c>
      <c r="L559" t="n">
        <v>84.62</v>
      </c>
      <c r="M559" t="n">
        <v>3.44</v>
      </c>
      <c r="N559" t="n">
        <v>192</v>
      </c>
    </row>
    <row r="560">
      <c r="A560" t="inlineStr">
        <is>
          <t>1263</t>
        </is>
      </c>
      <c r="B560" t="inlineStr">
        <is>
          <t>2RS</t>
        </is>
      </c>
      <c r="C560" t="n">
        <v>5</v>
      </c>
      <c r="D560" s="2" t="n">
        <v>46171</v>
      </c>
      <c r="E560" t="inlineStr">
        <is>
          <t>2RS-5</t>
        </is>
      </c>
      <c r="F560" t="n">
        <v>86.66</v>
      </c>
      <c r="G560" t="inlineStr"/>
      <c r="H560" t="n">
        <v>282.07</v>
      </c>
      <c r="I560" t="n">
        <v>13.4</v>
      </c>
      <c r="J560" t="inlineStr"/>
      <c r="K560" t="inlineStr"/>
      <c r="L560" t="inlineStr"/>
      <c r="M560" t="inlineStr"/>
      <c r="N560" t="inlineStr"/>
    </row>
    <row r="561">
      <c r="A561" t="inlineStr">
        <is>
          <t>1264</t>
        </is>
      </c>
      <c r="B561" t="inlineStr">
        <is>
          <t>2RS</t>
        </is>
      </c>
      <c r="C561" t="n">
        <v>5</v>
      </c>
      <c r="D561" s="2" t="n">
        <v>46173</v>
      </c>
      <c r="E561" t="inlineStr">
        <is>
          <t>2RS-5</t>
        </is>
      </c>
      <c r="F561" t="n">
        <v>86.16</v>
      </c>
      <c r="G561" t="inlineStr"/>
      <c r="H561" t="n">
        <v>280.96</v>
      </c>
      <c r="I561" t="n">
        <v>13.6</v>
      </c>
      <c r="J561" t="inlineStr"/>
      <c r="K561" t="inlineStr"/>
      <c r="L561" t="inlineStr"/>
      <c r="M561" t="inlineStr"/>
      <c r="N561" t="inlineStr"/>
    </row>
    <row r="562">
      <c r="A562" t="inlineStr">
        <is>
          <t>1265</t>
        </is>
      </c>
      <c r="B562" t="inlineStr">
        <is>
          <t>2RS</t>
        </is>
      </c>
      <c r="C562" t="n">
        <v>6</v>
      </c>
      <c r="D562" s="2" t="n">
        <v>46174</v>
      </c>
      <c r="E562" t="inlineStr">
        <is>
          <t>2RS-6</t>
        </is>
      </c>
      <c r="F562" t="n">
        <v>85.75</v>
      </c>
      <c r="G562" t="inlineStr"/>
      <c r="H562" t="n">
        <v>282.67</v>
      </c>
      <c r="I562" t="n">
        <v>13.4</v>
      </c>
      <c r="J562" t="inlineStr"/>
      <c r="K562" t="inlineStr"/>
      <c r="L562" t="inlineStr"/>
      <c r="M562" t="inlineStr"/>
      <c r="N562" t="inlineStr"/>
    </row>
    <row r="563">
      <c r="A563" t="inlineStr">
        <is>
          <t>1266</t>
        </is>
      </c>
      <c r="B563" t="inlineStr">
        <is>
          <t>IBON</t>
        </is>
      </c>
      <c r="C563" t="n">
        <v>6</v>
      </c>
      <c r="D563" s="2" t="n">
        <v>46176</v>
      </c>
      <c r="E563" t="inlineStr">
        <is>
          <t>IBON-6</t>
        </is>
      </c>
      <c r="F563" t="n">
        <v>83.72</v>
      </c>
      <c r="G563" t="n">
        <v>92.59999999999999</v>
      </c>
      <c r="H563" t="n">
        <v>282.68</v>
      </c>
      <c r="I563" t="n">
        <v>13.5</v>
      </c>
      <c r="J563" t="n">
        <v>4.32</v>
      </c>
      <c r="K563" t="n">
        <v>161</v>
      </c>
      <c r="L563" t="n">
        <v>68.20999999999999</v>
      </c>
      <c r="M563" t="n">
        <v>3.79</v>
      </c>
      <c r="N563" t="inlineStr"/>
    </row>
    <row r="564">
      <c r="A564" t="inlineStr">
        <is>
          <t>1267</t>
        </is>
      </c>
      <c r="B564" t="inlineStr">
        <is>
          <t>IBON</t>
        </is>
      </c>
      <c r="C564" t="n">
        <v>6</v>
      </c>
      <c r="D564" s="2" t="n">
        <v>46178</v>
      </c>
      <c r="E564" t="inlineStr">
        <is>
          <t>IBON-6</t>
        </is>
      </c>
      <c r="F564" t="n">
        <v>84.3</v>
      </c>
      <c r="G564" t="n">
        <v>93.2</v>
      </c>
      <c r="H564" t="n">
        <v>282.8</v>
      </c>
      <c r="I564" t="n">
        <v>13.5</v>
      </c>
      <c r="J564" t="n">
        <v>4.33</v>
      </c>
      <c r="K564" t="n">
        <v>129</v>
      </c>
      <c r="L564" t="n">
        <v>53.57</v>
      </c>
      <c r="M564" t="n">
        <v>3.22</v>
      </c>
      <c r="N564" t="n">
        <v>359</v>
      </c>
    </row>
    <row r="565">
      <c r="A565" t="inlineStr">
        <is>
          <t>1268</t>
        </is>
      </c>
      <c r="B565" t="inlineStr">
        <is>
          <t>IBON</t>
        </is>
      </c>
      <c r="C565" t="n">
        <v>6</v>
      </c>
      <c r="D565" s="2" t="n">
        <v>46179</v>
      </c>
      <c r="E565" t="inlineStr">
        <is>
          <t>IBON-6</t>
        </is>
      </c>
      <c r="F565" t="n">
        <v>83.23999999999999</v>
      </c>
      <c r="G565" t="inlineStr"/>
      <c r="H565" t="n">
        <v>282.64</v>
      </c>
      <c r="I565" t="inlineStr"/>
      <c r="J565" t="n">
        <v>4.2</v>
      </c>
      <c r="K565" t="n">
        <v>154</v>
      </c>
      <c r="L565" t="n">
        <v>61.29</v>
      </c>
      <c r="M565" t="n">
        <v>4.4</v>
      </c>
      <c r="N565" t="n">
        <v>240</v>
      </c>
    </row>
    <row r="566">
      <c r="A566" t="inlineStr">
        <is>
          <t>1269</t>
        </is>
      </c>
      <c r="B566" t="inlineStr">
        <is>
          <t>IBON</t>
        </is>
      </c>
      <c r="C566" t="n">
        <v>6</v>
      </c>
      <c r="D566" s="2" t="n">
        <v>46180</v>
      </c>
      <c r="E566" t="inlineStr">
        <is>
          <t>IBON-6</t>
        </is>
      </c>
      <c r="F566" t="n">
        <v>83.62</v>
      </c>
      <c r="G566" t="inlineStr"/>
      <c r="H566" t="n">
        <v>282.62</v>
      </c>
      <c r="I566" t="inlineStr"/>
      <c r="J566" t="n">
        <v>4.2</v>
      </c>
      <c r="K566" t="n">
        <v>143</v>
      </c>
      <c r="L566" t="n">
        <v>64.3</v>
      </c>
      <c r="M566" t="n">
        <v>4.37</v>
      </c>
      <c r="N566" t="n">
        <v>200</v>
      </c>
    </row>
    <row r="567">
      <c r="A567" t="inlineStr">
        <is>
          <t>1270</t>
        </is>
      </c>
      <c r="B567" t="inlineStr">
        <is>
          <t>IBON</t>
        </is>
      </c>
      <c r="C567" t="n">
        <v>6</v>
      </c>
      <c r="D567" s="2" t="n">
        <v>46182</v>
      </c>
      <c r="E567" t="inlineStr">
        <is>
          <t>IBON-6</t>
        </is>
      </c>
      <c r="F567" t="n">
        <v>83.02</v>
      </c>
      <c r="G567" t="n">
        <v>92.2</v>
      </c>
      <c r="H567" t="n">
        <v>281.58</v>
      </c>
      <c r="I567" t="n">
        <v>13.8</v>
      </c>
      <c r="J567" t="n">
        <v>4.23</v>
      </c>
      <c r="K567" t="n">
        <v>168</v>
      </c>
      <c r="L567" t="n">
        <v>61.76</v>
      </c>
      <c r="M567" t="n">
        <v>4.48</v>
      </c>
      <c r="N567" t="n">
        <v>200</v>
      </c>
    </row>
    <row r="568">
      <c r="A568" t="inlineStr">
        <is>
          <t>1271</t>
        </is>
      </c>
      <c r="B568" t="inlineStr">
        <is>
          <t>2RS</t>
        </is>
      </c>
      <c r="C568" t="n">
        <v>6</v>
      </c>
      <c r="D568" s="2" t="n">
        <v>46183</v>
      </c>
      <c r="E568" t="inlineStr">
        <is>
          <t>2RS-6</t>
        </is>
      </c>
      <c r="F568" t="n">
        <v>84.76000000000001</v>
      </c>
      <c r="G568" t="n">
        <v>93.3</v>
      </c>
      <c r="H568" t="n">
        <v>284.61</v>
      </c>
      <c r="I568" t="n">
        <v>13.2</v>
      </c>
      <c r="J568" t="n">
        <v>4.51</v>
      </c>
      <c r="K568" t="n">
        <v>130</v>
      </c>
      <c r="L568" t="n">
        <v>84.01000000000001</v>
      </c>
      <c r="M568" t="n">
        <v>3.9</v>
      </c>
      <c r="N568" t="n">
        <v>200</v>
      </c>
    </row>
    <row r="569">
      <c r="A569" t="inlineStr">
        <is>
          <t>1272</t>
        </is>
      </c>
      <c r="B569" t="inlineStr">
        <is>
          <t>2RS</t>
        </is>
      </c>
      <c r="C569" t="n">
        <v>6</v>
      </c>
      <c r="D569" s="2" t="n">
        <v>46184</v>
      </c>
      <c r="E569" t="inlineStr">
        <is>
          <t>2RS-6</t>
        </is>
      </c>
      <c r="F569" t="n">
        <v>83.7</v>
      </c>
      <c r="G569" t="inlineStr"/>
      <c r="H569" t="n">
        <v>285.08</v>
      </c>
      <c r="I569" t="n">
        <v>13.3</v>
      </c>
      <c r="J569" t="inlineStr"/>
      <c r="K569" t="inlineStr"/>
      <c r="L569" t="inlineStr"/>
      <c r="M569" t="inlineStr"/>
      <c r="N569" t="inlineStr"/>
    </row>
    <row r="570">
      <c r="A570" t="inlineStr">
        <is>
          <t>1273</t>
        </is>
      </c>
      <c r="B570" t="inlineStr">
        <is>
          <t>2RS</t>
        </is>
      </c>
      <c r="C570" t="n">
        <v>6</v>
      </c>
      <c r="D570" s="2" t="n">
        <v>46186</v>
      </c>
      <c r="E570" t="inlineStr">
        <is>
          <t>2RS-6</t>
        </is>
      </c>
      <c r="F570" t="n">
        <v>83.69</v>
      </c>
      <c r="G570" t="n">
        <v>92.8</v>
      </c>
      <c r="H570" t="n">
        <v>285.2</v>
      </c>
      <c r="I570" t="n">
        <v>13.1</v>
      </c>
      <c r="J570" t="n">
        <v>3.68</v>
      </c>
      <c r="K570" t="n">
        <v>144</v>
      </c>
      <c r="L570" t="n">
        <v>91.79000000000001</v>
      </c>
      <c r="M570" t="n">
        <v>3.84</v>
      </c>
      <c r="N570" t="inlineStr"/>
    </row>
    <row r="571">
      <c r="A571" t="inlineStr">
        <is>
          <t>1274</t>
        </is>
      </c>
      <c r="B571" t="inlineStr">
        <is>
          <t>2RS</t>
        </is>
      </c>
      <c r="C571" t="n">
        <v>6</v>
      </c>
      <c r="D571" s="2" t="n">
        <v>46187</v>
      </c>
      <c r="E571" t="inlineStr">
        <is>
          <t>2RS-6</t>
        </is>
      </c>
      <c r="F571" t="n">
        <v>84.77</v>
      </c>
      <c r="G571" t="inlineStr"/>
      <c r="H571" t="n">
        <v>285.37</v>
      </c>
      <c r="I571" t="n">
        <v>12.8</v>
      </c>
      <c r="J571" t="inlineStr"/>
      <c r="K571" t="inlineStr"/>
      <c r="L571" t="inlineStr"/>
      <c r="M571" t="inlineStr"/>
      <c r="N571" t="inlineStr"/>
    </row>
    <row r="572">
      <c r="A572" t="inlineStr">
        <is>
          <t>1275</t>
        </is>
      </c>
      <c r="B572" t="inlineStr">
        <is>
          <t>2RS</t>
        </is>
      </c>
      <c r="C572" t="n">
        <v>6</v>
      </c>
      <c r="D572" s="2" t="n">
        <v>46188</v>
      </c>
      <c r="E572" t="inlineStr">
        <is>
          <t>2RS-6</t>
        </is>
      </c>
      <c r="F572" t="n">
        <v>85.17</v>
      </c>
      <c r="G572" t="inlineStr"/>
      <c r="H572" t="n">
        <v>280.06</v>
      </c>
      <c r="I572" t="n">
        <v>13.1</v>
      </c>
      <c r="J572" t="inlineStr"/>
      <c r="K572" t="inlineStr"/>
      <c r="L572" t="inlineStr"/>
      <c r="M572" t="inlineStr"/>
      <c r="N572" t="inlineStr"/>
    </row>
    <row r="573">
      <c r="A573" t="inlineStr">
        <is>
          <t>1276</t>
        </is>
      </c>
      <c r="B573" t="inlineStr">
        <is>
          <t>2RS</t>
        </is>
      </c>
      <c r="C573" t="n">
        <v>6</v>
      </c>
      <c r="D573" s="2" t="n">
        <v>46189</v>
      </c>
      <c r="E573" t="inlineStr">
        <is>
          <t>2RS-6</t>
        </is>
      </c>
      <c r="F573" t="n">
        <v>85.14</v>
      </c>
      <c r="G573" t="n">
        <v>94.09999999999999</v>
      </c>
      <c r="H573" t="n">
        <v>284.91</v>
      </c>
      <c r="I573" t="n">
        <v>13.4</v>
      </c>
      <c r="J573" t="n">
        <v>4.24</v>
      </c>
      <c r="K573" t="n">
        <v>131</v>
      </c>
      <c r="L573" t="n">
        <v>85.63</v>
      </c>
      <c r="M573" t="n">
        <v>3.51</v>
      </c>
      <c r="N573" t="n">
        <v>220</v>
      </c>
    </row>
    <row r="574">
      <c r="A574" t="inlineStr">
        <is>
          <t>1277</t>
        </is>
      </c>
      <c r="B574" t="inlineStr">
        <is>
          <t>2RS</t>
        </is>
      </c>
      <c r="C574" t="n">
        <v>6</v>
      </c>
      <c r="D574" s="2" t="n">
        <v>46190</v>
      </c>
      <c r="E574" t="inlineStr">
        <is>
          <t>2RS-6</t>
        </is>
      </c>
      <c r="F574" t="n">
        <v>85.11</v>
      </c>
      <c r="G574" t="n">
        <v>93.5</v>
      </c>
      <c r="H574" t="n">
        <v>285.05</v>
      </c>
      <c r="I574" t="n">
        <v>13</v>
      </c>
      <c r="J574" t="n">
        <v>4.41</v>
      </c>
      <c r="K574" t="n">
        <v>125</v>
      </c>
      <c r="L574" t="n">
        <v>89.11</v>
      </c>
      <c r="M574" t="n">
        <v>3.6</v>
      </c>
      <c r="N574" t="n">
        <v>154</v>
      </c>
    </row>
    <row r="575">
      <c r="A575" t="inlineStr">
        <is>
          <t>1278</t>
        </is>
      </c>
      <c r="B575" t="inlineStr">
        <is>
          <t>2RS</t>
        </is>
      </c>
      <c r="C575" t="n">
        <v>6</v>
      </c>
      <c r="D575" s="2" t="n">
        <v>46192</v>
      </c>
      <c r="E575" t="inlineStr">
        <is>
          <t>2RS-6</t>
        </is>
      </c>
      <c r="F575" t="n">
        <v>85.06999999999999</v>
      </c>
      <c r="G575" t="n">
        <v>93.2</v>
      </c>
      <c r="H575" t="n">
        <v>285.11</v>
      </c>
      <c r="I575" t="n">
        <v>12.7</v>
      </c>
      <c r="J575" t="n">
        <v>4.34</v>
      </c>
      <c r="K575" t="n">
        <v>138</v>
      </c>
      <c r="L575" t="n">
        <v>91</v>
      </c>
      <c r="M575" t="n">
        <v>3.5</v>
      </c>
      <c r="N575" t="n">
        <v>159</v>
      </c>
    </row>
    <row r="576">
      <c r="A576" t="inlineStr">
        <is>
          <t>1279</t>
        </is>
      </c>
      <c r="B576" t="inlineStr">
        <is>
          <t>2RS</t>
        </is>
      </c>
      <c r="C576" t="n">
        <v>6</v>
      </c>
      <c r="D576" s="2" t="n">
        <v>46193</v>
      </c>
      <c r="E576" t="inlineStr">
        <is>
          <t>2RS-6</t>
        </is>
      </c>
      <c r="F576" t="n">
        <v>85.98</v>
      </c>
      <c r="G576" t="n">
        <v>93.7</v>
      </c>
      <c r="H576" t="n">
        <v>285.08</v>
      </c>
      <c r="I576" t="n">
        <v>12.2</v>
      </c>
      <c r="J576" t="n">
        <v>4.34</v>
      </c>
      <c r="K576" t="n">
        <v>128</v>
      </c>
      <c r="L576" t="n">
        <v>88.3</v>
      </c>
      <c r="M576" t="n">
        <v>3.4</v>
      </c>
      <c r="N576" t="n">
        <v>181</v>
      </c>
    </row>
    <row r="577">
      <c r="A577" t="inlineStr">
        <is>
          <t>1280</t>
        </is>
      </c>
      <c r="B577" t="inlineStr">
        <is>
          <t>2RS</t>
        </is>
      </c>
      <c r="C577" t="n">
        <v>6</v>
      </c>
      <c r="D577" s="2" t="n">
        <v>46194</v>
      </c>
      <c r="E577" t="inlineStr">
        <is>
          <t>2RS-6</t>
        </is>
      </c>
      <c r="F577" t="n">
        <v>86.06999999999999</v>
      </c>
      <c r="G577" t="inlineStr"/>
      <c r="H577" t="n">
        <v>280.08</v>
      </c>
      <c r="I577" t="n">
        <v>13.1</v>
      </c>
      <c r="J577" t="inlineStr"/>
      <c r="K577" t="inlineStr"/>
      <c r="L577" t="inlineStr"/>
      <c r="M577" t="inlineStr"/>
      <c r="N577" t="inlineStr"/>
    </row>
    <row r="578">
      <c r="A578" t="inlineStr">
        <is>
          <t>1281</t>
        </is>
      </c>
      <c r="B578" t="inlineStr">
        <is>
          <t>2RS</t>
        </is>
      </c>
      <c r="C578" t="n">
        <v>6</v>
      </c>
      <c r="D578" s="2" t="n">
        <v>46195</v>
      </c>
      <c r="E578" t="inlineStr">
        <is>
          <t>2RS-6</t>
        </is>
      </c>
      <c r="F578" t="n">
        <v>83.41</v>
      </c>
      <c r="G578" t="n">
        <v>92.40000000000001</v>
      </c>
      <c r="H578" t="n">
        <v>282.54</v>
      </c>
      <c r="I578" t="n">
        <v>13.7</v>
      </c>
      <c r="J578" t="n">
        <v>4.41</v>
      </c>
      <c r="K578" t="n">
        <v>168</v>
      </c>
      <c r="L578" t="n">
        <v>63.71</v>
      </c>
      <c r="M578" t="n">
        <v>4.67</v>
      </c>
      <c r="N578" t="n">
        <v>196</v>
      </c>
    </row>
    <row r="579">
      <c r="A579" t="inlineStr">
        <is>
          <t>1282</t>
        </is>
      </c>
      <c r="B579" t="inlineStr">
        <is>
          <t>2RS</t>
        </is>
      </c>
      <c r="C579" t="n">
        <v>6</v>
      </c>
      <c r="D579" s="2" t="n">
        <v>46197</v>
      </c>
      <c r="E579" t="inlineStr">
        <is>
          <t>2RS-6</t>
        </is>
      </c>
      <c r="F579" t="n">
        <v>84.09</v>
      </c>
      <c r="G579" t="n">
        <v>92.5</v>
      </c>
      <c r="H579" t="n">
        <v>282.61</v>
      </c>
      <c r="I579" t="n">
        <v>13.1</v>
      </c>
      <c r="J579" t="n">
        <v>4.38</v>
      </c>
      <c r="K579" t="n">
        <v>164</v>
      </c>
      <c r="L579" t="n">
        <v>63.92</v>
      </c>
      <c r="M579" t="n">
        <v>4.53</v>
      </c>
      <c r="N579" t="n">
        <v>176</v>
      </c>
    </row>
    <row r="580">
      <c r="A580" t="inlineStr">
        <is>
          <t>1283</t>
        </is>
      </c>
      <c r="B580" t="inlineStr">
        <is>
          <t>2RS</t>
        </is>
      </c>
      <c r="C580" t="n">
        <v>6</v>
      </c>
      <c r="D580" s="2" t="n">
        <v>46198</v>
      </c>
      <c r="E580" t="inlineStr">
        <is>
          <t>2RS-6</t>
        </is>
      </c>
      <c r="F580" t="n">
        <v>84.3</v>
      </c>
      <c r="G580" t="n">
        <v>92.90000000000001</v>
      </c>
      <c r="H580" t="n">
        <v>282.8</v>
      </c>
      <c r="I580" t="n">
        <v>13.3</v>
      </c>
      <c r="J580" t="n">
        <v>4.46</v>
      </c>
      <c r="K580" t="n">
        <v>165</v>
      </c>
      <c r="L580" t="n">
        <v>59.79</v>
      </c>
      <c r="M580" t="n">
        <v>4.9</v>
      </c>
      <c r="N580" t="n">
        <v>261</v>
      </c>
    </row>
    <row r="581">
      <c r="A581" t="inlineStr">
        <is>
          <t>1284</t>
        </is>
      </c>
      <c r="B581" t="inlineStr">
        <is>
          <t>2RS</t>
        </is>
      </c>
      <c r="C581" t="n">
        <v>6</v>
      </c>
      <c r="D581" s="2" t="n">
        <v>46200</v>
      </c>
      <c r="E581" t="inlineStr">
        <is>
          <t>2RS-6</t>
        </is>
      </c>
      <c r="F581" t="n">
        <v>84.16</v>
      </c>
      <c r="G581" t="n">
        <v>92.5</v>
      </c>
      <c r="H581" t="n">
        <v>282.93</v>
      </c>
      <c r="I581" t="n">
        <v>13.3</v>
      </c>
      <c r="J581" t="n">
        <v>4.66</v>
      </c>
      <c r="K581" t="n">
        <v>161</v>
      </c>
      <c r="L581" t="n">
        <v>59.59</v>
      </c>
      <c r="M581" t="n">
        <v>5</v>
      </c>
      <c r="N581" t="n">
        <v>286</v>
      </c>
    </row>
    <row r="582">
      <c r="A582" t="inlineStr">
        <is>
          <t>1285</t>
        </is>
      </c>
      <c r="B582" t="inlineStr">
        <is>
          <t>2RS</t>
        </is>
      </c>
      <c r="C582" t="n">
        <v>6</v>
      </c>
      <c r="D582" s="2" t="n">
        <v>46201</v>
      </c>
      <c r="E582" t="inlineStr">
        <is>
          <t>2RS-6</t>
        </is>
      </c>
      <c r="F582" t="n">
        <v>84.20999999999999</v>
      </c>
      <c r="G582" t="n">
        <v>93.09999999999999</v>
      </c>
      <c r="H582" t="n">
        <v>282.77</v>
      </c>
      <c r="I582" t="n">
        <v>13.5</v>
      </c>
      <c r="J582" t="n">
        <v>4.33</v>
      </c>
      <c r="K582" t="n">
        <v>155</v>
      </c>
      <c r="L582" t="n">
        <v>63.02</v>
      </c>
      <c r="M582" t="n">
        <v>4</v>
      </c>
      <c r="N582" t="n">
        <v>220</v>
      </c>
    </row>
    <row r="583">
      <c r="A583" t="inlineStr">
        <is>
          <t>1286</t>
        </is>
      </c>
      <c r="B583" t="inlineStr">
        <is>
          <t>2RS</t>
        </is>
      </c>
      <c r="C583" t="n">
        <v>6</v>
      </c>
      <c r="D583" s="2" t="n">
        <v>46202</v>
      </c>
      <c r="E583" t="inlineStr">
        <is>
          <t>2RS-6</t>
        </is>
      </c>
      <c r="F583" t="n">
        <v>84.43000000000001</v>
      </c>
      <c r="G583" t="n">
        <v>92.40000000000001</v>
      </c>
      <c r="H583" t="n">
        <v>285.06</v>
      </c>
      <c r="I583" t="n">
        <v>12.4</v>
      </c>
      <c r="J583" t="n">
        <v>4.18</v>
      </c>
      <c r="K583" t="n">
        <v>141</v>
      </c>
      <c r="L583" t="n">
        <v>88.45999999999999</v>
      </c>
      <c r="M583" t="n">
        <v>3.5</v>
      </c>
      <c r="N583" t="n">
        <v>171</v>
      </c>
    </row>
    <row r="584">
      <c r="A584" t="inlineStr">
        <is>
          <t>1287</t>
        </is>
      </c>
      <c r="B584" t="inlineStr">
        <is>
          <t>2RS</t>
        </is>
      </c>
      <c r="C584" t="n">
        <v>6</v>
      </c>
      <c r="D584" s="2" t="n">
        <v>46203</v>
      </c>
      <c r="E584" t="inlineStr">
        <is>
          <t>2RS-6</t>
        </is>
      </c>
      <c r="F584" t="n">
        <v>84.62</v>
      </c>
      <c r="G584" t="n">
        <v>92.90000000000001</v>
      </c>
      <c r="H584" t="n">
        <v>285.4</v>
      </c>
      <c r="I584" t="n">
        <v>12.9</v>
      </c>
      <c r="J584" t="n">
        <v>4.39</v>
      </c>
      <c r="K584" t="n">
        <v>134</v>
      </c>
      <c r="L584" t="n">
        <v>87.56999999999999</v>
      </c>
      <c r="M584" t="n">
        <v>3.68</v>
      </c>
      <c r="N584" t="n">
        <v>153</v>
      </c>
    </row>
    <row r="585">
      <c r="A585" t="inlineStr">
        <is>
          <t>1288</t>
        </is>
      </c>
      <c r="B585" t="inlineStr">
        <is>
          <t>2RS</t>
        </is>
      </c>
      <c r="C585" t="n">
        <v>7</v>
      </c>
      <c r="D585" s="2" t="n">
        <v>46205</v>
      </c>
      <c r="E585" t="inlineStr">
        <is>
          <t>2RS-7</t>
        </is>
      </c>
      <c r="F585" t="n">
        <v>85.53</v>
      </c>
      <c r="G585" t="n">
        <v>93.59999999999999</v>
      </c>
      <c r="H585" t="n">
        <v>284.95</v>
      </c>
      <c r="I585" t="n">
        <v>12.3</v>
      </c>
      <c r="J585" t="n">
        <v>4.36</v>
      </c>
      <c r="K585" t="n">
        <v>132</v>
      </c>
      <c r="L585" t="n">
        <v>86.87</v>
      </c>
      <c r="M585" t="n">
        <v>3.76</v>
      </c>
      <c r="N585" t="n">
        <v>198</v>
      </c>
    </row>
    <row r="586">
      <c r="A586" t="inlineStr">
        <is>
          <t>1289</t>
        </is>
      </c>
      <c r="B586" t="inlineStr">
        <is>
          <t>2RS</t>
        </is>
      </c>
      <c r="C586" t="n">
        <v>7</v>
      </c>
      <c r="D586" s="2" t="n">
        <v>46206</v>
      </c>
      <c r="E586" t="inlineStr">
        <is>
          <t>2RS-7</t>
        </is>
      </c>
      <c r="F586" t="n">
        <v>84.15000000000001</v>
      </c>
      <c r="G586" t="n">
        <v>91.8</v>
      </c>
      <c r="H586" t="n">
        <v>285.15</v>
      </c>
      <c r="I586" t="n">
        <v>12.6</v>
      </c>
      <c r="J586" t="n">
        <v>4.62</v>
      </c>
      <c r="K586" t="n">
        <v>149</v>
      </c>
      <c r="L586" t="n">
        <v>83.34999999999999</v>
      </c>
      <c r="M586" t="n">
        <v>3.9</v>
      </c>
      <c r="N586" t="n">
        <v>172</v>
      </c>
    </row>
    <row r="587">
      <c r="A587" t="inlineStr">
        <is>
          <t>1290</t>
        </is>
      </c>
      <c r="B587" t="inlineStr">
        <is>
          <t>2RS</t>
        </is>
      </c>
      <c r="C587" t="n">
        <v>7</v>
      </c>
      <c r="D587" s="2" t="n">
        <v>46207</v>
      </c>
      <c r="E587" t="inlineStr">
        <is>
          <t>2RS-7</t>
        </is>
      </c>
      <c r="F587" t="n">
        <v>84.22</v>
      </c>
      <c r="G587" t="n">
        <v>93.59999999999999</v>
      </c>
      <c r="H587" t="n">
        <v>285.28</v>
      </c>
      <c r="I587" t="n">
        <v>13.8</v>
      </c>
      <c r="J587" t="n">
        <v>4.16</v>
      </c>
      <c r="K587" t="n">
        <v>134</v>
      </c>
      <c r="L587" t="n">
        <v>83.92</v>
      </c>
      <c r="M587" t="n">
        <v>3.61</v>
      </c>
      <c r="N587" t="n">
        <v>198</v>
      </c>
    </row>
    <row r="588">
      <c r="A588" t="inlineStr">
        <is>
          <t>1291</t>
        </is>
      </c>
      <c r="B588" t="inlineStr">
        <is>
          <t>2RS</t>
        </is>
      </c>
      <c r="C588" t="n">
        <v>7</v>
      </c>
      <c r="D588" s="2" t="n">
        <v>46208</v>
      </c>
      <c r="E588" t="inlineStr">
        <is>
          <t>2RS-7</t>
        </is>
      </c>
      <c r="F588" t="n">
        <v>84.42</v>
      </c>
      <c r="G588" t="n">
        <v>93.7</v>
      </c>
      <c r="H588" t="n">
        <v>284.95</v>
      </c>
      <c r="I588" t="n">
        <v>13.6</v>
      </c>
      <c r="J588" t="n">
        <v>4.12</v>
      </c>
      <c r="K588" t="n">
        <v>139</v>
      </c>
      <c r="L588" t="n">
        <v>80.3</v>
      </c>
      <c r="M588" t="n">
        <v>3.89</v>
      </c>
      <c r="N588" t="n">
        <v>229</v>
      </c>
    </row>
    <row r="589">
      <c r="A589" t="inlineStr">
        <is>
          <t>1292</t>
        </is>
      </c>
      <c r="B589" t="inlineStr">
        <is>
          <t>2RS</t>
        </is>
      </c>
      <c r="C589" t="n">
        <v>7</v>
      </c>
      <c r="D589" s="2" t="n">
        <v>46210</v>
      </c>
      <c r="E589" t="inlineStr">
        <is>
          <t>2RS-7</t>
        </is>
      </c>
      <c r="F589" t="n">
        <v>84.09999999999999</v>
      </c>
      <c r="G589" t="n">
        <v>92.90000000000001</v>
      </c>
      <c r="H589" t="n">
        <v>282.7</v>
      </c>
      <c r="I589" t="n">
        <v>13.6</v>
      </c>
      <c r="J589" t="n">
        <v>4.54</v>
      </c>
      <c r="K589" t="n">
        <v>144</v>
      </c>
      <c r="L589" t="n">
        <v>59.4</v>
      </c>
      <c r="M589" t="n">
        <v>3.68</v>
      </c>
      <c r="N589" t="n">
        <v>271</v>
      </c>
    </row>
    <row r="590">
      <c r="A590" t="inlineStr">
        <is>
          <t>1293</t>
        </is>
      </c>
      <c r="B590" t="inlineStr">
        <is>
          <t>2RS</t>
        </is>
      </c>
      <c r="C590" t="n">
        <v>7</v>
      </c>
      <c r="D590" s="2" t="n">
        <v>46211</v>
      </c>
      <c r="E590" t="inlineStr">
        <is>
          <t>2RS-7</t>
        </is>
      </c>
      <c r="F590" t="n">
        <v>83.95</v>
      </c>
      <c r="G590" t="n">
        <v>92.8</v>
      </c>
      <c r="H590" t="n">
        <v>282.74</v>
      </c>
      <c r="I590" t="n">
        <v>13.7</v>
      </c>
      <c r="J590" t="n">
        <v>4.61</v>
      </c>
      <c r="K590" t="n">
        <v>143</v>
      </c>
      <c r="L590" t="n">
        <v>53.94</v>
      </c>
      <c r="M590" t="n">
        <v>4.2</v>
      </c>
      <c r="N590" t="n">
        <v>403</v>
      </c>
    </row>
    <row r="591">
      <c r="A591" t="inlineStr">
        <is>
          <t>1294</t>
        </is>
      </c>
      <c r="B591" t="inlineStr">
        <is>
          <t>2RS</t>
        </is>
      </c>
      <c r="C591" t="n">
        <v>7</v>
      </c>
      <c r="D591" s="2" t="n">
        <v>46212</v>
      </c>
      <c r="E591" t="inlineStr">
        <is>
          <t>2RS-7</t>
        </is>
      </c>
      <c r="F591" t="n">
        <v>82.65000000000001</v>
      </c>
      <c r="G591" t="n">
        <v>91.09999999999999</v>
      </c>
      <c r="H591" t="inlineStr"/>
      <c r="I591" t="n">
        <v>13.2</v>
      </c>
      <c r="J591" t="n">
        <v>4.32</v>
      </c>
      <c r="K591" t="n">
        <v>145</v>
      </c>
      <c r="L591" t="n">
        <v>82.14</v>
      </c>
      <c r="M591" t="n">
        <v>4.9</v>
      </c>
      <c r="N591" t="inlineStr"/>
    </row>
    <row r="592">
      <c r="A592" t="inlineStr">
        <is>
          <t>1295</t>
        </is>
      </c>
      <c r="B592" t="inlineStr">
        <is>
          <t>IBON</t>
        </is>
      </c>
      <c r="C592" t="n">
        <v>7</v>
      </c>
      <c r="D592" s="2" t="n">
        <v>46213</v>
      </c>
      <c r="E592" t="inlineStr">
        <is>
          <t>IBON-7</t>
        </is>
      </c>
      <c r="F592" t="n">
        <v>85.02</v>
      </c>
      <c r="G592" t="n">
        <v>93.90000000000001</v>
      </c>
      <c r="H592" t="n">
        <v>282.77</v>
      </c>
      <c r="I592" t="n">
        <v>13.7</v>
      </c>
      <c r="J592" t="n">
        <v>4.65</v>
      </c>
      <c r="K592" t="n">
        <v>138</v>
      </c>
      <c r="L592" t="n">
        <v>56.51</v>
      </c>
      <c r="M592" t="n">
        <v>3.89</v>
      </c>
      <c r="N592" t="n">
        <v>378</v>
      </c>
    </row>
    <row r="593">
      <c r="A593" t="inlineStr">
        <is>
          <t>1296</t>
        </is>
      </c>
      <c r="B593" t="inlineStr">
        <is>
          <t>IBON</t>
        </is>
      </c>
      <c r="C593" t="n">
        <v>7</v>
      </c>
      <c r="D593" s="2" t="n">
        <v>46214</v>
      </c>
      <c r="E593" t="inlineStr">
        <is>
          <t>IBON-7</t>
        </is>
      </c>
      <c r="F593" t="n">
        <v>83.40000000000001</v>
      </c>
      <c r="G593" t="n">
        <v>92.2</v>
      </c>
      <c r="H593" t="n">
        <v>285.25</v>
      </c>
      <c r="I593" t="n">
        <v>14.6</v>
      </c>
      <c r="J593" t="n">
        <v>4.64</v>
      </c>
      <c r="K593" t="n">
        <v>157</v>
      </c>
      <c r="L593" t="n">
        <v>56.1</v>
      </c>
      <c r="M593" t="n">
        <v>5</v>
      </c>
      <c r="N593" t="n">
        <v>313</v>
      </c>
    </row>
    <row r="594">
      <c r="A594" t="inlineStr">
        <is>
          <t>1297</t>
        </is>
      </c>
      <c r="B594" t="inlineStr">
        <is>
          <t>2RS</t>
        </is>
      </c>
      <c r="C594" t="n">
        <v>7</v>
      </c>
      <c r="D594" s="2" t="n">
        <v>46216</v>
      </c>
      <c r="E594" t="inlineStr">
        <is>
          <t>2RS-7</t>
        </is>
      </c>
      <c r="F594" t="n">
        <v>85.31</v>
      </c>
      <c r="G594" t="inlineStr"/>
      <c r="H594" t="n">
        <v>280.09</v>
      </c>
      <c r="I594" t="n">
        <v>13.1</v>
      </c>
      <c r="J594" t="inlineStr"/>
      <c r="K594" t="inlineStr"/>
      <c r="L594" t="inlineStr"/>
      <c r="M594" t="inlineStr"/>
      <c r="N594" t="inlineStr"/>
    </row>
    <row r="595">
      <c r="A595" t="inlineStr">
        <is>
          <t>1298</t>
        </is>
      </c>
      <c r="B595" t="inlineStr">
        <is>
          <t>2RS</t>
        </is>
      </c>
      <c r="C595" t="n">
        <v>7</v>
      </c>
      <c r="D595" s="2" t="n">
        <v>46217</v>
      </c>
      <c r="E595" t="inlineStr">
        <is>
          <t>2RS-7</t>
        </is>
      </c>
      <c r="F595" t="n">
        <v>85.56999999999999</v>
      </c>
      <c r="G595" t="n">
        <v>93.5</v>
      </c>
      <c r="H595" t="n">
        <v>285.25</v>
      </c>
      <c r="I595" t="n">
        <v>12.2</v>
      </c>
      <c r="J595" t="n">
        <v>4.07</v>
      </c>
      <c r="K595" t="n">
        <v>139</v>
      </c>
      <c r="L595" t="n">
        <v>89</v>
      </c>
      <c r="M595" t="n">
        <v>3.5</v>
      </c>
      <c r="N595" t="n">
        <v>160</v>
      </c>
    </row>
    <row r="596">
      <c r="A596" t="inlineStr">
        <is>
          <t>1299</t>
        </is>
      </c>
      <c r="B596" t="inlineStr">
        <is>
          <t>2RS</t>
        </is>
      </c>
      <c r="C596" t="n">
        <v>7</v>
      </c>
      <c r="D596" s="2" t="n">
        <v>46218</v>
      </c>
      <c r="E596" t="inlineStr">
        <is>
          <t>2RS-7</t>
        </is>
      </c>
      <c r="F596" t="n">
        <v>86.27</v>
      </c>
      <c r="G596" t="n">
        <v>94.3</v>
      </c>
      <c r="H596" t="n">
        <v>285.3</v>
      </c>
      <c r="I596" t="n">
        <v>12.7</v>
      </c>
      <c r="J596" t="n">
        <v>4.58</v>
      </c>
      <c r="K596" t="n">
        <v>134</v>
      </c>
      <c r="L596" t="n">
        <v>88.53</v>
      </c>
      <c r="M596" t="n">
        <v>3.66</v>
      </c>
      <c r="N596" t="n">
        <v>159</v>
      </c>
    </row>
    <row r="597">
      <c r="A597" t="inlineStr">
        <is>
          <t>1300</t>
        </is>
      </c>
      <c r="B597" t="inlineStr">
        <is>
          <t>2RS</t>
        </is>
      </c>
      <c r="C597" t="n">
        <v>7</v>
      </c>
      <c r="D597" s="2" t="n">
        <v>46219</v>
      </c>
      <c r="E597" t="inlineStr">
        <is>
          <t>2RS-7</t>
        </is>
      </c>
      <c r="F597" t="n">
        <v>84.64</v>
      </c>
      <c r="G597" t="n">
        <v>94</v>
      </c>
      <c r="H597" t="n">
        <v>284.71</v>
      </c>
      <c r="I597" t="n">
        <v>13.8</v>
      </c>
      <c r="J597" t="n">
        <v>4.31</v>
      </c>
      <c r="K597" t="n">
        <v>124</v>
      </c>
      <c r="L597" t="n">
        <v>86.84</v>
      </c>
      <c r="M597" t="n">
        <v>3.5</v>
      </c>
      <c r="N597" t="n">
        <v>193</v>
      </c>
    </row>
    <row r="598">
      <c r="A598" t="inlineStr">
        <is>
          <t>1301</t>
        </is>
      </c>
      <c r="B598" t="inlineStr">
        <is>
          <t>2RS</t>
        </is>
      </c>
      <c r="C598" t="n">
        <v>7</v>
      </c>
      <c r="D598" s="2" t="n">
        <v>46220</v>
      </c>
      <c r="E598" t="inlineStr">
        <is>
          <t>2RS-7</t>
        </is>
      </c>
      <c r="F598" t="n">
        <v>85.31</v>
      </c>
      <c r="G598" t="n">
        <v>94.09999999999999</v>
      </c>
      <c r="H598" t="n">
        <v>285</v>
      </c>
      <c r="I598" t="n">
        <v>13.4</v>
      </c>
      <c r="J598" t="n">
        <v>4.48</v>
      </c>
      <c r="K598" t="n">
        <v>126</v>
      </c>
      <c r="L598" t="n">
        <v>83.77</v>
      </c>
      <c r="M598" t="n">
        <v>3.59</v>
      </c>
      <c r="N598" t="n">
        <v>220</v>
      </c>
    </row>
    <row r="599">
      <c r="A599" t="inlineStr">
        <is>
          <t>1302</t>
        </is>
      </c>
      <c r="B599" t="inlineStr">
        <is>
          <t>2RS</t>
        </is>
      </c>
      <c r="C599" t="n">
        <v>7</v>
      </c>
      <c r="D599" s="2" t="n">
        <v>46221</v>
      </c>
      <c r="E599" t="inlineStr">
        <is>
          <t>2RS-7</t>
        </is>
      </c>
      <c r="F599" t="n">
        <v>85.45</v>
      </c>
      <c r="G599" t="n">
        <v>93.90000000000001</v>
      </c>
      <c r="H599" t="n">
        <v>284.82</v>
      </c>
      <c r="I599" t="n">
        <v>13</v>
      </c>
      <c r="J599" t="n">
        <v>4.44</v>
      </c>
      <c r="K599" t="n">
        <v>127</v>
      </c>
      <c r="L599" t="n">
        <v>84.48</v>
      </c>
      <c r="M599" t="n">
        <v>3.7</v>
      </c>
      <c r="N599" t="n">
        <v>221</v>
      </c>
    </row>
    <row r="600">
      <c r="A600" t="inlineStr">
        <is>
          <t>1303</t>
        </is>
      </c>
      <c r="B600" t="inlineStr">
        <is>
          <t>2RS</t>
        </is>
      </c>
      <c r="C600" t="n">
        <v>7</v>
      </c>
      <c r="D600" s="2" t="n">
        <v>46223</v>
      </c>
      <c r="E600" t="inlineStr">
        <is>
          <t>2RS-7</t>
        </is>
      </c>
      <c r="F600" t="n">
        <v>85.15000000000001</v>
      </c>
      <c r="G600" t="n">
        <v>92.59999999999999</v>
      </c>
      <c r="H600" t="n">
        <v>284.97</v>
      </c>
      <c r="I600" t="n">
        <v>12.2</v>
      </c>
      <c r="J600" t="n">
        <v>4.48</v>
      </c>
      <c r="K600" t="n">
        <v>130</v>
      </c>
      <c r="L600" t="n">
        <v>82.67</v>
      </c>
      <c r="M600" t="n">
        <v>3.75</v>
      </c>
      <c r="N600" t="n">
        <v>222</v>
      </c>
    </row>
    <row r="601">
      <c r="A601" t="inlineStr">
        <is>
          <t>1304</t>
        </is>
      </c>
      <c r="B601" t="inlineStr">
        <is>
          <t>2RS</t>
        </is>
      </c>
      <c r="C601" t="n">
        <v>7</v>
      </c>
      <c r="D601" s="2" t="n">
        <v>46224</v>
      </c>
      <c r="E601" t="inlineStr">
        <is>
          <t>2RS-7</t>
        </is>
      </c>
      <c r="F601" t="n">
        <v>86.98</v>
      </c>
      <c r="G601" t="inlineStr"/>
      <c r="H601" t="n">
        <v>280.07</v>
      </c>
      <c r="I601" t="n">
        <v>12.5</v>
      </c>
      <c r="J601" t="inlineStr"/>
      <c r="K601" t="inlineStr"/>
      <c r="L601" t="inlineStr"/>
      <c r="M601" t="inlineStr"/>
      <c r="N601" t="inlineStr"/>
    </row>
    <row r="602">
      <c r="A602" t="inlineStr">
        <is>
          <t>1305</t>
        </is>
      </c>
      <c r="B602" t="inlineStr">
        <is>
          <t>IBON</t>
        </is>
      </c>
      <c r="C602" t="n">
        <v>7</v>
      </c>
      <c r="D602" s="2" t="n">
        <v>46225</v>
      </c>
      <c r="E602" t="inlineStr">
        <is>
          <t>IBON-7</t>
        </is>
      </c>
      <c r="F602" t="n">
        <v>84.53</v>
      </c>
      <c r="G602" t="n">
        <v>94.8</v>
      </c>
      <c r="H602" t="n">
        <v>282.35</v>
      </c>
      <c r="I602" t="n">
        <v>14.8</v>
      </c>
      <c r="J602" t="n">
        <v>4.47</v>
      </c>
      <c r="K602" t="n">
        <v>145.4</v>
      </c>
      <c r="L602" t="n">
        <v>54.78</v>
      </c>
      <c r="M602" t="n">
        <v>4.4</v>
      </c>
      <c r="N602" t="n">
        <v>340</v>
      </c>
    </row>
    <row r="603">
      <c r="A603" t="inlineStr">
        <is>
          <t>1306</t>
        </is>
      </c>
      <c r="B603" t="inlineStr">
        <is>
          <t>IBON</t>
        </is>
      </c>
      <c r="C603" t="n">
        <v>7</v>
      </c>
      <c r="D603" s="2" t="n">
        <v>46226</v>
      </c>
      <c r="E603" t="inlineStr">
        <is>
          <t>IBON-7</t>
        </is>
      </c>
      <c r="F603" t="n">
        <v>84.45</v>
      </c>
      <c r="G603" t="n">
        <v>93.59999999999999</v>
      </c>
      <c r="H603" t="n">
        <v>282.77</v>
      </c>
      <c r="I603" t="n">
        <v>13.8</v>
      </c>
      <c r="J603" t="n">
        <v>4.47</v>
      </c>
      <c r="K603" t="n">
        <v>150</v>
      </c>
      <c r="L603" t="n">
        <v>57.49</v>
      </c>
      <c r="M603" t="n">
        <v>4.7</v>
      </c>
      <c r="N603" t="n">
        <v>333</v>
      </c>
    </row>
    <row r="604">
      <c r="A604" t="inlineStr">
        <is>
          <t>1307</t>
        </is>
      </c>
      <c r="B604" t="inlineStr">
        <is>
          <t>IBON</t>
        </is>
      </c>
      <c r="C604" t="n">
        <v>7</v>
      </c>
      <c r="D604" s="2" t="n">
        <v>46228</v>
      </c>
      <c r="E604" t="inlineStr">
        <is>
          <t>IBON-7</t>
        </is>
      </c>
      <c r="F604" t="n">
        <v>85.13</v>
      </c>
      <c r="G604" t="n">
        <v>94.40000000000001</v>
      </c>
      <c r="H604" t="n">
        <v>282.87</v>
      </c>
      <c r="I604" t="n">
        <v>13.8</v>
      </c>
      <c r="J604" t="n">
        <v>4.44</v>
      </c>
      <c r="K604" t="n">
        <v>145</v>
      </c>
      <c r="L604" t="n">
        <v>54.85</v>
      </c>
      <c r="M604" t="n">
        <v>4.6</v>
      </c>
      <c r="N604" t="n">
        <v>415</v>
      </c>
    </row>
    <row r="605">
      <c r="A605" t="inlineStr">
        <is>
          <t>1308</t>
        </is>
      </c>
      <c r="B605" t="inlineStr">
        <is>
          <t>2RS</t>
        </is>
      </c>
      <c r="C605" t="n">
        <v>7</v>
      </c>
      <c r="D605" s="2" t="n">
        <v>46229</v>
      </c>
      <c r="E605" t="inlineStr">
        <is>
          <t>2RS-7</t>
        </is>
      </c>
      <c r="F605" t="n">
        <v>86.56999999999999</v>
      </c>
      <c r="G605" t="inlineStr"/>
      <c r="H605" t="n">
        <v>281.33</v>
      </c>
      <c r="I605" t="n">
        <v>13.2</v>
      </c>
      <c r="J605" t="inlineStr"/>
      <c r="K605" t="inlineStr"/>
      <c r="L605" t="inlineStr"/>
      <c r="M605" t="inlineStr"/>
      <c r="N605" t="inlineStr"/>
    </row>
    <row r="606">
      <c r="A606" t="inlineStr">
        <is>
          <t>1309</t>
        </is>
      </c>
      <c r="B606" t="inlineStr">
        <is>
          <t>IBON</t>
        </is>
      </c>
      <c r="C606" t="n">
        <v>7</v>
      </c>
      <c r="D606" s="2" t="n">
        <v>46230</v>
      </c>
      <c r="E606" t="inlineStr">
        <is>
          <t>IBON-7</t>
        </is>
      </c>
      <c r="F606" t="n">
        <v>84.95999999999999</v>
      </c>
      <c r="G606" t="n">
        <v>94.40000000000001</v>
      </c>
      <c r="H606" t="n">
        <v>282.6</v>
      </c>
      <c r="I606" t="n">
        <v>13.9</v>
      </c>
      <c r="J606" t="n">
        <v>4.68</v>
      </c>
      <c r="K606" t="n">
        <v>150</v>
      </c>
      <c r="L606" t="n">
        <v>61.1</v>
      </c>
      <c r="M606" t="n">
        <v>4.7</v>
      </c>
      <c r="N606" t="n">
        <v>261</v>
      </c>
    </row>
    <row r="607">
      <c r="A607" t="inlineStr">
        <is>
          <t>1310</t>
        </is>
      </c>
      <c r="B607" t="inlineStr">
        <is>
          <t>IBON</t>
        </is>
      </c>
      <c r="C607" t="n">
        <v>7</v>
      </c>
      <c r="D607" s="2" t="n">
        <v>46231</v>
      </c>
      <c r="E607" t="inlineStr">
        <is>
          <t>IBON-7</t>
        </is>
      </c>
      <c r="F607" t="n">
        <v>84.53</v>
      </c>
      <c r="G607" t="n">
        <v>93.90000000000001</v>
      </c>
      <c r="H607" t="n">
        <v>283.72</v>
      </c>
      <c r="I607" t="n">
        <v>14.1</v>
      </c>
      <c r="J607" t="n">
        <v>4.57</v>
      </c>
      <c r="K607" t="n">
        <v>145</v>
      </c>
      <c r="L607" t="n">
        <v>55.9</v>
      </c>
      <c r="M607" t="n">
        <v>4.5</v>
      </c>
      <c r="N607" t="n">
        <v>360</v>
      </c>
    </row>
    <row r="608">
      <c r="A608" t="inlineStr">
        <is>
          <t>1311</t>
        </is>
      </c>
      <c r="B608" t="inlineStr">
        <is>
          <t>2RS</t>
        </is>
      </c>
      <c r="C608" t="n">
        <v>7</v>
      </c>
      <c r="D608" s="2" t="n">
        <v>46232</v>
      </c>
      <c r="E608" t="inlineStr">
        <is>
          <t>2RS-7</t>
        </is>
      </c>
      <c r="F608" t="n">
        <v>84.98999999999999</v>
      </c>
      <c r="G608" t="n">
        <v>94.3</v>
      </c>
      <c r="H608" t="n">
        <v>285.76</v>
      </c>
      <c r="I608" t="n">
        <v>13.7</v>
      </c>
      <c r="J608" t="n">
        <v>4.25</v>
      </c>
      <c r="K608" t="n">
        <v>130</v>
      </c>
      <c r="L608" t="n">
        <v>85.09999999999999</v>
      </c>
      <c r="M608" t="n">
        <v>3.6</v>
      </c>
      <c r="N608" t="n">
        <v>188</v>
      </c>
    </row>
    <row r="609">
      <c r="A609" t="inlineStr">
        <is>
          <t>1312</t>
        </is>
      </c>
      <c r="B609" t="inlineStr">
        <is>
          <t>2RS</t>
        </is>
      </c>
      <c r="C609" t="n">
        <v>7</v>
      </c>
      <c r="D609" s="2" t="n">
        <v>46234</v>
      </c>
      <c r="E609" t="inlineStr">
        <is>
          <t>2RS-7</t>
        </is>
      </c>
      <c r="F609" t="n">
        <v>85.97</v>
      </c>
      <c r="G609" t="inlineStr"/>
      <c r="H609" t="n">
        <v>285.64</v>
      </c>
      <c r="I609" t="n">
        <v>13.4</v>
      </c>
      <c r="J609" t="inlineStr"/>
      <c r="K609" t="inlineStr"/>
      <c r="L609" t="inlineStr"/>
      <c r="M609" t="inlineStr"/>
      <c r="N609" t="inlineStr"/>
    </row>
    <row r="610">
      <c r="A610" t="inlineStr">
        <is>
          <t>1313</t>
        </is>
      </c>
      <c r="B610" t="inlineStr">
        <is>
          <t>2RS</t>
        </is>
      </c>
      <c r="C610" t="n">
        <v>8</v>
      </c>
      <c r="D610" s="2" t="n">
        <v>46235</v>
      </c>
      <c r="E610" t="inlineStr">
        <is>
          <t>2RS-8</t>
        </is>
      </c>
      <c r="F610" t="n">
        <v>85.88</v>
      </c>
      <c r="G610" t="inlineStr"/>
      <c r="H610" t="n">
        <v>285.68</v>
      </c>
      <c r="I610" t="n">
        <v>13</v>
      </c>
      <c r="J610" t="inlineStr"/>
      <c r="K610" t="inlineStr"/>
      <c r="L610" t="inlineStr"/>
      <c r="M610" t="inlineStr"/>
      <c r="N610" t="inlineStr"/>
    </row>
    <row r="611">
      <c r="A611" t="inlineStr">
        <is>
          <t>1314</t>
        </is>
      </c>
      <c r="B611" t="inlineStr">
        <is>
          <t>2RS</t>
        </is>
      </c>
      <c r="C611" t="n">
        <v>8</v>
      </c>
      <c r="D611" s="2" t="n">
        <v>46236</v>
      </c>
      <c r="E611" t="inlineStr">
        <is>
          <t>2RS-8</t>
        </is>
      </c>
      <c r="F611" t="n">
        <v>86.69</v>
      </c>
      <c r="G611" t="inlineStr"/>
      <c r="H611" t="n">
        <v>281.26</v>
      </c>
      <c r="I611" t="n">
        <v>13.6</v>
      </c>
      <c r="J611" t="inlineStr"/>
      <c r="K611" t="inlineStr"/>
      <c r="L611" t="inlineStr"/>
      <c r="M611" t="inlineStr"/>
      <c r="N611" t="inlineStr"/>
    </row>
    <row r="612">
      <c r="A612" t="inlineStr">
        <is>
          <t>1315</t>
        </is>
      </c>
      <c r="B612" t="inlineStr">
        <is>
          <t>2RS</t>
        </is>
      </c>
      <c r="C612" t="n">
        <v>8</v>
      </c>
      <c r="D612" s="2" t="n">
        <v>46237</v>
      </c>
      <c r="E612" t="inlineStr">
        <is>
          <t>2RS-8</t>
        </is>
      </c>
      <c r="F612" t="n">
        <v>85.3</v>
      </c>
      <c r="G612" t="inlineStr"/>
      <c r="H612" t="n">
        <v>285.81</v>
      </c>
      <c r="I612" t="n">
        <v>13.5</v>
      </c>
      <c r="J612" t="inlineStr"/>
      <c r="K612" t="inlineStr"/>
      <c r="L612" t="inlineStr"/>
      <c r="M612" t="inlineStr"/>
      <c r="N612" t="inlineStr"/>
    </row>
    <row r="613">
      <c r="A613" t="inlineStr">
        <is>
          <t>1316</t>
        </is>
      </c>
      <c r="B613" t="inlineStr">
        <is>
          <t>2RS</t>
        </is>
      </c>
      <c r="C613" t="n">
        <v>8</v>
      </c>
      <c r="D613" s="2" t="n">
        <v>46239</v>
      </c>
      <c r="E613" t="inlineStr">
        <is>
          <t>2RS-8</t>
        </is>
      </c>
      <c r="F613" t="inlineStr"/>
      <c r="G613" t="inlineStr"/>
      <c r="H613" t="n">
        <v>280.07</v>
      </c>
      <c r="I613" t="n">
        <v>13</v>
      </c>
      <c r="J613" t="inlineStr"/>
      <c r="K613" t="inlineStr"/>
      <c r="L613" t="inlineStr"/>
      <c r="M613" t="inlineStr"/>
      <c r="N613" t="inlineStr"/>
    </row>
    <row r="614">
      <c r="A614" t="inlineStr">
        <is>
          <t>1317</t>
        </is>
      </c>
      <c r="B614" t="inlineStr">
        <is>
          <t>2RS</t>
        </is>
      </c>
      <c r="C614" t="n">
        <v>8</v>
      </c>
      <c r="D614" s="2" t="n">
        <v>46241</v>
      </c>
      <c r="E614" t="inlineStr">
        <is>
          <t>2RS-8</t>
        </is>
      </c>
      <c r="F614" t="inlineStr"/>
      <c r="G614" t="inlineStr"/>
      <c r="H614" t="n">
        <v>279.86</v>
      </c>
      <c r="I614" t="n">
        <v>13</v>
      </c>
      <c r="J614" t="inlineStr"/>
      <c r="K614" t="inlineStr"/>
      <c r="L614" t="inlineStr"/>
      <c r="M614" t="inlineStr"/>
      <c r="N614" t="inlineStr"/>
    </row>
    <row r="615">
      <c r="A615" t="inlineStr">
        <is>
          <t>1318</t>
        </is>
      </c>
      <c r="B615" t="inlineStr">
        <is>
          <t>2RS</t>
        </is>
      </c>
      <c r="C615" t="n">
        <v>8</v>
      </c>
      <c r="D615" s="2" t="n">
        <v>46242</v>
      </c>
      <c r="E615" t="inlineStr">
        <is>
          <t>2RS-8</t>
        </is>
      </c>
      <c r="F615" t="inlineStr"/>
      <c r="G615" t="inlineStr"/>
      <c r="H615" t="n">
        <v>279.91</v>
      </c>
      <c r="I615" t="n">
        <v>12.8</v>
      </c>
      <c r="J615" t="inlineStr"/>
      <c r="K615" t="inlineStr"/>
      <c r="L615" t="inlineStr"/>
      <c r="M615" t="inlineStr"/>
      <c r="N615" t="inlineStr"/>
    </row>
    <row r="616">
      <c r="A616" t="inlineStr">
        <is>
          <t>1319</t>
        </is>
      </c>
      <c r="B616" t="inlineStr">
        <is>
          <t>2RS</t>
        </is>
      </c>
      <c r="C616" t="n">
        <v>8</v>
      </c>
      <c r="D616" s="2" t="n">
        <v>46243</v>
      </c>
      <c r="E616" t="inlineStr">
        <is>
          <t>2RS-8</t>
        </is>
      </c>
      <c r="F616" t="inlineStr"/>
      <c r="G616" t="inlineStr"/>
      <c r="H616" t="inlineStr"/>
      <c r="I616" t="n">
        <v>13.6</v>
      </c>
      <c r="J616" t="inlineStr"/>
      <c r="K616" t="inlineStr"/>
      <c r="L616" t="inlineStr"/>
      <c r="M616" t="inlineStr"/>
      <c r="N616" t="inlineStr"/>
    </row>
    <row r="617">
      <c r="A617" t="inlineStr">
        <is>
          <t>1320</t>
        </is>
      </c>
      <c r="B617" t="inlineStr">
        <is>
          <t>2RS</t>
        </is>
      </c>
      <c r="C617" t="n">
        <v>8</v>
      </c>
      <c r="D617" s="2" t="n">
        <v>46244</v>
      </c>
      <c r="E617" t="inlineStr">
        <is>
          <t>2RS-8</t>
        </is>
      </c>
      <c r="F617" t="inlineStr"/>
      <c r="G617" t="inlineStr"/>
      <c r="H617" t="n">
        <v>285.81</v>
      </c>
      <c r="I617" t="n">
        <v>13.1</v>
      </c>
      <c r="J617" t="inlineStr"/>
      <c r="K617" t="inlineStr"/>
      <c r="L617" t="inlineStr"/>
      <c r="M617" t="inlineStr"/>
      <c r="N617" t="inlineStr"/>
    </row>
    <row r="618">
      <c r="A618" t="inlineStr">
        <is>
          <t>1321</t>
        </is>
      </c>
      <c r="B618" t="inlineStr">
        <is>
          <t>2RS</t>
        </is>
      </c>
      <c r="C618" t="n">
        <v>8</v>
      </c>
      <c r="D618" s="2" t="n">
        <v>46246</v>
      </c>
      <c r="E618" t="inlineStr">
        <is>
          <t>2RS-8</t>
        </is>
      </c>
      <c r="F618" t="inlineStr"/>
      <c r="G618" t="inlineStr"/>
      <c r="H618" t="n">
        <v>287.14</v>
      </c>
      <c r="I618" t="inlineStr"/>
      <c r="J618" t="inlineStr"/>
      <c r="K618" t="inlineStr"/>
      <c r="L618" t="inlineStr"/>
      <c r="M618" t="inlineStr"/>
      <c r="N6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Nombre de couches par cahier des charges et par mois de fin de production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filtrees'!$F$2:$F$618,"&lt;&gt;")</f>
        <v/>
      </c>
      <c r="C3" s="7">
        <f>COUNTIFS('Data filtrees'!$B$2:$B$618,$A3,'Data filtrees'!$C$2:$C$618,2,'Data filtrees'!$F$2:$F$618,"&lt;&gt;")</f>
        <v/>
      </c>
      <c r="D3" s="7">
        <f>COUNTIFS('Data filtrees'!$B$2:$B$618,$A3,'Data filtrees'!$C$2:$C$618,3,'Data filtrees'!$F$2:$F$618,"&lt;&gt;")</f>
        <v/>
      </c>
      <c r="E3" s="7">
        <f>COUNTIFS('Data filtrees'!$B$2:$B$618,$A3,'Data filtrees'!$C$2:$C$618,4,'Data filtrees'!$F$2:$F$618,"&lt;&gt;")</f>
        <v/>
      </c>
      <c r="F3" s="7">
        <f>COUNTIFS('Data filtrees'!$B$2:$B$618,$A3,'Data filtrees'!$C$2:$C$618,5,'Data filtrees'!$F$2:$F$618,"&lt;&gt;")</f>
        <v/>
      </c>
      <c r="G3" s="7">
        <f>COUNTIFS('Data filtrees'!$B$2:$B$618,$A3,'Data filtrees'!$C$2:$C$618,6,'Data filtrees'!$F$2:$F$618,"&lt;&gt;")</f>
        <v/>
      </c>
      <c r="H3" s="7">
        <f>COUNTIFS('Data filtrees'!$B$2:$B$618,$A3,'Data filtrees'!$C$2:$C$618,7,'Data filtrees'!$F$2:$F$618,"&lt;&gt;")</f>
        <v/>
      </c>
      <c r="I3" s="7">
        <f>COUNTIFS('Data filtrees'!$B$2:$B$618,$A3,'Data filtrees'!$C$2:$C$618,8,'Data filtrees'!$F$2:$F$618,"&lt;&gt;")</f>
        <v/>
      </c>
      <c r="J3" s="7">
        <f>COUNTIFS('Data filtrees'!$B$2:$B$618,$A3,'Data filtrees'!$C$2:$C$618,9,'Data filtrees'!$F$2:$F$618,"&lt;&gt;")</f>
        <v/>
      </c>
      <c r="K3" s="7">
        <f>COUNTIFS('Data filtrees'!$B$2:$B$618,$A3,'Data filtrees'!$C$2:$C$618,10,'Data filtrees'!$F$2:$F$618,"&lt;&gt;")</f>
        <v/>
      </c>
      <c r="L3" s="7">
        <f>COUNTIFS('Data filtrees'!$B$2:$B$618,$A3,'Data filtrees'!$C$2:$C$618,11,'Data filtrees'!$F$2:$F$618,"&lt;&gt;")</f>
        <v/>
      </c>
      <c r="M3" s="7">
        <f>COUNTIFS('Data filtrees'!$B$2:$B$618,$A3,'Data filtrees'!$C$2:$C$618,12,'Data filtrees'!$F$2:$F$618,"&lt;&gt;")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filtrees'!$F$2:$F$618,"&lt;&gt;")</f>
        <v/>
      </c>
      <c r="C4" s="7">
        <f>COUNTIFS('Data filtrees'!$B$2:$B$618,$A4,'Data filtrees'!$C$2:$C$618,2,'Data filtrees'!$F$2:$F$618,"&lt;&gt;")</f>
        <v/>
      </c>
      <c r="D4" s="7">
        <f>COUNTIFS('Data filtrees'!$B$2:$B$618,$A4,'Data filtrees'!$C$2:$C$618,3,'Data filtrees'!$F$2:$F$618,"&lt;&gt;")</f>
        <v/>
      </c>
      <c r="E4" s="7">
        <f>COUNTIFS('Data filtrees'!$B$2:$B$618,$A4,'Data filtrees'!$C$2:$C$618,4,'Data filtrees'!$F$2:$F$618,"&lt;&gt;")</f>
        <v/>
      </c>
      <c r="F4" s="7">
        <f>COUNTIFS('Data filtrees'!$B$2:$B$618,$A4,'Data filtrees'!$C$2:$C$618,5,'Data filtrees'!$F$2:$F$618,"&lt;&gt;")</f>
        <v/>
      </c>
      <c r="G4" s="7">
        <f>COUNTIFS('Data filtrees'!$B$2:$B$618,$A4,'Data filtrees'!$C$2:$C$618,6,'Data filtrees'!$F$2:$F$618,"&lt;&gt;")</f>
        <v/>
      </c>
      <c r="H4" s="7">
        <f>COUNTIFS('Data filtrees'!$B$2:$B$618,$A4,'Data filtrees'!$C$2:$C$618,7,'Data filtrees'!$F$2:$F$618,"&lt;&gt;")</f>
        <v/>
      </c>
      <c r="I4" s="7">
        <f>COUNTIFS('Data filtrees'!$B$2:$B$618,$A4,'Data filtrees'!$C$2:$C$618,8,'Data filtrees'!$F$2:$F$618,"&lt;&gt;")</f>
        <v/>
      </c>
      <c r="J4" s="7">
        <f>COUNTIFS('Data filtrees'!$B$2:$B$618,$A4,'Data filtrees'!$C$2:$C$618,9,'Data filtrees'!$F$2:$F$618,"&lt;&gt;")</f>
        <v/>
      </c>
      <c r="K4" s="7">
        <f>COUNTIFS('Data filtrees'!$B$2:$B$618,$A4,'Data filtrees'!$C$2:$C$618,10,'Data filtrees'!$F$2:$F$618,"&lt;&gt;")</f>
        <v/>
      </c>
      <c r="L4" s="7">
        <f>COUNTIFS('Data filtrees'!$B$2:$B$618,$A4,'Data filtrees'!$C$2:$C$618,11,'Data filtrees'!$F$2:$F$618,"&lt;&gt;")</f>
        <v/>
      </c>
      <c r="M4" s="7">
        <f>COUNTIFS('Data filtrees'!$B$2:$B$618,$A4,'Data filtrees'!$C$2:$C$618,12,'Data filtrees'!$F$2:$F$618,"&lt;&gt;")</f>
        <v/>
      </c>
    </row>
    <row r="6">
      <c r="A6" s="8" t="inlineStr">
        <is>
          <t>Rouge = moins de 5 couches : la moyenne du casier n'est pas retenue, on prend celle du mois entier.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Rendement humide R2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filtrees'!$F$2:$F$618,"&lt;&gt;")</f>
        <v/>
      </c>
      <c r="C3" s="7">
        <f>COUNTIFS('Data filtrees'!$B$2:$B$618,$A3,'Data filtrees'!$C$2:$C$618,2,'Data filtrees'!$F$2:$F$618,"&lt;&gt;")</f>
        <v/>
      </c>
      <c r="D3" s="7">
        <f>COUNTIFS('Data filtrees'!$B$2:$B$618,$A3,'Data filtrees'!$C$2:$C$618,3,'Data filtrees'!$F$2:$F$618,"&lt;&gt;")</f>
        <v/>
      </c>
      <c r="E3" s="7">
        <f>COUNTIFS('Data filtrees'!$B$2:$B$618,$A3,'Data filtrees'!$C$2:$C$618,4,'Data filtrees'!$F$2:$F$618,"&lt;&gt;")</f>
        <v/>
      </c>
      <c r="F3" s="7">
        <f>COUNTIFS('Data filtrees'!$B$2:$B$618,$A3,'Data filtrees'!$C$2:$C$618,5,'Data filtrees'!$F$2:$F$618,"&lt;&gt;")</f>
        <v/>
      </c>
      <c r="G3" s="7">
        <f>COUNTIFS('Data filtrees'!$B$2:$B$618,$A3,'Data filtrees'!$C$2:$C$618,6,'Data filtrees'!$F$2:$F$618,"&lt;&gt;")</f>
        <v/>
      </c>
      <c r="H3" s="7">
        <f>COUNTIFS('Data filtrees'!$B$2:$B$618,$A3,'Data filtrees'!$C$2:$C$618,7,'Data filtrees'!$F$2:$F$618,"&lt;&gt;")</f>
        <v/>
      </c>
      <c r="I3" s="7">
        <f>COUNTIFS('Data filtrees'!$B$2:$B$618,$A3,'Data filtrees'!$C$2:$C$618,8,'Data filtrees'!$F$2:$F$618,"&lt;&gt;")</f>
        <v/>
      </c>
      <c r="J3" s="7">
        <f>COUNTIFS('Data filtrees'!$B$2:$B$618,$A3,'Data filtrees'!$C$2:$C$618,9,'Data filtrees'!$F$2:$F$618,"&lt;&gt;")</f>
        <v/>
      </c>
      <c r="K3" s="7">
        <f>COUNTIFS('Data filtrees'!$B$2:$B$618,$A3,'Data filtrees'!$C$2:$C$618,10,'Data filtrees'!$F$2:$F$618,"&lt;&gt;")</f>
        <v/>
      </c>
      <c r="L3" s="7">
        <f>COUNTIFS('Data filtrees'!$B$2:$B$618,$A3,'Data filtrees'!$C$2:$C$618,11,'Data filtrees'!$F$2:$F$618,"&lt;&gt;")</f>
        <v/>
      </c>
      <c r="M3" s="7">
        <f>COUNTIFS('Data filtrees'!$B$2:$B$618,$A3,'Data filtrees'!$C$2:$C$618,12,'Data filtrees'!$F$2:$F$618,"&lt;&gt;")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filtrees'!$F$2:$F$618,"&lt;&gt;")</f>
        <v/>
      </c>
      <c r="C4" s="7">
        <f>COUNTIFS('Data filtrees'!$B$2:$B$618,$A4,'Data filtrees'!$C$2:$C$618,2,'Data filtrees'!$F$2:$F$618,"&lt;&gt;")</f>
        <v/>
      </c>
      <c r="D4" s="7">
        <f>COUNTIFS('Data filtrees'!$B$2:$B$618,$A4,'Data filtrees'!$C$2:$C$618,3,'Data filtrees'!$F$2:$F$618,"&lt;&gt;")</f>
        <v/>
      </c>
      <c r="E4" s="7">
        <f>COUNTIFS('Data filtrees'!$B$2:$B$618,$A4,'Data filtrees'!$C$2:$C$618,4,'Data filtrees'!$F$2:$F$618,"&lt;&gt;")</f>
        <v/>
      </c>
      <c r="F4" s="7">
        <f>COUNTIFS('Data filtrees'!$B$2:$B$618,$A4,'Data filtrees'!$C$2:$C$618,5,'Data filtrees'!$F$2:$F$618,"&lt;&gt;")</f>
        <v/>
      </c>
      <c r="G4" s="7">
        <f>COUNTIFS('Data filtrees'!$B$2:$B$618,$A4,'Data filtrees'!$C$2:$C$618,6,'Data filtrees'!$F$2:$F$618,"&lt;&gt;")</f>
        <v/>
      </c>
      <c r="H4" s="7">
        <f>COUNTIFS('Data filtrees'!$B$2:$B$618,$A4,'Data filtrees'!$C$2:$C$618,7,'Data filtrees'!$F$2:$F$618,"&lt;&gt;")</f>
        <v/>
      </c>
      <c r="I4" s="7">
        <f>COUNTIFS('Data filtrees'!$B$2:$B$618,$A4,'Data filtrees'!$C$2:$C$618,8,'Data filtrees'!$F$2:$F$618,"&lt;&gt;")</f>
        <v/>
      </c>
      <c r="J4" s="7">
        <f>COUNTIFS('Data filtrees'!$B$2:$B$618,$A4,'Data filtrees'!$C$2:$C$618,9,'Data filtrees'!$F$2:$F$618,"&lt;&gt;")</f>
        <v/>
      </c>
      <c r="K4" s="7">
        <f>COUNTIFS('Data filtrees'!$B$2:$B$618,$A4,'Data filtrees'!$C$2:$C$618,10,'Data filtrees'!$F$2:$F$618,"&lt;&gt;")</f>
        <v/>
      </c>
      <c r="L4" s="7">
        <f>COUNTIFS('Data filtrees'!$B$2:$B$618,$A4,'Data filtrees'!$C$2:$C$618,11,'Data filtrees'!$F$2:$F$618,"&lt;&gt;")</f>
        <v/>
      </c>
      <c r="M4" s="7">
        <f>COUNTIFS('Data filtrees'!$B$2:$B$618,$A4,'Data filtrees'!$C$2:$C$618,12,'Data filtrees'!$F$2:$F$618,"&lt;&gt;")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filtrees'!$F$2:$F$618,'Data filtrees'!$B$2:$B$618,$A3,'Data filtrees'!$C$2:$C$618,1),AVERAGEIFS('Data filtrees'!$F$2:$F$618,'Data filtrees'!$C$2:$C$618,1))</f>
        <v/>
      </c>
      <c r="C7" s="7">
        <f>IF(C3&gt;=5,AVERAGEIFS('Data filtrees'!$F$2:$F$618,'Data filtrees'!$B$2:$B$618,$A3,'Data filtrees'!$C$2:$C$618,2),AVERAGEIFS('Data filtrees'!$F$2:$F$618,'Data filtrees'!$C$2:$C$618,2))</f>
        <v/>
      </c>
      <c r="D7" s="7">
        <f>IF(D3&gt;=5,AVERAGEIFS('Data filtrees'!$F$2:$F$618,'Data filtrees'!$B$2:$B$618,$A3,'Data filtrees'!$C$2:$C$618,3),AVERAGEIFS('Data filtrees'!$F$2:$F$618,'Data filtrees'!$C$2:$C$618,3))</f>
        <v/>
      </c>
      <c r="E7" s="7">
        <f>IF(E3&gt;=5,AVERAGEIFS('Data filtrees'!$F$2:$F$618,'Data filtrees'!$B$2:$B$618,$A3,'Data filtrees'!$C$2:$C$618,4),AVERAGEIFS('Data filtrees'!$F$2:$F$618,'Data filtrees'!$C$2:$C$618,4))</f>
        <v/>
      </c>
      <c r="F7" s="7">
        <f>IF(F3&gt;=5,AVERAGEIFS('Data filtrees'!$F$2:$F$618,'Data filtrees'!$B$2:$B$618,$A3,'Data filtrees'!$C$2:$C$618,5),AVERAGEIFS('Data filtrees'!$F$2:$F$618,'Data filtrees'!$C$2:$C$618,5))</f>
        <v/>
      </c>
      <c r="G7" s="7">
        <f>IF(G3&gt;=5,AVERAGEIFS('Data filtrees'!$F$2:$F$618,'Data filtrees'!$B$2:$B$618,$A3,'Data filtrees'!$C$2:$C$618,6),AVERAGEIFS('Data filtrees'!$F$2:$F$618,'Data filtrees'!$C$2:$C$618,6))</f>
        <v/>
      </c>
      <c r="H7" s="7">
        <f>IF(H3&gt;=5,AVERAGEIFS('Data filtrees'!$F$2:$F$618,'Data filtrees'!$B$2:$B$618,$A3,'Data filtrees'!$C$2:$C$618,7),AVERAGEIFS('Data filtrees'!$F$2:$F$618,'Data filtrees'!$C$2:$C$618,7))</f>
        <v/>
      </c>
      <c r="I7" s="7">
        <f>IF(I3&gt;=5,AVERAGEIFS('Data filtrees'!$F$2:$F$618,'Data filtrees'!$B$2:$B$618,$A3,'Data filtrees'!$C$2:$C$618,8),AVERAGEIFS('Data filtrees'!$F$2:$F$618,'Data filtrees'!$C$2:$C$618,8))</f>
        <v/>
      </c>
      <c r="J7" s="7">
        <f>IF(J3&gt;=5,AVERAGEIFS('Data filtrees'!$F$2:$F$618,'Data filtrees'!$B$2:$B$618,$A3,'Data filtrees'!$C$2:$C$618,9),AVERAGEIFS('Data filtrees'!$F$2:$F$618,'Data filtrees'!$C$2:$C$618,9))</f>
        <v/>
      </c>
      <c r="K7" s="7">
        <f>IF(K3&gt;=5,AVERAGEIFS('Data filtrees'!$F$2:$F$618,'Data filtrees'!$B$2:$B$618,$A3,'Data filtrees'!$C$2:$C$618,10),AVERAGEIFS('Data filtrees'!$F$2:$F$618,'Data filtrees'!$C$2:$C$618,10))</f>
        <v/>
      </c>
      <c r="L7" s="7">
        <f>IF(L3&gt;=5,AVERAGEIFS('Data filtrees'!$F$2:$F$618,'Data filtrees'!$B$2:$B$618,$A3,'Data filtrees'!$C$2:$C$618,11),AVERAGEIFS('Data filtrees'!$F$2:$F$618,'Data filtrees'!$C$2:$C$618,11))</f>
        <v/>
      </c>
      <c r="M7" s="7">
        <f>IF(M3&gt;=5,AVERAGEIFS('Data filtrees'!$F$2:$F$618,'Data filtrees'!$B$2:$B$618,$A3,'Data filtrees'!$C$2:$C$618,12),AVERAGEIFS('Data filtrees'!$F$2:$F$618,'Data filtrees'!$C$2:$C$618,12))</f>
        <v/>
      </c>
    </row>
    <row r="8">
      <c r="A8" s="6" t="inlineStr">
        <is>
          <t>IBON</t>
        </is>
      </c>
      <c r="B8" s="7">
        <f>IF(B4&gt;=5,AVERAGEIFS('Data filtrees'!$F$2:$F$618,'Data filtrees'!$B$2:$B$618,$A4,'Data filtrees'!$C$2:$C$618,1),AVERAGEIFS('Data filtrees'!$F$2:$F$618,'Data filtrees'!$C$2:$C$618,1))</f>
        <v/>
      </c>
      <c r="C8" s="7">
        <f>IF(C4&gt;=5,AVERAGEIFS('Data filtrees'!$F$2:$F$618,'Data filtrees'!$B$2:$B$618,$A4,'Data filtrees'!$C$2:$C$618,2),AVERAGEIFS('Data filtrees'!$F$2:$F$618,'Data filtrees'!$C$2:$C$618,2))</f>
        <v/>
      </c>
      <c r="D8" s="7">
        <f>IF(D4&gt;=5,AVERAGEIFS('Data filtrees'!$F$2:$F$618,'Data filtrees'!$B$2:$B$618,$A4,'Data filtrees'!$C$2:$C$618,3),AVERAGEIFS('Data filtrees'!$F$2:$F$618,'Data filtrees'!$C$2:$C$618,3))</f>
        <v/>
      </c>
      <c r="E8" s="7">
        <f>IF(E4&gt;=5,AVERAGEIFS('Data filtrees'!$F$2:$F$618,'Data filtrees'!$B$2:$B$618,$A4,'Data filtrees'!$C$2:$C$618,4),AVERAGEIFS('Data filtrees'!$F$2:$F$618,'Data filtrees'!$C$2:$C$618,4))</f>
        <v/>
      </c>
      <c r="F8" s="7">
        <f>IF(F4&gt;=5,AVERAGEIFS('Data filtrees'!$F$2:$F$618,'Data filtrees'!$B$2:$B$618,$A4,'Data filtrees'!$C$2:$C$618,5),AVERAGEIFS('Data filtrees'!$F$2:$F$618,'Data filtrees'!$C$2:$C$618,5))</f>
        <v/>
      </c>
      <c r="G8" s="7">
        <f>IF(G4&gt;=5,AVERAGEIFS('Data filtrees'!$F$2:$F$618,'Data filtrees'!$B$2:$B$618,$A4,'Data filtrees'!$C$2:$C$618,6),AVERAGEIFS('Data filtrees'!$F$2:$F$618,'Data filtrees'!$C$2:$C$618,6))</f>
        <v/>
      </c>
      <c r="H8" s="7">
        <f>IF(H4&gt;=5,AVERAGEIFS('Data filtrees'!$F$2:$F$618,'Data filtrees'!$B$2:$B$618,$A4,'Data filtrees'!$C$2:$C$618,7),AVERAGEIFS('Data filtrees'!$F$2:$F$618,'Data filtrees'!$C$2:$C$618,7))</f>
        <v/>
      </c>
      <c r="I8" s="7">
        <f>IF(I4&gt;=5,AVERAGEIFS('Data filtrees'!$F$2:$F$618,'Data filtrees'!$B$2:$B$618,$A4,'Data filtrees'!$C$2:$C$618,8),AVERAGEIFS('Data filtrees'!$F$2:$F$618,'Data filtrees'!$C$2:$C$618,8))</f>
        <v/>
      </c>
      <c r="J8" s="7">
        <f>IF(J4&gt;=5,AVERAGEIFS('Data filtrees'!$F$2:$F$618,'Data filtrees'!$B$2:$B$618,$A4,'Data filtrees'!$C$2:$C$618,9),AVERAGEIFS('Data filtrees'!$F$2:$F$618,'Data filtrees'!$C$2:$C$618,9))</f>
        <v/>
      </c>
      <c r="K8" s="7">
        <f>IF(K4&gt;=5,AVERAGEIFS('Data filtrees'!$F$2:$F$618,'Data filtrees'!$B$2:$B$618,$A4,'Data filtrees'!$C$2:$C$618,10),AVERAGEIFS('Data filtrees'!$F$2:$F$618,'Data filtrees'!$C$2:$C$618,10))</f>
        <v/>
      </c>
      <c r="L8" s="7">
        <f>IF(L4&gt;=5,AVERAGEIFS('Data filtrees'!$F$2:$F$618,'Data filtrees'!$B$2:$B$618,$A4,'Data filtrees'!$C$2:$C$618,11),AVERAGEIFS('Data filtrees'!$F$2:$F$618,'Data filtrees'!$C$2:$C$618,11))</f>
        <v/>
      </c>
      <c r="M8" s="7">
        <f>IF(M4&gt;=5,AVERAGEIFS('Data filtrees'!$F$2:$F$618,'Data filtrees'!$B$2:$B$618,$A4,'Data filtrees'!$C$2:$C$618,12),AVERAGEIFS('Data filtrees'!$F$2:$F$618,'Data filtrees'!$C$2:$C$618,12))</f>
        <v/>
      </c>
    </row>
    <row r="9">
      <c r="A9" s="9" t="inlineStr">
        <is>
          <t>monthly_average</t>
        </is>
      </c>
      <c r="B9" s="10">
        <f>AVERAGEIFS('Data filtrees'!$F$2:$F$618,'Data filtrees'!$C$2:$C$618,1)</f>
        <v/>
      </c>
      <c r="C9" s="10">
        <f>AVERAGEIFS('Data filtrees'!$F$2:$F$618,'Data filtrees'!$C$2:$C$618,2)</f>
        <v/>
      </c>
      <c r="D9" s="10">
        <f>AVERAGEIFS('Data filtrees'!$F$2:$F$618,'Data filtrees'!$C$2:$C$618,3)</f>
        <v/>
      </c>
      <c r="E9" s="10">
        <f>AVERAGEIFS('Data filtrees'!$F$2:$F$618,'Data filtrees'!$C$2:$C$618,4)</f>
        <v/>
      </c>
      <c r="F9" s="10">
        <f>AVERAGEIFS('Data filtrees'!$F$2:$F$618,'Data filtrees'!$C$2:$C$618,5)</f>
        <v/>
      </c>
      <c r="G9" s="10">
        <f>AVERAGEIFS('Data filtrees'!$F$2:$F$618,'Data filtrees'!$C$2:$C$618,6)</f>
        <v/>
      </c>
      <c r="H9" s="10">
        <f>AVERAGEIFS('Data filtrees'!$F$2:$F$618,'Data filtrees'!$C$2:$C$618,7)</f>
        <v/>
      </c>
      <c r="I9" s="10">
        <f>AVERAGEIFS('Data filtrees'!$F$2:$F$618,'Data filtrees'!$C$2:$C$618,8)</f>
        <v/>
      </c>
      <c r="J9" s="10">
        <f>AVERAGEIFS('Data filtrees'!$F$2:$F$618,'Data filtrees'!$C$2:$C$618,9)</f>
        <v/>
      </c>
      <c r="K9" s="10">
        <f>AVERAGEIFS('Data filtrees'!$F$2:$F$618,'Data filtrees'!$C$2:$C$618,10)</f>
        <v/>
      </c>
      <c r="L9" s="10">
        <f>AVERAGEIFS('Data filtrees'!$F$2:$F$618,'Data filtrees'!$C$2:$C$618,11)</f>
        <v/>
      </c>
      <c r="M9" s="10">
        <f>AVERAGEIFS('Data filtrees'!$F$2:$F$618,'Data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Rendement sec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filtrees'!$G$2:$G$618,"&lt;&gt;")</f>
        <v/>
      </c>
      <c r="C3" s="7">
        <f>COUNTIFS('Data filtrees'!$B$2:$B$618,$A3,'Data filtrees'!$C$2:$C$618,2,'Data filtrees'!$G$2:$G$618,"&lt;&gt;")</f>
        <v/>
      </c>
      <c r="D3" s="7">
        <f>COUNTIFS('Data filtrees'!$B$2:$B$618,$A3,'Data filtrees'!$C$2:$C$618,3,'Data filtrees'!$G$2:$G$618,"&lt;&gt;")</f>
        <v/>
      </c>
      <c r="E3" s="7">
        <f>COUNTIFS('Data filtrees'!$B$2:$B$618,$A3,'Data filtrees'!$C$2:$C$618,4,'Data filtrees'!$G$2:$G$618,"&lt;&gt;")</f>
        <v/>
      </c>
      <c r="F3" s="7">
        <f>COUNTIFS('Data filtrees'!$B$2:$B$618,$A3,'Data filtrees'!$C$2:$C$618,5,'Data filtrees'!$G$2:$G$618,"&lt;&gt;")</f>
        <v/>
      </c>
      <c r="G3" s="7">
        <f>COUNTIFS('Data filtrees'!$B$2:$B$618,$A3,'Data filtrees'!$C$2:$C$618,6,'Data filtrees'!$G$2:$G$618,"&lt;&gt;")</f>
        <v/>
      </c>
      <c r="H3" s="7">
        <f>COUNTIFS('Data filtrees'!$B$2:$B$618,$A3,'Data filtrees'!$C$2:$C$618,7,'Data filtrees'!$G$2:$G$618,"&lt;&gt;")</f>
        <v/>
      </c>
      <c r="I3" s="7">
        <f>COUNTIFS('Data filtrees'!$B$2:$B$618,$A3,'Data filtrees'!$C$2:$C$618,8,'Data filtrees'!$G$2:$G$618,"&lt;&gt;")</f>
        <v/>
      </c>
      <c r="J3" s="7">
        <f>COUNTIFS('Data filtrees'!$B$2:$B$618,$A3,'Data filtrees'!$C$2:$C$618,9,'Data filtrees'!$G$2:$G$618,"&lt;&gt;")</f>
        <v/>
      </c>
      <c r="K3" s="7">
        <f>COUNTIFS('Data filtrees'!$B$2:$B$618,$A3,'Data filtrees'!$C$2:$C$618,10,'Data filtrees'!$G$2:$G$618,"&lt;&gt;")</f>
        <v/>
      </c>
      <c r="L3" s="7">
        <f>COUNTIFS('Data filtrees'!$B$2:$B$618,$A3,'Data filtrees'!$C$2:$C$618,11,'Data filtrees'!$G$2:$G$618,"&lt;&gt;")</f>
        <v/>
      </c>
      <c r="M3" s="7">
        <f>COUNTIFS('Data filtrees'!$B$2:$B$618,$A3,'Data filtrees'!$C$2:$C$618,12,'Data filtrees'!$G$2:$G$618,"&lt;&gt;")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filtrees'!$G$2:$G$618,"&lt;&gt;")</f>
        <v/>
      </c>
      <c r="C4" s="7">
        <f>COUNTIFS('Data filtrees'!$B$2:$B$618,$A4,'Data filtrees'!$C$2:$C$618,2,'Data filtrees'!$G$2:$G$618,"&lt;&gt;")</f>
        <v/>
      </c>
      <c r="D4" s="7">
        <f>COUNTIFS('Data filtrees'!$B$2:$B$618,$A4,'Data filtrees'!$C$2:$C$618,3,'Data filtrees'!$G$2:$G$618,"&lt;&gt;")</f>
        <v/>
      </c>
      <c r="E4" s="7">
        <f>COUNTIFS('Data filtrees'!$B$2:$B$618,$A4,'Data filtrees'!$C$2:$C$618,4,'Data filtrees'!$G$2:$G$618,"&lt;&gt;")</f>
        <v/>
      </c>
      <c r="F4" s="7">
        <f>COUNTIFS('Data filtrees'!$B$2:$B$618,$A4,'Data filtrees'!$C$2:$C$618,5,'Data filtrees'!$G$2:$G$618,"&lt;&gt;")</f>
        <v/>
      </c>
      <c r="G4" s="7">
        <f>COUNTIFS('Data filtrees'!$B$2:$B$618,$A4,'Data filtrees'!$C$2:$C$618,6,'Data filtrees'!$G$2:$G$618,"&lt;&gt;")</f>
        <v/>
      </c>
      <c r="H4" s="7">
        <f>COUNTIFS('Data filtrees'!$B$2:$B$618,$A4,'Data filtrees'!$C$2:$C$618,7,'Data filtrees'!$G$2:$G$618,"&lt;&gt;")</f>
        <v/>
      </c>
      <c r="I4" s="7">
        <f>COUNTIFS('Data filtrees'!$B$2:$B$618,$A4,'Data filtrees'!$C$2:$C$618,8,'Data filtrees'!$G$2:$G$618,"&lt;&gt;")</f>
        <v/>
      </c>
      <c r="J4" s="7">
        <f>COUNTIFS('Data filtrees'!$B$2:$B$618,$A4,'Data filtrees'!$C$2:$C$618,9,'Data filtrees'!$G$2:$G$618,"&lt;&gt;")</f>
        <v/>
      </c>
      <c r="K4" s="7">
        <f>COUNTIFS('Data filtrees'!$B$2:$B$618,$A4,'Data filtrees'!$C$2:$C$618,10,'Data filtrees'!$G$2:$G$618,"&lt;&gt;")</f>
        <v/>
      </c>
      <c r="L4" s="7">
        <f>COUNTIFS('Data filtrees'!$B$2:$B$618,$A4,'Data filtrees'!$C$2:$C$618,11,'Data filtrees'!$G$2:$G$618,"&lt;&gt;")</f>
        <v/>
      </c>
      <c r="M4" s="7">
        <f>COUNTIFS('Data filtrees'!$B$2:$B$618,$A4,'Data filtrees'!$C$2:$C$618,12,'Data filtrees'!$G$2:$G$618,"&lt;&gt;")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filtrees'!$G$2:$G$618,'Data filtrees'!$B$2:$B$618,$A3,'Data filtrees'!$C$2:$C$618,1),AVERAGEIFS('Data filtrees'!$G$2:$G$618,'Data filtrees'!$C$2:$C$618,1))</f>
        <v/>
      </c>
      <c r="C7" s="7">
        <f>IF(C3&gt;=5,AVERAGEIFS('Data filtrees'!$G$2:$G$618,'Data filtrees'!$B$2:$B$618,$A3,'Data filtrees'!$C$2:$C$618,2),AVERAGEIFS('Data filtrees'!$G$2:$G$618,'Data filtrees'!$C$2:$C$618,2))</f>
        <v/>
      </c>
      <c r="D7" s="7">
        <f>IF(D3&gt;=5,AVERAGEIFS('Data filtrees'!$G$2:$G$618,'Data filtrees'!$B$2:$B$618,$A3,'Data filtrees'!$C$2:$C$618,3),AVERAGEIFS('Data filtrees'!$G$2:$G$618,'Data filtrees'!$C$2:$C$618,3))</f>
        <v/>
      </c>
      <c r="E7" s="7">
        <f>IF(E3&gt;=5,AVERAGEIFS('Data filtrees'!$G$2:$G$618,'Data filtrees'!$B$2:$B$618,$A3,'Data filtrees'!$C$2:$C$618,4),AVERAGEIFS('Data filtrees'!$G$2:$G$618,'Data filtrees'!$C$2:$C$618,4))</f>
        <v/>
      </c>
      <c r="F7" s="7">
        <f>IF(F3&gt;=5,AVERAGEIFS('Data filtrees'!$G$2:$G$618,'Data filtrees'!$B$2:$B$618,$A3,'Data filtrees'!$C$2:$C$618,5),AVERAGEIFS('Data filtrees'!$G$2:$G$618,'Data filtrees'!$C$2:$C$618,5))</f>
        <v/>
      </c>
      <c r="G7" s="7">
        <f>IF(G3&gt;=5,AVERAGEIFS('Data filtrees'!$G$2:$G$618,'Data filtrees'!$B$2:$B$618,$A3,'Data filtrees'!$C$2:$C$618,6),AVERAGEIFS('Data filtrees'!$G$2:$G$618,'Data filtrees'!$C$2:$C$618,6))</f>
        <v/>
      </c>
      <c r="H7" s="7">
        <f>IF(H3&gt;=5,AVERAGEIFS('Data filtrees'!$G$2:$G$618,'Data filtrees'!$B$2:$B$618,$A3,'Data filtrees'!$C$2:$C$618,7),AVERAGEIFS('Data filtrees'!$G$2:$G$618,'Data filtrees'!$C$2:$C$618,7))</f>
        <v/>
      </c>
      <c r="I7" s="7">
        <f>IF(I3&gt;=5,AVERAGEIFS('Data filtrees'!$G$2:$G$618,'Data filtrees'!$B$2:$B$618,$A3,'Data filtrees'!$C$2:$C$618,8),AVERAGEIFS('Data filtrees'!$G$2:$G$618,'Data filtrees'!$C$2:$C$618,8))</f>
        <v/>
      </c>
      <c r="J7" s="7">
        <f>IF(J3&gt;=5,AVERAGEIFS('Data filtrees'!$G$2:$G$618,'Data filtrees'!$B$2:$B$618,$A3,'Data filtrees'!$C$2:$C$618,9),AVERAGEIFS('Data filtrees'!$G$2:$G$618,'Data filtrees'!$C$2:$C$618,9))</f>
        <v/>
      </c>
      <c r="K7" s="7">
        <f>IF(K3&gt;=5,AVERAGEIFS('Data filtrees'!$G$2:$G$618,'Data filtrees'!$B$2:$B$618,$A3,'Data filtrees'!$C$2:$C$618,10),AVERAGEIFS('Data filtrees'!$G$2:$G$618,'Data filtrees'!$C$2:$C$618,10))</f>
        <v/>
      </c>
      <c r="L7" s="7">
        <f>IF(L3&gt;=5,AVERAGEIFS('Data filtrees'!$G$2:$G$618,'Data filtrees'!$B$2:$B$618,$A3,'Data filtrees'!$C$2:$C$618,11),AVERAGEIFS('Data filtrees'!$G$2:$G$618,'Data filtrees'!$C$2:$C$618,11))</f>
        <v/>
      </c>
      <c r="M7" s="7">
        <f>IF(M3&gt;=5,AVERAGEIFS('Data filtrees'!$G$2:$G$618,'Data filtrees'!$B$2:$B$618,$A3,'Data filtrees'!$C$2:$C$618,12),AVERAGEIFS('Data filtrees'!$G$2:$G$618,'Data filtrees'!$C$2:$C$618,12))</f>
        <v/>
      </c>
    </row>
    <row r="8">
      <c r="A8" s="6" t="inlineStr">
        <is>
          <t>IBON</t>
        </is>
      </c>
      <c r="B8" s="7">
        <f>IF(B4&gt;=5,AVERAGEIFS('Data filtrees'!$G$2:$G$618,'Data filtrees'!$B$2:$B$618,$A4,'Data filtrees'!$C$2:$C$618,1),AVERAGEIFS('Data filtrees'!$G$2:$G$618,'Data filtrees'!$C$2:$C$618,1))</f>
        <v/>
      </c>
      <c r="C8" s="7">
        <f>IF(C4&gt;=5,AVERAGEIFS('Data filtrees'!$G$2:$G$618,'Data filtrees'!$B$2:$B$618,$A4,'Data filtrees'!$C$2:$C$618,2),AVERAGEIFS('Data filtrees'!$G$2:$G$618,'Data filtrees'!$C$2:$C$618,2))</f>
        <v/>
      </c>
      <c r="D8" s="7">
        <f>IF(D4&gt;=5,AVERAGEIFS('Data filtrees'!$G$2:$G$618,'Data filtrees'!$B$2:$B$618,$A4,'Data filtrees'!$C$2:$C$618,3),AVERAGEIFS('Data filtrees'!$G$2:$G$618,'Data filtrees'!$C$2:$C$618,3))</f>
        <v/>
      </c>
      <c r="E8" s="7">
        <f>IF(E4&gt;=5,AVERAGEIFS('Data filtrees'!$G$2:$G$618,'Data filtrees'!$B$2:$B$618,$A4,'Data filtrees'!$C$2:$C$618,4),AVERAGEIFS('Data filtrees'!$G$2:$G$618,'Data filtrees'!$C$2:$C$618,4))</f>
        <v/>
      </c>
      <c r="F8" s="7">
        <f>IF(F4&gt;=5,AVERAGEIFS('Data filtrees'!$G$2:$G$618,'Data filtrees'!$B$2:$B$618,$A4,'Data filtrees'!$C$2:$C$618,5),AVERAGEIFS('Data filtrees'!$G$2:$G$618,'Data filtrees'!$C$2:$C$618,5))</f>
        <v/>
      </c>
      <c r="G8" s="7">
        <f>IF(G4&gt;=5,AVERAGEIFS('Data filtrees'!$G$2:$G$618,'Data filtrees'!$B$2:$B$618,$A4,'Data filtrees'!$C$2:$C$618,6),AVERAGEIFS('Data filtrees'!$G$2:$G$618,'Data filtrees'!$C$2:$C$618,6))</f>
        <v/>
      </c>
      <c r="H8" s="7">
        <f>IF(H4&gt;=5,AVERAGEIFS('Data filtrees'!$G$2:$G$618,'Data filtrees'!$B$2:$B$618,$A4,'Data filtrees'!$C$2:$C$618,7),AVERAGEIFS('Data filtrees'!$G$2:$G$618,'Data filtrees'!$C$2:$C$618,7))</f>
        <v/>
      </c>
      <c r="I8" s="7">
        <f>IF(I4&gt;=5,AVERAGEIFS('Data filtrees'!$G$2:$G$618,'Data filtrees'!$B$2:$B$618,$A4,'Data filtrees'!$C$2:$C$618,8),AVERAGEIFS('Data filtrees'!$G$2:$G$618,'Data filtrees'!$C$2:$C$618,8))</f>
        <v/>
      </c>
      <c r="J8" s="7">
        <f>IF(J4&gt;=5,AVERAGEIFS('Data filtrees'!$G$2:$G$618,'Data filtrees'!$B$2:$B$618,$A4,'Data filtrees'!$C$2:$C$618,9),AVERAGEIFS('Data filtrees'!$G$2:$G$618,'Data filtrees'!$C$2:$C$618,9))</f>
        <v/>
      </c>
      <c r="K8" s="7">
        <f>IF(K4&gt;=5,AVERAGEIFS('Data filtrees'!$G$2:$G$618,'Data filtrees'!$B$2:$B$618,$A4,'Data filtrees'!$C$2:$C$618,10),AVERAGEIFS('Data filtrees'!$G$2:$G$618,'Data filtrees'!$C$2:$C$618,10))</f>
        <v/>
      </c>
      <c r="L8" s="7">
        <f>IF(L4&gt;=5,AVERAGEIFS('Data filtrees'!$G$2:$G$618,'Data filtrees'!$B$2:$B$618,$A4,'Data filtrees'!$C$2:$C$618,11),AVERAGEIFS('Data filtrees'!$G$2:$G$618,'Data filtrees'!$C$2:$C$618,11))</f>
        <v/>
      </c>
      <c r="M8" s="7">
        <f>IF(M4&gt;=5,AVERAGEIFS('Data filtrees'!$G$2:$G$618,'Data filtrees'!$B$2:$B$618,$A4,'Data filtrees'!$C$2:$C$618,12),AVERAGEIFS('Data filtrees'!$G$2:$G$618,'Data filtrees'!$C$2:$C$618,12))</f>
        <v/>
      </c>
    </row>
    <row r="9">
      <c r="A9" s="9" t="inlineStr">
        <is>
          <t>monthly_average</t>
        </is>
      </c>
      <c r="B9" s="10">
        <f>AVERAGEIFS('Data filtrees'!$G$2:$G$618,'Data filtrees'!$C$2:$C$618,1)</f>
        <v/>
      </c>
      <c r="C9" s="10">
        <f>AVERAGEIFS('Data filtrees'!$G$2:$G$618,'Data filtrees'!$C$2:$C$618,2)</f>
        <v/>
      </c>
      <c r="D9" s="10">
        <f>AVERAGEIFS('Data filtrees'!$G$2:$G$618,'Data filtrees'!$C$2:$C$618,3)</f>
        <v/>
      </c>
      <c r="E9" s="10">
        <f>AVERAGEIFS('Data filtrees'!$G$2:$G$618,'Data filtrees'!$C$2:$C$618,4)</f>
        <v/>
      </c>
      <c r="F9" s="10">
        <f>AVERAGEIFS('Data filtrees'!$G$2:$G$618,'Data filtrees'!$C$2:$C$618,5)</f>
        <v/>
      </c>
      <c r="G9" s="10">
        <f>AVERAGEIFS('Data filtrees'!$G$2:$G$618,'Data filtrees'!$C$2:$C$618,6)</f>
        <v/>
      </c>
      <c r="H9" s="10">
        <f>AVERAGEIFS('Data filtrees'!$G$2:$G$618,'Data filtrees'!$C$2:$C$618,7)</f>
        <v/>
      </c>
      <c r="I9" s="10">
        <f>AVERAGEIFS('Data filtrees'!$G$2:$G$618,'Data filtrees'!$C$2:$C$618,8)</f>
        <v/>
      </c>
      <c r="J9" s="10">
        <f>AVERAGEIFS('Data filtrees'!$G$2:$G$618,'Data filtrees'!$C$2:$C$618,9)</f>
        <v/>
      </c>
      <c r="K9" s="10">
        <f>AVERAGEIFS('Data filtrees'!$G$2:$G$618,'Data filtrees'!$C$2:$C$618,10)</f>
        <v/>
      </c>
      <c r="L9" s="10">
        <f>AVERAGEIFS('Data filtrees'!$G$2:$G$618,'Data filtrees'!$C$2:$C$618,11)</f>
        <v/>
      </c>
      <c r="M9" s="10">
        <f>AVERAGEIFS('Data filtrees'!$G$2:$G$618,'Data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Poids d'orge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filtrees'!$H$2:$H$618,"&lt;&gt;")</f>
        <v/>
      </c>
      <c r="C3" s="7">
        <f>COUNTIFS('Data filtrees'!$B$2:$B$618,$A3,'Data filtrees'!$C$2:$C$618,2,'Data filtrees'!$H$2:$H$618,"&lt;&gt;")</f>
        <v/>
      </c>
      <c r="D3" s="7">
        <f>COUNTIFS('Data filtrees'!$B$2:$B$618,$A3,'Data filtrees'!$C$2:$C$618,3,'Data filtrees'!$H$2:$H$618,"&lt;&gt;")</f>
        <v/>
      </c>
      <c r="E3" s="7">
        <f>COUNTIFS('Data filtrees'!$B$2:$B$618,$A3,'Data filtrees'!$C$2:$C$618,4,'Data filtrees'!$H$2:$H$618,"&lt;&gt;")</f>
        <v/>
      </c>
      <c r="F3" s="7">
        <f>COUNTIFS('Data filtrees'!$B$2:$B$618,$A3,'Data filtrees'!$C$2:$C$618,5,'Data filtrees'!$H$2:$H$618,"&lt;&gt;")</f>
        <v/>
      </c>
      <c r="G3" s="7">
        <f>COUNTIFS('Data filtrees'!$B$2:$B$618,$A3,'Data filtrees'!$C$2:$C$618,6,'Data filtrees'!$H$2:$H$618,"&lt;&gt;")</f>
        <v/>
      </c>
      <c r="H3" s="7">
        <f>COUNTIFS('Data filtrees'!$B$2:$B$618,$A3,'Data filtrees'!$C$2:$C$618,7,'Data filtrees'!$H$2:$H$618,"&lt;&gt;")</f>
        <v/>
      </c>
      <c r="I3" s="7">
        <f>COUNTIFS('Data filtrees'!$B$2:$B$618,$A3,'Data filtrees'!$C$2:$C$618,8,'Data filtrees'!$H$2:$H$618,"&lt;&gt;")</f>
        <v/>
      </c>
      <c r="J3" s="7">
        <f>COUNTIFS('Data filtrees'!$B$2:$B$618,$A3,'Data filtrees'!$C$2:$C$618,9,'Data filtrees'!$H$2:$H$618,"&lt;&gt;")</f>
        <v/>
      </c>
      <c r="K3" s="7">
        <f>COUNTIFS('Data filtrees'!$B$2:$B$618,$A3,'Data filtrees'!$C$2:$C$618,10,'Data filtrees'!$H$2:$H$618,"&lt;&gt;")</f>
        <v/>
      </c>
      <c r="L3" s="7">
        <f>COUNTIFS('Data filtrees'!$B$2:$B$618,$A3,'Data filtrees'!$C$2:$C$618,11,'Data filtrees'!$H$2:$H$618,"&lt;&gt;")</f>
        <v/>
      </c>
      <c r="M3" s="7">
        <f>COUNTIFS('Data filtrees'!$B$2:$B$618,$A3,'Data filtrees'!$C$2:$C$618,12,'Data filtrees'!$H$2:$H$618,"&lt;&gt;")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filtrees'!$H$2:$H$618,"&lt;&gt;")</f>
        <v/>
      </c>
      <c r="C4" s="7">
        <f>COUNTIFS('Data filtrees'!$B$2:$B$618,$A4,'Data filtrees'!$C$2:$C$618,2,'Data filtrees'!$H$2:$H$618,"&lt;&gt;")</f>
        <v/>
      </c>
      <c r="D4" s="7">
        <f>COUNTIFS('Data filtrees'!$B$2:$B$618,$A4,'Data filtrees'!$C$2:$C$618,3,'Data filtrees'!$H$2:$H$618,"&lt;&gt;")</f>
        <v/>
      </c>
      <c r="E4" s="7">
        <f>COUNTIFS('Data filtrees'!$B$2:$B$618,$A4,'Data filtrees'!$C$2:$C$618,4,'Data filtrees'!$H$2:$H$618,"&lt;&gt;")</f>
        <v/>
      </c>
      <c r="F4" s="7">
        <f>COUNTIFS('Data filtrees'!$B$2:$B$618,$A4,'Data filtrees'!$C$2:$C$618,5,'Data filtrees'!$H$2:$H$618,"&lt;&gt;")</f>
        <v/>
      </c>
      <c r="G4" s="7">
        <f>COUNTIFS('Data filtrees'!$B$2:$B$618,$A4,'Data filtrees'!$C$2:$C$618,6,'Data filtrees'!$H$2:$H$618,"&lt;&gt;")</f>
        <v/>
      </c>
      <c r="H4" s="7">
        <f>COUNTIFS('Data filtrees'!$B$2:$B$618,$A4,'Data filtrees'!$C$2:$C$618,7,'Data filtrees'!$H$2:$H$618,"&lt;&gt;")</f>
        <v/>
      </c>
      <c r="I4" s="7">
        <f>COUNTIFS('Data filtrees'!$B$2:$B$618,$A4,'Data filtrees'!$C$2:$C$618,8,'Data filtrees'!$H$2:$H$618,"&lt;&gt;")</f>
        <v/>
      </c>
      <c r="J4" s="7">
        <f>COUNTIFS('Data filtrees'!$B$2:$B$618,$A4,'Data filtrees'!$C$2:$C$618,9,'Data filtrees'!$H$2:$H$618,"&lt;&gt;")</f>
        <v/>
      </c>
      <c r="K4" s="7">
        <f>COUNTIFS('Data filtrees'!$B$2:$B$618,$A4,'Data filtrees'!$C$2:$C$618,10,'Data filtrees'!$H$2:$H$618,"&lt;&gt;")</f>
        <v/>
      </c>
      <c r="L4" s="7">
        <f>COUNTIFS('Data filtrees'!$B$2:$B$618,$A4,'Data filtrees'!$C$2:$C$618,11,'Data filtrees'!$H$2:$H$618,"&lt;&gt;")</f>
        <v/>
      </c>
      <c r="M4" s="7">
        <f>COUNTIFS('Data filtrees'!$B$2:$B$618,$A4,'Data filtrees'!$C$2:$C$618,12,'Data filtrees'!$H$2:$H$618,"&lt;&gt;")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filtrees'!$H$2:$H$618,'Data filtrees'!$B$2:$B$618,$A3,'Data filtrees'!$C$2:$C$618,1),AVERAGEIFS('Data filtrees'!$H$2:$H$618,'Data filtrees'!$C$2:$C$618,1))</f>
        <v/>
      </c>
      <c r="C7" s="7">
        <f>IF(C3&gt;=5,AVERAGEIFS('Data filtrees'!$H$2:$H$618,'Data filtrees'!$B$2:$B$618,$A3,'Data filtrees'!$C$2:$C$618,2),AVERAGEIFS('Data filtrees'!$H$2:$H$618,'Data filtrees'!$C$2:$C$618,2))</f>
        <v/>
      </c>
      <c r="D7" s="7">
        <f>IF(D3&gt;=5,AVERAGEIFS('Data filtrees'!$H$2:$H$618,'Data filtrees'!$B$2:$B$618,$A3,'Data filtrees'!$C$2:$C$618,3),AVERAGEIFS('Data filtrees'!$H$2:$H$618,'Data filtrees'!$C$2:$C$618,3))</f>
        <v/>
      </c>
      <c r="E7" s="7">
        <f>IF(E3&gt;=5,AVERAGEIFS('Data filtrees'!$H$2:$H$618,'Data filtrees'!$B$2:$B$618,$A3,'Data filtrees'!$C$2:$C$618,4),AVERAGEIFS('Data filtrees'!$H$2:$H$618,'Data filtrees'!$C$2:$C$618,4))</f>
        <v/>
      </c>
      <c r="F7" s="7">
        <f>IF(F3&gt;=5,AVERAGEIFS('Data filtrees'!$H$2:$H$618,'Data filtrees'!$B$2:$B$618,$A3,'Data filtrees'!$C$2:$C$618,5),AVERAGEIFS('Data filtrees'!$H$2:$H$618,'Data filtrees'!$C$2:$C$618,5))</f>
        <v/>
      </c>
      <c r="G7" s="7">
        <f>IF(G3&gt;=5,AVERAGEIFS('Data filtrees'!$H$2:$H$618,'Data filtrees'!$B$2:$B$618,$A3,'Data filtrees'!$C$2:$C$618,6),AVERAGEIFS('Data filtrees'!$H$2:$H$618,'Data filtrees'!$C$2:$C$618,6))</f>
        <v/>
      </c>
      <c r="H7" s="7">
        <f>IF(H3&gt;=5,AVERAGEIFS('Data filtrees'!$H$2:$H$618,'Data filtrees'!$B$2:$B$618,$A3,'Data filtrees'!$C$2:$C$618,7),AVERAGEIFS('Data filtrees'!$H$2:$H$618,'Data filtrees'!$C$2:$C$618,7))</f>
        <v/>
      </c>
      <c r="I7" s="7">
        <f>IF(I3&gt;=5,AVERAGEIFS('Data filtrees'!$H$2:$H$618,'Data filtrees'!$B$2:$B$618,$A3,'Data filtrees'!$C$2:$C$618,8),AVERAGEIFS('Data filtrees'!$H$2:$H$618,'Data filtrees'!$C$2:$C$618,8))</f>
        <v/>
      </c>
      <c r="J7" s="7">
        <f>IF(J3&gt;=5,AVERAGEIFS('Data filtrees'!$H$2:$H$618,'Data filtrees'!$B$2:$B$618,$A3,'Data filtrees'!$C$2:$C$618,9),AVERAGEIFS('Data filtrees'!$H$2:$H$618,'Data filtrees'!$C$2:$C$618,9))</f>
        <v/>
      </c>
      <c r="K7" s="7">
        <f>IF(K3&gt;=5,AVERAGEIFS('Data filtrees'!$H$2:$H$618,'Data filtrees'!$B$2:$B$618,$A3,'Data filtrees'!$C$2:$C$618,10),AVERAGEIFS('Data filtrees'!$H$2:$H$618,'Data filtrees'!$C$2:$C$618,10))</f>
        <v/>
      </c>
      <c r="L7" s="7">
        <f>IF(L3&gt;=5,AVERAGEIFS('Data filtrees'!$H$2:$H$618,'Data filtrees'!$B$2:$B$618,$A3,'Data filtrees'!$C$2:$C$618,11),AVERAGEIFS('Data filtrees'!$H$2:$H$618,'Data filtrees'!$C$2:$C$618,11))</f>
        <v/>
      </c>
      <c r="M7" s="7">
        <f>IF(M3&gt;=5,AVERAGEIFS('Data filtrees'!$H$2:$H$618,'Data filtrees'!$B$2:$B$618,$A3,'Data filtrees'!$C$2:$C$618,12),AVERAGEIFS('Data filtrees'!$H$2:$H$618,'Data filtrees'!$C$2:$C$618,12))</f>
        <v/>
      </c>
    </row>
    <row r="8">
      <c r="A8" s="6" t="inlineStr">
        <is>
          <t>IBON</t>
        </is>
      </c>
      <c r="B8" s="7">
        <f>IF(B4&gt;=5,AVERAGEIFS('Data filtrees'!$H$2:$H$618,'Data filtrees'!$B$2:$B$618,$A4,'Data filtrees'!$C$2:$C$618,1),AVERAGEIFS('Data filtrees'!$H$2:$H$618,'Data filtrees'!$C$2:$C$618,1))</f>
        <v/>
      </c>
      <c r="C8" s="7">
        <f>IF(C4&gt;=5,AVERAGEIFS('Data filtrees'!$H$2:$H$618,'Data filtrees'!$B$2:$B$618,$A4,'Data filtrees'!$C$2:$C$618,2),AVERAGEIFS('Data filtrees'!$H$2:$H$618,'Data filtrees'!$C$2:$C$618,2))</f>
        <v/>
      </c>
      <c r="D8" s="7">
        <f>IF(D4&gt;=5,AVERAGEIFS('Data filtrees'!$H$2:$H$618,'Data filtrees'!$B$2:$B$618,$A4,'Data filtrees'!$C$2:$C$618,3),AVERAGEIFS('Data filtrees'!$H$2:$H$618,'Data filtrees'!$C$2:$C$618,3))</f>
        <v/>
      </c>
      <c r="E8" s="7">
        <f>IF(E4&gt;=5,AVERAGEIFS('Data filtrees'!$H$2:$H$618,'Data filtrees'!$B$2:$B$618,$A4,'Data filtrees'!$C$2:$C$618,4),AVERAGEIFS('Data filtrees'!$H$2:$H$618,'Data filtrees'!$C$2:$C$618,4))</f>
        <v/>
      </c>
      <c r="F8" s="7">
        <f>IF(F4&gt;=5,AVERAGEIFS('Data filtrees'!$H$2:$H$618,'Data filtrees'!$B$2:$B$618,$A4,'Data filtrees'!$C$2:$C$618,5),AVERAGEIFS('Data filtrees'!$H$2:$H$618,'Data filtrees'!$C$2:$C$618,5))</f>
        <v/>
      </c>
      <c r="G8" s="7">
        <f>IF(G4&gt;=5,AVERAGEIFS('Data filtrees'!$H$2:$H$618,'Data filtrees'!$B$2:$B$618,$A4,'Data filtrees'!$C$2:$C$618,6),AVERAGEIFS('Data filtrees'!$H$2:$H$618,'Data filtrees'!$C$2:$C$618,6))</f>
        <v/>
      </c>
      <c r="H8" s="7">
        <f>IF(H4&gt;=5,AVERAGEIFS('Data filtrees'!$H$2:$H$618,'Data filtrees'!$B$2:$B$618,$A4,'Data filtrees'!$C$2:$C$618,7),AVERAGEIFS('Data filtrees'!$H$2:$H$618,'Data filtrees'!$C$2:$C$618,7))</f>
        <v/>
      </c>
      <c r="I8" s="7">
        <f>IF(I4&gt;=5,AVERAGEIFS('Data filtrees'!$H$2:$H$618,'Data filtrees'!$B$2:$B$618,$A4,'Data filtrees'!$C$2:$C$618,8),AVERAGEIFS('Data filtrees'!$H$2:$H$618,'Data filtrees'!$C$2:$C$618,8))</f>
        <v/>
      </c>
      <c r="J8" s="7">
        <f>IF(J4&gt;=5,AVERAGEIFS('Data filtrees'!$H$2:$H$618,'Data filtrees'!$B$2:$B$618,$A4,'Data filtrees'!$C$2:$C$618,9),AVERAGEIFS('Data filtrees'!$H$2:$H$618,'Data filtrees'!$C$2:$C$618,9))</f>
        <v/>
      </c>
      <c r="K8" s="7">
        <f>IF(K4&gt;=5,AVERAGEIFS('Data filtrees'!$H$2:$H$618,'Data filtrees'!$B$2:$B$618,$A4,'Data filtrees'!$C$2:$C$618,10),AVERAGEIFS('Data filtrees'!$H$2:$H$618,'Data filtrees'!$C$2:$C$618,10))</f>
        <v/>
      </c>
      <c r="L8" s="7">
        <f>IF(L4&gt;=5,AVERAGEIFS('Data filtrees'!$H$2:$H$618,'Data filtrees'!$B$2:$B$618,$A4,'Data filtrees'!$C$2:$C$618,11),AVERAGEIFS('Data filtrees'!$H$2:$H$618,'Data filtrees'!$C$2:$C$618,11))</f>
        <v/>
      </c>
      <c r="M8" s="7">
        <f>IF(M4&gt;=5,AVERAGEIFS('Data filtrees'!$H$2:$H$618,'Data filtrees'!$B$2:$B$618,$A4,'Data filtrees'!$C$2:$C$618,12),AVERAGEIFS('Data filtrees'!$H$2:$H$618,'Data filtrees'!$C$2:$C$618,12))</f>
        <v/>
      </c>
    </row>
    <row r="9">
      <c r="A9" s="9" t="inlineStr">
        <is>
          <t>monthly_average</t>
        </is>
      </c>
      <c r="B9" s="10">
        <f>AVERAGEIFS('Data filtrees'!$H$2:$H$618,'Data filtrees'!$C$2:$C$618,1)</f>
        <v/>
      </c>
      <c r="C9" s="10">
        <f>AVERAGEIFS('Data filtrees'!$H$2:$H$618,'Data filtrees'!$C$2:$C$618,2)</f>
        <v/>
      </c>
      <c r="D9" s="10">
        <f>AVERAGEIFS('Data filtrees'!$H$2:$H$618,'Data filtrees'!$C$2:$C$618,3)</f>
        <v/>
      </c>
      <c r="E9" s="10">
        <f>AVERAGEIFS('Data filtrees'!$H$2:$H$618,'Data filtrees'!$C$2:$C$618,4)</f>
        <v/>
      </c>
      <c r="F9" s="10">
        <f>AVERAGEIFS('Data filtrees'!$H$2:$H$618,'Data filtrees'!$C$2:$C$618,5)</f>
        <v/>
      </c>
      <c r="G9" s="10">
        <f>AVERAGEIFS('Data filtrees'!$H$2:$H$618,'Data filtrees'!$C$2:$C$618,6)</f>
        <v/>
      </c>
      <c r="H9" s="10">
        <f>AVERAGEIFS('Data filtrees'!$H$2:$H$618,'Data filtrees'!$C$2:$C$618,7)</f>
        <v/>
      </c>
      <c r="I9" s="10">
        <f>AVERAGEIFS('Data filtrees'!$H$2:$H$618,'Data filtrees'!$C$2:$C$618,8)</f>
        <v/>
      </c>
      <c r="J9" s="10">
        <f>AVERAGEIFS('Data filtrees'!$H$2:$H$618,'Data filtrees'!$C$2:$C$618,9)</f>
        <v/>
      </c>
      <c r="K9" s="10">
        <f>AVERAGEIFS('Data filtrees'!$H$2:$H$618,'Data filtrees'!$C$2:$C$618,10)</f>
        <v/>
      </c>
      <c r="L9" s="10">
        <f>AVERAGEIFS('Data filtrees'!$H$2:$H$618,'Data filtrees'!$C$2:$C$618,11)</f>
        <v/>
      </c>
      <c r="M9" s="10">
        <f>AVERAGEIFS('Data filtrees'!$H$2:$H$618,'Data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Humidite de l'orge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filtrees'!$I$2:$I$618,"&lt;&gt;")</f>
        <v/>
      </c>
      <c r="C3" s="7">
        <f>COUNTIFS('Data filtrees'!$B$2:$B$618,$A3,'Data filtrees'!$C$2:$C$618,2,'Data filtrees'!$I$2:$I$618,"&lt;&gt;")</f>
        <v/>
      </c>
      <c r="D3" s="7">
        <f>COUNTIFS('Data filtrees'!$B$2:$B$618,$A3,'Data filtrees'!$C$2:$C$618,3,'Data filtrees'!$I$2:$I$618,"&lt;&gt;")</f>
        <v/>
      </c>
      <c r="E3" s="7">
        <f>COUNTIFS('Data filtrees'!$B$2:$B$618,$A3,'Data filtrees'!$C$2:$C$618,4,'Data filtrees'!$I$2:$I$618,"&lt;&gt;")</f>
        <v/>
      </c>
      <c r="F3" s="7">
        <f>COUNTIFS('Data filtrees'!$B$2:$B$618,$A3,'Data filtrees'!$C$2:$C$618,5,'Data filtrees'!$I$2:$I$618,"&lt;&gt;")</f>
        <v/>
      </c>
      <c r="G3" s="7">
        <f>COUNTIFS('Data filtrees'!$B$2:$B$618,$A3,'Data filtrees'!$C$2:$C$618,6,'Data filtrees'!$I$2:$I$618,"&lt;&gt;")</f>
        <v/>
      </c>
      <c r="H3" s="7">
        <f>COUNTIFS('Data filtrees'!$B$2:$B$618,$A3,'Data filtrees'!$C$2:$C$618,7,'Data filtrees'!$I$2:$I$618,"&lt;&gt;")</f>
        <v/>
      </c>
      <c r="I3" s="7">
        <f>COUNTIFS('Data filtrees'!$B$2:$B$618,$A3,'Data filtrees'!$C$2:$C$618,8,'Data filtrees'!$I$2:$I$618,"&lt;&gt;")</f>
        <v/>
      </c>
      <c r="J3" s="7">
        <f>COUNTIFS('Data filtrees'!$B$2:$B$618,$A3,'Data filtrees'!$C$2:$C$618,9,'Data filtrees'!$I$2:$I$618,"&lt;&gt;")</f>
        <v/>
      </c>
      <c r="K3" s="7">
        <f>COUNTIFS('Data filtrees'!$B$2:$B$618,$A3,'Data filtrees'!$C$2:$C$618,10,'Data filtrees'!$I$2:$I$618,"&lt;&gt;")</f>
        <v/>
      </c>
      <c r="L3" s="7">
        <f>COUNTIFS('Data filtrees'!$B$2:$B$618,$A3,'Data filtrees'!$C$2:$C$618,11,'Data filtrees'!$I$2:$I$618,"&lt;&gt;")</f>
        <v/>
      </c>
      <c r="M3" s="7">
        <f>COUNTIFS('Data filtrees'!$B$2:$B$618,$A3,'Data filtrees'!$C$2:$C$618,12,'Data filtrees'!$I$2:$I$618,"&lt;&gt;")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filtrees'!$I$2:$I$618,"&lt;&gt;")</f>
        <v/>
      </c>
      <c r="C4" s="7">
        <f>COUNTIFS('Data filtrees'!$B$2:$B$618,$A4,'Data filtrees'!$C$2:$C$618,2,'Data filtrees'!$I$2:$I$618,"&lt;&gt;")</f>
        <v/>
      </c>
      <c r="D4" s="7">
        <f>COUNTIFS('Data filtrees'!$B$2:$B$618,$A4,'Data filtrees'!$C$2:$C$618,3,'Data filtrees'!$I$2:$I$618,"&lt;&gt;")</f>
        <v/>
      </c>
      <c r="E4" s="7">
        <f>COUNTIFS('Data filtrees'!$B$2:$B$618,$A4,'Data filtrees'!$C$2:$C$618,4,'Data filtrees'!$I$2:$I$618,"&lt;&gt;")</f>
        <v/>
      </c>
      <c r="F4" s="7">
        <f>COUNTIFS('Data filtrees'!$B$2:$B$618,$A4,'Data filtrees'!$C$2:$C$618,5,'Data filtrees'!$I$2:$I$618,"&lt;&gt;")</f>
        <v/>
      </c>
      <c r="G4" s="7">
        <f>COUNTIFS('Data filtrees'!$B$2:$B$618,$A4,'Data filtrees'!$C$2:$C$618,6,'Data filtrees'!$I$2:$I$618,"&lt;&gt;")</f>
        <v/>
      </c>
      <c r="H4" s="7">
        <f>COUNTIFS('Data filtrees'!$B$2:$B$618,$A4,'Data filtrees'!$C$2:$C$618,7,'Data filtrees'!$I$2:$I$618,"&lt;&gt;")</f>
        <v/>
      </c>
      <c r="I4" s="7">
        <f>COUNTIFS('Data filtrees'!$B$2:$B$618,$A4,'Data filtrees'!$C$2:$C$618,8,'Data filtrees'!$I$2:$I$618,"&lt;&gt;")</f>
        <v/>
      </c>
      <c r="J4" s="7">
        <f>COUNTIFS('Data filtrees'!$B$2:$B$618,$A4,'Data filtrees'!$C$2:$C$618,9,'Data filtrees'!$I$2:$I$618,"&lt;&gt;")</f>
        <v/>
      </c>
      <c r="K4" s="7">
        <f>COUNTIFS('Data filtrees'!$B$2:$B$618,$A4,'Data filtrees'!$C$2:$C$618,10,'Data filtrees'!$I$2:$I$618,"&lt;&gt;")</f>
        <v/>
      </c>
      <c r="L4" s="7">
        <f>COUNTIFS('Data filtrees'!$B$2:$B$618,$A4,'Data filtrees'!$C$2:$C$618,11,'Data filtrees'!$I$2:$I$618,"&lt;&gt;")</f>
        <v/>
      </c>
      <c r="M4" s="7">
        <f>COUNTIFS('Data filtrees'!$B$2:$B$618,$A4,'Data filtrees'!$C$2:$C$618,12,'Data filtrees'!$I$2:$I$618,"&lt;&gt;")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filtrees'!$I$2:$I$618,'Data filtrees'!$B$2:$B$618,$A3,'Data filtrees'!$C$2:$C$618,1),AVERAGEIFS('Data filtrees'!$I$2:$I$618,'Data filtrees'!$C$2:$C$618,1))</f>
        <v/>
      </c>
      <c r="C7" s="7">
        <f>IF(C3&gt;=5,AVERAGEIFS('Data filtrees'!$I$2:$I$618,'Data filtrees'!$B$2:$B$618,$A3,'Data filtrees'!$C$2:$C$618,2),AVERAGEIFS('Data filtrees'!$I$2:$I$618,'Data filtrees'!$C$2:$C$618,2))</f>
        <v/>
      </c>
      <c r="D7" s="7">
        <f>IF(D3&gt;=5,AVERAGEIFS('Data filtrees'!$I$2:$I$618,'Data filtrees'!$B$2:$B$618,$A3,'Data filtrees'!$C$2:$C$618,3),AVERAGEIFS('Data filtrees'!$I$2:$I$618,'Data filtrees'!$C$2:$C$618,3))</f>
        <v/>
      </c>
      <c r="E7" s="7">
        <f>IF(E3&gt;=5,AVERAGEIFS('Data filtrees'!$I$2:$I$618,'Data filtrees'!$B$2:$B$618,$A3,'Data filtrees'!$C$2:$C$618,4),AVERAGEIFS('Data filtrees'!$I$2:$I$618,'Data filtrees'!$C$2:$C$618,4))</f>
        <v/>
      </c>
      <c r="F7" s="7">
        <f>IF(F3&gt;=5,AVERAGEIFS('Data filtrees'!$I$2:$I$618,'Data filtrees'!$B$2:$B$618,$A3,'Data filtrees'!$C$2:$C$618,5),AVERAGEIFS('Data filtrees'!$I$2:$I$618,'Data filtrees'!$C$2:$C$618,5))</f>
        <v/>
      </c>
      <c r="G7" s="7">
        <f>IF(G3&gt;=5,AVERAGEIFS('Data filtrees'!$I$2:$I$618,'Data filtrees'!$B$2:$B$618,$A3,'Data filtrees'!$C$2:$C$618,6),AVERAGEIFS('Data filtrees'!$I$2:$I$618,'Data filtrees'!$C$2:$C$618,6))</f>
        <v/>
      </c>
      <c r="H7" s="7">
        <f>IF(H3&gt;=5,AVERAGEIFS('Data filtrees'!$I$2:$I$618,'Data filtrees'!$B$2:$B$618,$A3,'Data filtrees'!$C$2:$C$618,7),AVERAGEIFS('Data filtrees'!$I$2:$I$618,'Data filtrees'!$C$2:$C$618,7))</f>
        <v/>
      </c>
      <c r="I7" s="7">
        <f>IF(I3&gt;=5,AVERAGEIFS('Data filtrees'!$I$2:$I$618,'Data filtrees'!$B$2:$B$618,$A3,'Data filtrees'!$C$2:$C$618,8),AVERAGEIFS('Data filtrees'!$I$2:$I$618,'Data filtrees'!$C$2:$C$618,8))</f>
        <v/>
      </c>
      <c r="J7" s="7">
        <f>IF(J3&gt;=5,AVERAGEIFS('Data filtrees'!$I$2:$I$618,'Data filtrees'!$B$2:$B$618,$A3,'Data filtrees'!$C$2:$C$618,9),AVERAGEIFS('Data filtrees'!$I$2:$I$618,'Data filtrees'!$C$2:$C$618,9))</f>
        <v/>
      </c>
      <c r="K7" s="7">
        <f>IF(K3&gt;=5,AVERAGEIFS('Data filtrees'!$I$2:$I$618,'Data filtrees'!$B$2:$B$618,$A3,'Data filtrees'!$C$2:$C$618,10),AVERAGEIFS('Data filtrees'!$I$2:$I$618,'Data filtrees'!$C$2:$C$618,10))</f>
        <v/>
      </c>
      <c r="L7" s="7">
        <f>IF(L3&gt;=5,AVERAGEIFS('Data filtrees'!$I$2:$I$618,'Data filtrees'!$B$2:$B$618,$A3,'Data filtrees'!$C$2:$C$618,11),AVERAGEIFS('Data filtrees'!$I$2:$I$618,'Data filtrees'!$C$2:$C$618,11))</f>
        <v/>
      </c>
      <c r="M7" s="7">
        <f>IF(M3&gt;=5,AVERAGEIFS('Data filtrees'!$I$2:$I$618,'Data filtrees'!$B$2:$B$618,$A3,'Data filtrees'!$C$2:$C$618,12),AVERAGEIFS('Data filtrees'!$I$2:$I$618,'Data filtrees'!$C$2:$C$618,12))</f>
        <v/>
      </c>
    </row>
    <row r="8">
      <c r="A8" s="6" t="inlineStr">
        <is>
          <t>IBON</t>
        </is>
      </c>
      <c r="B8" s="7">
        <f>IF(B4&gt;=5,AVERAGEIFS('Data filtrees'!$I$2:$I$618,'Data filtrees'!$B$2:$B$618,$A4,'Data filtrees'!$C$2:$C$618,1),AVERAGEIFS('Data filtrees'!$I$2:$I$618,'Data filtrees'!$C$2:$C$618,1))</f>
        <v/>
      </c>
      <c r="C8" s="7">
        <f>IF(C4&gt;=5,AVERAGEIFS('Data filtrees'!$I$2:$I$618,'Data filtrees'!$B$2:$B$618,$A4,'Data filtrees'!$C$2:$C$618,2),AVERAGEIFS('Data filtrees'!$I$2:$I$618,'Data filtrees'!$C$2:$C$618,2))</f>
        <v/>
      </c>
      <c r="D8" s="7">
        <f>IF(D4&gt;=5,AVERAGEIFS('Data filtrees'!$I$2:$I$618,'Data filtrees'!$B$2:$B$618,$A4,'Data filtrees'!$C$2:$C$618,3),AVERAGEIFS('Data filtrees'!$I$2:$I$618,'Data filtrees'!$C$2:$C$618,3))</f>
        <v/>
      </c>
      <c r="E8" s="7">
        <f>IF(E4&gt;=5,AVERAGEIFS('Data filtrees'!$I$2:$I$618,'Data filtrees'!$B$2:$B$618,$A4,'Data filtrees'!$C$2:$C$618,4),AVERAGEIFS('Data filtrees'!$I$2:$I$618,'Data filtrees'!$C$2:$C$618,4))</f>
        <v/>
      </c>
      <c r="F8" s="7">
        <f>IF(F4&gt;=5,AVERAGEIFS('Data filtrees'!$I$2:$I$618,'Data filtrees'!$B$2:$B$618,$A4,'Data filtrees'!$C$2:$C$618,5),AVERAGEIFS('Data filtrees'!$I$2:$I$618,'Data filtrees'!$C$2:$C$618,5))</f>
        <v/>
      </c>
      <c r="G8" s="7">
        <f>IF(G4&gt;=5,AVERAGEIFS('Data filtrees'!$I$2:$I$618,'Data filtrees'!$B$2:$B$618,$A4,'Data filtrees'!$C$2:$C$618,6),AVERAGEIFS('Data filtrees'!$I$2:$I$618,'Data filtrees'!$C$2:$C$618,6))</f>
        <v/>
      </c>
      <c r="H8" s="7">
        <f>IF(H4&gt;=5,AVERAGEIFS('Data filtrees'!$I$2:$I$618,'Data filtrees'!$B$2:$B$618,$A4,'Data filtrees'!$C$2:$C$618,7),AVERAGEIFS('Data filtrees'!$I$2:$I$618,'Data filtrees'!$C$2:$C$618,7))</f>
        <v/>
      </c>
      <c r="I8" s="7">
        <f>IF(I4&gt;=5,AVERAGEIFS('Data filtrees'!$I$2:$I$618,'Data filtrees'!$B$2:$B$618,$A4,'Data filtrees'!$C$2:$C$618,8),AVERAGEIFS('Data filtrees'!$I$2:$I$618,'Data filtrees'!$C$2:$C$618,8))</f>
        <v/>
      </c>
      <c r="J8" s="7">
        <f>IF(J4&gt;=5,AVERAGEIFS('Data filtrees'!$I$2:$I$618,'Data filtrees'!$B$2:$B$618,$A4,'Data filtrees'!$C$2:$C$618,9),AVERAGEIFS('Data filtrees'!$I$2:$I$618,'Data filtrees'!$C$2:$C$618,9))</f>
        <v/>
      </c>
      <c r="K8" s="7">
        <f>IF(K4&gt;=5,AVERAGEIFS('Data filtrees'!$I$2:$I$618,'Data filtrees'!$B$2:$B$618,$A4,'Data filtrees'!$C$2:$C$618,10),AVERAGEIFS('Data filtrees'!$I$2:$I$618,'Data filtrees'!$C$2:$C$618,10))</f>
        <v/>
      </c>
      <c r="L8" s="7">
        <f>IF(L4&gt;=5,AVERAGEIFS('Data filtrees'!$I$2:$I$618,'Data filtrees'!$B$2:$B$618,$A4,'Data filtrees'!$C$2:$C$618,11),AVERAGEIFS('Data filtrees'!$I$2:$I$618,'Data filtrees'!$C$2:$C$618,11))</f>
        <v/>
      </c>
      <c r="M8" s="7">
        <f>IF(M4&gt;=5,AVERAGEIFS('Data filtrees'!$I$2:$I$618,'Data filtrees'!$B$2:$B$618,$A4,'Data filtrees'!$C$2:$C$618,12),AVERAGEIFS('Data filtrees'!$I$2:$I$618,'Data filtrees'!$C$2:$C$618,12))</f>
        <v/>
      </c>
    </row>
    <row r="9">
      <c r="A9" s="9" t="inlineStr">
        <is>
          <t>monthly_average</t>
        </is>
      </c>
      <c r="B9" s="10">
        <f>AVERAGEIFS('Data filtrees'!$I$2:$I$618,'Data filtrees'!$C$2:$C$618,1)</f>
        <v/>
      </c>
      <c r="C9" s="10">
        <f>AVERAGEIFS('Data filtrees'!$I$2:$I$618,'Data filtrees'!$C$2:$C$618,2)</f>
        <v/>
      </c>
      <c r="D9" s="10">
        <f>AVERAGEIFS('Data filtrees'!$I$2:$I$618,'Data filtrees'!$C$2:$C$618,3)</f>
        <v/>
      </c>
      <c r="E9" s="10">
        <f>AVERAGEIFS('Data filtrees'!$I$2:$I$618,'Data filtrees'!$C$2:$C$618,4)</f>
        <v/>
      </c>
      <c r="F9" s="10">
        <f>AVERAGEIFS('Data filtrees'!$I$2:$I$618,'Data filtrees'!$C$2:$C$618,5)</f>
        <v/>
      </c>
      <c r="G9" s="10">
        <f>AVERAGEIFS('Data filtrees'!$I$2:$I$618,'Data filtrees'!$C$2:$C$618,6)</f>
        <v/>
      </c>
      <c r="H9" s="10">
        <f>AVERAGEIFS('Data filtrees'!$I$2:$I$618,'Data filtrees'!$C$2:$C$618,7)</f>
        <v/>
      </c>
      <c r="I9" s="10">
        <f>AVERAGEIFS('Data filtrees'!$I$2:$I$618,'Data filtrees'!$C$2:$C$618,8)</f>
        <v/>
      </c>
      <c r="J9" s="10">
        <f>AVERAGEIFS('Data filtrees'!$I$2:$I$618,'Data filtrees'!$C$2:$C$618,9)</f>
        <v/>
      </c>
      <c r="K9" s="10">
        <f>AVERAGEIFS('Data filtrees'!$I$2:$I$618,'Data filtrees'!$C$2:$C$618,10)</f>
        <v/>
      </c>
      <c r="L9" s="10">
        <f>AVERAGEIFS('Data filtrees'!$I$2:$I$618,'Data filtrees'!$C$2:$C$618,11)</f>
        <v/>
      </c>
      <c r="M9" s="10">
        <f>AVERAGEIFS('Data filtrees'!$I$2:$I$618,'Data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Humidite du malt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filtrees'!$J$2:$J$618,"&lt;&gt;")</f>
        <v/>
      </c>
      <c r="C3" s="7">
        <f>COUNTIFS('Data filtrees'!$B$2:$B$618,$A3,'Data filtrees'!$C$2:$C$618,2,'Data filtrees'!$J$2:$J$618,"&lt;&gt;")</f>
        <v/>
      </c>
      <c r="D3" s="7">
        <f>COUNTIFS('Data filtrees'!$B$2:$B$618,$A3,'Data filtrees'!$C$2:$C$618,3,'Data filtrees'!$J$2:$J$618,"&lt;&gt;")</f>
        <v/>
      </c>
      <c r="E3" s="7">
        <f>COUNTIFS('Data filtrees'!$B$2:$B$618,$A3,'Data filtrees'!$C$2:$C$618,4,'Data filtrees'!$J$2:$J$618,"&lt;&gt;")</f>
        <v/>
      </c>
      <c r="F3" s="7">
        <f>COUNTIFS('Data filtrees'!$B$2:$B$618,$A3,'Data filtrees'!$C$2:$C$618,5,'Data filtrees'!$J$2:$J$618,"&lt;&gt;")</f>
        <v/>
      </c>
      <c r="G3" s="7">
        <f>COUNTIFS('Data filtrees'!$B$2:$B$618,$A3,'Data filtrees'!$C$2:$C$618,6,'Data filtrees'!$J$2:$J$618,"&lt;&gt;")</f>
        <v/>
      </c>
      <c r="H3" s="7">
        <f>COUNTIFS('Data filtrees'!$B$2:$B$618,$A3,'Data filtrees'!$C$2:$C$618,7,'Data filtrees'!$J$2:$J$618,"&lt;&gt;")</f>
        <v/>
      </c>
      <c r="I3" s="7">
        <f>COUNTIFS('Data filtrees'!$B$2:$B$618,$A3,'Data filtrees'!$C$2:$C$618,8,'Data filtrees'!$J$2:$J$618,"&lt;&gt;")</f>
        <v/>
      </c>
      <c r="J3" s="7">
        <f>COUNTIFS('Data filtrees'!$B$2:$B$618,$A3,'Data filtrees'!$C$2:$C$618,9,'Data filtrees'!$J$2:$J$618,"&lt;&gt;")</f>
        <v/>
      </c>
      <c r="K3" s="7">
        <f>COUNTIFS('Data filtrees'!$B$2:$B$618,$A3,'Data filtrees'!$C$2:$C$618,10,'Data filtrees'!$J$2:$J$618,"&lt;&gt;")</f>
        <v/>
      </c>
      <c r="L3" s="7">
        <f>COUNTIFS('Data filtrees'!$B$2:$B$618,$A3,'Data filtrees'!$C$2:$C$618,11,'Data filtrees'!$J$2:$J$618,"&lt;&gt;")</f>
        <v/>
      </c>
      <c r="M3" s="7">
        <f>COUNTIFS('Data filtrees'!$B$2:$B$618,$A3,'Data filtrees'!$C$2:$C$618,12,'Data filtrees'!$J$2:$J$618,"&lt;&gt;")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filtrees'!$J$2:$J$618,"&lt;&gt;")</f>
        <v/>
      </c>
      <c r="C4" s="7">
        <f>COUNTIFS('Data filtrees'!$B$2:$B$618,$A4,'Data filtrees'!$C$2:$C$618,2,'Data filtrees'!$J$2:$J$618,"&lt;&gt;")</f>
        <v/>
      </c>
      <c r="D4" s="7">
        <f>COUNTIFS('Data filtrees'!$B$2:$B$618,$A4,'Data filtrees'!$C$2:$C$618,3,'Data filtrees'!$J$2:$J$618,"&lt;&gt;")</f>
        <v/>
      </c>
      <c r="E4" s="7">
        <f>COUNTIFS('Data filtrees'!$B$2:$B$618,$A4,'Data filtrees'!$C$2:$C$618,4,'Data filtrees'!$J$2:$J$618,"&lt;&gt;")</f>
        <v/>
      </c>
      <c r="F4" s="7">
        <f>COUNTIFS('Data filtrees'!$B$2:$B$618,$A4,'Data filtrees'!$C$2:$C$618,5,'Data filtrees'!$J$2:$J$618,"&lt;&gt;")</f>
        <v/>
      </c>
      <c r="G4" s="7">
        <f>COUNTIFS('Data filtrees'!$B$2:$B$618,$A4,'Data filtrees'!$C$2:$C$618,6,'Data filtrees'!$J$2:$J$618,"&lt;&gt;")</f>
        <v/>
      </c>
      <c r="H4" s="7">
        <f>COUNTIFS('Data filtrees'!$B$2:$B$618,$A4,'Data filtrees'!$C$2:$C$618,7,'Data filtrees'!$J$2:$J$618,"&lt;&gt;")</f>
        <v/>
      </c>
      <c r="I4" s="7">
        <f>COUNTIFS('Data filtrees'!$B$2:$B$618,$A4,'Data filtrees'!$C$2:$C$618,8,'Data filtrees'!$J$2:$J$618,"&lt;&gt;")</f>
        <v/>
      </c>
      <c r="J4" s="7">
        <f>COUNTIFS('Data filtrees'!$B$2:$B$618,$A4,'Data filtrees'!$C$2:$C$618,9,'Data filtrees'!$J$2:$J$618,"&lt;&gt;")</f>
        <v/>
      </c>
      <c r="K4" s="7">
        <f>COUNTIFS('Data filtrees'!$B$2:$B$618,$A4,'Data filtrees'!$C$2:$C$618,10,'Data filtrees'!$J$2:$J$618,"&lt;&gt;")</f>
        <v/>
      </c>
      <c r="L4" s="7">
        <f>COUNTIFS('Data filtrees'!$B$2:$B$618,$A4,'Data filtrees'!$C$2:$C$618,11,'Data filtrees'!$J$2:$J$618,"&lt;&gt;")</f>
        <v/>
      </c>
      <c r="M4" s="7">
        <f>COUNTIFS('Data filtrees'!$B$2:$B$618,$A4,'Data filtrees'!$C$2:$C$618,12,'Data filtrees'!$J$2:$J$618,"&lt;&gt;")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filtrees'!$J$2:$J$618,'Data filtrees'!$B$2:$B$618,$A3,'Data filtrees'!$C$2:$C$618,1),AVERAGEIFS('Data filtrees'!$J$2:$J$618,'Data filtrees'!$C$2:$C$618,1))</f>
        <v/>
      </c>
      <c r="C7" s="7">
        <f>IF(C3&gt;=5,AVERAGEIFS('Data filtrees'!$J$2:$J$618,'Data filtrees'!$B$2:$B$618,$A3,'Data filtrees'!$C$2:$C$618,2),AVERAGEIFS('Data filtrees'!$J$2:$J$618,'Data filtrees'!$C$2:$C$618,2))</f>
        <v/>
      </c>
      <c r="D7" s="7">
        <f>IF(D3&gt;=5,AVERAGEIFS('Data filtrees'!$J$2:$J$618,'Data filtrees'!$B$2:$B$618,$A3,'Data filtrees'!$C$2:$C$618,3),AVERAGEIFS('Data filtrees'!$J$2:$J$618,'Data filtrees'!$C$2:$C$618,3))</f>
        <v/>
      </c>
      <c r="E7" s="7">
        <f>IF(E3&gt;=5,AVERAGEIFS('Data filtrees'!$J$2:$J$618,'Data filtrees'!$B$2:$B$618,$A3,'Data filtrees'!$C$2:$C$618,4),AVERAGEIFS('Data filtrees'!$J$2:$J$618,'Data filtrees'!$C$2:$C$618,4))</f>
        <v/>
      </c>
      <c r="F7" s="7">
        <f>IF(F3&gt;=5,AVERAGEIFS('Data filtrees'!$J$2:$J$618,'Data filtrees'!$B$2:$B$618,$A3,'Data filtrees'!$C$2:$C$618,5),AVERAGEIFS('Data filtrees'!$J$2:$J$618,'Data filtrees'!$C$2:$C$618,5))</f>
        <v/>
      </c>
      <c r="G7" s="7">
        <f>IF(G3&gt;=5,AVERAGEIFS('Data filtrees'!$J$2:$J$618,'Data filtrees'!$B$2:$B$618,$A3,'Data filtrees'!$C$2:$C$618,6),AVERAGEIFS('Data filtrees'!$J$2:$J$618,'Data filtrees'!$C$2:$C$618,6))</f>
        <v/>
      </c>
      <c r="H7" s="7">
        <f>IF(H3&gt;=5,AVERAGEIFS('Data filtrees'!$J$2:$J$618,'Data filtrees'!$B$2:$B$618,$A3,'Data filtrees'!$C$2:$C$618,7),AVERAGEIFS('Data filtrees'!$J$2:$J$618,'Data filtrees'!$C$2:$C$618,7))</f>
        <v/>
      </c>
      <c r="I7" s="7">
        <f>IF(I3&gt;=5,AVERAGEIFS('Data filtrees'!$J$2:$J$618,'Data filtrees'!$B$2:$B$618,$A3,'Data filtrees'!$C$2:$C$618,8),AVERAGEIFS('Data filtrees'!$J$2:$J$618,'Data filtrees'!$C$2:$C$618,8))</f>
        <v/>
      </c>
      <c r="J7" s="7">
        <f>IF(J3&gt;=5,AVERAGEIFS('Data filtrees'!$J$2:$J$618,'Data filtrees'!$B$2:$B$618,$A3,'Data filtrees'!$C$2:$C$618,9),AVERAGEIFS('Data filtrees'!$J$2:$J$618,'Data filtrees'!$C$2:$C$618,9))</f>
        <v/>
      </c>
      <c r="K7" s="7">
        <f>IF(K3&gt;=5,AVERAGEIFS('Data filtrees'!$J$2:$J$618,'Data filtrees'!$B$2:$B$618,$A3,'Data filtrees'!$C$2:$C$618,10),AVERAGEIFS('Data filtrees'!$J$2:$J$618,'Data filtrees'!$C$2:$C$618,10))</f>
        <v/>
      </c>
      <c r="L7" s="7">
        <f>IF(L3&gt;=5,AVERAGEIFS('Data filtrees'!$J$2:$J$618,'Data filtrees'!$B$2:$B$618,$A3,'Data filtrees'!$C$2:$C$618,11),AVERAGEIFS('Data filtrees'!$J$2:$J$618,'Data filtrees'!$C$2:$C$618,11))</f>
        <v/>
      </c>
      <c r="M7" s="7">
        <f>IF(M3&gt;=5,AVERAGEIFS('Data filtrees'!$J$2:$J$618,'Data filtrees'!$B$2:$B$618,$A3,'Data filtrees'!$C$2:$C$618,12),AVERAGEIFS('Data filtrees'!$J$2:$J$618,'Data filtrees'!$C$2:$C$618,12))</f>
        <v/>
      </c>
    </row>
    <row r="8">
      <c r="A8" s="6" t="inlineStr">
        <is>
          <t>IBON</t>
        </is>
      </c>
      <c r="B8" s="7">
        <f>IF(B4&gt;=5,AVERAGEIFS('Data filtrees'!$J$2:$J$618,'Data filtrees'!$B$2:$B$618,$A4,'Data filtrees'!$C$2:$C$618,1),AVERAGEIFS('Data filtrees'!$J$2:$J$618,'Data filtrees'!$C$2:$C$618,1))</f>
        <v/>
      </c>
      <c r="C8" s="7">
        <f>IF(C4&gt;=5,AVERAGEIFS('Data filtrees'!$J$2:$J$618,'Data filtrees'!$B$2:$B$618,$A4,'Data filtrees'!$C$2:$C$618,2),AVERAGEIFS('Data filtrees'!$J$2:$J$618,'Data filtrees'!$C$2:$C$618,2))</f>
        <v/>
      </c>
      <c r="D8" s="7">
        <f>IF(D4&gt;=5,AVERAGEIFS('Data filtrees'!$J$2:$J$618,'Data filtrees'!$B$2:$B$618,$A4,'Data filtrees'!$C$2:$C$618,3),AVERAGEIFS('Data filtrees'!$J$2:$J$618,'Data filtrees'!$C$2:$C$618,3))</f>
        <v/>
      </c>
      <c r="E8" s="7">
        <f>IF(E4&gt;=5,AVERAGEIFS('Data filtrees'!$J$2:$J$618,'Data filtrees'!$B$2:$B$618,$A4,'Data filtrees'!$C$2:$C$618,4),AVERAGEIFS('Data filtrees'!$J$2:$J$618,'Data filtrees'!$C$2:$C$618,4))</f>
        <v/>
      </c>
      <c r="F8" s="7">
        <f>IF(F4&gt;=5,AVERAGEIFS('Data filtrees'!$J$2:$J$618,'Data filtrees'!$B$2:$B$618,$A4,'Data filtrees'!$C$2:$C$618,5),AVERAGEIFS('Data filtrees'!$J$2:$J$618,'Data filtrees'!$C$2:$C$618,5))</f>
        <v/>
      </c>
      <c r="G8" s="7">
        <f>IF(G4&gt;=5,AVERAGEIFS('Data filtrees'!$J$2:$J$618,'Data filtrees'!$B$2:$B$618,$A4,'Data filtrees'!$C$2:$C$618,6),AVERAGEIFS('Data filtrees'!$J$2:$J$618,'Data filtrees'!$C$2:$C$618,6))</f>
        <v/>
      </c>
      <c r="H8" s="7">
        <f>IF(H4&gt;=5,AVERAGEIFS('Data filtrees'!$J$2:$J$618,'Data filtrees'!$B$2:$B$618,$A4,'Data filtrees'!$C$2:$C$618,7),AVERAGEIFS('Data filtrees'!$J$2:$J$618,'Data filtrees'!$C$2:$C$618,7))</f>
        <v/>
      </c>
      <c r="I8" s="7">
        <f>IF(I4&gt;=5,AVERAGEIFS('Data filtrees'!$J$2:$J$618,'Data filtrees'!$B$2:$B$618,$A4,'Data filtrees'!$C$2:$C$618,8),AVERAGEIFS('Data filtrees'!$J$2:$J$618,'Data filtrees'!$C$2:$C$618,8))</f>
        <v/>
      </c>
      <c r="J8" s="7">
        <f>IF(J4&gt;=5,AVERAGEIFS('Data filtrees'!$J$2:$J$618,'Data filtrees'!$B$2:$B$618,$A4,'Data filtrees'!$C$2:$C$618,9),AVERAGEIFS('Data filtrees'!$J$2:$J$618,'Data filtrees'!$C$2:$C$618,9))</f>
        <v/>
      </c>
      <c r="K8" s="7">
        <f>IF(K4&gt;=5,AVERAGEIFS('Data filtrees'!$J$2:$J$618,'Data filtrees'!$B$2:$B$618,$A4,'Data filtrees'!$C$2:$C$618,10),AVERAGEIFS('Data filtrees'!$J$2:$J$618,'Data filtrees'!$C$2:$C$618,10))</f>
        <v/>
      </c>
      <c r="L8" s="7">
        <f>IF(L4&gt;=5,AVERAGEIFS('Data filtrees'!$J$2:$J$618,'Data filtrees'!$B$2:$B$618,$A4,'Data filtrees'!$C$2:$C$618,11),AVERAGEIFS('Data filtrees'!$J$2:$J$618,'Data filtrees'!$C$2:$C$618,11))</f>
        <v/>
      </c>
      <c r="M8" s="7">
        <f>IF(M4&gt;=5,AVERAGEIFS('Data filtrees'!$J$2:$J$618,'Data filtrees'!$B$2:$B$618,$A4,'Data filtrees'!$C$2:$C$618,12),AVERAGEIFS('Data filtrees'!$J$2:$J$618,'Data filtrees'!$C$2:$C$618,12))</f>
        <v/>
      </c>
    </row>
    <row r="9">
      <c r="A9" s="9" t="inlineStr">
        <is>
          <t>monthly_average</t>
        </is>
      </c>
      <c r="B9" s="10">
        <f>AVERAGEIFS('Data filtrees'!$J$2:$J$618,'Data filtrees'!$C$2:$C$618,1)</f>
        <v/>
      </c>
      <c r="C9" s="10">
        <f>AVERAGEIFS('Data filtrees'!$J$2:$J$618,'Data filtrees'!$C$2:$C$618,2)</f>
        <v/>
      </c>
      <c r="D9" s="10">
        <f>AVERAGEIFS('Data filtrees'!$J$2:$J$618,'Data filtrees'!$C$2:$C$618,3)</f>
        <v/>
      </c>
      <c r="E9" s="10">
        <f>AVERAGEIFS('Data filtrees'!$J$2:$J$618,'Data filtrees'!$C$2:$C$618,4)</f>
        <v/>
      </c>
      <c r="F9" s="10">
        <f>AVERAGEIFS('Data filtrees'!$J$2:$J$618,'Data filtrees'!$C$2:$C$618,5)</f>
        <v/>
      </c>
      <c r="G9" s="10">
        <f>AVERAGEIFS('Data filtrees'!$J$2:$J$618,'Data filtrees'!$C$2:$C$618,6)</f>
        <v/>
      </c>
      <c r="H9" s="10">
        <f>AVERAGEIFS('Data filtrees'!$J$2:$J$618,'Data filtrees'!$C$2:$C$618,7)</f>
        <v/>
      </c>
      <c r="I9" s="10">
        <f>AVERAGEIFS('Data filtrees'!$J$2:$J$618,'Data filtrees'!$C$2:$C$618,8)</f>
        <v/>
      </c>
      <c r="J9" s="10">
        <f>AVERAGEIFS('Data filtrees'!$J$2:$J$618,'Data filtrees'!$C$2:$C$618,9)</f>
        <v/>
      </c>
      <c r="K9" s="10">
        <f>AVERAGEIFS('Data filtrees'!$J$2:$J$618,'Data filtrees'!$C$2:$C$618,10)</f>
        <v/>
      </c>
      <c r="L9" s="10">
        <f>AVERAGEIFS('Data filtrees'!$J$2:$J$618,'Data filtrees'!$C$2:$C$618,11)</f>
        <v/>
      </c>
      <c r="M9" s="10">
        <f>AVERAGEIFS('Data filtrees'!$J$2:$J$618,'Data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FAN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filtrees'!$K$2:$K$618,"&lt;&gt;")</f>
        <v/>
      </c>
      <c r="C3" s="7">
        <f>COUNTIFS('Data filtrees'!$B$2:$B$618,$A3,'Data filtrees'!$C$2:$C$618,2,'Data filtrees'!$K$2:$K$618,"&lt;&gt;")</f>
        <v/>
      </c>
      <c r="D3" s="7">
        <f>COUNTIFS('Data filtrees'!$B$2:$B$618,$A3,'Data filtrees'!$C$2:$C$618,3,'Data filtrees'!$K$2:$K$618,"&lt;&gt;")</f>
        <v/>
      </c>
      <c r="E3" s="7">
        <f>COUNTIFS('Data filtrees'!$B$2:$B$618,$A3,'Data filtrees'!$C$2:$C$618,4,'Data filtrees'!$K$2:$K$618,"&lt;&gt;")</f>
        <v/>
      </c>
      <c r="F3" s="7">
        <f>COUNTIFS('Data filtrees'!$B$2:$B$618,$A3,'Data filtrees'!$C$2:$C$618,5,'Data filtrees'!$K$2:$K$618,"&lt;&gt;")</f>
        <v/>
      </c>
      <c r="G3" s="7">
        <f>COUNTIFS('Data filtrees'!$B$2:$B$618,$A3,'Data filtrees'!$C$2:$C$618,6,'Data filtrees'!$K$2:$K$618,"&lt;&gt;")</f>
        <v/>
      </c>
      <c r="H3" s="7">
        <f>COUNTIFS('Data filtrees'!$B$2:$B$618,$A3,'Data filtrees'!$C$2:$C$618,7,'Data filtrees'!$K$2:$K$618,"&lt;&gt;")</f>
        <v/>
      </c>
      <c r="I3" s="7">
        <f>COUNTIFS('Data filtrees'!$B$2:$B$618,$A3,'Data filtrees'!$C$2:$C$618,8,'Data filtrees'!$K$2:$K$618,"&lt;&gt;")</f>
        <v/>
      </c>
      <c r="J3" s="7">
        <f>COUNTIFS('Data filtrees'!$B$2:$B$618,$A3,'Data filtrees'!$C$2:$C$618,9,'Data filtrees'!$K$2:$K$618,"&lt;&gt;")</f>
        <v/>
      </c>
      <c r="K3" s="7">
        <f>COUNTIFS('Data filtrees'!$B$2:$B$618,$A3,'Data filtrees'!$C$2:$C$618,10,'Data filtrees'!$K$2:$K$618,"&lt;&gt;")</f>
        <v/>
      </c>
      <c r="L3" s="7">
        <f>COUNTIFS('Data filtrees'!$B$2:$B$618,$A3,'Data filtrees'!$C$2:$C$618,11,'Data filtrees'!$K$2:$K$618,"&lt;&gt;")</f>
        <v/>
      </c>
      <c r="M3" s="7">
        <f>COUNTIFS('Data filtrees'!$B$2:$B$618,$A3,'Data filtrees'!$C$2:$C$618,12,'Data filtrees'!$K$2:$K$618,"&lt;&gt;")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filtrees'!$K$2:$K$618,"&lt;&gt;")</f>
        <v/>
      </c>
      <c r="C4" s="7">
        <f>COUNTIFS('Data filtrees'!$B$2:$B$618,$A4,'Data filtrees'!$C$2:$C$618,2,'Data filtrees'!$K$2:$K$618,"&lt;&gt;")</f>
        <v/>
      </c>
      <c r="D4" s="7">
        <f>COUNTIFS('Data filtrees'!$B$2:$B$618,$A4,'Data filtrees'!$C$2:$C$618,3,'Data filtrees'!$K$2:$K$618,"&lt;&gt;")</f>
        <v/>
      </c>
      <c r="E4" s="7">
        <f>COUNTIFS('Data filtrees'!$B$2:$B$618,$A4,'Data filtrees'!$C$2:$C$618,4,'Data filtrees'!$K$2:$K$618,"&lt;&gt;")</f>
        <v/>
      </c>
      <c r="F4" s="7">
        <f>COUNTIFS('Data filtrees'!$B$2:$B$618,$A4,'Data filtrees'!$C$2:$C$618,5,'Data filtrees'!$K$2:$K$618,"&lt;&gt;")</f>
        <v/>
      </c>
      <c r="G4" s="7">
        <f>COUNTIFS('Data filtrees'!$B$2:$B$618,$A4,'Data filtrees'!$C$2:$C$618,6,'Data filtrees'!$K$2:$K$618,"&lt;&gt;")</f>
        <v/>
      </c>
      <c r="H4" s="7">
        <f>COUNTIFS('Data filtrees'!$B$2:$B$618,$A4,'Data filtrees'!$C$2:$C$618,7,'Data filtrees'!$K$2:$K$618,"&lt;&gt;")</f>
        <v/>
      </c>
      <c r="I4" s="7">
        <f>COUNTIFS('Data filtrees'!$B$2:$B$618,$A4,'Data filtrees'!$C$2:$C$618,8,'Data filtrees'!$K$2:$K$618,"&lt;&gt;")</f>
        <v/>
      </c>
      <c r="J4" s="7">
        <f>COUNTIFS('Data filtrees'!$B$2:$B$618,$A4,'Data filtrees'!$C$2:$C$618,9,'Data filtrees'!$K$2:$K$618,"&lt;&gt;")</f>
        <v/>
      </c>
      <c r="K4" s="7">
        <f>COUNTIFS('Data filtrees'!$B$2:$B$618,$A4,'Data filtrees'!$C$2:$C$618,10,'Data filtrees'!$K$2:$K$618,"&lt;&gt;")</f>
        <v/>
      </c>
      <c r="L4" s="7">
        <f>COUNTIFS('Data filtrees'!$B$2:$B$618,$A4,'Data filtrees'!$C$2:$C$618,11,'Data filtrees'!$K$2:$K$618,"&lt;&gt;")</f>
        <v/>
      </c>
      <c r="M4" s="7">
        <f>COUNTIFS('Data filtrees'!$B$2:$B$618,$A4,'Data filtrees'!$C$2:$C$618,12,'Data filtrees'!$K$2:$K$618,"&lt;&gt;")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filtrees'!$K$2:$K$618,'Data filtrees'!$B$2:$B$618,$A3,'Data filtrees'!$C$2:$C$618,1),AVERAGEIFS('Data filtrees'!$K$2:$K$618,'Data filtrees'!$C$2:$C$618,1))</f>
        <v/>
      </c>
      <c r="C7" s="7">
        <f>IF(C3&gt;=5,AVERAGEIFS('Data filtrees'!$K$2:$K$618,'Data filtrees'!$B$2:$B$618,$A3,'Data filtrees'!$C$2:$C$618,2),AVERAGEIFS('Data filtrees'!$K$2:$K$618,'Data filtrees'!$C$2:$C$618,2))</f>
        <v/>
      </c>
      <c r="D7" s="7">
        <f>IF(D3&gt;=5,AVERAGEIFS('Data filtrees'!$K$2:$K$618,'Data filtrees'!$B$2:$B$618,$A3,'Data filtrees'!$C$2:$C$618,3),AVERAGEIFS('Data filtrees'!$K$2:$K$618,'Data filtrees'!$C$2:$C$618,3))</f>
        <v/>
      </c>
      <c r="E7" s="7">
        <f>IF(E3&gt;=5,AVERAGEIFS('Data filtrees'!$K$2:$K$618,'Data filtrees'!$B$2:$B$618,$A3,'Data filtrees'!$C$2:$C$618,4),AVERAGEIFS('Data filtrees'!$K$2:$K$618,'Data filtrees'!$C$2:$C$618,4))</f>
        <v/>
      </c>
      <c r="F7" s="7">
        <f>IF(F3&gt;=5,AVERAGEIFS('Data filtrees'!$K$2:$K$618,'Data filtrees'!$B$2:$B$618,$A3,'Data filtrees'!$C$2:$C$618,5),AVERAGEIFS('Data filtrees'!$K$2:$K$618,'Data filtrees'!$C$2:$C$618,5))</f>
        <v/>
      </c>
      <c r="G7" s="7">
        <f>IF(G3&gt;=5,AVERAGEIFS('Data filtrees'!$K$2:$K$618,'Data filtrees'!$B$2:$B$618,$A3,'Data filtrees'!$C$2:$C$618,6),AVERAGEIFS('Data filtrees'!$K$2:$K$618,'Data filtrees'!$C$2:$C$618,6))</f>
        <v/>
      </c>
      <c r="H7" s="7">
        <f>IF(H3&gt;=5,AVERAGEIFS('Data filtrees'!$K$2:$K$618,'Data filtrees'!$B$2:$B$618,$A3,'Data filtrees'!$C$2:$C$618,7),AVERAGEIFS('Data filtrees'!$K$2:$K$618,'Data filtrees'!$C$2:$C$618,7))</f>
        <v/>
      </c>
      <c r="I7" s="7">
        <f>IF(I3&gt;=5,AVERAGEIFS('Data filtrees'!$K$2:$K$618,'Data filtrees'!$B$2:$B$618,$A3,'Data filtrees'!$C$2:$C$618,8),AVERAGEIFS('Data filtrees'!$K$2:$K$618,'Data filtrees'!$C$2:$C$618,8))</f>
        <v/>
      </c>
      <c r="J7" s="7">
        <f>IF(J3&gt;=5,AVERAGEIFS('Data filtrees'!$K$2:$K$618,'Data filtrees'!$B$2:$B$618,$A3,'Data filtrees'!$C$2:$C$618,9),AVERAGEIFS('Data filtrees'!$K$2:$K$618,'Data filtrees'!$C$2:$C$618,9))</f>
        <v/>
      </c>
      <c r="K7" s="7">
        <f>IF(K3&gt;=5,AVERAGEIFS('Data filtrees'!$K$2:$K$618,'Data filtrees'!$B$2:$B$618,$A3,'Data filtrees'!$C$2:$C$618,10),AVERAGEIFS('Data filtrees'!$K$2:$K$618,'Data filtrees'!$C$2:$C$618,10))</f>
        <v/>
      </c>
      <c r="L7" s="7">
        <f>IF(L3&gt;=5,AVERAGEIFS('Data filtrees'!$K$2:$K$618,'Data filtrees'!$B$2:$B$618,$A3,'Data filtrees'!$C$2:$C$618,11),AVERAGEIFS('Data filtrees'!$K$2:$K$618,'Data filtrees'!$C$2:$C$618,11))</f>
        <v/>
      </c>
      <c r="M7" s="7">
        <f>IF(M3&gt;=5,AVERAGEIFS('Data filtrees'!$K$2:$K$618,'Data filtrees'!$B$2:$B$618,$A3,'Data filtrees'!$C$2:$C$618,12),AVERAGEIFS('Data filtrees'!$K$2:$K$618,'Data filtrees'!$C$2:$C$618,12))</f>
        <v/>
      </c>
    </row>
    <row r="8">
      <c r="A8" s="6" t="inlineStr">
        <is>
          <t>IBON</t>
        </is>
      </c>
      <c r="B8" s="7">
        <f>IF(B4&gt;=5,AVERAGEIFS('Data filtrees'!$K$2:$K$618,'Data filtrees'!$B$2:$B$618,$A4,'Data filtrees'!$C$2:$C$618,1),AVERAGEIFS('Data filtrees'!$K$2:$K$618,'Data filtrees'!$C$2:$C$618,1))</f>
        <v/>
      </c>
      <c r="C8" s="7">
        <f>IF(C4&gt;=5,AVERAGEIFS('Data filtrees'!$K$2:$K$618,'Data filtrees'!$B$2:$B$618,$A4,'Data filtrees'!$C$2:$C$618,2),AVERAGEIFS('Data filtrees'!$K$2:$K$618,'Data filtrees'!$C$2:$C$618,2))</f>
        <v/>
      </c>
      <c r="D8" s="7">
        <f>IF(D4&gt;=5,AVERAGEIFS('Data filtrees'!$K$2:$K$618,'Data filtrees'!$B$2:$B$618,$A4,'Data filtrees'!$C$2:$C$618,3),AVERAGEIFS('Data filtrees'!$K$2:$K$618,'Data filtrees'!$C$2:$C$618,3))</f>
        <v/>
      </c>
      <c r="E8" s="7">
        <f>IF(E4&gt;=5,AVERAGEIFS('Data filtrees'!$K$2:$K$618,'Data filtrees'!$B$2:$B$618,$A4,'Data filtrees'!$C$2:$C$618,4),AVERAGEIFS('Data filtrees'!$K$2:$K$618,'Data filtrees'!$C$2:$C$618,4))</f>
        <v/>
      </c>
      <c r="F8" s="7">
        <f>IF(F4&gt;=5,AVERAGEIFS('Data filtrees'!$K$2:$K$618,'Data filtrees'!$B$2:$B$618,$A4,'Data filtrees'!$C$2:$C$618,5),AVERAGEIFS('Data filtrees'!$K$2:$K$618,'Data filtrees'!$C$2:$C$618,5))</f>
        <v/>
      </c>
      <c r="G8" s="7">
        <f>IF(G4&gt;=5,AVERAGEIFS('Data filtrees'!$K$2:$K$618,'Data filtrees'!$B$2:$B$618,$A4,'Data filtrees'!$C$2:$C$618,6),AVERAGEIFS('Data filtrees'!$K$2:$K$618,'Data filtrees'!$C$2:$C$618,6))</f>
        <v/>
      </c>
      <c r="H8" s="7">
        <f>IF(H4&gt;=5,AVERAGEIFS('Data filtrees'!$K$2:$K$618,'Data filtrees'!$B$2:$B$618,$A4,'Data filtrees'!$C$2:$C$618,7),AVERAGEIFS('Data filtrees'!$K$2:$K$618,'Data filtrees'!$C$2:$C$618,7))</f>
        <v/>
      </c>
      <c r="I8" s="7">
        <f>IF(I4&gt;=5,AVERAGEIFS('Data filtrees'!$K$2:$K$618,'Data filtrees'!$B$2:$B$618,$A4,'Data filtrees'!$C$2:$C$618,8),AVERAGEIFS('Data filtrees'!$K$2:$K$618,'Data filtrees'!$C$2:$C$618,8))</f>
        <v/>
      </c>
      <c r="J8" s="7">
        <f>IF(J4&gt;=5,AVERAGEIFS('Data filtrees'!$K$2:$K$618,'Data filtrees'!$B$2:$B$618,$A4,'Data filtrees'!$C$2:$C$618,9),AVERAGEIFS('Data filtrees'!$K$2:$K$618,'Data filtrees'!$C$2:$C$618,9))</f>
        <v/>
      </c>
      <c r="K8" s="7">
        <f>IF(K4&gt;=5,AVERAGEIFS('Data filtrees'!$K$2:$K$618,'Data filtrees'!$B$2:$B$618,$A4,'Data filtrees'!$C$2:$C$618,10),AVERAGEIFS('Data filtrees'!$K$2:$K$618,'Data filtrees'!$C$2:$C$618,10))</f>
        <v/>
      </c>
      <c r="L8" s="7">
        <f>IF(L4&gt;=5,AVERAGEIFS('Data filtrees'!$K$2:$K$618,'Data filtrees'!$B$2:$B$618,$A4,'Data filtrees'!$C$2:$C$618,11),AVERAGEIFS('Data filtrees'!$K$2:$K$618,'Data filtrees'!$C$2:$C$618,11))</f>
        <v/>
      </c>
      <c r="M8" s="7">
        <f>IF(M4&gt;=5,AVERAGEIFS('Data filtrees'!$K$2:$K$618,'Data filtrees'!$B$2:$B$618,$A4,'Data filtrees'!$C$2:$C$618,12),AVERAGEIFS('Data filtrees'!$K$2:$K$618,'Data filtrees'!$C$2:$C$618,12))</f>
        <v/>
      </c>
    </row>
    <row r="9">
      <c r="A9" s="9" t="inlineStr">
        <is>
          <t>monthly_average</t>
        </is>
      </c>
      <c r="B9" s="10">
        <f>AVERAGEIFS('Data filtrees'!$K$2:$K$618,'Data filtrees'!$C$2:$C$618,1)</f>
        <v/>
      </c>
      <c r="C9" s="10">
        <f>AVERAGEIFS('Data filtrees'!$K$2:$K$618,'Data filtrees'!$C$2:$C$618,2)</f>
        <v/>
      </c>
      <c r="D9" s="10">
        <f>AVERAGEIFS('Data filtrees'!$K$2:$K$618,'Data filtrees'!$C$2:$C$618,3)</f>
        <v/>
      </c>
      <c r="E9" s="10">
        <f>AVERAGEIFS('Data filtrees'!$K$2:$K$618,'Data filtrees'!$C$2:$C$618,4)</f>
        <v/>
      </c>
      <c r="F9" s="10">
        <f>AVERAGEIFS('Data filtrees'!$K$2:$K$618,'Data filtrees'!$C$2:$C$618,5)</f>
        <v/>
      </c>
      <c r="G9" s="10">
        <f>AVERAGEIFS('Data filtrees'!$K$2:$K$618,'Data filtrees'!$C$2:$C$618,6)</f>
        <v/>
      </c>
      <c r="H9" s="10">
        <f>AVERAGEIFS('Data filtrees'!$K$2:$K$618,'Data filtrees'!$C$2:$C$618,7)</f>
        <v/>
      </c>
      <c r="I9" s="10">
        <f>AVERAGEIFS('Data filtrees'!$K$2:$K$618,'Data filtrees'!$C$2:$C$618,8)</f>
        <v/>
      </c>
      <c r="J9" s="10">
        <f>AVERAGEIFS('Data filtrees'!$K$2:$K$618,'Data filtrees'!$C$2:$C$618,9)</f>
        <v/>
      </c>
      <c r="K9" s="10">
        <f>AVERAGEIFS('Data filtrees'!$K$2:$K$618,'Data filtrees'!$C$2:$C$618,10)</f>
        <v/>
      </c>
      <c r="L9" s="10">
        <f>AVERAGEIFS('Data filtrees'!$K$2:$K$618,'Data filtrees'!$C$2:$C$618,11)</f>
        <v/>
      </c>
      <c r="M9" s="10">
        <f>AVERAGEIFS('Data filtrees'!$K$2:$K$618,'Data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Friabilite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filtrees'!$L$2:$L$618,"&lt;&gt;")</f>
        <v/>
      </c>
      <c r="C3" s="7">
        <f>COUNTIFS('Data filtrees'!$B$2:$B$618,$A3,'Data filtrees'!$C$2:$C$618,2,'Data filtrees'!$L$2:$L$618,"&lt;&gt;")</f>
        <v/>
      </c>
      <c r="D3" s="7">
        <f>COUNTIFS('Data filtrees'!$B$2:$B$618,$A3,'Data filtrees'!$C$2:$C$618,3,'Data filtrees'!$L$2:$L$618,"&lt;&gt;")</f>
        <v/>
      </c>
      <c r="E3" s="7">
        <f>COUNTIFS('Data filtrees'!$B$2:$B$618,$A3,'Data filtrees'!$C$2:$C$618,4,'Data filtrees'!$L$2:$L$618,"&lt;&gt;")</f>
        <v/>
      </c>
      <c r="F3" s="7">
        <f>COUNTIFS('Data filtrees'!$B$2:$B$618,$A3,'Data filtrees'!$C$2:$C$618,5,'Data filtrees'!$L$2:$L$618,"&lt;&gt;")</f>
        <v/>
      </c>
      <c r="G3" s="7">
        <f>COUNTIFS('Data filtrees'!$B$2:$B$618,$A3,'Data filtrees'!$C$2:$C$618,6,'Data filtrees'!$L$2:$L$618,"&lt;&gt;")</f>
        <v/>
      </c>
      <c r="H3" s="7">
        <f>COUNTIFS('Data filtrees'!$B$2:$B$618,$A3,'Data filtrees'!$C$2:$C$618,7,'Data filtrees'!$L$2:$L$618,"&lt;&gt;")</f>
        <v/>
      </c>
      <c r="I3" s="7">
        <f>COUNTIFS('Data filtrees'!$B$2:$B$618,$A3,'Data filtrees'!$C$2:$C$618,8,'Data filtrees'!$L$2:$L$618,"&lt;&gt;")</f>
        <v/>
      </c>
      <c r="J3" s="7">
        <f>COUNTIFS('Data filtrees'!$B$2:$B$618,$A3,'Data filtrees'!$C$2:$C$618,9,'Data filtrees'!$L$2:$L$618,"&lt;&gt;")</f>
        <v/>
      </c>
      <c r="K3" s="7">
        <f>COUNTIFS('Data filtrees'!$B$2:$B$618,$A3,'Data filtrees'!$C$2:$C$618,10,'Data filtrees'!$L$2:$L$618,"&lt;&gt;")</f>
        <v/>
      </c>
      <c r="L3" s="7">
        <f>COUNTIFS('Data filtrees'!$B$2:$B$618,$A3,'Data filtrees'!$C$2:$C$618,11,'Data filtrees'!$L$2:$L$618,"&lt;&gt;")</f>
        <v/>
      </c>
      <c r="M3" s="7">
        <f>COUNTIFS('Data filtrees'!$B$2:$B$618,$A3,'Data filtrees'!$C$2:$C$618,12,'Data filtrees'!$L$2:$L$618,"&lt;&gt;")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filtrees'!$L$2:$L$618,"&lt;&gt;")</f>
        <v/>
      </c>
      <c r="C4" s="7">
        <f>COUNTIFS('Data filtrees'!$B$2:$B$618,$A4,'Data filtrees'!$C$2:$C$618,2,'Data filtrees'!$L$2:$L$618,"&lt;&gt;")</f>
        <v/>
      </c>
      <c r="D4" s="7">
        <f>COUNTIFS('Data filtrees'!$B$2:$B$618,$A4,'Data filtrees'!$C$2:$C$618,3,'Data filtrees'!$L$2:$L$618,"&lt;&gt;")</f>
        <v/>
      </c>
      <c r="E4" s="7">
        <f>COUNTIFS('Data filtrees'!$B$2:$B$618,$A4,'Data filtrees'!$C$2:$C$618,4,'Data filtrees'!$L$2:$L$618,"&lt;&gt;")</f>
        <v/>
      </c>
      <c r="F4" s="7">
        <f>COUNTIFS('Data filtrees'!$B$2:$B$618,$A4,'Data filtrees'!$C$2:$C$618,5,'Data filtrees'!$L$2:$L$618,"&lt;&gt;")</f>
        <v/>
      </c>
      <c r="G4" s="7">
        <f>COUNTIFS('Data filtrees'!$B$2:$B$618,$A4,'Data filtrees'!$C$2:$C$618,6,'Data filtrees'!$L$2:$L$618,"&lt;&gt;")</f>
        <v/>
      </c>
      <c r="H4" s="7">
        <f>COUNTIFS('Data filtrees'!$B$2:$B$618,$A4,'Data filtrees'!$C$2:$C$618,7,'Data filtrees'!$L$2:$L$618,"&lt;&gt;")</f>
        <v/>
      </c>
      <c r="I4" s="7">
        <f>COUNTIFS('Data filtrees'!$B$2:$B$618,$A4,'Data filtrees'!$C$2:$C$618,8,'Data filtrees'!$L$2:$L$618,"&lt;&gt;")</f>
        <v/>
      </c>
      <c r="J4" s="7">
        <f>COUNTIFS('Data filtrees'!$B$2:$B$618,$A4,'Data filtrees'!$C$2:$C$618,9,'Data filtrees'!$L$2:$L$618,"&lt;&gt;")</f>
        <v/>
      </c>
      <c r="K4" s="7">
        <f>COUNTIFS('Data filtrees'!$B$2:$B$618,$A4,'Data filtrees'!$C$2:$C$618,10,'Data filtrees'!$L$2:$L$618,"&lt;&gt;")</f>
        <v/>
      </c>
      <c r="L4" s="7">
        <f>COUNTIFS('Data filtrees'!$B$2:$B$618,$A4,'Data filtrees'!$C$2:$C$618,11,'Data filtrees'!$L$2:$L$618,"&lt;&gt;")</f>
        <v/>
      </c>
      <c r="M4" s="7">
        <f>COUNTIFS('Data filtrees'!$B$2:$B$618,$A4,'Data filtrees'!$C$2:$C$618,12,'Data filtrees'!$L$2:$L$618,"&lt;&gt;")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filtrees'!$L$2:$L$618,'Data filtrees'!$B$2:$B$618,$A3,'Data filtrees'!$C$2:$C$618,1),AVERAGEIFS('Data filtrees'!$L$2:$L$618,'Data filtrees'!$C$2:$C$618,1))</f>
        <v/>
      </c>
      <c r="C7" s="7">
        <f>IF(C3&gt;=5,AVERAGEIFS('Data filtrees'!$L$2:$L$618,'Data filtrees'!$B$2:$B$618,$A3,'Data filtrees'!$C$2:$C$618,2),AVERAGEIFS('Data filtrees'!$L$2:$L$618,'Data filtrees'!$C$2:$C$618,2))</f>
        <v/>
      </c>
      <c r="D7" s="7">
        <f>IF(D3&gt;=5,AVERAGEIFS('Data filtrees'!$L$2:$L$618,'Data filtrees'!$B$2:$B$618,$A3,'Data filtrees'!$C$2:$C$618,3),AVERAGEIFS('Data filtrees'!$L$2:$L$618,'Data filtrees'!$C$2:$C$618,3))</f>
        <v/>
      </c>
      <c r="E7" s="7">
        <f>IF(E3&gt;=5,AVERAGEIFS('Data filtrees'!$L$2:$L$618,'Data filtrees'!$B$2:$B$618,$A3,'Data filtrees'!$C$2:$C$618,4),AVERAGEIFS('Data filtrees'!$L$2:$L$618,'Data filtrees'!$C$2:$C$618,4))</f>
        <v/>
      </c>
      <c r="F7" s="7">
        <f>IF(F3&gt;=5,AVERAGEIFS('Data filtrees'!$L$2:$L$618,'Data filtrees'!$B$2:$B$618,$A3,'Data filtrees'!$C$2:$C$618,5),AVERAGEIFS('Data filtrees'!$L$2:$L$618,'Data filtrees'!$C$2:$C$618,5))</f>
        <v/>
      </c>
      <c r="G7" s="7">
        <f>IF(G3&gt;=5,AVERAGEIFS('Data filtrees'!$L$2:$L$618,'Data filtrees'!$B$2:$B$618,$A3,'Data filtrees'!$C$2:$C$618,6),AVERAGEIFS('Data filtrees'!$L$2:$L$618,'Data filtrees'!$C$2:$C$618,6))</f>
        <v/>
      </c>
      <c r="H7" s="7">
        <f>IF(H3&gt;=5,AVERAGEIFS('Data filtrees'!$L$2:$L$618,'Data filtrees'!$B$2:$B$618,$A3,'Data filtrees'!$C$2:$C$618,7),AVERAGEIFS('Data filtrees'!$L$2:$L$618,'Data filtrees'!$C$2:$C$618,7))</f>
        <v/>
      </c>
      <c r="I7" s="7">
        <f>IF(I3&gt;=5,AVERAGEIFS('Data filtrees'!$L$2:$L$618,'Data filtrees'!$B$2:$B$618,$A3,'Data filtrees'!$C$2:$C$618,8),AVERAGEIFS('Data filtrees'!$L$2:$L$618,'Data filtrees'!$C$2:$C$618,8))</f>
        <v/>
      </c>
      <c r="J7" s="7">
        <f>IF(J3&gt;=5,AVERAGEIFS('Data filtrees'!$L$2:$L$618,'Data filtrees'!$B$2:$B$618,$A3,'Data filtrees'!$C$2:$C$618,9),AVERAGEIFS('Data filtrees'!$L$2:$L$618,'Data filtrees'!$C$2:$C$618,9))</f>
        <v/>
      </c>
      <c r="K7" s="7">
        <f>IF(K3&gt;=5,AVERAGEIFS('Data filtrees'!$L$2:$L$618,'Data filtrees'!$B$2:$B$618,$A3,'Data filtrees'!$C$2:$C$618,10),AVERAGEIFS('Data filtrees'!$L$2:$L$618,'Data filtrees'!$C$2:$C$618,10))</f>
        <v/>
      </c>
      <c r="L7" s="7">
        <f>IF(L3&gt;=5,AVERAGEIFS('Data filtrees'!$L$2:$L$618,'Data filtrees'!$B$2:$B$618,$A3,'Data filtrees'!$C$2:$C$618,11),AVERAGEIFS('Data filtrees'!$L$2:$L$618,'Data filtrees'!$C$2:$C$618,11))</f>
        <v/>
      </c>
      <c r="M7" s="7">
        <f>IF(M3&gt;=5,AVERAGEIFS('Data filtrees'!$L$2:$L$618,'Data filtrees'!$B$2:$B$618,$A3,'Data filtrees'!$C$2:$C$618,12),AVERAGEIFS('Data filtrees'!$L$2:$L$618,'Data filtrees'!$C$2:$C$618,12))</f>
        <v/>
      </c>
    </row>
    <row r="8">
      <c r="A8" s="6" t="inlineStr">
        <is>
          <t>IBON</t>
        </is>
      </c>
      <c r="B8" s="7">
        <f>IF(B4&gt;=5,AVERAGEIFS('Data filtrees'!$L$2:$L$618,'Data filtrees'!$B$2:$B$618,$A4,'Data filtrees'!$C$2:$C$618,1),AVERAGEIFS('Data filtrees'!$L$2:$L$618,'Data filtrees'!$C$2:$C$618,1))</f>
        <v/>
      </c>
      <c r="C8" s="7">
        <f>IF(C4&gt;=5,AVERAGEIFS('Data filtrees'!$L$2:$L$618,'Data filtrees'!$B$2:$B$618,$A4,'Data filtrees'!$C$2:$C$618,2),AVERAGEIFS('Data filtrees'!$L$2:$L$618,'Data filtrees'!$C$2:$C$618,2))</f>
        <v/>
      </c>
      <c r="D8" s="7">
        <f>IF(D4&gt;=5,AVERAGEIFS('Data filtrees'!$L$2:$L$618,'Data filtrees'!$B$2:$B$618,$A4,'Data filtrees'!$C$2:$C$618,3),AVERAGEIFS('Data filtrees'!$L$2:$L$618,'Data filtrees'!$C$2:$C$618,3))</f>
        <v/>
      </c>
      <c r="E8" s="7">
        <f>IF(E4&gt;=5,AVERAGEIFS('Data filtrees'!$L$2:$L$618,'Data filtrees'!$B$2:$B$618,$A4,'Data filtrees'!$C$2:$C$618,4),AVERAGEIFS('Data filtrees'!$L$2:$L$618,'Data filtrees'!$C$2:$C$618,4))</f>
        <v/>
      </c>
      <c r="F8" s="7">
        <f>IF(F4&gt;=5,AVERAGEIFS('Data filtrees'!$L$2:$L$618,'Data filtrees'!$B$2:$B$618,$A4,'Data filtrees'!$C$2:$C$618,5),AVERAGEIFS('Data filtrees'!$L$2:$L$618,'Data filtrees'!$C$2:$C$618,5))</f>
        <v/>
      </c>
      <c r="G8" s="7">
        <f>IF(G4&gt;=5,AVERAGEIFS('Data filtrees'!$L$2:$L$618,'Data filtrees'!$B$2:$B$618,$A4,'Data filtrees'!$C$2:$C$618,6),AVERAGEIFS('Data filtrees'!$L$2:$L$618,'Data filtrees'!$C$2:$C$618,6))</f>
        <v/>
      </c>
      <c r="H8" s="7">
        <f>IF(H4&gt;=5,AVERAGEIFS('Data filtrees'!$L$2:$L$618,'Data filtrees'!$B$2:$B$618,$A4,'Data filtrees'!$C$2:$C$618,7),AVERAGEIFS('Data filtrees'!$L$2:$L$618,'Data filtrees'!$C$2:$C$618,7))</f>
        <v/>
      </c>
      <c r="I8" s="7">
        <f>IF(I4&gt;=5,AVERAGEIFS('Data filtrees'!$L$2:$L$618,'Data filtrees'!$B$2:$B$618,$A4,'Data filtrees'!$C$2:$C$618,8),AVERAGEIFS('Data filtrees'!$L$2:$L$618,'Data filtrees'!$C$2:$C$618,8))</f>
        <v/>
      </c>
      <c r="J8" s="7">
        <f>IF(J4&gt;=5,AVERAGEIFS('Data filtrees'!$L$2:$L$618,'Data filtrees'!$B$2:$B$618,$A4,'Data filtrees'!$C$2:$C$618,9),AVERAGEIFS('Data filtrees'!$L$2:$L$618,'Data filtrees'!$C$2:$C$618,9))</f>
        <v/>
      </c>
      <c r="K8" s="7">
        <f>IF(K4&gt;=5,AVERAGEIFS('Data filtrees'!$L$2:$L$618,'Data filtrees'!$B$2:$B$618,$A4,'Data filtrees'!$C$2:$C$618,10),AVERAGEIFS('Data filtrees'!$L$2:$L$618,'Data filtrees'!$C$2:$C$618,10))</f>
        <v/>
      </c>
      <c r="L8" s="7">
        <f>IF(L4&gt;=5,AVERAGEIFS('Data filtrees'!$L$2:$L$618,'Data filtrees'!$B$2:$B$618,$A4,'Data filtrees'!$C$2:$C$618,11),AVERAGEIFS('Data filtrees'!$L$2:$L$618,'Data filtrees'!$C$2:$C$618,11))</f>
        <v/>
      </c>
      <c r="M8" s="7">
        <f>IF(M4&gt;=5,AVERAGEIFS('Data filtrees'!$L$2:$L$618,'Data filtrees'!$B$2:$B$618,$A4,'Data filtrees'!$C$2:$C$618,12),AVERAGEIFS('Data filtrees'!$L$2:$L$618,'Data filtrees'!$C$2:$C$618,12))</f>
        <v/>
      </c>
    </row>
    <row r="9">
      <c r="A9" s="9" t="inlineStr">
        <is>
          <t>monthly_average</t>
        </is>
      </c>
      <c r="B9" s="10">
        <f>AVERAGEIFS('Data filtrees'!$L$2:$L$618,'Data filtrees'!$C$2:$C$618,1)</f>
        <v/>
      </c>
      <c r="C9" s="10">
        <f>AVERAGEIFS('Data filtrees'!$L$2:$L$618,'Data filtrees'!$C$2:$C$618,2)</f>
        <v/>
      </c>
      <c r="D9" s="10">
        <f>AVERAGEIFS('Data filtrees'!$L$2:$L$618,'Data filtrees'!$C$2:$C$618,3)</f>
        <v/>
      </c>
      <c r="E9" s="10">
        <f>AVERAGEIFS('Data filtrees'!$L$2:$L$618,'Data filtrees'!$C$2:$C$618,4)</f>
        <v/>
      </c>
      <c r="F9" s="10">
        <f>AVERAGEIFS('Data filtrees'!$L$2:$L$618,'Data filtrees'!$C$2:$C$618,5)</f>
        <v/>
      </c>
      <c r="G9" s="10">
        <f>AVERAGEIFS('Data filtrees'!$L$2:$L$618,'Data filtrees'!$C$2:$C$618,6)</f>
        <v/>
      </c>
      <c r="H9" s="10">
        <f>AVERAGEIFS('Data filtrees'!$L$2:$L$618,'Data filtrees'!$C$2:$C$618,7)</f>
        <v/>
      </c>
      <c r="I9" s="10">
        <f>AVERAGEIFS('Data filtrees'!$L$2:$L$618,'Data filtrees'!$C$2:$C$618,8)</f>
        <v/>
      </c>
      <c r="J9" s="10">
        <f>AVERAGEIFS('Data filtrees'!$L$2:$L$618,'Data filtrees'!$C$2:$C$618,9)</f>
        <v/>
      </c>
      <c r="K9" s="10">
        <f>AVERAGEIFS('Data filtrees'!$L$2:$L$618,'Data filtrees'!$C$2:$C$618,10)</f>
        <v/>
      </c>
      <c r="L9" s="10">
        <f>AVERAGEIFS('Data filtrees'!$L$2:$L$618,'Data filtrees'!$C$2:$C$618,11)</f>
        <v/>
      </c>
      <c r="M9" s="10">
        <f>AVERAGEIFS('Data filtrees'!$L$2:$L$618,'Data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Couleur EBC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filtrees'!$M$2:$M$618,"&lt;&gt;")</f>
        <v/>
      </c>
      <c r="C3" s="7">
        <f>COUNTIFS('Data filtrees'!$B$2:$B$618,$A3,'Data filtrees'!$C$2:$C$618,2,'Data filtrees'!$M$2:$M$618,"&lt;&gt;")</f>
        <v/>
      </c>
      <c r="D3" s="7">
        <f>COUNTIFS('Data filtrees'!$B$2:$B$618,$A3,'Data filtrees'!$C$2:$C$618,3,'Data filtrees'!$M$2:$M$618,"&lt;&gt;")</f>
        <v/>
      </c>
      <c r="E3" s="7">
        <f>COUNTIFS('Data filtrees'!$B$2:$B$618,$A3,'Data filtrees'!$C$2:$C$618,4,'Data filtrees'!$M$2:$M$618,"&lt;&gt;")</f>
        <v/>
      </c>
      <c r="F3" s="7">
        <f>COUNTIFS('Data filtrees'!$B$2:$B$618,$A3,'Data filtrees'!$C$2:$C$618,5,'Data filtrees'!$M$2:$M$618,"&lt;&gt;")</f>
        <v/>
      </c>
      <c r="G3" s="7">
        <f>COUNTIFS('Data filtrees'!$B$2:$B$618,$A3,'Data filtrees'!$C$2:$C$618,6,'Data filtrees'!$M$2:$M$618,"&lt;&gt;")</f>
        <v/>
      </c>
      <c r="H3" s="7">
        <f>COUNTIFS('Data filtrees'!$B$2:$B$618,$A3,'Data filtrees'!$C$2:$C$618,7,'Data filtrees'!$M$2:$M$618,"&lt;&gt;")</f>
        <v/>
      </c>
      <c r="I3" s="7">
        <f>COUNTIFS('Data filtrees'!$B$2:$B$618,$A3,'Data filtrees'!$C$2:$C$618,8,'Data filtrees'!$M$2:$M$618,"&lt;&gt;")</f>
        <v/>
      </c>
      <c r="J3" s="7">
        <f>COUNTIFS('Data filtrees'!$B$2:$B$618,$A3,'Data filtrees'!$C$2:$C$618,9,'Data filtrees'!$M$2:$M$618,"&lt;&gt;")</f>
        <v/>
      </c>
      <c r="K3" s="7">
        <f>COUNTIFS('Data filtrees'!$B$2:$B$618,$A3,'Data filtrees'!$C$2:$C$618,10,'Data filtrees'!$M$2:$M$618,"&lt;&gt;")</f>
        <v/>
      </c>
      <c r="L3" s="7">
        <f>COUNTIFS('Data filtrees'!$B$2:$B$618,$A3,'Data filtrees'!$C$2:$C$618,11,'Data filtrees'!$M$2:$M$618,"&lt;&gt;")</f>
        <v/>
      </c>
      <c r="M3" s="7">
        <f>COUNTIFS('Data filtrees'!$B$2:$B$618,$A3,'Data filtrees'!$C$2:$C$618,12,'Data filtrees'!$M$2:$M$618,"&lt;&gt;")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filtrees'!$M$2:$M$618,"&lt;&gt;")</f>
        <v/>
      </c>
      <c r="C4" s="7">
        <f>COUNTIFS('Data filtrees'!$B$2:$B$618,$A4,'Data filtrees'!$C$2:$C$618,2,'Data filtrees'!$M$2:$M$618,"&lt;&gt;")</f>
        <v/>
      </c>
      <c r="D4" s="7">
        <f>COUNTIFS('Data filtrees'!$B$2:$B$618,$A4,'Data filtrees'!$C$2:$C$618,3,'Data filtrees'!$M$2:$M$618,"&lt;&gt;")</f>
        <v/>
      </c>
      <c r="E4" s="7">
        <f>COUNTIFS('Data filtrees'!$B$2:$B$618,$A4,'Data filtrees'!$C$2:$C$618,4,'Data filtrees'!$M$2:$M$618,"&lt;&gt;")</f>
        <v/>
      </c>
      <c r="F4" s="7">
        <f>COUNTIFS('Data filtrees'!$B$2:$B$618,$A4,'Data filtrees'!$C$2:$C$618,5,'Data filtrees'!$M$2:$M$618,"&lt;&gt;")</f>
        <v/>
      </c>
      <c r="G4" s="7">
        <f>COUNTIFS('Data filtrees'!$B$2:$B$618,$A4,'Data filtrees'!$C$2:$C$618,6,'Data filtrees'!$M$2:$M$618,"&lt;&gt;")</f>
        <v/>
      </c>
      <c r="H4" s="7">
        <f>COUNTIFS('Data filtrees'!$B$2:$B$618,$A4,'Data filtrees'!$C$2:$C$618,7,'Data filtrees'!$M$2:$M$618,"&lt;&gt;")</f>
        <v/>
      </c>
      <c r="I4" s="7">
        <f>COUNTIFS('Data filtrees'!$B$2:$B$618,$A4,'Data filtrees'!$C$2:$C$618,8,'Data filtrees'!$M$2:$M$618,"&lt;&gt;")</f>
        <v/>
      </c>
      <c r="J4" s="7">
        <f>COUNTIFS('Data filtrees'!$B$2:$B$618,$A4,'Data filtrees'!$C$2:$C$618,9,'Data filtrees'!$M$2:$M$618,"&lt;&gt;")</f>
        <v/>
      </c>
      <c r="K4" s="7">
        <f>COUNTIFS('Data filtrees'!$B$2:$B$618,$A4,'Data filtrees'!$C$2:$C$618,10,'Data filtrees'!$M$2:$M$618,"&lt;&gt;")</f>
        <v/>
      </c>
      <c r="L4" s="7">
        <f>COUNTIFS('Data filtrees'!$B$2:$B$618,$A4,'Data filtrees'!$C$2:$C$618,11,'Data filtrees'!$M$2:$M$618,"&lt;&gt;")</f>
        <v/>
      </c>
      <c r="M4" s="7">
        <f>COUNTIFS('Data filtrees'!$B$2:$B$618,$A4,'Data filtrees'!$C$2:$C$618,12,'Data filtrees'!$M$2:$M$618,"&lt;&gt;")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filtrees'!$M$2:$M$618,'Data filtrees'!$B$2:$B$618,$A3,'Data filtrees'!$C$2:$C$618,1),AVERAGEIFS('Data filtrees'!$M$2:$M$618,'Data filtrees'!$C$2:$C$618,1))</f>
        <v/>
      </c>
      <c r="C7" s="7">
        <f>IF(C3&gt;=5,AVERAGEIFS('Data filtrees'!$M$2:$M$618,'Data filtrees'!$B$2:$B$618,$A3,'Data filtrees'!$C$2:$C$618,2),AVERAGEIFS('Data filtrees'!$M$2:$M$618,'Data filtrees'!$C$2:$C$618,2))</f>
        <v/>
      </c>
      <c r="D7" s="7">
        <f>IF(D3&gt;=5,AVERAGEIFS('Data filtrees'!$M$2:$M$618,'Data filtrees'!$B$2:$B$618,$A3,'Data filtrees'!$C$2:$C$618,3),AVERAGEIFS('Data filtrees'!$M$2:$M$618,'Data filtrees'!$C$2:$C$618,3))</f>
        <v/>
      </c>
      <c r="E7" s="7">
        <f>IF(E3&gt;=5,AVERAGEIFS('Data filtrees'!$M$2:$M$618,'Data filtrees'!$B$2:$B$618,$A3,'Data filtrees'!$C$2:$C$618,4),AVERAGEIFS('Data filtrees'!$M$2:$M$618,'Data filtrees'!$C$2:$C$618,4))</f>
        <v/>
      </c>
      <c r="F7" s="7">
        <f>IF(F3&gt;=5,AVERAGEIFS('Data filtrees'!$M$2:$M$618,'Data filtrees'!$B$2:$B$618,$A3,'Data filtrees'!$C$2:$C$618,5),AVERAGEIFS('Data filtrees'!$M$2:$M$618,'Data filtrees'!$C$2:$C$618,5))</f>
        <v/>
      </c>
      <c r="G7" s="7">
        <f>IF(G3&gt;=5,AVERAGEIFS('Data filtrees'!$M$2:$M$618,'Data filtrees'!$B$2:$B$618,$A3,'Data filtrees'!$C$2:$C$618,6),AVERAGEIFS('Data filtrees'!$M$2:$M$618,'Data filtrees'!$C$2:$C$618,6))</f>
        <v/>
      </c>
      <c r="H7" s="7">
        <f>IF(H3&gt;=5,AVERAGEIFS('Data filtrees'!$M$2:$M$618,'Data filtrees'!$B$2:$B$618,$A3,'Data filtrees'!$C$2:$C$618,7),AVERAGEIFS('Data filtrees'!$M$2:$M$618,'Data filtrees'!$C$2:$C$618,7))</f>
        <v/>
      </c>
      <c r="I7" s="7">
        <f>IF(I3&gt;=5,AVERAGEIFS('Data filtrees'!$M$2:$M$618,'Data filtrees'!$B$2:$B$618,$A3,'Data filtrees'!$C$2:$C$618,8),AVERAGEIFS('Data filtrees'!$M$2:$M$618,'Data filtrees'!$C$2:$C$618,8))</f>
        <v/>
      </c>
      <c r="J7" s="7">
        <f>IF(J3&gt;=5,AVERAGEIFS('Data filtrees'!$M$2:$M$618,'Data filtrees'!$B$2:$B$618,$A3,'Data filtrees'!$C$2:$C$618,9),AVERAGEIFS('Data filtrees'!$M$2:$M$618,'Data filtrees'!$C$2:$C$618,9))</f>
        <v/>
      </c>
      <c r="K7" s="7">
        <f>IF(K3&gt;=5,AVERAGEIFS('Data filtrees'!$M$2:$M$618,'Data filtrees'!$B$2:$B$618,$A3,'Data filtrees'!$C$2:$C$618,10),AVERAGEIFS('Data filtrees'!$M$2:$M$618,'Data filtrees'!$C$2:$C$618,10))</f>
        <v/>
      </c>
      <c r="L7" s="7">
        <f>IF(L3&gt;=5,AVERAGEIFS('Data filtrees'!$M$2:$M$618,'Data filtrees'!$B$2:$B$618,$A3,'Data filtrees'!$C$2:$C$618,11),AVERAGEIFS('Data filtrees'!$M$2:$M$618,'Data filtrees'!$C$2:$C$618,11))</f>
        <v/>
      </c>
      <c r="M7" s="7">
        <f>IF(M3&gt;=5,AVERAGEIFS('Data filtrees'!$M$2:$M$618,'Data filtrees'!$B$2:$B$618,$A3,'Data filtrees'!$C$2:$C$618,12),AVERAGEIFS('Data filtrees'!$M$2:$M$618,'Data filtrees'!$C$2:$C$618,12))</f>
        <v/>
      </c>
    </row>
    <row r="8">
      <c r="A8" s="6" t="inlineStr">
        <is>
          <t>IBON</t>
        </is>
      </c>
      <c r="B8" s="7">
        <f>IF(B4&gt;=5,AVERAGEIFS('Data filtrees'!$M$2:$M$618,'Data filtrees'!$B$2:$B$618,$A4,'Data filtrees'!$C$2:$C$618,1),AVERAGEIFS('Data filtrees'!$M$2:$M$618,'Data filtrees'!$C$2:$C$618,1))</f>
        <v/>
      </c>
      <c r="C8" s="7">
        <f>IF(C4&gt;=5,AVERAGEIFS('Data filtrees'!$M$2:$M$618,'Data filtrees'!$B$2:$B$618,$A4,'Data filtrees'!$C$2:$C$618,2),AVERAGEIFS('Data filtrees'!$M$2:$M$618,'Data filtrees'!$C$2:$C$618,2))</f>
        <v/>
      </c>
      <c r="D8" s="7">
        <f>IF(D4&gt;=5,AVERAGEIFS('Data filtrees'!$M$2:$M$618,'Data filtrees'!$B$2:$B$618,$A4,'Data filtrees'!$C$2:$C$618,3),AVERAGEIFS('Data filtrees'!$M$2:$M$618,'Data filtrees'!$C$2:$C$618,3))</f>
        <v/>
      </c>
      <c r="E8" s="7">
        <f>IF(E4&gt;=5,AVERAGEIFS('Data filtrees'!$M$2:$M$618,'Data filtrees'!$B$2:$B$618,$A4,'Data filtrees'!$C$2:$C$618,4),AVERAGEIFS('Data filtrees'!$M$2:$M$618,'Data filtrees'!$C$2:$C$618,4))</f>
        <v/>
      </c>
      <c r="F8" s="7">
        <f>IF(F4&gt;=5,AVERAGEIFS('Data filtrees'!$M$2:$M$618,'Data filtrees'!$B$2:$B$618,$A4,'Data filtrees'!$C$2:$C$618,5),AVERAGEIFS('Data filtrees'!$M$2:$M$618,'Data filtrees'!$C$2:$C$618,5))</f>
        <v/>
      </c>
      <c r="G8" s="7">
        <f>IF(G4&gt;=5,AVERAGEIFS('Data filtrees'!$M$2:$M$618,'Data filtrees'!$B$2:$B$618,$A4,'Data filtrees'!$C$2:$C$618,6),AVERAGEIFS('Data filtrees'!$M$2:$M$618,'Data filtrees'!$C$2:$C$618,6))</f>
        <v/>
      </c>
      <c r="H8" s="7">
        <f>IF(H4&gt;=5,AVERAGEIFS('Data filtrees'!$M$2:$M$618,'Data filtrees'!$B$2:$B$618,$A4,'Data filtrees'!$C$2:$C$618,7),AVERAGEIFS('Data filtrees'!$M$2:$M$618,'Data filtrees'!$C$2:$C$618,7))</f>
        <v/>
      </c>
      <c r="I8" s="7">
        <f>IF(I4&gt;=5,AVERAGEIFS('Data filtrees'!$M$2:$M$618,'Data filtrees'!$B$2:$B$618,$A4,'Data filtrees'!$C$2:$C$618,8),AVERAGEIFS('Data filtrees'!$M$2:$M$618,'Data filtrees'!$C$2:$C$618,8))</f>
        <v/>
      </c>
      <c r="J8" s="7">
        <f>IF(J4&gt;=5,AVERAGEIFS('Data filtrees'!$M$2:$M$618,'Data filtrees'!$B$2:$B$618,$A4,'Data filtrees'!$C$2:$C$618,9),AVERAGEIFS('Data filtrees'!$M$2:$M$618,'Data filtrees'!$C$2:$C$618,9))</f>
        <v/>
      </c>
      <c r="K8" s="7">
        <f>IF(K4&gt;=5,AVERAGEIFS('Data filtrees'!$M$2:$M$618,'Data filtrees'!$B$2:$B$618,$A4,'Data filtrees'!$C$2:$C$618,10),AVERAGEIFS('Data filtrees'!$M$2:$M$618,'Data filtrees'!$C$2:$C$618,10))</f>
        <v/>
      </c>
      <c r="L8" s="7">
        <f>IF(L4&gt;=5,AVERAGEIFS('Data filtrees'!$M$2:$M$618,'Data filtrees'!$B$2:$B$618,$A4,'Data filtrees'!$C$2:$C$618,11),AVERAGEIFS('Data filtrees'!$M$2:$M$618,'Data filtrees'!$C$2:$C$618,11))</f>
        <v/>
      </c>
      <c r="M8" s="7">
        <f>IF(M4&gt;=5,AVERAGEIFS('Data filtrees'!$M$2:$M$618,'Data filtrees'!$B$2:$B$618,$A4,'Data filtrees'!$C$2:$C$618,12),AVERAGEIFS('Data filtrees'!$M$2:$M$618,'Data filtrees'!$C$2:$C$618,12))</f>
        <v/>
      </c>
    </row>
    <row r="9">
      <c r="A9" s="9" t="inlineStr">
        <is>
          <t>monthly_average</t>
        </is>
      </c>
      <c r="B9" s="10">
        <f>AVERAGEIFS('Data filtrees'!$M$2:$M$618,'Data filtrees'!$C$2:$C$618,1)</f>
        <v/>
      </c>
      <c r="C9" s="10">
        <f>AVERAGEIFS('Data filtrees'!$M$2:$M$618,'Data filtrees'!$C$2:$C$618,2)</f>
        <v/>
      </c>
      <c r="D9" s="10">
        <f>AVERAGEIFS('Data filtrees'!$M$2:$M$618,'Data filtrees'!$C$2:$C$618,3)</f>
        <v/>
      </c>
      <c r="E9" s="10">
        <f>AVERAGEIFS('Data filtrees'!$M$2:$M$618,'Data filtrees'!$C$2:$C$618,4)</f>
        <v/>
      </c>
      <c r="F9" s="10">
        <f>AVERAGEIFS('Data filtrees'!$M$2:$M$618,'Data filtrees'!$C$2:$C$618,5)</f>
        <v/>
      </c>
      <c r="G9" s="10">
        <f>AVERAGEIFS('Data filtrees'!$M$2:$M$618,'Data filtrees'!$C$2:$C$618,6)</f>
        <v/>
      </c>
      <c r="H9" s="10">
        <f>AVERAGEIFS('Data filtrees'!$M$2:$M$618,'Data filtrees'!$C$2:$C$618,7)</f>
        <v/>
      </c>
      <c r="I9" s="10">
        <f>AVERAGEIFS('Data filtrees'!$M$2:$M$618,'Data filtrees'!$C$2:$C$618,8)</f>
        <v/>
      </c>
      <c r="J9" s="10">
        <f>AVERAGEIFS('Data filtrees'!$M$2:$M$618,'Data filtrees'!$C$2:$C$618,9)</f>
        <v/>
      </c>
      <c r="K9" s="10">
        <f>AVERAGEIFS('Data filtrees'!$M$2:$M$618,'Data filtrees'!$C$2:$C$618,10)</f>
        <v/>
      </c>
      <c r="L9" s="10">
        <f>AVERAGEIFS('Data filtrees'!$M$2:$M$618,'Data filtrees'!$C$2:$C$618,11)</f>
        <v/>
      </c>
      <c r="M9" s="10">
        <f>AVERAGEIFS('Data filtrees'!$M$2:$M$618,'Data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3" t="inlineStr">
        <is>
          <t>Beta-glucanes — nombre de couches, puis moyenne</t>
        </is>
      </c>
    </row>
    <row r="2">
      <c r="A2" s="4" t="inlineStr">
        <is>
          <t>NB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</row>
    <row r="3">
      <c r="A3" s="6" t="inlineStr">
        <is>
          <t>2RS</t>
        </is>
      </c>
      <c r="B3" s="7">
        <f>COUNTIFS('Data filtrees'!$B$2:$B$618,$A3,'Data filtrees'!$C$2:$C$618,1,'Data filtrees'!$N$2:$N$618,"&lt;&gt;")</f>
        <v/>
      </c>
      <c r="C3" s="7">
        <f>COUNTIFS('Data filtrees'!$B$2:$B$618,$A3,'Data filtrees'!$C$2:$C$618,2,'Data filtrees'!$N$2:$N$618,"&lt;&gt;")</f>
        <v/>
      </c>
      <c r="D3" s="7">
        <f>COUNTIFS('Data filtrees'!$B$2:$B$618,$A3,'Data filtrees'!$C$2:$C$618,3,'Data filtrees'!$N$2:$N$618,"&lt;&gt;")</f>
        <v/>
      </c>
      <c r="E3" s="7">
        <f>COUNTIFS('Data filtrees'!$B$2:$B$618,$A3,'Data filtrees'!$C$2:$C$618,4,'Data filtrees'!$N$2:$N$618,"&lt;&gt;")</f>
        <v/>
      </c>
      <c r="F3" s="7">
        <f>COUNTIFS('Data filtrees'!$B$2:$B$618,$A3,'Data filtrees'!$C$2:$C$618,5,'Data filtrees'!$N$2:$N$618,"&lt;&gt;")</f>
        <v/>
      </c>
      <c r="G3" s="7">
        <f>COUNTIFS('Data filtrees'!$B$2:$B$618,$A3,'Data filtrees'!$C$2:$C$618,6,'Data filtrees'!$N$2:$N$618,"&lt;&gt;")</f>
        <v/>
      </c>
      <c r="H3" s="7">
        <f>COUNTIFS('Data filtrees'!$B$2:$B$618,$A3,'Data filtrees'!$C$2:$C$618,7,'Data filtrees'!$N$2:$N$618,"&lt;&gt;")</f>
        <v/>
      </c>
      <c r="I3" s="7">
        <f>COUNTIFS('Data filtrees'!$B$2:$B$618,$A3,'Data filtrees'!$C$2:$C$618,8,'Data filtrees'!$N$2:$N$618,"&lt;&gt;")</f>
        <v/>
      </c>
      <c r="J3" s="7">
        <f>COUNTIFS('Data filtrees'!$B$2:$B$618,$A3,'Data filtrees'!$C$2:$C$618,9,'Data filtrees'!$N$2:$N$618,"&lt;&gt;")</f>
        <v/>
      </c>
      <c r="K3" s="7">
        <f>COUNTIFS('Data filtrees'!$B$2:$B$618,$A3,'Data filtrees'!$C$2:$C$618,10,'Data filtrees'!$N$2:$N$618,"&lt;&gt;")</f>
        <v/>
      </c>
      <c r="L3" s="7">
        <f>COUNTIFS('Data filtrees'!$B$2:$B$618,$A3,'Data filtrees'!$C$2:$C$618,11,'Data filtrees'!$N$2:$N$618,"&lt;&gt;")</f>
        <v/>
      </c>
      <c r="M3" s="7">
        <f>COUNTIFS('Data filtrees'!$B$2:$B$618,$A3,'Data filtrees'!$C$2:$C$618,12,'Data filtrees'!$N$2:$N$618,"&lt;&gt;")</f>
        <v/>
      </c>
    </row>
    <row r="4">
      <c r="A4" s="6" t="inlineStr">
        <is>
          <t>IBON</t>
        </is>
      </c>
      <c r="B4" s="7">
        <f>COUNTIFS('Data filtrees'!$B$2:$B$618,$A4,'Data filtrees'!$C$2:$C$618,1,'Data filtrees'!$N$2:$N$618,"&lt;&gt;")</f>
        <v/>
      </c>
      <c r="C4" s="7">
        <f>COUNTIFS('Data filtrees'!$B$2:$B$618,$A4,'Data filtrees'!$C$2:$C$618,2,'Data filtrees'!$N$2:$N$618,"&lt;&gt;")</f>
        <v/>
      </c>
      <c r="D4" s="7">
        <f>COUNTIFS('Data filtrees'!$B$2:$B$618,$A4,'Data filtrees'!$C$2:$C$618,3,'Data filtrees'!$N$2:$N$618,"&lt;&gt;")</f>
        <v/>
      </c>
      <c r="E4" s="7">
        <f>COUNTIFS('Data filtrees'!$B$2:$B$618,$A4,'Data filtrees'!$C$2:$C$618,4,'Data filtrees'!$N$2:$N$618,"&lt;&gt;")</f>
        <v/>
      </c>
      <c r="F4" s="7">
        <f>COUNTIFS('Data filtrees'!$B$2:$B$618,$A4,'Data filtrees'!$C$2:$C$618,5,'Data filtrees'!$N$2:$N$618,"&lt;&gt;")</f>
        <v/>
      </c>
      <c r="G4" s="7">
        <f>COUNTIFS('Data filtrees'!$B$2:$B$618,$A4,'Data filtrees'!$C$2:$C$618,6,'Data filtrees'!$N$2:$N$618,"&lt;&gt;")</f>
        <v/>
      </c>
      <c r="H4" s="7">
        <f>COUNTIFS('Data filtrees'!$B$2:$B$618,$A4,'Data filtrees'!$C$2:$C$618,7,'Data filtrees'!$N$2:$N$618,"&lt;&gt;")</f>
        <v/>
      </c>
      <c r="I4" s="7">
        <f>COUNTIFS('Data filtrees'!$B$2:$B$618,$A4,'Data filtrees'!$C$2:$C$618,8,'Data filtrees'!$N$2:$N$618,"&lt;&gt;")</f>
        <v/>
      </c>
      <c r="J4" s="7">
        <f>COUNTIFS('Data filtrees'!$B$2:$B$618,$A4,'Data filtrees'!$C$2:$C$618,9,'Data filtrees'!$N$2:$N$618,"&lt;&gt;")</f>
        <v/>
      </c>
      <c r="K4" s="7">
        <f>COUNTIFS('Data filtrees'!$B$2:$B$618,$A4,'Data filtrees'!$C$2:$C$618,10,'Data filtrees'!$N$2:$N$618,"&lt;&gt;")</f>
        <v/>
      </c>
      <c r="L4" s="7">
        <f>COUNTIFS('Data filtrees'!$B$2:$B$618,$A4,'Data filtrees'!$C$2:$C$618,11,'Data filtrees'!$N$2:$N$618,"&lt;&gt;")</f>
        <v/>
      </c>
      <c r="M4" s="7">
        <f>COUNTIFS('Data filtrees'!$B$2:$B$618,$A4,'Data filtrees'!$C$2:$C$618,12,'Data filtrees'!$N$2:$N$618,"&lt;&gt;")</f>
        <v/>
      </c>
    </row>
    <row r="6">
      <c r="A6" s="4" t="inlineStr">
        <is>
          <t>MOYENNE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  <c r="G6" s="5" t="n">
        <v>6</v>
      </c>
      <c r="H6" s="5" t="n">
        <v>7</v>
      </c>
      <c r="I6" s="5" t="n">
        <v>8</v>
      </c>
      <c r="J6" s="5" t="n">
        <v>9</v>
      </c>
      <c r="K6" s="5" t="n">
        <v>10</v>
      </c>
      <c r="L6" s="5" t="n">
        <v>11</v>
      </c>
      <c r="M6" s="5" t="n">
        <v>12</v>
      </c>
    </row>
    <row r="7">
      <c r="A7" s="6" t="inlineStr">
        <is>
          <t>2RS</t>
        </is>
      </c>
      <c r="B7" s="7">
        <f>IF(B3&gt;=5,AVERAGEIFS('Data filtrees'!$N$2:$N$618,'Data filtrees'!$B$2:$B$618,$A3,'Data filtrees'!$C$2:$C$618,1),AVERAGEIFS('Data filtrees'!$N$2:$N$618,'Data filtrees'!$C$2:$C$618,1))</f>
        <v/>
      </c>
      <c r="C7" s="7">
        <f>IF(C3&gt;=5,AVERAGEIFS('Data filtrees'!$N$2:$N$618,'Data filtrees'!$B$2:$B$618,$A3,'Data filtrees'!$C$2:$C$618,2),AVERAGEIFS('Data filtrees'!$N$2:$N$618,'Data filtrees'!$C$2:$C$618,2))</f>
        <v/>
      </c>
      <c r="D7" s="7">
        <f>IF(D3&gt;=5,AVERAGEIFS('Data filtrees'!$N$2:$N$618,'Data filtrees'!$B$2:$B$618,$A3,'Data filtrees'!$C$2:$C$618,3),AVERAGEIFS('Data filtrees'!$N$2:$N$618,'Data filtrees'!$C$2:$C$618,3))</f>
        <v/>
      </c>
      <c r="E7" s="7">
        <f>IF(E3&gt;=5,AVERAGEIFS('Data filtrees'!$N$2:$N$618,'Data filtrees'!$B$2:$B$618,$A3,'Data filtrees'!$C$2:$C$618,4),AVERAGEIFS('Data filtrees'!$N$2:$N$618,'Data filtrees'!$C$2:$C$618,4))</f>
        <v/>
      </c>
      <c r="F7" s="7">
        <f>IF(F3&gt;=5,AVERAGEIFS('Data filtrees'!$N$2:$N$618,'Data filtrees'!$B$2:$B$618,$A3,'Data filtrees'!$C$2:$C$618,5),AVERAGEIFS('Data filtrees'!$N$2:$N$618,'Data filtrees'!$C$2:$C$618,5))</f>
        <v/>
      </c>
      <c r="G7" s="7">
        <f>IF(G3&gt;=5,AVERAGEIFS('Data filtrees'!$N$2:$N$618,'Data filtrees'!$B$2:$B$618,$A3,'Data filtrees'!$C$2:$C$618,6),AVERAGEIFS('Data filtrees'!$N$2:$N$618,'Data filtrees'!$C$2:$C$618,6))</f>
        <v/>
      </c>
      <c r="H7" s="7">
        <f>IF(H3&gt;=5,AVERAGEIFS('Data filtrees'!$N$2:$N$618,'Data filtrees'!$B$2:$B$618,$A3,'Data filtrees'!$C$2:$C$618,7),AVERAGEIFS('Data filtrees'!$N$2:$N$618,'Data filtrees'!$C$2:$C$618,7))</f>
        <v/>
      </c>
      <c r="I7" s="7">
        <f>IF(I3&gt;=5,AVERAGEIFS('Data filtrees'!$N$2:$N$618,'Data filtrees'!$B$2:$B$618,$A3,'Data filtrees'!$C$2:$C$618,8),AVERAGEIFS('Data filtrees'!$N$2:$N$618,'Data filtrees'!$C$2:$C$618,8))</f>
        <v/>
      </c>
      <c r="J7" s="7">
        <f>IF(J3&gt;=5,AVERAGEIFS('Data filtrees'!$N$2:$N$618,'Data filtrees'!$B$2:$B$618,$A3,'Data filtrees'!$C$2:$C$618,9),AVERAGEIFS('Data filtrees'!$N$2:$N$618,'Data filtrees'!$C$2:$C$618,9))</f>
        <v/>
      </c>
      <c r="K7" s="7">
        <f>IF(K3&gt;=5,AVERAGEIFS('Data filtrees'!$N$2:$N$618,'Data filtrees'!$B$2:$B$618,$A3,'Data filtrees'!$C$2:$C$618,10),AVERAGEIFS('Data filtrees'!$N$2:$N$618,'Data filtrees'!$C$2:$C$618,10))</f>
        <v/>
      </c>
      <c r="L7" s="7">
        <f>IF(L3&gt;=5,AVERAGEIFS('Data filtrees'!$N$2:$N$618,'Data filtrees'!$B$2:$B$618,$A3,'Data filtrees'!$C$2:$C$618,11),AVERAGEIFS('Data filtrees'!$N$2:$N$618,'Data filtrees'!$C$2:$C$618,11))</f>
        <v/>
      </c>
      <c r="M7" s="7">
        <f>IF(M3&gt;=5,AVERAGEIFS('Data filtrees'!$N$2:$N$618,'Data filtrees'!$B$2:$B$618,$A3,'Data filtrees'!$C$2:$C$618,12),AVERAGEIFS('Data filtrees'!$N$2:$N$618,'Data filtrees'!$C$2:$C$618,12))</f>
        <v/>
      </c>
    </row>
    <row r="8">
      <c r="A8" s="6" t="inlineStr">
        <is>
          <t>IBON</t>
        </is>
      </c>
      <c r="B8" s="7">
        <f>IF(B4&gt;=5,AVERAGEIFS('Data filtrees'!$N$2:$N$618,'Data filtrees'!$B$2:$B$618,$A4,'Data filtrees'!$C$2:$C$618,1),AVERAGEIFS('Data filtrees'!$N$2:$N$618,'Data filtrees'!$C$2:$C$618,1))</f>
        <v/>
      </c>
      <c r="C8" s="7">
        <f>IF(C4&gt;=5,AVERAGEIFS('Data filtrees'!$N$2:$N$618,'Data filtrees'!$B$2:$B$618,$A4,'Data filtrees'!$C$2:$C$618,2),AVERAGEIFS('Data filtrees'!$N$2:$N$618,'Data filtrees'!$C$2:$C$618,2))</f>
        <v/>
      </c>
      <c r="D8" s="7">
        <f>IF(D4&gt;=5,AVERAGEIFS('Data filtrees'!$N$2:$N$618,'Data filtrees'!$B$2:$B$618,$A4,'Data filtrees'!$C$2:$C$618,3),AVERAGEIFS('Data filtrees'!$N$2:$N$618,'Data filtrees'!$C$2:$C$618,3))</f>
        <v/>
      </c>
      <c r="E8" s="7">
        <f>IF(E4&gt;=5,AVERAGEIFS('Data filtrees'!$N$2:$N$618,'Data filtrees'!$B$2:$B$618,$A4,'Data filtrees'!$C$2:$C$618,4),AVERAGEIFS('Data filtrees'!$N$2:$N$618,'Data filtrees'!$C$2:$C$618,4))</f>
        <v/>
      </c>
      <c r="F8" s="7">
        <f>IF(F4&gt;=5,AVERAGEIFS('Data filtrees'!$N$2:$N$618,'Data filtrees'!$B$2:$B$618,$A4,'Data filtrees'!$C$2:$C$618,5),AVERAGEIFS('Data filtrees'!$N$2:$N$618,'Data filtrees'!$C$2:$C$618,5))</f>
        <v/>
      </c>
      <c r="G8" s="7">
        <f>IF(G4&gt;=5,AVERAGEIFS('Data filtrees'!$N$2:$N$618,'Data filtrees'!$B$2:$B$618,$A4,'Data filtrees'!$C$2:$C$618,6),AVERAGEIFS('Data filtrees'!$N$2:$N$618,'Data filtrees'!$C$2:$C$618,6))</f>
        <v/>
      </c>
      <c r="H8" s="7">
        <f>IF(H4&gt;=5,AVERAGEIFS('Data filtrees'!$N$2:$N$618,'Data filtrees'!$B$2:$B$618,$A4,'Data filtrees'!$C$2:$C$618,7),AVERAGEIFS('Data filtrees'!$N$2:$N$618,'Data filtrees'!$C$2:$C$618,7))</f>
        <v/>
      </c>
      <c r="I8" s="7">
        <f>IF(I4&gt;=5,AVERAGEIFS('Data filtrees'!$N$2:$N$618,'Data filtrees'!$B$2:$B$618,$A4,'Data filtrees'!$C$2:$C$618,8),AVERAGEIFS('Data filtrees'!$N$2:$N$618,'Data filtrees'!$C$2:$C$618,8))</f>
        <v/>
      </c>
      <c r="J8" s="7">
        <f>IF(J4&gt;=5,AVERAGEIFS('Data filtrees'!$N$2:$N$618,'Data filtrees'!$B$2:$B$618,$A4,'Data filtrees'!$C$2:$C$618,9),AVERAGEIFS('Data filtrees'!$N$2:$N$618,'Data filtrees'!$C$2:$C$618,9))</f>
        <v/>
      </c>
      <c r="K8" s="7">
        <f>IF(K4&gt;=5,AVERAGEIFS('Data filtrees'!$N$2:$N$618,'Data filtrees'!$B$2:$B$618,$A4,'Data filtrees'!$C$2:$C$618,10),AVERAGEIFS('Data filtrees'!$N$2:$N$618,'Data filtrees'!$C$2:$C$618,10))</f>
        <v/>
      </c>
      <c r="L8" s="7">
        <f>IF(L4&gt;=5,AVERAGEIFS('Data filtrees'!$N$2:$N$618,'Data filtrees'!$B$2:$B$618,$A4,'Data filtrees'!$C$2:$C$618,11),AVERAGEIFS('Data filtrees'!$N$2:$N$618,'Data filtrees'!$C$2:$C$618,11))</f>
        <v/>
      </c>
      <c r="M8" s="7">
        <f>IF(M4&gt;=5,AVERAGEIFS('Data filtrees'!$N$2:$N$618,'Data filtrees'!$B$2:$B$618,$A4,'Data filtrees'!$C$2:$C$618,12),AVERAGEIFS('Data filtrees'!$N$2:$N$618,'Data filtrees'!$C$2:$C$618,12))</f>
        <v/>
      </c>
    </row>
    <row r="9">
      <c r="A9" s="9" t="inlineStr">
        <is>
          <t>monthly_average</t>
        </is>
      </c>
      <c r="B9" s="10">
        <f>AVERAGEIFS('Data filtrees'!$N$2:$N$618,'Data filtrees'!$C$2:$C$618,1)</f>
        <v/>
      </c>
      <c r="C9" s="10">
        <f>AVERAGEIFS('Data filtrees'!$N$2:$N$618,'Data filtrees'!$C$2:$C$618,2)</f>
        <v/>
      </c>
      <c r="D9" s="10">
        <f>AVERAGEIFS('Data filtrees'!$N$2:$N$618,'Data filtrees'!$C$2:$C$618,3)</f>
        <v/>
      </c>
      <c r="E9" s="10">
        <f>AVERAGEIFS('Data filtrees'!$N$2:$N$618,'Data filtrees'!$C$2:$C$618,4)</f>
        <v/>
      </c>
      <c r="F9" s="10">
        <f>AVERAGEIFS('Data filtrees'!$N$2:$N$618,'Data filtrees'!$C$2:$C$618,5)</f>
        <v/>
      </c>
      <c r="G9" s="10">
        <f>AVERAGEIFS('Data filtrees'!$N$2:$N$618,'Data filtrees'!$C$2:$C$618,6)</f>
        <v/>
      </c>
      <c r="H9" s="10">
        <f>AVERAGEIFS('Data filtrees'!$N$2:$N$618,'Data filtrees'!$C$2:$C$618,7)</f>
        <v/>
      </c>
      <c r="I9" s="10">
        <f>AVERAGEIFS('Data filtrees'!$N$2:$N$618,'Data filtrees'!$C$2:$C$618,8)</f>
        <v/>
      </c>
      <c r="J9" s="10">
        <f>AVERAGEIFS('Data filtrees'!$N$2:$N$618,'Data filtrees'!$C$2:$C$618,9)</f>
        <v/>
      </c>
      <c r="K9" s="10">
        <f>AVERAGEIFS('Data filtrees'!$N$2:$N$618,'Data filtrees'!$C$2:$C$618,10)</f>
        <v/>
      </c>
      <c r="L9" s="10">
        <f>AVERAGEIFS('Data filtrees'!$N$2:$N$618,'Data filtrees'!$C$2:$C$618,11)</f>
        <v/>
      </c>
      <c r="M9" s="10">
        <f>AVERAGEIFS('Data filtrees'!$N$2:$N$618,'Data filtrees'!$C$2:$C$618,12)</f>
        <v/>
      </c>
    </row>
    <row r="11">
      <c r="A11" s="8" t="inlineStr">
        <is>
          <t>Au moins 5 couches : moyenne du cahier des charges. En dessous : moyenne du mois, tous cahiers des charges confondus.</t>
        </is>
      </c>
    </row>
  </sheetData>
  <conditionalFormatting sqref="B3:M4">
    <cfRule type="cellIs" priority="1" operator="lessThan" dxfId="0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2026-09-24T08:22:38Z</dcterms:created>
  <dcterms:modified xmlns:dcterms="http://purl.org/dc/terms/" xmlns:xsi="http://www.w3.org/2001/XMLSchema-instance" xsi:type="dcterms:W3CDTF">2026-09-24T08:22:38Z</dcterms:modified>
</cp:coreProperties>
</file>